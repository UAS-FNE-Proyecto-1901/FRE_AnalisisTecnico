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aniel\OneDrive\Documents\Trabajos\UAS-FNE-2\61_Regionalizacion\FRE_AnalisisEstadistico\data\raw\ClasificacionFRE\"/>
    </mc:Choice>
  </mc:AlternateContent>
  <xr:revisionPtr revIDLastSave="0" documentId="13_ncr:1_{A6183DAF-3471-4540-8650-F62C38A6FABE}" xr6:coauthVersionLast="47" xr6:coauthVersionMax="47" xr10:uidLastSave="{00000000-0000-0000-0000-000000000000}"/>
  <bookViews>
    <workbookView xWindow="-120" yWindow="-120" windowWidth="20730" windowHeight="11310" activeTab="2" xr2:uid="{00000000-000D-0000-FFFF-FFFF00000000}"/>
  </bookViews>
  <sheets>
    <sheet name="TD_1" sheetId="9" r:id="rId1"/>
    <sheet name="TD2" sheetId="10" r:id="rId2"/>
    <sheet name="Hoja3" sheetId="11" r:id="rId3"/>
    <sheet name="BD DE DATOS" sheetId="1" r:id="rId4"/>
    <sheet name="RESUMEN" sheetId="5" r:id="rId5"/>
    <sheet name="WORD" sheetId="8" r:id="rId6"/>
    <sheet name="TAB_REF" sheetId="2" r:id="rId7"/>
    <sheet name="DEPARTAMENTO" sheetId="3" r:id="rId8"/>
  </sheets>
  <externalReferences>
    <externalReference r:id="rId9"/>
    <externalReference r:id="rId10"/>
  </externalReferences>
  <definedNames>
    <definedName name="AMAZONAS">DEPARTAMENTO!$B$2:$B$13</definedName>
    <definedName name="ANTIOQUIA">DEPARTAMENTO!$C$2:$C$127</definedName>
    <definedName name="ARAUCA">DEPARTAMENTO!$D$2:$D$9</definedName>
    <definedName name="ATLÁNTICO">DEPARTAMENTO!$E$2:$E$25</definedName>
    <definedName name="BOGOTA">DEPARTAMENTO!$G$2:$G$3</definedName>
    <definedName name="BOLÍVAR">DEPARTAMENTO!$F$2:$F$48</definedName>
    <definedName name="BOYACÁ">DEPARTAMENTO!$H$2:$H$125</definedName>
    <definedName name="CALDAS">DEPARTAMENTO!$I$2:$I$29</definedName>
    <definedName name="CAQUETÁ">DEPARTAMENTO!$J$2:$J$18</definedName>
    <definedName name="CASANARE">DEPARTAMENTO!$K$2:$K$21</definedName>
    <definedName name="CAUCA">DEPARTAMENTO!$L$2:$L$44</definedName>
    <definedName name="CESAR">DEPARTAMENTO!$M$2:$M$27</definedName>
    <definedName name="CHOCÓ">DEPARTAMENTO!$N$2:$N$32</definedName>
    <definedName name="CÓRDOBA">DEPARTAMENTO!$O$2:$O$30</definedName>
    <definedName name="CUNDINAMARCA">DEPARTAMENTO!$P$2:$P$118</definedName>
    <definedName name="GUAINÍA">DEPARTAMENTO!$Q$2:$Q$11</definedName>
    <definedName name="GUAVIARE">DEPARTAMENTO!$R$2:$R$6</definedName>
    <definedName name="HUILA">DEPARTAMENTO!$S$2:$S$39</definedName>
    <definedName name="LA_GUAJIRA">DEPARTAMENTO!$T$2:$T$17</definedName>
    <definedName name="MAGDALENA">DEPARTAMENTO!$U$2:$U$32</definedName>
    <definedName name="META">DEPARTAMENTO!$V$2:$V$31</definedName>
    <definedName name="NARIÑO">DEPARTAMENTO!$W$2:$W$66</definedName>
    <definedName name="NORTE_DE_SANTANDER">DEPARTAMENTO!$X$2:$X$42</definedName>
    <definedName name="PUTUMAYO">DEPARTAMENTO!$Y$2:$Y$15</definedName>
    <definedName name="QUINDIO">DEPARTAMENTO!$Z$2:$Z$14</definedName>
    <definedName name="RISARALDA">DEPARTAMENTO!$AA$2:$AA$16</definedName>
    <definedName name="SAN_ANDRES_ISLAS">DEPARTAMENTO!$AB$2:$AB$4</definedName>
    <definedName name="SANTANDER">DEPARTAMENTO!$AC$2:$AC$89</definedName>
    <definedName name="SUCRE">DEPARTAMENTO!$AD$2:$AD$28</definedName>
    <definedName name="TOLIMA">DEPARTAMENTO!$AE$2:$AE$49</definedName>
    <definedName name="VALLE_DEL_CAUCA">DEPARTAMENTO!$AF$2:$AF$44</definedName>
    <definedName name="VAUPÉS">DEPARTAMENTO!$AG$2:$AG$8</definedName>
    <definedName name="VICHADA">DEPARTAMENTO!$AH$2:$AH$6</definedName>
  </definedNames>
  <calcPr calcId="191029"/>
  <pivotCaches>
    <pivotCache cacheId="6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1" l="1"/>
  <c r="D4" i="11"/>
  <c r="D5" i="11"/>
  <c r="D6" i="11"/>
  <c r="D7" i="11"/>
  <c r="D8" i="11"/>
  <c r="D9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" i="11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D4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E24" i="10"/>
  <c r="F24" i="10"/>
  <c r="G24" i="10"/>
  <c r="H24" i="10"/>
  <c r="I24" i="10"/>
  <c r="J24" i="10"/>
  <c r="K24" i="10"/>
  <c r="L24" i="10"/>
  <c r="M24" i="10"/>
  <c r="N24" i="10"/>
  <c r="O24" i="10"/>
  <c r="P24" i="10"/>
  <c r="Q24" i="10"/>
  <c r="R24" i="10"/>
  <c r="S24" i="10"/>
  <c r="T24" i="10"/>
  <c r="U24" i="10"/>
  <c r="V24" i="10"/>
  <c r="W24" i="10"/>
  <c r="X24" i="10"/>
  <c r="Y24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E26" i="10"/>
  <c r="F26" i="10"/>
  <c r="G26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E27" i="10"/>
  <c r="F27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E28" i="10"/>
  <c r="F28" i="10"/>
  <c r="G28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E29" i="10"/>
  <c r="F29" i="10"/>
  <c r="G29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E30" i="10"/>
  <c r="F30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E31" i="10"/>
  <c r="F31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T31" i="10"/>
  <c r="U31" i="10"/>
  <c r="V31" i="10"/>
  <c r="W31" i="10"/>
  <c r="X31" i="10"/>
  <c r="Y31" i="10"/>
  <c r="E32" i="10"/>
  <c r="F32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T32" i="10"/>
  <c r="U32" i="10"/>
  <c r="V32" i="10"/>
  <c r="W32" i="10"/>
  <c r="X32" i="10"/>
  <c r="Y32" i="10"/>
  <c r="E33" i="10"/>
  <c r="F33" i="10"/>
  <c r="G33" i="10"/>
  <c r="H33" i="10"/>
  <c r="I33" i="10"/>
  <c r="J33" i="10"/>
  <c r="K33" i="10"/>
  <c r="L33" i="10"/>
  <c r="M33" i="10"/>
  <c r="N33" i="10"/>
  <c r="O33" i="10"/>
  <c r="P33" i="10"/>
  <c r="Q33" i="10"/>
  <c r="R33" i="10"/>
  <c r="S33" i="10"/>
  <c r="T33" i="10"/>
  <c r="U33" i="10"/>
  <c r="V33" i="10"/>
  <c r="W33" i="10"/>
  <c r="X33" i="10"/>
  <c r="Y33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R34" i="10"/>
  <c r="S34" i="10"/>
  <c r="T34" i="10"/>
  <c r="U34" i="10"/>
  <c r="V34" i="10"/>
  <c r="W34" i="10"/>
  <c r="X34" i="10"/>
  <c r="Y34" i="10"/>
  <c r="E35" i="10"/>
  <c r="F35" i="10"/>
  <c r="G35" i="10"/>
  <c r="H35" i="10"/>
  <c r="I35" i="10"/>
  <c r="J35" i="10"/>
  <c r="K35" i="10"/>
  <c r="L35" i="10"/>
  <c r="M35" i="10"/>
  <c r="N35" i="10"/>
  <c r="O35" i="10"/>
  <c r="P35" i="10"/>
  <c r="Q35" i="10"/>
  <c r="R35" i="10"/>
  <c r="S35" i="10"/>
  <c r="T35" i="10"/>
  <c r="U35" i="10"/>
  <c r="V35" i="10"/>
  <c r="W35" i="10"/>
  <c r="X35" i="10"/>
  <c r="Y35" i="10"/>
  <c r="E36" i="10"/>
  <c r="F36" i="10"/>
  <c r="G36" i="10"/>
  <c r="H36" i="10"/>
  <c r="I36" i="10"/>
  <c r="J36" i="10"/>
  <c r="K36" i="10"/>
  <c r="L36" i="10"/>
  <c r="M36" i="10"/>
  <c r="N36" i="10"/>
  <c r="O36" i="10"/>
  <c r="P36" i="10"/>
  <c r="Q36" i="10"/>
  <c r="R36" i="10"/>
  <c r="S36" i="10"/>
  <c r="T36" i="10"/>
  <c r="U36" i="10"/>
  <c r="V36" i="10"/>
  <c r="W36" i="10"/>
  <c r="X36" i="10"/>
  <c r="Y36" i="10"/>
  <c r="E37" i="10"/>
  <c r="F37" i="10"/>
  <c r="G37" i="10"/>
  <c r="H37" i="10"/>
  <c r="I37" i="10"/>
  <c r="J37" i="10"/>
  <c r="K37" i="10"/>
  <c r="L37" i="10"/>
  <c r="M37" i="10"/>
  <c r="N37" i="10"/>
  <c r="O37" i="10"/>
  <c r="P37" i="10"/>
  <c r="Q37" i="10"/>
  <c r="R37" i="10"/>
  <c r="S37" i="10"/>
  <c r="T37" i="10"/>
  <c r="U37" i="10"/>
  <c r="V37" i="10"/>
  <c r="W37" i="10"/>
  <c r="X37" i="10"/>
  <c r="Y37" i="10"/>
  <c r="E38" i="10"/>
  <c r="F38" i="10"/>
  <c r="G38" i="10"/>
  <c r="H38" i="10"/>
  <c r="I38" i="10"/>
  <c r="J38" i="10"/>
  <c r="K38" i="10"/>
  <c r="L38" i="10"/>
  <c r="M38" i="10"/>
  <c r="N38" i="10"/>
  <c r="O38" i="10"/>
  <c r="P38" i="10"/>
  <c r="Q38" i="10"/>
  <c r="R38" i="10"/>
  <c r="S38" i="10"/>
  <c r="T38" i="10"/>
  <c r="U38" i="10"/>
  <c r="V38" i="10"/>
  <c r="W38" i="10"/>
  <c r="X38" i="10"/>
  <c r="Y38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R39" i="10"/>
  <c r="S39" i="10"/>
  <c r="T39" i="10"/>
  <c r="U39" i="10"/>
  <c r="V39" i="10"/>
  <c r="W39" i="10"/>
  <c r="X39" i="10"/>
  <c r="Y39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R40" i="10"/>
  <c r="S40" i="10"/>
  <c r="T40" i="10"/>
  <c r="U40" i="10"/>
  <c r="V40" i="10"/>
  <c r="W40" i="10"/>
  <c r="X40" i="10"/>
  <c r="Y40" i="10"/>
  <c r="D36" i="10"/>
  <c r="D37" i="10"/>
  <c r="D38" i="10"/>
  <c r="D39" i="10"/>
  <c r="D40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23" i="10"/>
  <c r="AC1232" i="1"/>
  <c r="AC1233" i="1"/>
  <c r="AC1234" i="1"/>
  <c r="AC1235" i="1"/>
  <c r="AC1236" i="1"/>
  <c r="AC1237" i="1"/>
  <c r="AC1238" i="1"/>
  <c r="AC1239" i="1"/>
  <c r="AC1240" i="1"/>
  <c r="AC1241" i="1"/>
  <c r="AC1242" i="1"/>
  <c r="AC1243" i="1"/>
  <c r="AB1232" i="1"/>
  <c r="AB1233" i="1"/>
  <c r="AB1234" i="1"/>
  <c r="AB1235" i="1"/>
  <c r="AB1236" i="1"/>
  <c r="AB1237" i="1"/>
  <c r="AB1238" i="1"/>
  <c r="AB1239" i="1"/>
  <c r="AB1240" i="1"/>
  <c r="AB1241" i="1"/>
  <c r="AB1242" i="1"/>
  <c r="AB1243" i="1"/>
  <c r="AA1232" i="1"/>
  <c r="AA1233" i="1"/>
  <c r="AA1234" i="1"/>
  <c r="AA1235" i="1"/>
  <c r="AA1236" i="1"/>
  <c r="AA1237" i="1"/>
  <c r="AA1238" i="1"/>
  <c r="AA1239" i="1"/>
  <c r="AA1240" i="1"/>
  <c r="AA1241" i="1"/>
  <c r="AA1242" i="1"/>
  <c r="AA1243" i="1"/>
  <c r="Z1232" i="1"/>
  <c r="Z1233" i="1"/>
  <c r="Z1234" i="1"/>
  <c r="Z1235" i="1"/>
  <c r="Z1236" i="1"/>
  <c r="Z1237" i="1"/>
  <c r="Z1238" i="1"/>
  <c r="Z1239" i="1"/>
  <c r="Z1240" i="1"/>
  <c r="Z1241" i="1"/>
  <c r="Z1242" i="1"/>
  <c r="Z1243" i="1"/>
  <c r="Y1232" i="1"/>
  <c r="AD1232" i="1" s="1"/>
  <c r="Y1233" i="1"/>
  <c r="AD1233" i="1" s="1"/>
  <c r="Y1234" i="1"/>
  <c r="AD1234" i="1" s="1"/>
  <c r="Y1235" i="1"/>
  <c r="AD1235" i="1" s="1"/>
  <c r="Y1236" i="1"/>
  <c r="AD1236" i="1" s="1"/>
  <c r="Y1237" i="1"/>
  <c r="AD1237" i="1" s="1"/>
  <c r="Y1238" i="1"/>
  <c r="AD1238" i="1" s="1"/>
  <c r="Y1239" i="1"/>
  <c r="AD1239" i="1" s="1"/>
  <c r="Y1240" i="1"/>
  <c r="AD1240" i="1" s="1"/>
  <c r="Y1241" i="1"/>
  <c r="AD1241" i="1" s="1"/>
  <c r="Y1242" i="1"/>
  <c r="AD1242" i="1" s="1"/>
  <c r="Y1243" i="1"/>
  <c r="AD1243" i="1" s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R1230" i="1"/>
  <c r="Q1230" i="1"/>
  <c r="N1230" i="1"/>
  <c r="R1229" i="1"/>
  <c r="Q1229" i="1"/>
  <c r="N1229" i="1"/>
  <c r="R1228" i="1"/>
  <c r="Q1228" i="1"/>
  <c r="N1228" i="1"/>
  <c r="R1226" i="1" l="1"/>
  <c r="Q1226" i="1"/>
  <c r="N1226" i="1"/>
  <c r="R1224" i="1"/>
  <c r="Q1224" i="1"/>
  <c r="N1224" i="1"/>
  <c r="Q1222" i="1" l="1"/>
  <c r="Q1223" i="1"/>
  <c r="Q1225" i="1"/>
  <c r="Q1227" i="1"/>
  <c r="Q1231" i="1"/>
  <c r="N1222" i="1"/>
  <c r="N1223" i="1"/>
  <c r="N1225" i="1"/>
  <c r="N1227" i="1"/>
  <c r="N1231" i="1"/>
  <c r="AC1221" i="1"/>
  <c r="AB1221" i="1"/>
  <c r="AA1221" i="1"/>
  <c r="Z1221" i="1"/>
  <c r="Y1221" i="1"/>
  <c r="AD1221" i="1" s="1"/>
  <c r="R1221" i="1"/>
  <c r="Q1221" i="1"/>
  <c r="N1221" i="1"/>
  <c r="AC1220" i="1"/>
  <c r="AB1220" i="1"/>
  <c r="AA1220" i="1"/>
  <c r="Z1220" i="1"/>
  <c r="Y1220" i="1"/>
  <c r="AD1220" i="1" s="1"/>
  <c r="R1220" i="1"/>
  <c r="Q1220" i="1"/>
  <c r="N1220" i="1"/>
  <c r="AC1219" i="1"/>
  <c r="AB1219" i="1"/>
  <c r="AA1219" i="1"/>
  <c r="Z1219" i="1"/>
  <c r="Y1219" i="1"/>
  <c r="AD1219" i="1" s="1"/>
  <c r="R1219" i="1"/>
  <c r="Q1219" i="1"/>
  <c r="N1219" i="1"/>
  <c r="AC1218" i="1"/>
  <c r="AB1218" i="1"/>
  <c r="AA1218" i="1"/>
  <c r="Z1218" i="1"/>
  <c r="Y1218" i="1"/>
  <c r="AD1218" i="1" s="1"/>
  <c r="R1218" i="1"/>
  <c r="Q1218" i="1"/>
  <c r="N1218" i="1"/>
  <c r="AC1217" i="1"/>
  <c r="AB1217" i="1"/>
  <c r="AA1217" i="1"/>
  <c r="Z1217" i="1"/>
  <c r="Y1217" i="1"/>
  <c r="AD1217" i="1" s="1"/>
  <c r="R1217" i="1"/>
  <c r="Q1217" i="1"/>
  <c r="N1217" i="1"/>
  <c r="AC1216" i="1"/>
  <c r="AB1216" i="1"/>
  <c r="AA1216" i="1"/>
  <c r="Z1216" i="1"/>
  <c r="Y1216" i="1"/>
  <c r="AD1216" i="1" s="1"/>
  <c r="R1216" i="1"/>
  <c r="Q1216" i="1"/>
  <c r="N1216" i="1"/>
  <c r="AC1215" i="1"/>
  <c r="AB1215" i="1"/>
  <c r="AA1215" i="1"/>
  <c r="Z1215" i="1"/>
  <c r="Y1215" i="1"/>
  <c r="AD1215" i="1" s="1"/>
  <c r="R1215" i="1"/>
  <c r="Q1215" i="1"/>
  <c r="N1215" i="1"/>
  <c r="AC1214" i="1"/>
  <c r="AB1214" i="1"/>
  <c r="AA1214" i="1"/>
  <c r="Z1214" i="1"/>
  <c r="Y1214" i="1"/>
  <c r="AD1214" i="1" s="1"/>
  <c r="R1214" i="1"/>
  <c r="Q1214" i="1"/>
  <c r="N1214" i="1"/>
  <c r="AC1213" i="1"/>
  <c r="AB1213" i="1"/>
  <c r="AA1213" i="1"/>
  <c r="Z1213" i="1"/>
  <c r="Y1213" i="1"/>
  <c r="AD1213" i="1" s="1"/>
  <c r="R1213" i="1"/>
  <c r="Q1213" i="1"/>
  <c r="N1213" i="1"/>
  <c r="AC1212" i="1"/>
  <c r="AB1212" i="1"/>
  <c r="AA1212" i="1"/>
  <c r="Z1212" i="1"/>
  <c r="Y1212" i="1"/>
  <c r="AD1212" i="1" s="1"/>
  <c r="R1212" i="1"/>
  <c r="Q1212" i="1"/>
  <c r="N1212" i="1"/>
  <c r="AC1211" i="1"/>
  <c r="AB1211" i="1"/>
  <c r="AA1211" i="1"/>
  <c r="Z1211" i="1"/>
  <c r="Y1211" i="1"/>
  <c r="AD1211" i="1" s="1"/>
  <c r="R1211" i="1"/>
  <c r="Q1211" i="1"/>
  <c r="N1211" i="1"/>
  <c r="AC1210" i="1"/>
  <c r="AD1210" i="1" s="1"/>
  <c r="AB1210" i="1"/>
  <c r="AA1210" i="1"/>
  <c r="Z1210" i="1"/>
  <c r="Y1210" i="1"/>
  <c r="R1210" i="1"/>
  <c r="Q1210" i="1"/>
  <c r="N1210" i="1"/>
  <c r="R1222" i="1"/>
  <c r="Y1222" i="1"/>
  <c r="Z1222" i="1"/>
  <c r="AA1222" i="1"/>
  <c r="AB1222" i="1"/>
  <c r="AC1222" i="1"/>
  <c r="R1223" i="1"/>
  <c r="Y1223" i="1"/>
  <c r="Z1223" i="1"/>
  <c r="AA1223" i="1"/>
  <c r="AB1223" i="1"/>
  <c r="AC1223" i="1"/>
  <c r="Y1224" i="1"/>
  <c r="Z1224" i="1"/>
  <c r="AA1224" i="1"/>
  <c r="AB1224" i="1"/>
  <c r="AC1224" i="1"/>
  <c r="R1225" i="1"/>
  <c r="Y1225" i="1"/>
  <c r="Z1225" i="1"/>
  <c r="AA1225" i="1"/>
  <c r="AB1225" i="1"/>
  <c r="AC1225" i="1"/>
  <c r="Y1226" i="1"/>
  <c r="Z1226" i="1"/>
  <c r="AA1226" i="1"/>
  <c r="AB1226" i="1"/>
  <c r="AC1226" i="1"/>
  <c r="R1227" i="1"/>
  <c r="Y1227" i="1"/>
  <c r="Z1227" i="1"/>
  <c r="AA1227" i="1"/>
  <c r="AB1227" i="1"/>
  <c r="AC1227" i="1"/>
  <c r="Y1228" i="1"/>
  <c r="Z1228" i="1"/>
  <c r="AA1228" i="1"/>
  <c r="AB1228" i="1"/>
  <c r="AC1228" i="1"/>
  <c r="Y1229" i="1"/>
  <c r="Z1229" i="1"/>
  <c r="AA1229" i="1"/>
  <c r="AB1229" i="1"/>
  <c r="AC1229" i="1"/>
  <c r="Y1230" i="1"/>
  <c r="Z1230" i="1"/>
  <c r="AA1230" i="1"/>
  <c r="AB1230" i="1"/>
  <c r="AC1230" i="1"/>
  <c r="R1231" i="1"/>
  <c r="Y1231" i="1"/>
  <c r="Z1231" i="1"/>
  <c r="AA1231" i="1"/>
  <c r="AB1231" i="1"/>
  <c r="AC1231" i="1"/>
  <c r="AD1222" i="1" l="1"/>
  <c r="AD1223" i="1"/>
  <c r="AD1224" i="1"/>
  <c r="AD1225" i="1"/>
  <c r="AD1226" i="1"/>
  <c r="AD1227" i="1"/>
  <c r="AD1228" i="1"/>
  <c r="AD1231" i="1"/>
  <c r="AD1229" i="1"/>
  <c r="AD1230" i="1"/>
  <c r="R1208" i="1" l="1"/>
  <c r="Q1208" i="1"/>
  <c r="N1208" i="1"/>
  <c r="R1207" i="1"/>
  <c r="Q1207" i="1"/>
  <c r="N1207" i="1"/>
  <c r="R1205" i="1"/>
  <c r="Q1205" i="1"/>
  <c r="N1205" i="1"/>
  <c r="R1202" i="1" l="1"/>
  <c r="Q1202" i="1"/>
  <c r="N1202" i="1"/>
  <c r="AC1200" i="1"/>
  <c r="AC1201" i="1"/>
  <c r="AC1202" i="1"/>
  <c r="AC1203" i="1"/>
  <c r="AC1204" i="1"/>
  <c r="AC1205" i="1"/>
  <c r="AC1206" i="1"/>
  <c r="AC1207" i="1"/>
  <c r="AC1208" i="1"/>
  <c r="AC1209" i="1"/>
  <c r="AB1200" i="1"/>
  <c r="AB1201" i="1"/>
  <c r="AB1202" i="1"/>
  <c r="AB1203" i="1"/>
  <c r="AB1204" i="1"/>
  <c r="AB1205" i="1"/>
  <c r="AB1206" i="1"/>
  <c r="AB1207" i="1"/>
  <c r="AB1208" i="1"/>
  <c r="AB1209" i="1"/>
  <c r="AA1200" i="1"/>
  <c r="AA1201" i="1"/>
  <c r="AA1202" i="1"/>
  <c r="AA1203" i="1"/>
  <c r="AA1204" i="1"/>
  <c r="AA1205" i="1"/>
  <c r="AA1206" i="1"/>
  <c r="AA1207" i="1"/>
  <c r="AA1208" i="1"/>
  <c r="AA1209" i="1"/>
  <c r="Z1200" i="1"/>
  <c r="Z1201" i="1"/>
  <c r="Z1202" i="1"/>
  <c r="Z1203" i="1"/>
  <c r="Z1204" i="1"/>
  <c r="Z1205" i="1"/>
  <c r="Z1206" i="1"/>
  <c r="Z1207" i="1"/>
  <c r="Z1208" i="1"/>
  <c r="Z1209" i="1"/>
  <c r="Y1200" i="1"/>
  <c r="AD1200" i="1" s="1"/>
  <c r="Y1201" i="1"/>
  <c r="Y1202" i="1"/>
  <c r="AD1202" i="1" s="1"/>
  <c r="Y1203" i="1"/>
  <c r="AD1203" i="1" s="1"/>
  <c r="Y1204" i="1"/>
  <c r="AD1204" i="1" s="1"/>
  <c r="Y1205" i="1"/>
  <c r="AD1205" i="1" s="1"/>
  <c r="Y1206" i="1"/>
  <c r="AD1206" i="1" s="1"/>
  <c r="Y1207" i="1"/>
  <c r="AD1207" i="1" s="1"/>
  <c r="Y1208" i="1"/>
  <c r="AD1208" i="1" s="1"/>
  <c r="Y1209" i="1"/>
  <c r="AD1209" i="1" s="1"/>
  <c r="R1200" i="1"/>
  <c r="R1201" i="1"/>
  <c r="R1203" i="1"/>
  <c r="R1204" i="1"/>
  <c r="R1206" i="1"/>
  <c r="R1209" i="1"/>
  <c r="Q1200" i="1"/>
  <c r="Q1201" i="1"/>
  <c r="Q1203" i="1"/>
  <c r="Q1204" i="1"/>
  <c r="Q1206" i="1"/>
  <c r="Q1209" i="1"/>
  <c r="N1200" i="1"/>
  <c r="N1201" i="1"/>
  <c r="N1203" i="1"/>
  <c r="N1204" i="1"/>
  <c r="N1206" i="1"/>
  <c r="N1209" i="1"/>
  <c r="AD1201" i="1" l="1"/>
  <c r="R1199" i="1"/>
  <c r="Q1199" i="1"/>
  <c r="N1199" i="1"/>
  <c r="Q1198" i="1"/>
  <c r="N1198" i="1"/>
  <c r="AC1197" i="1"/>
  <c r="AB1197" i="1"/>
  <c r="AA1197" i="1"/>
  <c r="Z1197" i="1"/>
  <c r="Y1197" i="1"/>
  <c r="AD1197" i="1" s="1"/>
  <c r="R1197" i="1"/>
  <c r="Q1197" i="1"/>
  <c r="N1197" i="1"/>
  <c r="AC1196" i="1"/>
  <c r="AB1196" i="1"/>
  <c r="AA1196" i="1"/>
  <c r="Z1196" i="1"/>
  <c r="Y1196" i="1"/>
  <c r="AD1196" i="1" s="1"/>
  <c r="R1196" i="1"/>
  <c r="Q1196" i="1"/>
  <c r="N1196" i="1"/>
  <c r="AC1195" i="1"/>
  <c r="AB1195" i="1"/>
  <c r="AA1195" i="1"/>
  <c r="Z1195" i="1"/>
  <c r="Y1195" i="1"/>
  <c r="AD1195" i="1" s="1"/>
  <c r="R1195" i="1"/>
  <c r="Q1195" i="1"/>
  <c r="N1195" i="1"/>
  <c r="AC1194" i="1"/>
  <c r="AB1194" i="1"/>
  <c r="AA1194" i="1"/>
  <c r="Z1194" i="1"/>
  <c r="Y1194" i="1"/>
  <c r="AD1194" i="1" s="1"/>
  <c r="R1194" i="1"/>
  <c r="Q1194" i="1"/>
  <c r="N1194" i="1"/>
  <c r="AC1193" i="1"/>
  <c r="AB1193" i="1"/>
  <c r="AA1193" i="1"/>
  <c r="Z1193" i="1"/>
  <c r="Y1193" i="1"/>
  <c r="AD1193" i="1" s="1"/>
  <c r="R1193" i="1"/>
  <c r="Q1193" i="1"/>
  <c r="N1193" i="1"/>
  <c r="AC1192" i="1"/>
  <c r="AB1192" i="1"/>
  <c r="AA1192" i="1"/>
  <c r="Z1192" i="1"/>
  <c r="Y1192" i="1"/>
  <c r="R1192" i="1"/>
  <c r="Q1192" i="1"/>
  <c r="N1192" i="1"/>
  <c r="AC1191" i="1"/>
  <c r="AB1191" i="1"/>
  <c r="AA1191" i="1"/>
  <c r="Z1191" i="1"/>
  <c r="Y1191" i="1"/>
  <c r="AD1191" i="1" s="1"/>
  <c r="R1191" i="1"/>
  <c r="Q1191" i="1"/>
  <c r="N1191" i="1"/>
  <c r="AC1190" i="1"/>
  <c r="AB1190" i="1"/>
  <c r="AA1190" i="1"/>
  <c r="Z1190" i="1"/>
  <c r="Y1190" i="1"/>
  <c r="R1190" i="1"/>
  <c r="Q1190" i="1"/>
  <c r="N1190" i="1"/>
  <c r="AC1189" i="1"/>
  <c r="AB1189" i="1"/>
  <c r="AA1189" i="1"/>
  <c r="Z1189" i="1"/>
  <c r="Y1189" i="1"/>
  <c r="AD1189" i="1" s="1"/>
  <c r="R1189" i="1"/>
  <c r="Q1189" i="1"/>
  <c r="N1189" i="1"/>
  <c r="AC1188" i="1"/>
  <c r="AB1188" i="1"/>
  <c r="AA1188" i="1"/>
  <c r="Z1188" i="1"/>
  <c r="Y1188" i="1"/>
  <c r="AD1188" i="1" s="1"/>
  <c r="R1188" i="1"/>
  <c r="Q1188" i="1"/>
  <c r="N1188" i="1"/>
  <c r="AC1187" i="1"/>
  <c r="AB1187" i="1"/>
  <c r="AA1187" i="1"/>
  <c r="Z1187" i="1"/>
  <c r="Y1187" i="1"/>
  <c r="R1187" i="1"/>
  <c r="Q1187" i="1"/>
  <c r="N1187" i="1"/>
  <c r="AC1186" i="1"/>
  <c r="AB1186" i="1"/>
  <c r="AA1186" i="1"/>
  <c r="Z1186" i="1"/>
  <c r="Y1186" i="1"/>
  <c r="AD1186" i="1" s="1"/>
  <c r="R1186" i="1"/>
  <c r="Q1186" i="1"/>
  <c r="N1186" i="1"/>
  <c r="AC1185" i="1"/>
  <c r="AB1185" i="1"/>
  <c r="AA1185" i="1"/>
  <c r="Z1185" i="1"/>
  <c r="Y1185" i="1"/>
  <c r="AD1185" i="1" s="1"/>
  <c r="R1185" i="1"/>
  <c r="Q1185" i="1"/>
  <c r="N1185" i="1"/>
  <c r="AC1184" i="1"/>
  <c r="AB1184" i="1"/>
  <c r="AA1184" i="1"/>
  <c r="Z1184" i="1"/>
  <c r="Y1184" i="1"/>
  <c r="AD1184" i="1" s="1"/>
  <c r="R1184" i="1"/>
  <c r="Q1184" i="1"/>
  <c r="N1184" i="1"/>
  <c r="AC1183" i="1"/>
  <c r="AB1183" i="1"/>
  <c r="AA1183" i="1"/>
  <c r="Z1183" i="1"/>
  <c r="Y1183" i="1"/>
  <c r="R1183" i="1"/>
  <c r="Q1183" i="1"/>
  <c r="N1183" i="1"/>
  <c r="AC1182" i="1"/>
  <c r="AB1182" i="1"/>
  <c r="AA1182" i="1"/>
  <c r="Z1182" i="1"/>
  <c r="Y1182" i="1"/>
  <c r="AD1182" i="1" s="1"/>
  <c r="R1182" i="1"/>
  <c r="Q1182" i="1"/>
  <c r="N1182" i="1"/>
  <c r="AC1181" i="1"/>
  <c r="AB1181" i="1"/>
  <c r="AA1181" i="1"/>
  <c r="Z1181" i="1"/>
  <c r="Y1181" i="1"/>
  <c r="AD1181" i="1" s="1"/>
  <c r="R1181" i="1"/>
  <c r="Q1181" i="1"/>
  <c r="N1181" i="1"/>
  <c r="AC1180" i="1"/>
  <c r="AB1180" i="1"/>
  <c r="AA1180" i="1"/>
  <c r="Z1180" i="1"/>
  <c r="Y1180" i="1"/>
  <c r="AD1180" i="1" s="1"/>
  <c r="R1180" i="1"/>
  <c r="Q1180" i="1"/>
  <c r="N1180" i="1"/>
  <c r="AC1179" i="1"/>
  <c r="AB1179" i="1"/>
  <c r="AA1179" i="1"/>
  <c r="Z1179" i="1"/>
  <c r="Y1179" i="1"/>
  <c r="AD1179" i="1" s="1"/>
  <c r="R1179" i="1"/>
  <c r="Q1179" i="1"/>
  <c r="N1179" i="1"/>
  <c r="AC1178" i="1"/>
  <c r="AB1178" i="1"/>
  <c r="AA1178" i="1"/>
  <c r="Z1178" i="1"/>
  <c r="Y1178" i="1"/>
  <c r="R1178" i="1"/>
  <c r="Q1178" i="1"/>
  <c r="N1178" i="1"/>
  <c r="R1198" i="1"/>
  <c r="Y1198" i="1"/>
  <c r="Z1198" i="1"/>
  <c r="AA1198" i="1"/>
  <c r="AB1198" i="1"/>
  <c r="AC1198" i="1"/>
  <c r="Y1199" i="1"/>
  <c r="Z1199" i="1"/>
  <c r="AA1199" i="1"/>
  <c r="AB1199" i="1"/>
  <c r="AC1199" i="1"/>
  <c r="AD1183" i="1" l="1"/>
  <c r="AD1187" i="1"/>
  <c r="AD1178" i="1"/>
  <c r="AD1190" i="1"/>
  <c r="AD1192" i="1"/>
  <c r="AD1198" i="1"/>
  <c r="AD1199" i="1"/>
  <c r="R1177" i="1" l="1"/>
  <c r="Q1177" i="1"/>
  <c r="N1177" i="1"/>
  <c r="R1176" i="1"/>
  <c r="Q1176" i="1"/>
  <c r="N1176" i="1"/>
  <c r="R1175" i="1"/>
  <c r="Q1175" i="1"/>
  <c r="N1175" i="1"/>
  <c r="N1174" i="1"/>
  <c r="AC1173" i="1" l="1"/>
  <c r="AB1173" i="1"/>
  <c r="AA1173" i="1"/>
  <c r="Z1173" i="1"/>
  <c r="Y1173" i="1"/>
  <c r="AD1173" i="1" s="1"/>
  <c r="R1173" i="1"/>
  <c r="Q1173" i="1"/>
  <c r="N1173" i="1"/>
  <c r="AC1172" i="1"/>
  <c r="AB1172" i="1"/>
  <c r="AA1172" i="1"/>
  <c r="Z1172" i="1"/>
  <c r="Y1172" i="1"/>
  <c r="AD1172" i="1" s="1"/>
  <c r="R1172" i="1"/>
  <c r="Q1172" i="1"/>
  <c r="N1172" i="1"/>
  <c r="AC1171" i="1"/>
  <c r="AB1171" i="1"/>
  <c r="AA1171" i="1"/>
  <c r="Z1171" i="1"/>
  <c r="Y1171" i="1"/>
  <c r="AD1171" i="1" s="1"/>
  <c r="R1171" i="1"/>
  <c r="Q1171" i="1"/>
  <c r="N1171" i="1"/>
  <c r="AC1170" i="1"/>
  <c r="AB1170" i="1"/>
  <c r="AA1170" i="1"/>
  <c r="Z1170" i="1"/>
  <c r="Y1170" i="1"/>
  <c r="AD1170" i="1" s="1"/>
  <c r="R1170" i="1"/>
  <c r="Q1170" i="1"/>
  <c r="N1170" i="1"/>
  <c r="AC1169" i="1"/>
  <c r="AB1169" i="1"/>
  <c r="AA1169" i="1"/>
  <c r="Z1169" i="1"/>
  <c r="Y1169" i="1"/>
  <c r="AD1169" i="1" s="1"/>
  <c r="R1169" i="1"/>
  <c r="Q1169" i="1"/>
  <c r="N1169" i="1"/>
  <c r="AC1168" i="1"/>
  <c r="AB1168" i="1"/>
  <c r="AA1168" i="1"/>
  <c r="Z1168" i="1"/>
  <c r="Y1168" i="1"/>
  <c r="AD1168" i="1" s="1"/>
  <c r="R1168" i="1"/>
  <c r="Q1168" i="1"/>
  <c r="N1168" i="1"/>
  <c r="AC1167" i="1"/>
  <c r="AB1167" i="1"/>
  <c r="AA1167" i="1"/>
  <c r="Z1167" i="1"/>
  <c r="Y1167" i="1"/>
  <c r="AD1167" i="1" s="1"/>
  <c r="R1167" i="1"/>
  <c r="Q1167" i="1"/>
  <c r="N1167" i="1"/>
  <c r="AC1166" i="1"/>
  <c r="AB1166" i="1"/>
  <c r="AA1166" i="1"/>
  <c r="Z1166" i="1"/>
  <c r="Y1166" i="1"/>
  <c r="AD1166" i="1" s="1"/>
  <c r="R1166" i="1"/>
  <c r="Q1166" i="1"/>
  <c r="N1166" i="1"/>
  <c r="AC1165" i="1"/>
  <c r="AB1165" i="1"/>
  <c r="AA1165" i="1"/>
  <c r="Z1165" i="1"/>
  <c r="Y1165" i="1"/>
  <c r="AD1165" i="1" s="1"/>
  <c r="R1165" i="1"/>
  <c r="Q1165" i="1"/>
  <c r="N1165" i="1"/>
  <c r="AC1164" i="1"/>
  <c r="AB1164" i="1"/>
  <c r="AA1164" i="1"/>
  <c r="Z1164" i="1"/>
  <c r="Y1164" i="1"/>
  <c r="AD1164" i="1" s="1"/>
  <c r="R1164" i="1"/>
  <c r="Q1164" i="1"/>
  <c r="N1164" i="1"/>
  <c r="AC1163" i="1"/>
  <c r="AB1163" i="1"/>
  <c r="AA1163" i="1"/>
  <c r="Z1163" i="1"/>
  <c r="Y1163" i="1"/>
  <c r="AD1163" i="1" s="1"/>
  <c r="R1163" i="1"/>
  <c r="Q1163" i="1"/>
  <c r="N1163" i="1"/>
  <c r="AC1162" i="1"/>
  <c r="AB1162" i="1"/>
  <c r="AA1162" i="1"/>
  <c r="Z1162" i="1"/>
  <c r="Y1162" i="1"/>
  <c r="R1162" i="1"/>
  <c r="Q1162" i="1"/>
  <c r="N1162" i="1"/>
  <c r="AC1161" i="1"/>
  <c r="AB1161" i="1"/>
  <c r="AA1161" i="1"/>
  <c r="Z1161" i="1"/>
  <c r="Y1161" i="1"/>
  <c r="R1161" i="1"/>
  <c r="Q1161" i="1"/>
  <c r="N1161" i="1"/>
  <c r="AC1160" i="1"/>
  <c r="AB1160" i="1"/>
  <c r="AA1160" i="1"/>
  <c r="Z1160" i="1"/>
  <c r="Y1160" i="1"/>
  <c r="R1160" i="1"/>
  <c r="Q1160" i="1"/>
  <c r="N1160" i="1"/>
  <c r="Q1174" i="1"/>
  <c r="R1174" i="1"/>
  <c r="Y1174" i="1"/>
  <c r="Z1174" i="1"/>
  <c r="AA1174" i="1"/>
  <c r="AB1174" i="1"/>
  <c r="AC1174" i="1"/>
  <c r="Y1175" i="1"/>
  <c r="Z1175" i="1"/>
  <c r="AA1175" i="1"/>
  <c r="AB1175" i="1"/>
  <c r="AC1175" i="1"/>
  <c r="Y1176" i="1"/>
  <c r="Z1176" i="1"/>
  <c r="AA1176" i="1"/>
  <c r="AB1176" i="1"/>
  <c r="AC1176" i="1"/>
  <c r="Y1177" i="1"/>
  <c r="Z1177" i="1"/>
  <c r="AA1177" i="1"/>
  <c r="AB1177" i="1"/>
  <c r="AC1177" i="1"/>
  <c r="AD1161" i="1" l="1"/>
  <c r="AD1160" i="1"/>
  <c r="AD1162" i="1"/>
  <c r="AD1174" i="1"/>
  <c r="AD1175" i="1"/>
  <c r="AD1176" i="1"/>
  <c r="AD1177" i="1"/>
  <c r="R1159" i="1" l="1"/>
  <c r="Q1159" i="1"/>
  <c r="N1159" i="1"/>
  <c r="R1156" i="1"/>
  <c r="Q1156" i="1"/>
  <c r="N1156" i="1"/>
  <c r="R1155" i="1"/>
  <c r="Q1155" i="1"/>
  <c r="N1155" i="1"/>
  <c r="AC1153" i="1" l="1"/>
  <c r="AC1154" i="1"/>
  <c r="AC1155" i="1"/>
  <c r="AC1156" i="1"/>
  <c r="AC1157" i="1"/>
  <c r="AC1158" i="1"/>
  <c r="AC1159" i="1"/>
  <c r="AB1153" i="1"/>
  <c r="AB1154" i="1"/>
  <c r="AB1155" i="1"/>
  <c r="AB1156" i="1"/>
  <c r="AB1157" i="1"/>
  <c r="AB1158" i="1"/>
  <c r="AB1159" i="1"/>
  <c r="AA1153" i="1"/>
  <c r="AA1154" i="1"/>
  <c r="AA1155" i="1"/>
  <c r="AA1156" i="1"/>
  <c r="AA1157" i="1"/>
  <c r="AA1158" i="1"/>
  <c r="AA1159" i="1"/>
  <c r="Z1153" i="1"/>
  <c r="Z1154" i="1"/>
  <c r="Z1155" i="1"/>
  <c r="Z1156" i="1"/>
  <c r="Z1157" i="1"/>
  <c r="Z1158" i="1"/>
  <c r="Z1159" i="1"/>
  <c r="Y1153" i="1"/>
  <c r="AD1153" i="1" s="1"/>
  <c r="Y1154" i="1"/>
  <c r="AD1154" i="1" s="1"/>
  <c r="Y1155" i="1"/>
  <c r="Y1156" i="1"/>
  <c r="Y1157" i="1"/>
  <c r="Y1158" i="1"/>
  <c r="Y1159" i="1"/>
  <c r="AD1159" i="1" s="1"/>
  <c r="R1153" i="1"/>
  <c r="R1154" i="1"/>
  <c r="R1157" i="1"/>
  <c r="R1158" i="1"/>
  <c r="Q1153" i="1"/>
  <c r="Q1154" i="1"/>
  <c r="Q1157" i="1"/>
  <c r="Q1158" i="1"/>
  <c r="N1153" i="1"/>
  <c r="N1154" i="1"/>
  <c r="N1157" i="1"/>
  <c r="N1158" i="1"/>
  <c r="AD1158" i="1" l="1"/>
  <c r="AD1155" i="1"/>
  <c r="AD1157" i="1"/>
  <c r="AD1156" i="1"/>
  <c r="N1149" i="1"/>
  <c r="N1150" i="1"/>
  <c r="N1151" i="1"/>
  <c r="N1152" i="1"/>
  <c r="Q1149" i="1"/>
  <c r="R1149" i="1"/>
  <c r="Y1149" i="1"/>
  <c r="Z1149" i="1"/>
  <c r="AA1149" i="1"/>
  <c r="AB1149" i="1"/>
  <c r="AC1149" i="1"/>
  <c r="AD1149" i="1" l="1"/>
  <c r="AC1150" i="1"/>
  <c r="AB1150" i="1"/>
  <c r="AA1150" i="1"/>
  <c r="Z1150" i="1"/>
  <c r="Y1150" i="1"/>
  <c r="AD1150" i="1" s="1"/>
  <c r="R1150" i="1"/>
  <c r="Q1150" i="1"/>
  <c r="AC1148" i="1"/>
  <c r="AB1148" i="1"/>
  <c r="AA1148" i="1"/>
  <c r="Z1148" i="1"/>
  <c r="Y1148" i="1"/>
  <c r="AD1148" i="1" s="1"/>
  <c r="R1148" i="1"/>
  <c r="Q1148" i="1"/>
  <c r="N1148" i="1"/>
  <c r="AC1147" i="1"/>
  <c r="AB1147" i="1"/>
  <c r="AA1147" i="1"/>
  <c r="Z1147" i="1"/>
  <c r="Y1147" i="1"/>
  <c r="AD1147" i="1" s="1"/>
  <c r="R1147" i="1"/>
  <c r="Q1147" i="1"/>
  <c r="N1147" i="1"/>
  <c r="AC1146" i="1"/>
  <c r="AB1146" i="1"/>
  <c r="AA1146" i="1"/>
  <c r="Z1146" i="1"/>
  <c r="Y1146" i="1"/>
  <c r="AD1146" i="1" s="1"/>
  <c r="R1146" i="1"/>
  <c r="Q1146" i="1"/>
  <c r="N1146" i="1"/>
  <c r="AC1145" i="1"/>
  <c r="AB1145" i="1"/>
  <c r="AA1145" i="1"/>
  <c r="Z1145" i="1"/>
  <c r="Y1145" i="1"/>
  <c r="AD1145" i="1" s="1"/>
  <c r="R1145" i="1"/>
  <c r="Q1145" i="1"/>
  <c r="N1145" i="1"/>
  <c r="AC1144" i="1"/>
  <c r="AB1144" i="1"/>
  <c r="AA1144" i="1"/>
  <c r="Z1144" i="1"/>
  <c r="Y1144" i="1"/>
  <c r="R1144" i="1"/>
  <c r="Q1144" i="1"/>
  <c r="N1144" i="1"/>
  <c r="AC1143" i="1"/>
  <c r="AB1143" i="1"/>
  <c r="AA1143" i="1"/>
  <c r="Z1143" i="1"/>
  <c r="Y1143" i="1"/>
  <c r="AD1143" i="1" s="1"/>
  <c r="R1143" i="1"/>
  <c r="Q1143" i="1"/>
  <c r="N1143" i="1"/>
  <c r="AC1142" i="1"/>
  <c r="AB1142" i="1"/>
  <c r="AA1142" i="1"/>
  <c r="Z1142" i="1"/>
  <c r="Y1142" i="1"/>
  <c r="AD1142" i="1" s="1"/>
  <c r="R1142" i="1"/>
  <c r="Q1142" i="1"/>
  <c r="N1142" i="1"/>
  <c r="AC1141" i="1"/>
  <c r="AB1141" i="1"/>
  <c r="AA1141" i="1"/>
  <c r="Z1141" i="1"/>
  <c r="Y1141" i="1"/>
  <c r="AD1141" i="1" s="1"/>
  <c r="R1141" i="1"/>
  <c r="Q1141" i="1"/>
  <c r="N1141" i="1"/>
  <c r="AC1140" i="1"/>
  <c r="AB1140" i="1"/>
  <c r="AA1140" i="1"/>
  <c r="Z1140" i="1"/>
  <c r="Y1140" i="1"/>
  <c r="AD1140" i="1" s="1"/>
  <c r="R1140" i="1"/>
  <c r="Q1140" i="1"/>
  <c r="N1140" i="1"/>
  <c r="AC1139" i="1"/>
  <c r="AB1139" i="1"/>
  <c r="AA1139" i="1"/>
  <c r="Z1139" i="1"/>
  <c r="Y1139" i="1"/>
  <c r="R1139" i="1"/>
  <c r="Q1139" i="1"/>
  <c r="N1139" i="1"/>
  <c r="AC1138" i="1"/>
  <c r="AB1138" i="1"/>
  <c r="AA1138" i="1"/>
  <c r="Z1138" i="1"/>
  <c r="Y1138" i="1"/>
  <c r="AD1138" i="1" s="1"/>
  <c r="R1138" i="1"/>
  <c r="Q1138" i="1"/>
  <c r="N1138" i="1"/>
  <c r="AC1137" i="1"/>
  <c r="AB1137" i="1"/>
  <c r="AA1137" i="1"/>
  <c r="Z1137" i="1"/>
  <c r="Y1137" i="1"/>
  <c r="R1137" i="1"/>
  <c r="Q1137" i="1"/>
  <c r="N1137" i="1"/>
  <c r="AC1136" i="1"/>
  <c r="AB1136" i="1"/>
  <c r="AA1136" i="1"/>
  <c r="Z1136" i="1"/>
  <c r="Y1136" i="1"/>
  <c r="R1136" i="1"/>
  <c r="Q1136" i="1"/>
  <c r="N1136" i="1"/>
  <c r="AC1135" i="1"/>
  <c r="AB1135" i="1"/>
  <c r="AA1135" i="1"/>
  <c r="Z1135" i="1"/>
  <c r="Y1135" i="1"/>
  <c r="R1135" i="1"/>
  <c r="Q1135" i="1"/>
  <c r="N1135" i="1"/>
  <c r="Q1151" i="1"/>
  <c r="R1151" i="1"/>
  <c r="Y1151" i="1"/>
  <c r="Z1151" i="1"/>
  <c r="AA1151" i="1"/>
  <c r="AB1151" i="1"/>
  <c r="AC1151" i="1"/>
  <c r="Q1152" i="1"/>
  <c r="R1152" i="1"/>
  <c r="Y1152" i="1"/>
  <c r="Z1152" i="1"/>
  <c r="AA1152" i="1"/>
  <c r="AB1152" i="1"/>
  <c r="AC1152" i="1"/>
  <c r="AD1136" i="1" l="1"/>
  <c r="AD1139" i="1"/>
  <c r="AD1137" i="1"/>
  <c r="AD1135" i="1"/>
  <c r="AD1144" i="1"/>
  <c r="AD1152" i="1"/>
  <c r="AD1151" i="1"/>
  <c r="N1115" i="1"/>
  <c r="R1134" i="1" l="1"/>
  <c r="Q1134" i="1"/>
  <c r="N1134" i="1"/>
  <c r="N1133" i="1"/>
  <c r="AC1132" i="1"/>
  <c r="AB1132" i="1"/>
  <c r="AA1132" i="1"/>
  <c r="Z1132" i="1"/>
  <c r="Y1132" i="1"/>
  <c r="R1132" i="1"/>
  <c r="Q1132" i="1"/>
  <c r="N1132" i="1"/>
  <c r="AC1131" i="1"/>
  <c r="AB1131" i="1"/>
  <c r="AA1131" i="1"/>
  <c r="Z1131" i="1"/>
  <c r="Y1131" i="1"/>
  <c r="R1131" i="1"/>
  <c r="Q1131" i="1"/>
  <c r="N1131" i="1"/>
  <c r="AC1130" i="1"/>
  <c r="AB1130" i="1"/>
  <c r="AA1130" i="1"/>
  <c r="Z1130" i="1"/>
  <c r="Y1130" i="1"/>
  <c r="AD1130" i="1" s="1"/>
  <c r="R1130" i="1"/>
  <c r="Q1130" i="1"/>
  <c r="N1130" i="1"/>
  <c r="AC1129" i="1"/>
  <c r="AB1129" i="1"/>
  <c r="AA1129" i="1"/>
  <c r="Z1129" i="1"/>
  <c r="Y1129" i="1"/>
  <c r="AD1129" i="1" s="1"/>
  <c r="R1129" i="1"/>
  <c r="Q1129" i="1"/>
  <c r="N1129" i="1"/>
  <c r="AC1128" i="1"/>
  <c r="AB1128" i="1"/>
  <c r="AA1128" i="1"/>
  <c r="Z1128" i="1"/>
  <c r="Y1128" i="1"/>
  <c r="AD1128" i="1" s="1"/>
  <c r="R1128" i="1"/>
  <c r="Q1128" i="1"/>
  <c r="N1128" i="1"/>
  <c r="AC1127" i="1"/>
  <c r="AB1127" i="1"/>
  <c r="AA1127" i="1"/>
  <c r="Z1127" i="1"/>
  <c r="Y1127" i="1"/>
  <c r="AD1127" i="1" s="1"/>
  <c r="R1127" i="1"/>
  <c r="Q1127" i="1"/>
  <c r="N1127" i="1"/>
  <c r="AC1126" i="1"/>
  <c r="AB1126" i="1"/>
  <c r="AA1126" i="1"/>
  <c r="Z1126" i="1"/>
  <c r="Y1126" i="1"/>
  <c r="AD1126" i="1" s="1"/>
  <c r="R1126" i="1"/>
  <c r="Q1126" i="1"/>
  <c r="N1126" i="1"/>
  <c r="Q1133" i="1"/>
  <c r="R1133" i="1"/>
  <c r="Y1133" i="1"/>
  <c r="Z1133" i="1"/>
  <c r="AA1133" i="1"/>
  <c r="AB1133" i="1"/>
  <c r="AC1133" i="1"/>
  <c r="Y1134" i="1"/>
  <c r="Z1134" i="1"/>
  <c r="AA1134" i="1"/>
  <c r="AB1134" i="1"/>
  <c r="AC1134" i="1"/>
  <c r="R1124" i="1"/>
  <c r="Q1124" i="1"/>
  <c r="N1124" i="1"/>
  <c r="R1122" i="1"/>
  <c r="Q1122" i="1"/>
  <c r="N1122" i="1"/>
  <c r="AD1132" i="1" l="1"/>
  <c r="AD1131" i="1"/>
  <c r="AD1133" i="1"/>
  <c r="AD1134" i="1"/>
  <c r="R1120" i="1"/>
  <c r="Q1120" i="1"/>
  <c r="N1120" i="1"/>
  <c r="R1117" i="1"/>
  <c r="Q1117" i="1"/>
  <c r="N1117" i="1"/>
  <c r="AC1116" i="1"/>
  <c r="AC1117" i="1"/>
  <c r="AC1118" i="1"/>
  <c r="AC1119" i="1"/>
  <c r="AC1120" i="1"/>
  <c r="AC1121" i="1"/>
  <c r="AC1122" i="1"/>
  <c r="AC1123" i="1"/>
  <c r="AC1124" i="1"/>
  <c r="AC1125" i="1"/>
  <c r="AB1116" i="1"/>
  <c r="AB1117" i="1"/>
  <c r="AB1118" i="1"/>
  <c r="AB1119" i="1"/>
  <c r="AB1120" i="1"/>
  <c r="AB1121" i="1"/>
  <c r="AB1122" i="1"/>
  <c r="AB1123" i="1"/>
  <c r="AB1124" i="1"/>
  <c r="AB1125" i="1"/>
  <c r="AA1116" i="1"/>
  <c r="AA1117" i="1"/>
  <c r="AA1118" i="1"/>
  <c r="AA1119" i="1"/>
  <c r="AA1120" i="1"/>
  <c r="AA1121" i="1"/>
  <c r="AA1122" i="1"/>
  <c r="AA1123" i="1"/>
  <c r="AA1124" i="1"/>
  <c r="AA1125" i="1"/>
  <c r="Z1116" i="1"/>
  <c r="Z1117" i="1"/>
  <c r="Z1118" i="1"/>
  <c r="Z1119" i="1"/>
  <c r="Z1120" i="1"/>
  <c r="Z1121" i="1"/>
  <c r="Z1122" i="1"/>
  <c r="Z1123" i="1"/>
  <c r="Z1124" i="1"/>
  <c r="Z1125" i="1"/>
  <c r="Y1116" i="1"/>
  <c r="Y1117" i="1"/>
  <c r="Y1118" i="1"/>
  <c r="AD1118" i="1" s="1"/>
  <c r="Y1119" i="1"/>
  <c r="AD1119" i="1" s="1"/>
  <c r="Y1120" i="1"/>
  <c r="AD1120" i="1" s="1"/>
  <c r="Y1121" i="1"/>
  <c r="Y1122" i="1"/>
  <c r="Y1123" i="1"/>
  <c r="AD1123" i="1" s="1"/>
  <c r="Y1124" i="1"/>
  <c r="AD1124" i="1" s="1"/>
  <c r="Y1125" i="1"/>
  <c r="AD1125" i="1" s="1"/>
  <c r="R1116" i="1"/>
  <c r="R1118" i="1"/>
  <c r="R1119" i="1"/>
  <c r="R1121" i="1"/>
  <c r="R1123" i="1"/>
  <c r="R1125" i="1"/>
  <c r="Q1116" i="1"/>
  <c r="Q1118" i="1"/>
  <c r="Q1119" i="1"/>
  <c r="Q1121" i="1"/>
  <c r="Q1123" i="1"/>
  <c r="Q1125" i="1"/>
  <c r="N1116" i="1"/>
  <c r="N1118" i="1"/>
  <c r="N1119" i="1"/>
  <c r="N1121" i="1"/>
  <c r="N1123" i="1"/>
  <c r="N1125" i="1"/>
  <c r="N1113" i="1"/>
  <c r="N1114" i="1"/>
  <c r="R1114" i="1"/>
  <c r="Q1114" i="1"/>
  <c r="AD1117" i="1" l="1"/>
  <c r="AD1122" i="1"/>
  <c r="AD1121" i="1"/>
  <c r="AD1116" i="1"/>
  <c r="AC1112" i="1"/>
  <c r="AB1112" i="1"/>
  <c r="AA1112" i="1"/>
  <c r="Z1112" i="1"/>
  <c r="Y1112" i="1"/>
  <c r="R1112" i="1"/>
  <c r="Q1112" i="1"/>
  <c r="N1112" i="1"/>
  <c r="AC1111" i="1"/>
  <c r="AB1111" i="1"/>
  <c r="AA1111" i="1"/>
  <c r="Z1111" i="1"/>
  <c r="Y1111" i="1"/>
  <c r="R1111" i="1"/>
  <c r="Q1111" i="1"/>
  <c r="N1111" i="1"/>
  <c r="AC1110" i="1"/>
  <c r="AB1110" i="1"/>
  <c r="AA1110" i="1"/>
  <c r="Z1110" i="1"/>
  <c r="Y1110" i="1"/>
  <c r="R1110" i="1"/>
  <c r="Q1110" i="1"/>
  <c r="N1110" i="1"/>
  <c r="AC1109" i="1"/>
  <c r="AB1109" i="1"/>
  <c r="AA1109" i="1"/>
  <c r="Z1109" i="1"/>
  <c r="Y1109" i="1"/>
  <c r="AD1109" i="1" s="1"/>
  <c r="R1109" i="1"/>
  <c r="Q1109" i="1"/>
  <c r="N1109" i="1"/>
  <c r="AC1108" i="1"/>
  <c r="AB1108" i="1"/>
  <c r="AA1108" i="1"/>
  <c r="Z1108" i="1"/>
  <c r="Y1108" i="1"/>
  <c r="R1108" i="1"/>
  <c r="Q1108" i="1"/>
  <c r="N1108" i="1"/>
  <c r="AC1107" i="1"/>
  <c r="AB1107" i="1"/>
  <c r="AA1107" i="1"/>
  <c r="Z1107" i="1"/>
  <c r="Y1107" i="1"/>
  <c r="R1107" i="1"/>
  <c r="Q1107" i="1"/>
  <c r="N1107" i="1"/>
  <c r="AC1106" i="1"/>
  <c r="AB1106" i="1"/>
  <c r="AA1106" i="1"/>
  <c r="Z1106" i="1"/>
  <c r="Y1106" i="1"/>
  <c r="AD1106" i="1" s="1"/>
  <c r="R1106" i="1"/>
  <c r="Q1106" i="1"/>
  <c r="N1106" i="1"/>
  <c r="AC1105" i="1"/>
  <c r="AB1105" i="1"/>
  <c r="AA1105" i="1"/>
  <c r="Z1105" i="1"/>
  <c r="Y1105" i="1"/>
  <c r="R1105" i="1"/>
  <c r="Q1105" i="1"/>
  <c r="N1105" i="1"/>
  <c r="AC1104" i="1"/>
  <c r="AB1104" i="1"/>
  <c r="AA1104" i="1"/>
  <c r="Z1104" i="1"/>
  <c r="Y1104" i="1"/>
  <c r="R1104" i="1"/>
  <c r="Q1104" i="1"/>
  <c r="N1104" i="1"/>
  <c r="AC1103" i="1"/>
  <c r="AB1103" i="1"/>
  <c r="AA1103" i="1"/>
  <c r="Z1103" i="1"/>
  <c r="Y1103" i="1"/>
  <c r="R1103" i="1"/>
  <c r="Q1103" i="1"/>
  <c r="N1103" i="1"/>
  <c r="AC1102" i="1"/>
  <c r="AB1102" i="1"/>
  <c r="AA1102" i="1"/>
  <c r="Z1102" i="1"/>
  <c r="Y1102" i="1"/>
  <c r="R1102" i="1"/>
  <c r="Q1102" i="1"/>
  <c r="N1102" i="1"/>
  <c r="AC1101" i="1"/>
  <c r="AB1101" i="1"/>
  <c r="AA1101" i="1"/>
  <c r="Z1101" i="1"/>
  <c r="Y1101" i="1"/>
  <c r="R1101" i="1"/>
  <c r="Q1101" i="1"/>
  <c r="N1101" i="1"/>
  <c r="AC1100" i="1"/>
  <c r="AB1100" i="1"/>
  <c r="AA1100" i="1"/>
  <c r="Z1100" i="1"/>
  <c r="Y1100" i="1"/>
  <c r="AD1100" i="1" s="1"/>
  <c r="R1100" i="1"/>
  <c r="Q1100" i="1"/>
  <c r="N1100" i="1"/>
  <c r="AC1099" i="1"/>
  <c r="AB1099" i="1"/>
  <c r="AA1099" i="1"/>
  <c r="Z1099" i="1"/>
  <c r="Y1099" i="1"/>
  <c r="AD1099" i="1" s="1"/>
  <c r="R1099" i="1"/>
  <c r="Q1099" i="1"/>
  <c r="N1099" i="1"/>
  <c r="AC1098" i="1"/>
  <c r="AB1098" i="1"/>
  <c r="AA1098" i="1"/>
  <c r="Z1098" i="1"/>
  <c r="Y1098" i="1"/>
  <c r="AD1098" i="1" s="1"/>
  <c r="R1098" i="1"/>
  <c r="Q1098" i="1"/>
  <c r="N1098" i="1"/>
  <c r="AC1097" i="1"/>
  <c r="AB1097" i="1"/>
  <c r="AA1097" i="1"/>
  <c r="Z1097" i="1"/>
  <c r="Y1097" i="1"/>
  <c r="AD1097" i="1" s="1"/>
  <c r="R1097" i="1"/>
  <c r="Q1097" i="1"/>
  <c r="N1097" i="1"/>
  <c r="AC1096" i="1"/>
  <c r="AB1096" i="1"/>
  <c r="AA1096" i="1"/>
  <c r="Z1096" i="1"/>
  <c r="Y1096" i="1"/>
  <c r="R1096" i="1"/>
  <c r="Q1096" i="1"/>
  <c r="N1096" i="1"/>
  <c r="AC1095" i="1"/>
  <c r="AB1095" i="1"/>
  <c r="AA1095" i="1"/>
  <c r="Z1095" i="1"/>
  <c r="Y1095" i="1"/>
  <c r="AD1095" i="1" s="1"/>
  <c r="R1095" i="1"/>
  <c r="Q1095" i="1"/>
  <c r="N1095" i="1"/>
  <c r="AC1094" i="1"/>
  <c r="AB1094" i="1"/>
  <c r="AA1094" i="1"/>
  <c r="Z1094" i="1"/>
  <c r="Y1094" i="1"/>
  <c r="AD1094" i="1" s="1"/>
  <c r="R1094" i="1"/>
  <c r="Q1094" i="1"/>
  <c r="N1094" i="1"/>
  <c r="Q1113" i="1"/>
  <c r="R1113" i="1"/>
  <c r="Y1113" i="1"/>
  <c r="Z1113" i="1"/>
  <c r="AA1113" i="1"/>
  <c r="AB1113" i="1"/>
  <c r="AC1113" i="1"/>
  <c r="Y1114" i="1"/>
  <c r="Z1114" i="1"/>
  <c r="AA1114" i="1"/>
  <c r="AB1114" i="1"/>
  <c r="AC1114" i="1"/>
  <c r="Q1115" i="1"/>
  <c r="R1115" i="1"/>
  <c r="Y1115" i="1"/>
  <c r="Z1115" i="1"/>
  <c r="AA1115" i="1"/>
  <c r="AB1115" i="1"/>
  <c r="AC1115" i="1"/>
  <c r="AD1110" i="1" l="1"/>
  <c r="AD1103" i="1"/>
  <c r="AD1111" i="1"/>
  <c r="AD1107" i="1"/>
  <c r="AD1108" i="1"/>
  <c r="AD1104" i="1"/>
  <c r="AD1102" i="1"/>
  <c r="AD1112" i="1"/>
  <c r="AD1101" i="1"/>
  <c r="AD1105" i="1"/>
  <c r="AD1096" i="1"/>
  <c r="AD1113" i="1"/>
  <c r="AD1114" i="1"/>
  <c r="AD1115" i="1"/>
  <c r="R1087" i="1" l="1"/>
  <c r="Q1087" i="1"/>
  <c r="N1087" i="1"/>
  <c r="R1086" i="1"/>
  <c r="Q1086" i="1"/>
  <c r="N1086" i="1"/>
  <c r="Y1086" i="1"/>
  <c r="Z1086" i="1"/>
  <c r="AA1086" i="1"/>
  <c r="AB1086" i="1"/>
  <c r="AC1086" i="1"/>
  <c r="Y1087" i="1"/>
  <c r="Z1087" i="1"/>
  <c r="AA1087" i="1"/>
  <c r="AB1087" i="1"/>
  <c r="AC1087" i="1"/>
  <c r="AC1078" i="1"/>
  <c r="AC1079" i="1"/>
  <c r="AC1080" i="1"/>
  <c r="AC1081" i="1"/>
  <c r="AC1082" i="1"/>
  <c r="AC1083" i="1"/>
  <c r="AC1084" i="1"/>
  <c r="AC1085" i="1"/>
  <c r="AC1088" i="1"/>
  <c r="AC1089" i="1"/>
  <c r="AC1090" i="1"/>
  <c r="AC1091" i="1"/>
  <c r="AC1092" i="1"/>
  <c r="AC1093" i="1"/>
  <c r="AB1078" i="1"/>
  <c r="AB1079" i="1"/>
  <c r="AB1080" i="1"/>
  <c r="AB1081" i="1"/>
  <c r="AB1082" i="1"/>
  <c r="AB1083" i="1"/>
  <c r="AB1084" i="1"/>
  <c r="AB1085" i="1"/>
  <c r="AB1088" i="1"/>
  <c r="AB1089" i="1"/>
  <c r="AB1090" i="1"/>
  <c r="AB1091" i="1"/>
  <c r="AB1092" i="1"/>
  <c r="AB1093" i="1"/>
  <c r="AA1078" i="1"/>
  <c r="AA1079" i="1"/>
  <c r="AA1080" i="1"/>
  <c r="AA1081" i="1"/>
  <c r="AA1082" i="1"/>
  <c r="AA1083" i="1"/>
  <c r="AA1084" i="1"/>
  <c r="AA1085" i="1"/>
  <c r="AA1088" i="1"/>
  <c r="AA1089" i="1"/>
  <c r="AA1090" i="1"/>
  <c r="AA1091" i="1"/>
  <c r="AA1092" i="1"/>
  <c r="AA1093" i="1"/>
  <c r="Z1078" i="1"/>
  <c r="Z1079" i="1"/>
  <c r="Z1080" i="1"/>
  <c r="Z1081" i="1"/>
  <c r="Z1082" i="1"/>
  <c r="Z1083" i="1"/>
  <c r="Z1084" i="1"/>
  <c r="Z1085" i="1"/>
  <c r="Z1088" i="1"/>
  <c r="Z1089" i="1"/>
  <c r="Z1090" i="1"/>
  <c r="Z1091" i="1"/>
  <c r="Z1092" i="1"/>
  <c r="Z1093" i="1"/>
  <c r="Y1078" i="1"/>
  <c r="AD1078" i="1" s="1"/>
  <c r="Y1079" i="1"/>
  <c r="AD1079" i="1" s="1"/>
  <c r="Y1080" i="1"/>
  <c r="AD1080" i="1" s="1"/>
  <c r="Y1081" i="1"/>
  <c r="Y1082" i="1"/>
  <c r="AD1082" i="1" s="1"/>
  <c r="Y1083" i="1"/>
  <c r="Y1084" i="1"/>
  <c r="Y1085" i="1"/>
  <c r="Y1088" i="1"/>
  <c r="Y1089" i="1"/>
  <c r="AD1089" i="1" s="1"/>
  <c r="Y1090" i="1"/>
  <c r="Y1091" i="1"/>
  <c r="Y1092" i="1"/>
  <c r="AD1092" i="1" s="1"/>
  <c r="Y1093" i="1"/>
  <c r="R1078" i="1"/>
  <c r="R1079" i="1"/>
  <c r="R1080" i="1"/>
  <c r="R1081" i="1"/>
  <c r="R1082" i="1"/>
  <c r="R1083" i="1"/>
  <c r="R1084" i="1"/>
  <c r="R1085" i="1"/>
  <c r="R1088" i="1"/>
  <c r="R1089" i="1"/>
  <c r="R1090" i="1"/>
  <c r="R1091" i="1"/>
  <c r="R1092" i="1"/>
  <c r="R1093" i="1"/>
  <c r="Q1078" i="1"/>
  <c r="Q1079" i="1"/>
  <c r="Q1080" i="1"/>
  <c r="Q1081" i="1"/>
  <c r="Q1082" i="1"/>
  <c r="Q1083" i="1"/>
  <c r="Q1084" i="1"/>
  <c r="Q1085" i="1"/>
  <c r="Q1088" i="1"/>
  <c r="Q1089" i="1"/>
  <c r="Q1090" i="1"/>
  <c r="Q1091" i="1"/>
  <c r="Q1092" i="1"/>
  <c r="Q1093" i="1"/>
  <c r="N1078" i="1"/>
  <c r="N1079" i="1"/>
  <c r="N1080" i="1"/>
  <c r="N1081" i="1"/>
  <c r="N1082" i="1"/>
  <c r="N1083" i="1"/>
  <c r="N1084" i="1"/>
  <c r="N1085" i="1"/>
  <c r="N1088" i="1"/>
  <c r="N1089" i="1"/>
  <c r="N1090" i="1"/>
  <c r="N1091" i="1"/>
  <c r="N1092" i="1"/>
  <c r="N1093" i="1"/>
  <c r="AD1085" i="1" l="1"/>
  <c r="AD1084" i="1"/>
  <c r="AD1093" i="1"/>
  <c r="AD1090" i="1"/>
  <c r="AD1088" i="1"/>
  <c r="AD1083" i="1"/>
  <c r="AD1081" i="1"/>
  <c r="AD1091" i="1"/>
  <c r="AD1086" i="1"/>
  <c r="AD1087" i="1"/>
  <c r="R1077" i="1"/>
  <c r="Q1077" i="1"/>
  <c r="N1077" i="1"/>
  <c r="R1076" i="1"/>
  <c r="Q1076" i="1"/>
  <c r="N1076" i="1"/>
  <c r="N1075" i="1"/>
  <c r="Q1075" i="1" l="1"/>
  <c r="R1075" i="1"/>
  <c r="Y1075" i="1"/>
  <c r="Z1075" i="1"/>
  <c r="AA1075" i="1"/>
  <c r="AB1075" i="1"/>
  <c r="AC1075" i="1"/>
  <c r="Y1076" i="1"/>
  <c r="Z1076" i="1"/>
  <c r="AA1076" i="1"/>
  <c r="AB1076" i="1"/>
  <c r="AC1076" i="1"/>
  <c r="Y1077" i="1"/>
  <c r="Z1077" i="1"/>
  <c r="AA1077" i="1"/>
  <c r="AB1077" i="1"/>
  <c r="AC1077" i="1"/>
  <c r="AC1074" i="1"/>
  <c r="AB1074" i="1"/>
  <c r="AA1074" i="1"/>
  <c r="Z1074" i="1"/>
  <c r="Y1074" i="1"/>
  <c r="AD1074" i="1" s="1"/>
  <c r="R1074" i="1"/>
  <c r="Q1074" i="1"/>
  <c r="N1074" i="1"/>
  <c r="AC1073" i="1"/>
  <c r="AB1073" i="1"/>
  <c r="AA1073" i="1"/>
  <c r="Z1073" i="1"/>
  <c r="Y1073" i="1"/>
  <c r="AD1073" i="1" s="1"/>
  <c r="R1073" i="1"/>
  <c r="Q1073" i="1"/>
  <c r="N1073" i="1"/>
  <c r="AC1072" i="1"/>
  <c r="AB1072" i="1"/>
  <c r="AA1072" i="1"/>
  <c r="Z1072" i="1"/>
  <c r="Y1072" i="1"/>
  <c r="R1072" i="1"/>
  <c r="Q1072" i="1"/>
  <c r="N1072" i="1"/>
  <c r="AC1071" i="1"/>
  <c r="AB1071" i="1"/>
  <c r="AA1071" i="1"/>
  <c r="Z1071" i="1"/>
  <c r="Y1071" i="1"/>
  <c r="AD1071" i="1" s="1"/>
  <c r="R1071" i="1"/>
  <c r="Q1071" i="1"/>
  <c r="N1071" i="1"/>
  <c r="AC1070" i="1"/>
  <c r="AB1070" i="1"/>
  <c r="AA1070" i="1"/>
  <c r="Z1070" i="1"/>
  <c r="Y1070" i="1"/>
  <c r="AD1070" i="1" s="1"/>
  <c r="R1070" i="1"/>
  <c r="Q1070" i="1"/>
  <c r="N1070" i="1"/>
  <c r="AC1069" i="1"/>
  <c r="AB1069" i="1"/>
  <c r="AA1069" i="1"/>
  <c r="Z1069" i="1"/>
  <c r="Y1069" i="1"/>
  <c r="AD1069" i="1" s="1"/>
  <c r="R1069" i="1"/>
  <c r="Q1069" i="1"/>
  <c r="N1069" i="1"/>
  <c r="AC1068" i="1"/>
  <c r="AB1068" i="1"/>
  <c r="AA1068" i="1"/>
  <c r="Z1068" i="1"/>
  <c r="Y1068" i="1"/>
  <c r="AD1068" i="1" s="1"/>
  <c r="R1068" i="1"/>
  <c r="Q1068" i="1"/>
  <c r="N1068" i="1"/>
  <c r="AC1067" i="1"/>
  <c r="AB1067" i="1"/>
  <c r="AA1067" i="1"/>
  <c r="Z1067" i="1"/>
  <c r="Y1067" i="1"/>
  <c r="AD1067" i="1" s="1"/>
  <c r="R1067" i="1"/>
  <c r="Q1067" i="1"/>
  <c r="N1067" i="1"/>
  <c r="AC1066" i="1"/>
  <c r="AB1066" i="1"/>
  <c r="AA1066" i="1"/>
  <c r="Z1066" i="1"/>
  <c r="Y1066" i="1"/>
  <c r="AD1066" i="1" s="1"/>
  <c r="R1066" i="1"/>
  <c r="Q1066" i="1"/>
  <c r="N1066" i="1"/>
  <c r="AC1065" i="1"/>
  <c r="AB1065" i="1"/>
  <c r="AA1065" i="1"/>
  <c r="Z1065" i="1"/>
  <c r="Y1065" i="1"/>
  <c r="AD1065" i="1" s="1"/>
  <c r="R1065" i="1"/>
  <c r="Q1065" i="1"/>
  <c r="N1065" i="1"/>
  <c r="AC1064" i="1"/>
  <c r="AB1064" i="1"/>
  <c r="AA1064" i="1"/>
  <c r="Z1064" i="1"/>
  <c r="Y1064" i="1"/>
  <c r="AD1064" i="1" s="1"/>
  <c r="R1064" i="1"/>
  <c r="Q1064" i="1"/>
  <c r="N1064" i="1"/>
  <c r="AC1063" i="1"/>
  <c r="AB1063" i="1"/>
  <c r="AA1063" i="1"/>
  <c r="Z1063" i="1"/>
  <c r="Y1063" i="1"/>
  <c r="R1063" i="1"/>
  <c r="Q1063" i="1"/>
  <c r="N1063" i="1"/>
  <c r="AC1062" i="1"/>
  <c r="AB1062" i="1"/>
  <c r="AA1062" i="1"/>
  <c r="Z1062" i="1"/>
  <c r="Y1062" i="1"/>
  <c r="R1062" i="1"/>
  <c r="Q1062" i="1"/>
  <c r="N1062" i="1"/>
  <c r="N1061" i="1"/>
  <c r="AD1062" i="1" l="1"/>
  <c r="AD1063" i="1"/>
  <c r="AD1072" i="1"/>
  <c r="AD1076" i="1"/>
  <c r="AD1075" i="1"/>
  <c r="AD1077" i="1"/>
  <c r="R1059" i="1"/>
  <c r="Q1059" i="1"/>
  <c r="N1059" i="1"/>
  <c r="R1058" i="1"/>
  <c r="Q1058" i="1"/>
  <c r="N1058" i="1"/>
  <c r="R1057" i="1"/>
  <c r="Q1057" i="1"/>
  <c r="N1057" i="1"/>
  <c r="R1056" i="1"/>
  <c r="Q1056" i="1"/>
  <c r="N1056" i="1"/>
  <c r="R1055" i="1"/>
  <c r="Q1055" i="1"/>
  <c r="N1055" i="1"/>
  <c r="R1053" i="1"/>
  <c r="Q1053" i="1"/>
  <c r="N1053" i="1"/>
  <c r="AC1051" i="1"/>
  <c r="AC1052" i="1"/>
  <c r="AC1053" i="1"/>
  <c r="AC1054" i="1"/>
  <c r="AC1055" i="1"/>
  <c r="AC1056" i="1"/>
  <c r="AC1057" i="1"/>
  <c r="AC1058" i="1"/>
  <c r="AC1059" i="1"/>
  <c r="AC1060" i="1"/>
  <c r="AC1061" i="1"/>
  <c r="AB1051" i="1"/>
  <c r="AB1052" i="1"/>
  <c r="AB1053" i="1"/>
  <c r="AB1054" i="1"/>
  <c r="AB1055" i="1"/>
  <c r="AB1056" i="1"/>
  <c r="AB1057" i="1"/>
  <c r="AB1058" i="1"/>
  <c r="AB1059" i="1"/>
  <c r="AB1060" i="1"/>
  <c r="AB1061" i="1"/>
  <c r="AA1051" i="1"/>
  <c r="AA1052" i="1"/>
  <c r="AA1053" i="1"/>
  <c r="AA1054" i="1"/>
  <c r="AA1055" i="1"/>
  <c r="AA1056" i="1"/>
  <c r="AA1057" i="1"/>
  <c r="AA1058" i="1"/>
  <c r="AA1059" i="1"/>
  <c r="AA1060" i="1"/>
  <c r="AA1061" i="1"/>
  <c r="Z1051" i="1"/>
  <c r="Z1052" i="1"/>
  <c r="Z1053" i="1"/>
  <c r="Z1054" i="1"/>
  <c r="Z1055" i="1"/>
  <c r="Z1056" i="1"/>
  <c r="Z1057" i="1"/>
  <c r="Z1058" i="1"/>
  <c r="Z1059" i="1"/>
  <c r="Z1060" i="1"/>
  <c r="Z1061" i="1"/>
  <c r="Y1051" i="1"/>
  <c r="AD1051" i="1" s="1"/>
  <c r="Y1052" i="1"/>
  <c r="AD1052" i="1" s="1"/>
  <c r="Y1053" i="1"/>
  <c r="AD1053" i="1" s="1"/>
  <c r="Y1054" i="1"/>
  <c r="Y1055" i="1"/>
  <c r="AD1055" i="1" s="1"/>
  <c r="Y1056" i="1"/>
  <c r="Y1057" i="1"/>
  <c r="AD1057" i="1" s="1"/>
  <c r="Y1058" i="1"/>
  <c r="AD1058" i="1" s="1"/>
  <c r="Y1059" i="1"/>
  <c r="AD1059" i="1" s="1"/>
  <c r="Y1060" i="1"/>
  <c r="Y1061" i="1"/>
  <c r="AD1061" i="1" s="1"/>
  <c r="R1051" i="1"/>
  <c r="Q1051" i="1"/>
  <c r="N1051" i="1"/>
  <c r="R1049" i="1"/>
  <c r="Q1049" i="1"/>
  <c r="N1049" i="1"/>
  <c r="AD1056" i="1" l="1"/>
  <c r="AD1054" i="1"/>
  <c r="AD1060" i="1"/>
  <c r="R1052" i="1"/>
  <c r="R1054" i="1"/>
  <c r="R1060" i="1"/>
  <c r="R1061" i="1"/>
  <c r="R1047" i="1"/>
  <c r="R1048" i="1"/>
  <c r="R1050" i="1"/>
  <c r="Q1052" i="1"/>
  <c r="Q1054" i="1"/>
  <c r="Q1060" i="1"/>
  <c r="Q1061" i="1"/>
  <c r="Q1047" i="1"/>
  <c r="Q1048" i="1"/>
  <c r="Q1050" i="1"/>
  <c r="N1052" i="1"/>
  <c r="N1054" i="1"/>
  <c r="N1060" i="1"/>
  <c r="N1046" i="1"/>
  <c r="N1047" i="1"/>
  <c r="N1048" i="1"/>
  <c r="N1050" i="1"/>
  <c r="AC1045" i="1"/>
  <c r="AB1045" i="1"/>
  <c r="AA1045" i="1"/>
  <c r="Z1045" i="1"/>
  <c r="Y1045" i="1"/>
  <c r="R1045" i="1"/>
  <c r="Q1045" i="1"/>
  <c r="N1045" i="1"/>
  <c r="AC1044" i="1"/>
  <c r="AB1044" i="1"/>
  <c r="AA1044" i="1"/>
  <c r="Z1044" i="1"/>
  <c r="Y1044" i="1"/>
  <c r="R1044" i="1"/>
  <c r="Q1044" i="1"/>
  <c r="N1044" i="1"/>
  <c r="AC1043" i="1"/>
  <c r="AB1043" i="1"/>
  <c r="AA1043" i="1"/>
  <c r="Z1043" i="1"/>
  <c r="Y1043" i="1"/>
  <c r="R1043" i="1"/>
  <c r="Q1043" i="1"/>
  <c r="N1043" i="1"/>
  <c r="AC1042" i="1"/>
  <c r="AB1042" i="1"/>
  <c r="AA1042" i="1"/>
  <c r="Z1042" i="1"/>
  <c r="Y1042" i="1"/>
  <c r="R1042" i="1"/>
  <c r="Q1042" i="1"/>
  <c r="N1042" i="1"/>
  <c r="AC1041" i="1"/>
  <c r="AB1041" i="1"/>
  <c r="AA1041" i="1"/>
  <c r="Z1041" i="1"/>
  <c r="Y1041" i="1"/>
  <c r="R1041" i="1"/>
  <c r="Q1041" i="1"/>
  <c r="N1041" i="1"/>
  <c r="AC1040" i="1"/>
  <c r="AB1040" i="1"/>
  <c r="AA1040" i="1"/>
  <c r="Z1040" i="1"/>
  <c r="Y1040" i="1"/>
  <c r="R1040" i="1"/>
  <c r="Q1040" i="1"/>
  <c r="N1040" i="1"/>
  <c r="AC1039" i="1"/>
  <c r="AB1039" i="1"/>
  <c r="AA1039" i="1"/>
  <c r="Z1039" i="1"/>
  <c r="Y1039" i="1"/>
  <c r="AD1039" i="1" s="1"/>
  <c r="R1039" i="1"/>
  <c r="Q1039" i="1"/>
  <c r="N1039" i="1"/>
  <c r="AC1038" i="1"/>
  <c r="AB1038" i="1"/>
  <c r="AA1038" i="1"/>
  <c r="Z1038" i="1"/>
  <c r="Y1038" i="1"/>
  <c r="AD1038" i="1" s="1"/>
  <c r="R1038" i="1"/>
  <c r="Q1038" i="1"/>
  <c r="N1038" i="1"/>
  <c r="AC1037" i="1"/>
  <c r="AB1037" i="1"/>
  <c r="AA1037" i="1"/>
  <c r="Z1037" i="1"/>
  <c r="Y1037" i="1"/>
  <c r="AD1037" i="1" s="1"/>
  <c r="R1037" i="1"/>
  <c r="Q1037" i="1"/>
  <c r="N1037" i="1"/>
  <c r="AC1036" i="1"/>
  <c r="AB1036" i="1"/>
  <c r="AA1036" i="1"/>
  <c r="Z1036" i="1"/>
  <c r="Y1036" i="1"/>
  <c r="AD1036" i="1" s="1"/>
  <c r="R1036" i="1"/>
  <c r="Q1036" i="1"/>
  <c r="N1036" i="1"/>
  <c r="AC1035" i="1"/>
  <c r="AB1035" i="1"/>
  <c r="AA1035" i="1"/>
  <c r="Z1035" i="1"/>
  <c r="Y1035" i="1"/>
  <c r="R1035" i="1"/>
  <c r="Q1035" i="1"/>
  <c r="N1035" i="1"/>
  <c r="AC1034" i="1"/>
  <c r="AB1034" i="1"/>
  <c r="AA1034" i="1"/>
  <c r="Z1034" i="1"/>
  <c r="Y1034" i="1"/>
  <c r="R1034" i="1"/>
  <c r="Q1034" i="1"/>
  <c r="N1034" i="1"/>
  <c r="AC1033" i="1"/>
  <c r="AB1033" i="1"/>
  <c r="AA1033" i="1"/>
  <c r="Z1033" i="1"/>
  <c r="Y1033" i="1"/>
  <c r="R1033" i="1"/>
  <c r="Q1033" i="1"/>
  <c r="N1033" i="1"/>
  <c r="AC1032" i="1"/>
  <c r="AB1032" i="1"/>
  <c r="AA1032" i="1"/>
  <c r="Z1032" i="1"/>
  <c r="Y1032" i="1"/>
  <c r="R1032" i="1"/>
  <c r="Q1032" i="1"/>
  <c r="N1032" i="1"/>
  <c r="AC1031" i="1"/>
  <c r="AB1031" i="1"/>
  <c r="AA1031" i="1"/>
  <c r="Z1031" i="1"/>
  <c r="Y1031" i="1"/>
  <c r="R1031" i="1"/>
  <c r="Q1031" i="1"/>
  <c r="N1031" i="1"/>
  <c r="AC1030" i="1"/>
  <c r="AB1030" i="1"/>
  <c r="AA1030" i="1"/>
  <c r="Z1030" i="1"/>
  <c r="Y1030" i="1"/>
  <c r="AD1030" i="1" s="1"/>
  <c r="R1030" i="1"/>
  <c r="Q1030" i="1"/>
  <c r="N1030" i="1"/>
  <c r="AC1029" i="1"/>
  <c r="AB1029" i="1"/>
  <c r="AA1029" i="1"/>
  <c r="Z1029" i="1"/>
  <c r="Y1029" i="1"/>
  <c r="R1029" i="1"/>
  <c r="Q1029" i="1"/>
  <c r="N1029" i="1"/>
  <c r="AC1028" i="1"/>
  <c r="AB1028" i="1"/>
  <c r="AA1028" i="1"/>
  <c r="Z1028" i="1"/>
  <c r="Y1028" i="1"/>
  <c r="AD1028" i="1" s="1"/>
  <c r="R1028" i="1"/>
  <c r="Q1028" i="1"/>
  <c r="N1028" i="1"/>
  <c r="AC1027" i="1"/>
  <c r="AB1027" i="1"/>
  <c r="AA1027" i="1"/>
  <c r="Z1027" i="1"/>
  <c r="Y1027" i="1"/>
  <c r="R1027" i="1"/>
  <c r="Q1027" i="1"/>
  <c r="N1027" i="1"/>
  <c r="AC1026" i="1"/>
  <c r="AB1026" i="1"/>
  <c r="AA1026" i="1"/>
  <c r="Z1026" i="1"/>
  <c r="Y1026" i="1"/>
  <c r="R1026" i="1"/>
  <c r="Q1026" i="1"/>
  <c r="N1026" i="1"/>
  <c r="AC1025" i="1"/>
  <c r="AB1025" i="1"/>
  <c r="AA1025" i="1"/>
  <c r="Z1025" i="1"/>
  <c r="Y1025" i="1"/>
  <c r="R1025" i="1"/>
  <c r="Q1025" i="1"/>
  <c r="N1025" i="1"/>
  <c r="AC1024" i="1"/>
  <c r="AB1024" i="1"/>
  <c r="AA1024" i="1"/>
  <c r="Z1024" i="1"/>
  <c r="Y1024" i="1"/>
  <c r="R1024" i="1"/>
  <c r="Q1024" i="1"/>
  <c r="N1024" i="1"/>
  <c r="Q1046" i="1"/>
  <c r="R1046" i="1"/>
  <c r="Y1046" i="1"/>
  <c r="Z1046" i="1"/>
  <c r="AA1046" i="1"/>
  <c r="AB1046" i="1"/>
  <c r="AC1046" i="1"/>
  <c r="Y1047" i="1"/>
  <c r="Z1047" i="1"/>
  <c r="AA1047" i="1"/>
  <c r="AB1047" i="1"/>
  <c r="AC1047" i="1"/>
  <c r="Y1048" i="1"/>
  <c r="Z1048" i="1"/>
  <c r="AA1048" i="1"/>
  <c r="AB1048" i="1"/>
  <c r="AC1048" i="1"/>
  <c r="Y1049" i="1"/>
  <c r="Z1049" i="1"/>
  <c r="AA1049" i="1"/>
  <c r="AB1049" i="1"/>
  <c r="AC1049" i="1"/>
  <c r="Y1050" i="1"/>
  <c r="Z1050" i="1"/>
  <c r="AA1050" i="1"/>
  <c r="AB1050" i="1"/>
  <c r="AC1050" i="1"/>
  <c r="AD1026" i="1" l="1"/>
  <c r="AD1041" i="1"/>
  <c r="AD1027" i="1"/>
  <c r="AD1025" i="1"/>
  <c r="AD1035" i="1"/>
  <c r="AD1044" i="1"/>
  <c r="AD1029" i="1"/>
  <c r="AD1042" i="1"/>
  <c r="AD1045" i="1"/>
  <c r="AD1031" i="1"/>
  <c r="AD1034" i="1"/>
  <c r="AD1032" i="1"/>
  <c r="AD1024" i="1"/>
  <c r="AD1033" i="1"/>
  <c r="AD1040" i="1"/>
  <c r="AD1043" i="1"/>
  <c r="AD1046" i="1"/>
  <c r="AD1047" i="1"/>
  <c r="AD1048" i="1"/>
  <c r="AD1049" i="1"/>
  <c r="AD1050" i="1"/>
  <c r="N1017" i="1" l="1"/>
  <c r="N1018" i="1"/>
  <c r="N1019" i="1"/>
  <c r="N1020" i="1"/>
  <c r="N1021" i="1"/>
  <c r="N1022" i="1"/>
  <c r="N1023" i="1"/>
  <c r="AC1022" i="1" l="1"/>
  <c r="AC1023" i="1"/>
  <c r="AB1022" i="1"/>
  <c r="AB1023" i="1"/>
  <c r="AA1022" i="1"/>
  <c r="AA1023" i="1"/>
  <c r="Z1022" i="1"/>
  <c r="Z1023" i="1"/>
  <c r="Y1022" i="1"/>
  <c r="Y1023" i="1"/>
  <c r="AC1021" i="1"/>
  <c r="AB1021" i="1"/>
  <c r="AA1021" i="1"/>
  <c r="Z1021" i="1"/>
  <c r="Y1021" i="1"/>
  <c r="AD1021" i="1" s="1"/>
  <c r="R1021" i="1"/>
  <c r="Q1021" i="1"/>
  <c r="AC1020" i="1"/>
  <c r="AB1020" i="1"/>
  <c r="AA1020" i="1"/>
  <c r="Z1020" i="1"/>
  <c r="Y1020" i="1"/>
  <c r="R1020" i="1"/>
  <c r="Q1020" i="1"/>
  <c r="AC1019" i="1"/>
  <c r="AB1019" i="1"/>
  <c r="AA1019" i="1"/>
  <c r="Z1019" i="1"/>
  <c r="Y1019" i="1"/>
  <c r="R1019" i="1"/>
  <c r="Q1019" i="1"/>
  <c r="AC1018" i="1"/>
  <c r="AB1018" i="1"/>
  <c r="AA1018" i="1"/>
  <c r="Z1018" i="1"/>
  <c r="Y1018" i="1"/>
  <c r="R1018" i="1"/>
  <c r="Q1018" i="1"/>
  <c r="AC1017" i="1"/>
  <c r="AB1017" i="1"/>
  <c r="AA1017" i="1"/>
  <c r="Z1017" i="1"/>
  <c r="Y1017" i="1"/>
  <c r="R1017" i="1"/>
  <c r="Q1017" i="1"/>
  <c r="AC1016" i="1"/>
  <c r="AB1016" i="1"/>
  <c r="AA1016" i="1"/>
  <c r="Z1016" i="1"/>
  <c r="Y1016" i="1"/>
  <c r="AD1016" i="1" s="1"/>
  <c r="R1016" i="1"/>
  <c r="Q1016" i="1"/>
  <c r="N1016" i="1"/>
  <c r="AC1015" i="1"/>
  <c r="AB1015" i="1"/>
  <c r="AA1015" i="1"/>
  <c r="Z1015" i="1"/>
  <c r="Y1015" i="1"/>
  <c r="R1015" i="1"/>
  <c r="Q1015" i="1"/>
  <c r="N1015" i="1"/>
  <c r="AC1014" i="1"/>
  <c r="AB1014" i="1"/>
  <c r="AA1014" i="1"/>
  <c r="Z1014" i="1"/>
  <c r="Y1014" i="1"/>
  <c r="R1014" i="1"/>
  <c r="Q1014" i="1"/>
  <c r="N1014" i="1"/>
  <c r="AC1013" i="1"/>
  <c r="AB1013" i="1"/>
  <c r="AA1013" i="1"/>
  <c r="Z1013" i="1"/>
  <c r="Y1013" i="1"/>
  <c r="R1013" i="1"/>
  <c r="Q1013" i="1"/>
  <c r="N1013" i="1"/>
  <c r="AC1012" i="1"/>
  <c r="AB1012" i="1"/>
  <c r="AA1012" i="1"/>
  <c r="Z1012" i="1"/>
  <c r="Y1012" i="1"/>
  <c r="R1012" i="1"/>
  <c r="Q1012" i="1"/>
  <c r="N1012" i="1"/>
  <c r="AC1011" i="1"/>
  <c r="AB1011" i="1"/>
  <c r="AA1011" i="1"/>
  <c r="Z1011" i="1"/>
  <c r="Y1011" i="1"/>
  <c r="R1011" i="1"/>
  <c r="Q1011" i="1"/>
  <c r="N1011" i="1"/>
  <c r="AC1010" i="1"/>
  <c r="AB1010" i="1"/>
  <c r="AA1010" i="1"/>
  <c r="Z1010" i="1"/>
  <c r="Y1010" i="1"/>
  <c r="AD1010" i="1" s="1"/>
  <c r="R1010" i="1"/>
  <c r="Q1010" i="1"/>
  <c r="N1010" i="1"/>
  <c r="Q1022" i="1"/>
  <c r="R1022" i="1"/>
  <c r="Q1023" i="1"/>
  <c r="R1023" i="1"/>
  <c r="AD1020" i="1" l="1"/>
  <c r="AD1019" i="1"/>
  <c r="AD1018" i="1"/>
  <c r="AD1013" i="1"/>
  <c r="AD1017" i="1"/>
  <c r="AD1022" i="1"/>
  <c r="AD1023" i="1"/>
  <c r="AD1014" i="1"/>
  <c r="AD1015" i="1"/>
  <c r="AD1011" i="1"/>
  <c r="AD1012" i="1"/>
  <c r="Y983" i="1"/>
  <c r="R1007" i="1" l="1"/>
  <c r="Q1007" i="1"/>
  <c r="N1007" i="1"/>
  <c r="R1006" i="1"/>
  <c r="Q1006" i="1"/>
  <c r="N1006" i="1"/>
  <c r="R1005" i="1"/>
  <c r="R1008" i="1"/>
  <c r="R1009" i="1"/>
  <c r="Q1005" i="1"/>
  <c r="Q1008" i="1"/>
  <c r="Q1009" i="1"/>
  <c r="N1005" i="1"/>
  <c r="N1008" i="1"/>
  <c r="N1009" i="1"/>
  <c r="AC1004" i="1" l="1"/>
  <c r="AB1004" i="1"/>
  <c r="AA1004" i="1"/>
  <c r="Z1004" i="1"/>
  <c r="Y1004" i="1"/>
  <c r="R1004" i="1"/>
  <c r="Q1004" i="1"/>
  <c r="N1004" i="1"/>
  <c r="AC1003" i="1"/>
  <c r="AB1003" i="1"/>
  <c r="AA1003" i="1"/>
  <c r="Z1003" i="1"/>
  <c r="Y1003" i="1"/>
  <c r="R1003" i="1"/>
  <c r="Q1003" i="1"/>
  <c r="N1003" i="1"/>
  <c r="AC1002" i="1"/>
  <c r="AB1002" i="1"/>
  <c r="AA1002" i="1"/>
  <c r="Z1002" i="1"/>
  <c r="Y1002" i="1"/>
  <c r="AD1002" i="1" s="1"/>
  <c r="R1002" i="1"/>
  <c r="Q1002" i="1"/>
  <c r="N1002" i="1"/>
  <c r="AC1001" i="1"/>
  <c r="AB1001" i="1"/>
  <c r="AA1001" i="1"/>
  <c r="Z1001" i="1"/>
  <c r="Y1001" i="1"/>
  <c r="AD1001" i="1" s="1"/>
  <c r="R1001" i="1"/>
  <c r="Q1001" i="1"/>
  <c r="N1001" i="1"/>
  <c r="AC1000" i="1"/>
  <c r="AB1000" i="1"/>
  <c r="AA1000" i="1"/>
  <c r="Z1000" i="1"/>
  <c r="Y1000" i="1"/>
  <c r="R1000" i="1"/>
  <c r="Q1000" i="1"/>
  <c r="N1000" i="1"/>
  <c r="AC999" i="1"/>
  <c r="AB999" i="1"/>
  <c r="AA999" i="1"/>
  <c r="Z999" i="1"/>
  <c r="Y999" i="1"/>
  <c r="R999" i="1"/>
  <c r="Q999" i="1"/>
  <c r="N999" i="1"/>
  <c r="Y1005" i="1"/>
  <c r="Z1005" i="1"/>
  <c r="AA1005" i="1"/>
  <c r="AB1005" i="1"/>
  <c r="AC1005" i="1"/>
  <c r="Y1006" i="1"/>
  <c r="Z1006" i="1"/>
  <c r="AA1006" i="1"/>
  <c r="AB1006" i="1"/>
  <c r="AC1006" i="1"/>
  <c r="Y1007" i="1"/>
  <c r="Z1007" i="1"/>
  <c r="AA1007" i="1"/>
  <c r="AB1007" i="1"/>
  <c r="AC1007" i="1"/>
  <c r="Y1008" i="1"/>
  <c r="Z1008" i="1"/>
  <c r="AA1008" i="1"/>
  <c r="AB1008" i="1"/>
  <c r="AC1008" i="1"/>
  <c r="Y1009" i="1"/>
  <c r="Z1009" i="1"/>
  <c r="AA1009" i="1"/>
  <c r="AB1009" i="1"/>
  <c r="AC1009" i="1"/>
  <c r="AD999" i="1" l="1"/>
  <c r="AD1000" i="1"/>
  <c r="AD1004" i="1"/>
  <c r="AD1003" i="1"/>
  <c r="AD1005" i="1"/>
  <c r="AD1006" i="1"/>
  <c r="AD1007" i="1"/>
  <c r="AD1008" i="1"/>
  <c r="AD1009" i="1"/>
  <c r="R997" i="1"/>
  <c r="Q997" i="1"/>
  <c r="N997" i="1"/>
  <c r="R996" i="1"/>
  <c r="Q996" i="1"/>
  <c r="N996" i="1"/>
  <c r="R994" i="1" l="1"/>
  <c r="Q994" i="1"/>
  <c r="N994" i="1"/>
  <c r="R993" i="1"/>
  <c r="Q993" i="1"/>
  <c r="N993" i="1"/>
  <c r="R991" i="1" l="1"/>
  <c r="R992" i="1"/>
  <c r="R995" i="1"/>
  <c r="R998" i="1"/>
  <c r="Q991" i="1"/>
  <c r="Q992" i="1"/>
  <c r="Q995" i="1"/>
  <c r="Q998" i="1"/>
  <c r="N991" i="1"/>
  <c r="N992" i="1"/>
  <c r="N995" i="1"/>
  <c r="N998" i="1"/>
  <c r="Y991" i="1"/>
  <c r="Z991" i="1"/>
  <c r="AA991" i="1"/>
  <c r="AB991" i="1"/>
  <c r="AC991" i="1"/>
  <c r="Y992" i="1"/>
  <c r="Z992" i="1"/>
  <c r="AA992" i="1"/>
  <c r="AB992" i="1"/>
  <c r="AC992" i="1"/>
  <c r="Y993" i="1"/>
  <c r="Z993" i="1"/>
  <c r="AA993" i="1"/>
  <c r="AB993" i="1"/>
  <c r="AC993" i="1"/>
  <c r="Y994" i="1"/>
  <c r="Z994" i="1"/>
  <c r="AA994" i="1"/>
  <c r="AB994" i="1"/>
  <c r="AC994" i="1"/>
  <c r="Y995" i="1"/>
  <c r="Z995" i="1"/>
  <c r="AA995" i="1"/>
  <c r="AB995" i="1"/>
  <c r="AC995" i="1"/>
  <c r="Y996" i="1"/>
  <c r="Z996" i="1"/>
  <c r="AA996" i="1"/>
  <c r="AB996" i="1"/>
  <c r="AC996" i="1"/>
  <c r="Y997" i="1"/>
  <c r="Z997" i="1"/>
  <c r="AA997" i="1"/>
  <c r="AB997" i="1"/>
  <c r="AC997" i="1"/>
  <c r="Y998" i="1"/>
  <c r="Z998" i="1"/>
  <c r="AA998" i="1"/>
  <c r="AB998" i="1"/>
  <c r="AC998" i="1"/>
  <c r="R990" i="1"/>
  <c r="Q990" i="1"/>
  <c r="N990" i="1"/>
  <c r="R989" i="1"/>
  <c r="Q989" i="1"/>
  <c r="N989" i="1"/>
  <c r="R988" i="1"/>
  <c r="Q988" i="1"/>
  <c r="N988" i="1"/>
  <c r="R987" i="1"/>
  <c r="Q987" i="1"/>
  <c r="N987" i="1"/>
  <c r="AD993" i="1" l="1"/>
  <c r="AD992" i="1"/>
  <c r="AD991" i="1"/>
  <c r="AD994" i="1"/>
  <c r="AD995" i="1"/>
  <c r="AD996" i="1"/>
  <c r="AD997" i="1"/>
  <c r="AD998" i="1"/>
  <c r="R985" i="1" l="1"/>
  <c r="Q985" i="1"/>
  <c r="N985" i="1"/>
  <c r="R984" i="1"/>
  <c r="Q984" i="1"/>
  <c r="N984" i="1"/>
  <c r="R983" i="1"/>
  <c r="Q983" i="1"/>
  <c r="N983" i="1"/>
  <c r="R982" i="1"/>
  <c r="R986" i="1"/>
  <c r="Q982" i="1"/>
  <c r="Q986" i="1"/>
  <c r="N982" i="1"/>
  <c r="N986" i="1"/>
  <c r="Y982" i="1" l="1"/>
  <c r="Z982" i="1"/>
  <c r="AA982" i="1"/>
  <c r="AB982" i="1"/>
  <c r="AC982" i="1"/>
  <c r="Z983" i="1"/>
  <c r="AA983" i="1"/>
  <c r="AB983" i="1"/>
  <c r="AC983" i="1"/>
  <c r="Y984" i="1"/>
  <c r="Z984" i="1"/>
  <c r="AA984" i="1"/>
  <c r="AB984" i="1"/>
  <c r="AC984" i="1"/>
  <c r="Y985" i="1"/>
  <c r="Z985" i="1"/>
  <c r="AA985" i="1"/>
  <c r="AB985" i="1"/>
  <c r="AC985" i="1"/>
  <c r="Y986" i="1"/>
  <c r="Z986" i="1"/>
  <c r="AA986" i="1"/>
  <c r="AB986" i="1"/>
  <c r="AC986" i="1"/>
  <c r="Y987" i="1"/>
  <c r="Z987" i="1"/>
  <c r="AA987" i="1"/>
  <c r="AB987" i="1"/>
  <c r="AC987" i="1"/>
  <c r="AC981" i="1"/>
  <c r="AB981" i="1"/>
  <c r="AA981" i="1"/>
  <c r="Z981" i="1"/>
  <c r="Y981" i="1"/>
  <c r="AD981" i="1" s="1"/>
  <c r="R981" i="1"/>
  <c r="Q981" i="1"/>
  <c r="N981" i="1"/>
  <c r="AC980" i="1"/>
  <c r="AB980" i="1"/>
  <c r="AA980" i="1"/>
  <c r="Z980" i="1"/>
  <c r="Y980" i="1"/>
  <c r="AD980" i="1" s="1"/>
  <c r="R980" i="1"/>
  <c r="Q980" i="1"/>
  <c r="N980" i="1"/>
  <c r="AC979" i="1"/>
  <c r="AB979" i="1"/>
  <c r="AA979" i="1"/>
  <c r="Z979" i="1"/>
  <c r="Y979" i="1"/>
  <c r="AD979" i="1" s="1"/>
  <c r="R979" i="1"/>
  <c r="Q979" i="1"/>
  <c r="N979" i="1"/>
  <c r="AC978" i="1"/>
  <c r="AB978" i="1"/>
  <c r="AA978" i="1"/>
  <c r="Z978" i="1"/>
  <c r="Y978" i="1"/>
  <c r="R978" i="1"/>
  <c r="Q978" i="1"/>
  <c r="N978" i="1"/>
  <c r="AC977" i="1"/>
  <c r="AB977" i="1"/>
  <c r="AA977" i="1"/>
  <c r="Z977" i="1"/>
  <c r="Y977" i="1"/>
  <c r="AD977" i="1" s="1"/>
  <c r="R977" i="1"/>
  <c r="Q977" i="1"/>
  <c r="N977" i="1"/>
  <c r="AC976" i="1"/>
  <c r="AB976" i="1"/>
  <c r="AA976" i="1"/>
  <c r="Z976" i="1"/>
  <c r="Y976" i="1"/>
  <c r="R976" i="1"/>
  <c r="Q976" i="1"/>
  <c r="N976" i="1"/>
  <c r="Y988" i="1"/>
  <c r="Z988" i="1"/>
  <c r="AA988" i="1"/>
  <c r="AB988" i="1"/>
  <c r="AC988" i="1"/>
  <c r="Y989" i="1"/>
  <c r="Z989" i="1"/>
  <c r="AA989" i="1"/>
  <c r="AB989" i="1"/>
  <c r="AC989" i="1"/>
  <c r="Y990" i="1"/>
  <c r="Z990" i="1"/>
  <c r="AA990" i="1"/>
  <c r="AB990" i="1"/>
  <c r="AC990" i="1"/>
  <c r="Q703" i="1"/>
  <c r="Q704" i="1"/>
  <c r="Q705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AD976" i="1" l="1"/>
  <c r="AD978" i="1"/>
  <c r="AD982" i="1"/>
  <c r="AD983" i="1"/>
  <c r="AD984" i="1"/>
  <c r="AD985" i="1"/>
  <c r="AD986" i="1"/>
  <c r="AD987" i="1"/>
  <c r="AD988" i="1"/>
  <c r="AD989" i="1"/>
  <c r="AD990" i="1"/>
  <c r="AC974" i="1"/>
  <c r="AC975" i="1"/>
  <c r="AB974" i="1"/>
  <c r="AB975" i="1"/>
  <c r="AA975" i="1"/>
  <c r="AA974" i="1"/>
  <c r="Z975" i="1"/>
  <c r="Y975" i="1"/>
  <c r="Z974" i="1"/>
  <c r="Y974" i="1"/>
  <c r="R975" i="1"/>
  <c r="Q975" i="1"/>
  <c r="R974" i="1"/>
  <c r="Q974" i="1"/>
  <c r="R973" i="1"/>
  <c r="Q973" i="1"/>
  <c r="AD974" i="1" l="1"/>
  <c r="AD975" i="1"/>
  <c r="R884" i="1"/>
  <c r="Q884" i="1"/>
  <c r="Y884" i="1"/>
  <c r="Z884" i="1"/>
  <c r="AA884" i="1"/>
  <c r="AB884" i="1"/>
  <c r="AC884" i="1"/>
  <c r="AD884" i="1" l="1"/>
  <c r="R970" i="1"/>
  <c r="Q970" i="1"/>
  <c r="R968" i="1"/>
  <c r="Q968" i="1"/>
  <c r="R967" i="1"/>
  <c r="Q967" i="1"/>
  <c r="R963" i="1" l="1"/>
  <c r="Q963" i="1"/>
  <c r="R961" i="1" l="1"/>
  <c r="Q961" i="1"/>
  <c r="R958" i="1"/>
  <c r="Q958" i="1"/>
  <c r="R956" i="1" l="1"/>
  <c r="Q956" i="1"/>
  <c r="R954" i="1" l="1"/>
  <c r="Q954" i="1"/>
  <c r="R953" i="1"/>
  <c r="Q953" i="1"/>
  <c r="R952" i="1"/>
  <c r="Q952" i="1"/>
  <c r="R951" i="1"/>
  <c r="Q951" i="1"/>
  <c r="R950" i="1"/>
  <c r="Q950" i="1"/>
  <c r="R949" i="1"/>
  <c r="Q949" i="1"/>
  <c r="R948" i="1"/>
  <c r="Q948" i="1"/>
  <c r="R946" i="1"/>
  <c r="Q946" i="1"/>
  <c r="R945" i="1"/>
  <c r="Q945" i="1"/>
  <c r="R944" i="1"/>
  <c r="Q944" i="1"/>
  <c r="R942" i="1"/>
  <c r="Q942" i="1"/>
  <c r="R941" i="1"/>
  <c r="Q941" i="1"/>
  <c r="R940" i="1"/>
  <c r="Q940" i="1"/>
  <c r="R939" i="1"/>
  <c r="Q939" i="1"/>
  <c r="R936" i="1"/>
  <c r="Q936" i="1"/>
  <c r="R935" i="1"/>
  <c r="Q935" i="1"/>
  <c r="R934" i="1"/>
  <c r="Q934" i="1"/>
  <c r="R933" i="1"/>
  <c r="Q933" i="1"/>
  <c r="Q932" i="1"/>
  <c r="Q937" i="1"/>
  <c r="Q938" i="1"/>
  <c r="Q943" i="1"/>
  <c r="Q947" i="1"/>
  <c r="Q955" i="1"/>
  <c r="Q957" i="1"/>
  <c r="Q959" i="1"/>
  <c r="Q960" i="1"/>
  <c r="Q962" i="1"/>
  <c r="Q964" i="1"/>
  <c r="Q965" i="1"/>
  <c r="Q966" i="1"/>
  <c r="Q969" i="1"/>
  <c r="Q971" i="1"/>
  <c r="Q972" i="1"/>
  <c r="R932" i="1"/>
  <c r="Y932" i="1"/>
  <c r="Z932" i="1"/>
  <c r="AA932" i="1"/>
  <c r="AB932" i="1"/>
  <c r="AC932" i="1"/>
  <c r="Y933" i="1"/>
  <c r="Z933" i="1"/>
  <c r="AA933" i="1"/>
  <c r="AB933" i="1"/>
  <c r="AC933" i="1"/>
  <c r="Y934" i="1"/>
  <c r="Z934" i="1"/>
  <c r="AA934" i="1"/>
  <c r="AB934" i="1"/>
  <c r="AC934" i="1"/>
  <c r="Y935" i="1"/>
  <c r="Z935" i="1"/>
  <c r="AA935" i="1"/>
  <c r="AB935" i="1"/>
  <c r="AC935" i="1"/>
  <c r="Y936" i="1"/>
  <c r="Z936" i="1"/>
  <c r="AA936" i="1"/>
  <c r="AB936" i="1"/>
  <c r="AC936" i="1"/>
  <c r="R937" i="1"/>
  <c r="Y937" i="1"/>
  <c r="Z937" i="1"/>
  <c r="AA937" i="1"/>
  <c r="AB937" i="1"/>
  <c r="AC937" i="1"/>
  <c r="R938" i="1"/>
  <c r="Y938" i="1"/>
  <c r="Z938" i="1"/>
  <c r="AA938" i="1"/>
  <c r="AB938" i="1"/>
  <c r="AC938" i="1"/>
  <c r="Y939" i="1"/>
  <c r="Z939" i="1"/>
  <c r="AA939" i="1"/>
  <c r="AB939" i="1"/>
  <c r="AC939" i="1"/>
  <c r="Y940" i="1"/>
  <c r="Z940" i="1"/>
  <c r="AA940" i="1"/>
  <c r="AB940" i="1"/>
  <c r="AC940" i="1"/>
  <c r="Y941" i="1"/>
  <c r="Z941" i="1"/>
  <c r="AA941" i="1"/>
  <c r="AB941" i="1"/>
  <c r="AC941" i="1"/>
  <c r="Y942" i="1"/>
  <c r="Z942" i="1"/>
  <c r="AA942" i="1"/>
  <c r="AB942" i="1"/>
  <c r="AC942" i="1"/>
  <c r="R943" i="1"/>
  <c r="Y943" i="1"/>
  <c r="Z943" i="1"/>
  <c r="AA943" i="1"/>
  <c r="AB943" i="1"/>
  <c r="AC943" i="1"/>
  <c r="Y944" i="1"/>
  <c r="Z944" i="1"/>
  <c r="AA944" i="1"/>
  <c r="AB944" i="1"/>
  <c r="AC944" i="1"/>
  <c r="Y945" i="1"/>
  <c r="Z945" i="1"/>
  <c r="AA945" i="1"/>
  <c r="AB945" i="1"/>
  <c r="AC945" i="1"/>
  <c r="Y946" i="1"/>
  <c r="Z946" i="1"/>
  <c r="AA946" i="1"/>
  <c r="AB946" i="1"/>
  <c r="AC946" i="1"/>
  <c r="R947" i="1"/>
  <c r="Y947" i="1"/>
  <c r="Z947" i="1"/>
  <c r="AA947" i="1"/>
  <c r="AB947" i="1"/>
  <c r="AC947" i="1"/>
  <c r="Y948" i="1"/>
  <c r="Z948" i="1"/>
  <c r="AA948" i="1"/>
  <c r="AB948" i="1"/>
  <c r="AC948" i="1"/>
  <c r="Y949" i="1"/>
  <c r="Z949" i="1"/>
  <c r="AA949" i="1"/>
  <c r="AB949" i="1"/>
  <c r="AC949" i="1"/>
  <c r="Y950" i="1"/>
  <c r="Z950" i="1"/>
  <c r="AA950" i="1"/>
  <c r="AB950" i="1"/>
  <c r="AC950" i="1"/>
  <c r="Y951" i="1"/>
  <c r="Z951" i="1"/>
  <c r="AA951" i="1"/>
  <c r="AB951" i="1"/>
  <c r="AC951" i="1"/>
  <c r="Y952" i="1"/>
  <c r="Z952" i="1"/>
  <c r="AA952" i="1"/>
  <c r="AB952" i="1"/>
  <c r="AC952" i="1"/>
  <c r="Y953" i="1"/>
  <c r="Z953" i="1"/>
  <c r="AA953" i="1"/>
  <c r="AB953" i="1"/>
  <c r="AC953" i="1"/>
  <c r="Y954" i="1"/>
  <c r="Z954" i="1"/>
  <c r="AA954" i="1"/>
  <c r="AB954" i="1"/>
  <c r="AC954" i="1"/>
  <c r="R955" i="1"/>
  <c r="Y955" i="1"/>
  <c r="Z955" i="1"/>
  <c r="AA955" i="1"/>
  <c r="AB955" i="1"/>
  <c r="AC955" i="1"/>
  <c r="Y956" i="1"/>
  <c r="Z956" i="1"/>
  <c r="AA956" i="1"/>
  <c r="AB956" i="1"/>
  <c r="AC956" i="1"/>
  <c r="R957" i="1"/>
  <c r="Y957" i="1"/>
  <c r="Z957" i="1"/>
  <c r="AA957" i="1"/>
  <c r="AB957" i="1"/>
  <c r="AC957" i="1"/>
  <c r="Y958" i="1"/>
  <c r="Z958" i="1"/>
  <c r="AA958" i="1"/>
  <c r="AB958" i="1"/>
  <c r="AC958" i="1"/>
  <c r="R959" i="1"/>
  <c r="Y959" i="1"/>
  <c r="Z959" i="1"/>
  <c r="AA959" i="1"/>
  <c r="AB959" i="1"/>
  <c r="AC959" i="1"/>
  <c r="R960" i="1"/>
  <c r="Y960" i="1"/>
  <c r="Z960" i="1"/>
  <c r="AA960" i="1"/>
  <c r="AB960" i="1"/>
  <c r="AC960" i="1"/>
  <c r="Y961" i="1"/>
  <c r="Z961" i="1"/>
  <c r="AA961" i="1"/>
  <c r="AB961" i="1"/>
  <c r="AC961" i="1"/>
  <c r="R962" i="1"/>
  <c r="Y962" i="1"/>
  <c r="Z962" i="1"/>
  <c r="AA962" i="1"/>
  <c r="AB962" i="1"/>
  <c r="AC962" i="1"/>
  <c r="Y963" i="1"/>
  <c r="Z963" i="1"/>
  <c r="AA963" i="1"/>
  <c r="AB963" i="1"/>
  <c r="AC963" i="1"/>
  <c r="R964" i="1"/>
  <c r="Y964" i="1"/>
  <c r="Z964" i="1"/>
  <c r="AA964" i="1"/>
  <c r="AB964" i="1"/>
  <c r="AC964" i="1"/>
  <c r="R965" i="1"/>
  <c r="Y965" i="1"/>
  <c r="Z965" i="1"/>
  <c r="AA965" i="1"/>
  <c r="AB965" i="1"/>
  <c r="AC965" i="1"/>
  <c r="R966" i="1"/>
  <c r="Y966" i="1"/>
  <c r="Z966" i="1"/>
  <c r="AA966" i="1"/>
  <c r="AB966" i="1"/>
  <c r="AC966" i="1"/>
  <c r="AC931" i="1"/>
  <c r="AB931" i="1"/>
  <c r="AA931" i="1"/>
  <c r="Z931" i="1"/>
  <c r="Y931" i="1"/>
  <c r="AD931" i="1" s="1"/>
  <c r="R931" i="1"/>
  <c r="Q931" i="1"/>
  <c r="AC930" i="1"/>
  <c r="AB930" i="1"/>
  <c r="AA930" i="1"/>
  <c r="Z930" i="1"/>
  <c r="Y930" i="1"/>
  <c r="R930" i="1"/>
  <c r="Q930" i="1"/>
  <c r="AC929" i="1"/>
  <c r="AB929" i="1"/>
  <c r="AA929" i="1"/>
  <c r="Z929" i="1"/>
  <c r="Y929" i="1"/>
  <c r="R929" i="1"/>
  <c r="Q929" i="1"/>
  <c r="AC928" i="1"/>
  <c r="AB928" i="1"/>
  <c r="AA928" i="1"/>
  <c r="Z928" i="1"/>
  <c r="Y928" i="1"/>
  <c r="R928" i="1"/>
  <c r="Q928" i="1"/>
  <c r="AC927" i="1"/>
  <c r="AB927" i="1"/>
  <c r="AA927" i="1"/>
  <c r="Z927" i="1"/>
  <c r="Y927" i="1"/>
  <c r="R927" i="1"/>
  <c r="Q927" i="1"/>
  <c r="AC926" i="1"/>
  <c r="AB926" i="1"/>
  <c r="AA926" i="1"/>
  <c r="Z926" i="1"/>
  <c r="Y926" i="1"/>
  <c r="R926" i="1"/>
  <c r="Q926" i="1"/>
  <c r="AC925" i="1"/>
  <c r="AB925" i="1"/>
  <c r="AA925" i="1"/>
  <c r="Z925" i="1"/>
  <c r="Y925" i="1"/>
  <c r="R925" i="1"/>
  <c r="Q925" i="1"/>
  <c r="Y967" i="1"/>
  <c r="Z967" i="1"/>
  <c r="AA967" i="1"/>
  <c r="AB967" i="1"/>
  <c r="AC967" i="1"/>
  <c r="Y968" i="1"/>
  <c r="Z968" i="1"/>
  <c r="AA968" i="1"/>
  <c r="AB968" i="1"/>
  <c r="AC968" i="1"/>
  <c r="R969" i="1"/>
  <c r="Y969" i="1"/>
  <c r="Z969" i="1"/>
  <c r="AA969" i="1"/>
  <c r="AB969" i="1"/>
  <c r="AC969" i="1"/>
  <c r="Y970" i="1"/>
  <c r="Z970" i="1"/>
  <c r="AA970" i="1"/>
  <c r="AB970" i="1"/>
  <c r="AC970" i="1"/>
  <c r="R971" i="1"/>
  <c r="Y971" i="1"/>
  <c r="Z971" i="1"/>
  <c r="AA971" i="1"/>
  <c r="AB971" i="1"/>
  <c r="AC971" i="1"/>
  <c r="R972" i="1"/>
  <c r="Y972" i="1"/>
  <c r="Z972" i="1"/>
  <c r="AA972" i="1"/>
  <c r="AB972" i="1"/>
  <c r="AC972" i="1"/>
  <c r="Y973" i="1"/>
  <c r="Z973" i="1"/>
  <c r="AA973" i="1"/>
  <c r="AB973" i="1"/>
  <c r="AC973" i="1"/>
  <c r="AD928" i="1" l="1"/>
  <c r="AD930" i="1"/>
  <c r="AD925" i="1"/>
  <c r="AD926" i="1"/>
  <c r="AD932" i="1"/>
  <c r="AD933" i="1"/>
  <c r="AD934" i="1"/>
  <c r="AD935" i="1"/>
  <c r="AD936" i="1"/>
  <c r="AD937" i="1"/>
  <c r="AD938" i="1"/>
  <c r="AD939" i="1"/>
  <c r="AD927" i="1"/>
  <c r="AD929" i="1"/>
  <c r="AD940" i="1"/>
  <c r="AD941" i="1"/>
  <c r="AD942" i="1"/>
  <c r="AD943" i="1"/>
  <c r="AD944" i="1"/>
  <c r="AD945" i="1"/>
  <c r="AD946" i="1"/>
  <c r="AD947" i="1"/>
  <c r="AD948" i="1"/>
  <c r="AD949" i="1"/>
  <c r="AD950" i="1"/>
  <c r="AD951" i="1"/>
  <c r="AD952" i="1"/>
  <c r="AD953" i="1"/>
  <c r="AD954" i="1"/>
  <c r="AD955" i="1"/>
  <c r="AD956" i="1"/>
  <c r="AD957" i="1"/>
  <c r="AD958" i="1"/>
  <c r="AD959" i="1"/>
  <c r="AD960" i="1"/>
  <c r="AD961" i="1"/>
  <c r="AD964" i="1"/>
  <c r="AD962" i="1"/>
  <c r="AD963" i="1"/>
  <c r="AD965" i="1"/>
  <c r="AD966" i="1"/>
  <c r="AD967" i="1"/>
  <c r="AD968" i="1"/>
  <c r="AD969" i="1"/>
  <c r="AD970" i="1"/>
  <c r="AD971" i="1"/>
  <c r="AD972" i="1"/>
  <c r="AD973" i="1"/>
  <c r="R923" i="1" l="1"/>
  <c r="Q923" i="1"/>
  <c r="R921" i="1" l="1"/>
  <c r="Q921" i="1"/>
  <c r="R922" i="1"/>
  <c r="R924" i="1"/>
  <c r="Q920" i="1"/>
  <c r="Q922" i="1"/>
  <c r="Q924" i="1"/>
  <c r="R919" i="1" l="1"/>
  <c r="Q919" i="1"/>
  <c r="R918" i="1"/>
  <c r="Q918" i="1"/>
  <c r="Y919" i="1" l="1"/>
  <c r="Z919" i="1"/>
  <c r="AA919" i="1"/>
  <c r="AB919" i="1"/>
  <c r="AC919" i="1"/>
  <c r="R920" i="1"/>
  <c r="Y920" i="1"/>
  <c r="Z920" i="1"/>
  <c r="AA920" i="1"/>
  <c r="AB920" i="1"/>
  <c r="AC920" i="1"/>
  <c r="Y921" i="1"/>
  <c r="Z921" i="1"/>
  <c r="AA921" i="1"/>
  <c r="AB921" i="1"/>
  <c r="AC921" i="1"/>
  <c r="Y922" i="1"/>
  <c r="Z922" i="1"/>
  <c r="AA922" i="1"/>
  <c r="AB922" i="1"/>
  <c r="AC922" i="1"/>
  <c r="AC915" i="1"/>
  <c r="AB915" i="1"/>
  <c r="AA915" i="1"/>
  <c r="Z915" i="1"/>
  <c r="Y915" i="1"/>
  <c r="R915" i="1"/>
  <c r="Q915" i="1"/>
  <c r="AC914" i="1"/>
  <c r="AB914" i="1"/>
  <c r="AA914" i="1"/>
  <c r="Z914" i="1"/>
  <c r="Y914" i="1"/>
  <c r="AD914" i="1" s="1"/>
  <c r="R914" i="1"/>
  <c r="Q914" i="1"/>
  <c r="AC913" i="1"/>
  <c r="AB913" i="1"/>
  <c r="AA913" i="1"/>
  <c r="Z913" i="1"/>
  <c r="Y913" i="1"/>
  <c r="R913" i="1"/>
  <c r="Q913" i="1"/>
  <c r="AC912" i="1"/>
  <c r="AB912" i="1"/>
  <c r="AA912" i="1"/>
  <c r="Z912" i="1"/>
  <c r="Y912" i="1"/>
  <c r="R912" i="1"/>
  <c r="Q912" i="1"/>
  <c r="AC911" i="1"/>
  <c r="AB911" i="1"/>
  <c r="AA911" i="1"/>
  <c r="Z911" i="1"/>
  <c r="Y911" i="1"/>
  <c r="AD911" i="1" s="1"/>
  <c r="R911" i="1"/>
  <c r="Q911" i="1"/>
  <c r="AC910" i="1"/>
  <c r="AB910" i="1"/>
  <c r="AA910" i="1"/>
  <c r="Z910" i="1"/>
  <c r="Y910" i="1"/>
  <c r="R910" i="1"/>
  <c r="Q910" i="1"/>
  <c r="AC909" i="1"/>
  <c r="AB909" i="1"/>
  <c r="AA909" i="1"/>
  <c r="Z909" i="1"/>
  <c r="Y909" i="1"/>
  <c r="R909" i="1"/>
  <c r="Q909" i="1"/>
  <c r="R917" i="1"/>
  <c r="R916" i="1"/>
  <c r="R908" i="1"/>
  <c r="R907" i="1"/>
  <c r="R906" i="1"/>
  <c r="R905" i="1"/>
  <c r="R904" i="1"/>
  <c r="R903" i="1"/>
  <c r="R902" i="1"/>
  <c r="R901" i="1"/>
  <c r="Q917" i="1"/>
  <c r="Q916" i="1"/>
  <c r="Q908" i="1"/>
  <c r="Q907" i="1"/>
  <c r="Q906" i="1"/>
  <c r="Q905" i="1"/>
  <c r="Q904" i="1"/>
  <c r="Q903" i="1"/>
  <c r="Q902" i="1"/>
  <c r="Q901" i="1"/>
  <c r="Y916" i="1"/>
  <c r="Z916" i="1"/>
  <c r="AA916" i="1"/>
  <c r="AB916" i="1"/>
  <c r="AC916" i="1"/>
  <c r="Y917" i="1"/>
  <c r="Z917" i="1"/>
  <c r="AA917" i="1"/>
  <c r="AB917" i="1"/>
  <c r="AC917" i="1"/>
  <c r="Y918" i="1"/>
  <c r="Z918" i="1"/>
  <c r="AA918" i="1"/>
  <c r="AB918" i="1"/>
  <c r="AC918" i="1"/>
  <c r="Y923" i="1"/>
  <c r="Z923" i="1"/>
  <c r="AA923" i="1"/>
  <c r="AB923" i="1"/>
  <c r="AC923" i="1"/>
  <c r="Y924" i="1"/>
  <c r="Z924" i="1"/>
  <c r="AA924" i="1"/>
  <c r="AB924" i="1"/>
  <c r="AC924" i="1"/>
  <c r="AD915" i="1" l="1"/>
  <c r="AD909" i="1"/>
  <c r="AD910" i="1"/>
  <c r="AD913" i="1"/>
  <c r="AD912" i="1"/>
  <c r="AD916" i="1"/>
  <c r="AD919" i="1"/>
  <c r="AD920" i="1"/>
  <c r="AD921" i="1"/>
  <c r="AD922" i="1"/>
  <c r="AD917" i="1"/>
  <c r="AD918" i="1"/>
  <c r="AD923" i="1"/>
  <c r="AD924" i="1"/>
  <c r="Y905" i="1" l="1"/>
  <c r="Z905" i="1"/>
  <c r="AA905" i="1"/>
  <c r="AB905" i="1"/>
  <c r="AC905" i="1"/>
  <c r="Y904" i="1"/>
  <c r="Z904" i="1"/>
  <c r="AA904" i="1"/>
  <c r="AB904" i="1"/>
  <c r="AC904" i="1"/>
  <c r="R900" i="1"/>
  <c r="Q900" i="1"/>
  <c r="Q899" i="1"/>
  <c r="Q898" i="1"/>
  <c r="R897" i="1"/>
  <c r="Q897" i="1"/>
  <c r="AC908" i="1"/>
  <c r="AB908" i="1"/>
  <c r="AA908" i="1"/>
  <c r="Z908" i="1"/>
  <c r="Y908" i="1"/>
  <c r="AC907" i="1"/>
  <c r="AB907" i="1"/>
  <c r="AA907" i="1"/>
  <c r="Z907" i="1"/>
  <c r="Y907" i="1"/>
  <c r="AC906" i="1"/>
  <c r="AB906" i="1"/>
  <c r="AA906" i="1"/>
  <c r="Z906" i="1"/>
  <c r="Y906" i="1"/>
  <c r="AC903" i="1"/>
  <c r="AB903" i="1"/>
  <c r="AA903" i="1"/>
  <c r="Z903" i="1"/>
  <c r="Y903" i="1"/>
  <c r="AD903" i="1" s="1"/>
  <c r="AC902" i="1"/>
  <c r="AB902" i="1"/>
  <c r="AA902" i="1"/>
  <c r="Z902" i="1"/>
  <c r="Y902" i="1"/>
  <c r="AC901" i="1"/>
  <c r="AB901" i="1"/>
  <c r="AA901" i="1"/>
  <c r="Z901" i="1"/>
  <c r="Y901" i="1"/>
  <c r="AC900" i="1"/>
  <c r="AB900" i="1"/>
  <c r="AA900" i="1"/>
  <c r="Z900" i="1"/>
  <c r="Y900" i="1"/>
  <c r="AC899" i="1"/>
  <c r="AB899" i="1"/>
  <c r="AA899" i="1"/>
  <c r="Z899" i="1"/>
  <c r="Y899" i="1"/>
  <c r="R899" i="1"/>
  <c r="AC898" i="1"/>
  <c r="AB898" i="1"/>
  <c r="AA898" i="1"/>
  <c r="Z898" i="1"/>
  <c r="Y898" i="1"/>
  <c r="AD898" i="1" s="1"/>
  <c r="R898" i="1"/>
  <c r="AC897" i="1"/>
  <c r="AB897" i="1"/>
  <c r="AA897" i="1"/>
  <c r="Z897" i="1"/>
  <c r="Y897" i="1"/>
  <c r="AD897" i="1" s="1"/>
  <c r="Q889" i="1"/>
  <c r="R889" i="1"/>
  <c r="Y889" i="1"/>
  <c r="Z889" i="1"/>
  <c r="AA889" i="1"/>
  <c r="AB889" i="1"/>
  <c r="AC889" i="1"/>
  <c r="AD907" i="1" l="1"/>
  <c r="AD899" i="1"/>
  <c r="AD902" i="1"/>
  <c r="AD906" i="1"/>
  <c r="AD900" i="1"/>
  <c r="AD908" i="1"/>
  <c r="AD901" i="1"/>
  <c r="AD905" i="1"/>
  <c r="AD904" i="1"/>
  <c r="AD889" i="1"/>
  <c r="R888" i="1"/>
  <c r="Q888" i="1"/>
  <c r="Y888" i="1"/>
  <c r="Z888" i="1"/>
  <c r="AA888" i="1"/>
  <c r="AB888" i="1"/>
  <c r="AC888" i="1"/>
  <c r="Y885" i="1"/>
  <c r="Y886" i="1"/>
  <c r="Y887" i="1"/>
  <c r="Z885" i="1"/>
  <c r="Z886" i="1"/>
  <c r="Z887" i="1"/>
  <c r="AA885" i="1"/>
  <c r="AA886" i="1"/>
  <c r="AA887" i="1"/>
  <c r="AB885" i="1"/>
  <c r="AB886" i="1"/>
  <c r="AB887" i="1"/>
  <c r="AC885" i="1"/>
  <c r="AC886" i="1"/>
  <c r="AC887" i="1"/>
  <c r="R887" i="1"/>
  <c r="Q887" i="1"/>
  <c r="R886" i="1"/>
  <c r="Q886" i="1"/>
  <c r="R885" i="1"/>
  <c r="Q885" i="1"/>
  <c r="AD885" i="1" l="1"/>
  <c r="AD888" i="1"/>
  <c r="AD887" i="1"/>
  <c r="AD886" i="1"/>
  <c r="R882" i="1"/>
  <c r="Q882" i="1"/>
  <c r="R881" i="1"/>
  <c r="Q881" i="1"/>
  <c r="R879" i="1" l="1"/>
  <c r="Q879" i="1"/>
  <c r="R878" i="1"/>
  <c r="Q878" i="1"/>
  <c r="R877" i="1"/>
  <c r="Q877" i="1"/>
  <c r="R875" i="1"/>
  <c r="Q875" i="1"/>
  <c r="R874" i="1"/>
  <c r="Q874" i="1"/>
  <c r="R873" i="1"/>
  <c r="Q873" i="1"/>
  <c r="R871" i="1" l="1"/>
  <c r="Q871" i="1"/>
  <c r="R870" i="1"/>
  <c r="Q870" i="1"/>
  <c r="R869" i="1"/>
  <c r="Q869" i="1"/>
  <c r="R868" i="1"/>
  <c r="Q868" i="1"/>
  <c r="Y871" i="1"/>
  <c r="Z871" i="1"/>
  <c r="AA871" i="1"/>
  <c r="AB871" i="1"/>
  <c r="AC871" i="1"/>
  <c r="Y870" i="1"/>
  <c r="Z870" i="1"/>
  <c r="AA870" i="1"/>
  <c r="AB870" i="1"/>
  <c r="AC870" i="1"/>
  <c r="Y869" i="1"/>
  <c r="Z869" i="1"/>
  <c r="AA869" i="1"/>
  <c r="AB869" i="1"/>
  <c r="AC869" i="1"/>
  <c r="Y868" i="1"/>
  <c r="Z868" i="1"/>
  <c r="AA868" i="1"/>
  <c r="AB868" i="1"/>
  <c r="AC868" i="1"/>
  <c r="R866" i="1"/>
  <c r="Q866" i="1"/>
  <c r="AD870" i="1" l="1"/>
  <c r="AD871" i="1"/>
  <c r="AD869" i="1"/>
  <c r="AD868" i="1"/>
  <c r="Y798" i="1"/>
  <c r="Z798" i="1"/>
  <c r="AA798" i="1"/>
  <c r="AB798" i="1"/>
  <c r="AC798" i="1"/>
  <c r="Y799" i="1"/>
  <c r="Z799" i="1"/>
  <c r="AA799" i="1"/>
  <c r="AB799" i="1"/>
  <c r="AC799" i="1"/>
  <c r="Y800" i="1"/>
  <c r="Z800" i="1"/>
  <c r="AA800" i="1"/>
  <c r="AB800" i="1"/>
  <c r="AC800" i="1"/>
  <c r="Y801" i="1"/>
  <c r="Z801" i="1"/>
  <c r="AA801" i="1"/>
  <c r="AB801" i="1"/>
  <c r="AC801" i="1"/>
  <c r="Y802" i="1"/>
  <c r="Z802" i="1"/>
  <c r="AA802" i="1"/>
  <c r="AB802" i="1"/>
  <c r="AC802" i="1"/>
  <c r="Y803" i="1"/>
  <c r="Z803" i="1"/>
  <c r="AA803" i="1"/>
  <c r="AB803" i="1"/>
  <c r="AC803" i="1"/>
  <c r="Y804" i="1"/>
  <c r="Z804" i="1"/>
  <c r="AA804" i="1"/>
  <c r="AB804" i="1"/>
  <c r="AC804" i="1"/>
  <c r="Y805" i="1"/>
  <c r="Z805" i="1"/>
  <c r="AA805" i="1"/>
  <c r="AB805" i="1"/>
  <c r="AC805" i="1"/>
  <c r="Y806" i="1"/>
  <c r="Z806" i="1"/>
  <c r="AA806" i="1"/>
  <c r="AB806" i="1"/>
  <c r="AC806" i="1"/>
  <c r="Y807" i="1"/>
  <c r="Z807" i="1"/>
  <c r="AA807" i="1"/>
  <c r="AB807" i="1"/>
  <c r="AC807" i="1"/>
  <c r="Y808" i="1"/>
  <c r="Z808" i="1"/>
  <c r="AA808" i="1"/>
  <c r="AB808" i="1"/>
  <c r="AC808" i="1"/>
  <c r="Y809" i="1"/>
  <c r="Z809" i="1"/>
  <c r="AA809" i="1"/>
  <c r="AB809" i="1"/>
  <c r="AC809" i="1"/>
  <c r="Y810" i="1"/>
  <c r="Z810" i="1"/>
  <c r="AA810" i="1"/>
  <c r="AB810" i="1"/>
  <c r="AC810" i="1"/>
  <c r="Y811" i="1"/>
  <c r="Z811" i="1"/>
  <c r="AA811" i="1"/>
  <c r="AB811" i="1"/>
  <c r="AC811" i="1"/>
  <c r="Y812" i="1"/>
  <c r="Z812" i="1"/>
  <c r="AA812" i="1"/>
  <c r="AB812" i="1"/>
  <c r="AC812" i="1"/>
  <c r="Y813" i="1"/>
  <c r="Z813" i="1"/>
  <c r="AA813" i="1"/>
  <c r="AB813" i="1"/>
  <c r="AC813" i="1"/>
  <c r="Y814" i="1"/>
  <c r="Z814" i="1"/>
  <c r="AA814" i="1"/>
  <c r="AB814" i="1"/>
  <c r="AC814" i="1"/>
  <c r="Y815" i="1"/>
  <c r="Z815" i="1"/>
  <c r="AA815" i="1"/>
  <c r="AB815" i="1"/>
  <c r="AC815" i="1"/>
  <c r="Y816" i="1"/>
  <c r="Z816" i="1"/>
  <c r="AA816" i="1"/>
  <c r="AB816" i="1"/>
  <c r="AC816" i="1"/>
  <c r="Y817" i="1"/>
  <c r="Z817" i="1"/>
  <c r="AA817" i="1"/>
  <c r="AB817" i="1"/>
  <c r="AC817" i="1"/>
  <c r="Y818" i="1"/>
  <c r="Z818" i="1"/>
  <c r="AA818" i="1"/>
  <c r="AB818" i="1"/>
  <c r="AC818" i="1"/>
  <c r="Y819" i="1"/>
  <c r="Z819" i="1"/>
  <c r="AA819" i="1"/>
  <c r="AB819" i="1"/>
  <c r="AC819" i="1"/>
  <c r="Y820" i="1"/>
  <c r="Z820" i="1"/>
  <c r="AA820" i="1"/>
  <c r="AB820" i="1"/>
  <c r="AC820" i="1"/>
  <c r="Y821" i="1"/>
  <c r="Z821" i="1"/>
  <c r="AA821" i="1"/>
  <c r="AB821" i="1"/>
  <c r="AC821" i="1"/>
  <c r="Y822" i="1"/>
  <c r="Z822" i="1"/>
  <c r="AA822" i="1"/>
  <c r="AB822" i="1"/>
  <c r="AC822" i="1"/>
  <c r="Y823" i="1"/>
  <c r="Z823" i="1"/>
  <c r="AA823" i="1"/>
  <c r="AB823" i="1"/>
  <c r="AC823" i="1"/>
  <c r="Y824" i="1"/>
  <c r="Z824" i="1"/>
  <c r="AA824" i="1"/>
  <c r="AB824" i="1"/>
  <c r="AC824" i="1"/>
  <c r="Y825" i="1"/>
  <c r="Z825" i="1"/>
  <c r="AA825" i="1"/>
  <c r="AB825" i="1"/>
  <c r="AC825" i="1"/>
  <c r="Y826" i="1"/>
  <c r="Z826" i="1"/>
  <c r="AA826" i="1"/>
  <c r="AB826" i="1"/>
  <c r="AC826" i="1"/>
  <c r="Y827" i="1"/>
  <c r="Z827" i="1"/>
  <c r="AA827" i="1"/>
  <c r="AB827" i="1"/>
  <c r="AC827" i="1"/>
  <c r="Y828" i="1"/>
  <c r="Z828" i="1"/>
  <c r="AA828" i="1"/>
  <c r="AB828" i="1"/>
  <c r="AC828" i="1"/>
  <c r="Y829" i="1"/>
  <c r="Z829" i="1"/>
  <c r="AA829" i="1"/>
  <c r="AB829" i="1"/>
  <c r="AC829" i="1"/>
  <c r="Y830" i="1"/>
  <c r="Z830" i="1"/>
  <c r="AA830" i="1"/>
  <c r="AB830" i="1"/>
  <c r="AC830" i="1"/>
  <c r="Y831" i="1"/>
  <c r="Z831" i="1"/>
  <c r="AA831" i="1"/>
  <c r="AB831" i="1"/>
  <c r="AC831" i="1"/>
  <c r="Y832" i="1"/>
  <c r="Z832" i="1"/>
  <c r="AA832" i="1"/>
  <c r="AB832" i="1"/>
  <c r="AC832" i="1"/>
  <c r="Y833" i="1"/>
  <c r="Z833" i="1"/>
  <c r="AA833" i="1"/>
  <c r="AB833" i="1"/>
  <c r="AC833" i="1"/>
  <c r="Y834" i="1"/>
  <c r="Z834" i="1"/>
  <c r="AA834" i="1"/>
  <c r="AB834" i="1"/>
  <c r="AC834" i="1"/>
  <c r="Y835" i="1"/>
  <c r="Z835" i="1"/>
  <c r="AA835" i="1"/>
  <c r="AB835" i="1"/>
  <c r="AC835" i="1"/>
  <c r="Y836" i="1"/>
  <c r="Z836" i="1"/>
  <c r="AA836" i="1"/>
  <c r="AB836" i="1"/>
  <c r="AC836" i="1"/>
  <c r="Y837" i="1"/>
  <c r="Z837" i="1"/>
  <c r="AA837" i="1"/>
  <c r="AB837" i="1"/>
  <c r="AC837" i="1"/>
  <c r="Y838" i="1"/>
  <c r="Z838" i="1"/>
  <c r="AA838" i="1"/>
  <c r="AB838" i="1"/>
  <c r="AC838" i="1"/>
  <c r="Y839" i="1"/>
  <c r="Z839" i="1"/>
  <c r="AA839" i="1"/>
  <c r="AB839" i="1"/>
  <c r="AC839" i="1"/>
  <c r="Y840" i="1"/>
  <c r="Z840" i="1"/>
  <c r="AA840" i="1"/>
  <c r="AB840" i="1"/>
  <c r="AC840" i="1"/>
  <c r="Y841" i="1"/>
  <c r="Z841" i="1"/>
  <c r="AA841" i="1"/>
  <c r="AB841" i="1"/>
  <c r="AC841" i="1"/>
  <c r="Y842" i="1"/>
  <c r="Z842" i="1"/>
  <c r="AA842" i="1"/>
  <c r="AB842" i="1"/>
  <c r="AC842" i="1"/>
  <c r="Y843" i="1"/>
  <c r="Z843" i="1"/>
  <c r="AA843" i="1"/>
  <c r="AB843" i="1"/>
  <c r="AC843" i="1"/>
  <c r="Y844" i="1"/>
  <c r="Z844" i="1"/>
  <c r="AA844" i="1"/>
  <c r="AB844" i="1"/>
  <c r="AC844" i="1"/>
  <c r="Y845" i="1"/>
  <c r="Z845" i="1"/>
  <c r="AA845" i="1"/>
  <c r="AB845" i="1"/>
  <c r="AC845" i="1"/>
  <c r="Y846" i="1"/>
  <c r="Z846" i="1"/>
  <c r="AA846" i="1"/>
  <c r="AB846" i="1"/>
  <c r="AC846" i="1"/>
  <c r="Y847" i="1"/>
  <c r="Z847" i="1"/>
  <c r="AA847" i="1"/>
  <c r="AB847" i="1"/>
  <c r="AC847" i="1"/>
  <c r="Y848" i="1"/>
  <c r="Z848" i="1"/>
  <c r="AA848" i="1"/>
  <c r="AB848" i="1"/>
  <c r="AC848" i="1"/>
  <c r="Y849" i="1"/>
  <c r="Z849" i="1"/>
  <c r="AA849" i="1"/>
  <c r="AB849" i="1"/>
  <c r="AC849" i="1"/>
  <c r="Y850" i="1"/>
  <c r="Z850" i="1"/>
  <c r="AA850" i="1"/>
  <c r="AB850" i="1"/>
  <c r="AC850" i="1"/>
  <c r="Y851" i="1"/>
  <c r="Z851" i="1"/>
  <c r="AA851" i="1"/>
  <c r="AB851" i="1"/>
  <c r="AC851" i="1"/>
  <c r="Y852" i="1"/>
  <c r="Z852" i="1"/>
  <c r="AA852" i="1"/>
  <c r="AB852" i="1"/>
  <c r="AC852" i="1"/>
  <c r="Y853" i="1"/>
  <c r="Z853" i="1"/>
  <c r="AA853" i="1"/>
  <c r="AB853" i="1"/>
  <c r="AC853" i="1"/>
  <c r="Y854" i="1"/>
  <c r="Z854" i="1"/>
  <c r="AA854" i="1"/>
  <c r="AB854" i="1"/>
  <c r="AC854" i="1"/>
  <c r="Y855" i="1"/>
  <c r="Z855" i="1"/>
  <c r="AA855" i="1"/>
  <c r="AB855" i="1"/>
  <c r="AC855" i="1"/>
  <c r="Y856" i="1"/>
  <c r="Z856" i="1"/>
  <c r="AA856" i="1"/>
  <c r="AB856" i="1"/>
  <c r="AC856" i="1"/>
  <c r="Y857" i="1"/>
  <c r="Z857" i="1"/>
  <c r="AA857" i="1"/>
  <c r="AB857" i="1"/>
  <c r="AC857" i="1"/>
  <c r="Y858" i="1"/>
  <c r="Z858" i="1"/>
  <c r="AA858" i="1"/>
  <c r="AB858" i="1"/>
  <c r="AC858" i="1"/>
  <c r="Y859" i="1"/>
  <c r="Z859" i="1"/>
  <c r="AA859" i="1"/>
  <c r="AB859" i="1"/>
  <c r="AC859" i="1"/>
  <c r="Y860" i="1"/>
  <c r="Z860" i="1"/>
  <c r="AA860" i="1"/>
  <c r="AB860" i="1"/>
  <c r="AC860" i="1"/>
  <c r="Y861" i="1"/>
  <c r="Z861" i="1"/>
  <c r="AA861" i="1"/>
  <c r="AB861" i="1"/>
  <c r="AC861" i="1"/>
  <c r="Y862" i="1"/>
  <c r="Z862" i="1"/>
  <c r="AA862" i="1"/>
  <c r="AB862" i="1"/>
  <c r="AC862" i="1"/>
  <c r="Y863" i="1"/>
  <c r="Z863" i="1"/>
  <c r="AA863" i="1"/>
  <c r="AB863" i="1"/>
  <c r="AC863" i="1"/>
  <c r="Y864" i="1"/>
  <c r="Z864" i="1"/>
  <c r="AA864" i="1"/>
  <c r="AB864" i="1"/>
  <c r="AC864" i="1"/>
  <c r="Y865" i="1"/>
  <c r="Z865" i="1"/>
  <c r="AA865" i="1"/>
  <c r="AB865" i="1"/>
  <c r="AC865" i="1"/>
  <c r="Y866" i="1"/>
  <c r="Z866" i="1"/>
  <c r="AA866" i="1"/>
  <c r="AB866" i="1"/>
  <c r="AC866" i="1"/>
  <c r="Y867" i="1"/>
  <c r="Z867" i="1"/>
  <c r="AA867" i="1"/>
  <c r="AB867" i="1"/>
  <c r="AC867" i="1"/>
  <c r="Y872" i="1"/>
  <c r="Z872" i="1"/>
  <c r="AA872" i="1"/>
  <c r="AB872" i="1"/>
  <c r="AC872" i="1"/>
  <c r="Y873" i="1"/>
  <c r="Z873" i="1"/>
  <c r="AA873" i="1"/>
  <c r="AB873" i="1"/>
  <c r="AC873" i="1"/>
  <c r="Y874" i="1"/>
  <c r="Z874" i="1"/>
  <c r="AA874" i="1"/>
  <c r="AB874" i="1"/>
  <c r="AC874" i="1"/>
  <c r="Y875" i="1"/>
  <c r="Z875" i="1"/>
  <c r="AA875" i="1"/>
  <c r="AB875" i="1"/>
  <c r="AC875" i="1"/>
  <c r="Y876" i="1"/>
  <c r="Z876" i="1"/>
  <c r="AA876" i="1"/>
  <c r="AB876" i="1"/>
  <c r="AC876" i="1"/>
  <c r="Y877" i="1"/>
  <c r="Z877" i="1"/>
  <c r="AA877" i="1"/>
  <c r="AB877" i="1"/>
  <c r="AC877" i="1"/>
  <c r="Y878" i="1"/>
  <c r="Z878" i="1"/>
  <c r="AA878" i="1"/>
  <c r="AB878" i="1"/>
  <c r="AC878" i="1"/>
  <c r="Y879" i="1"/>
  <c r="Z879" i="1"/>
  <c r="AA879" i="1"/>
  <c r="AB879" i="1"/>
  <c r="AC879" i="1"/>
  <c r="Y880" i="1"/>
  <c r="Z880" i="1"/>
  <c r="AA880" i="1"/>
  <c r="AB880" i="1"/>
  <c r="AC880" i="1"/>
  <c r="Y881" i="1"/>
  <c r="Z881" i="1"/>
  <c r="AA881" i="1"/>
  <c r="AB881" i="1"/>
  <c r="AC881" i="1"/>
  <c r="Y882" i="1"/>
  <c r="Z882" i="1"/>
  <c r="AA882" i="1"/>
  <c r="AB882" i="1"/>
  <c r="AC882" i="1"/>
  <c r="Y883" i="1"/>
  <c r="Z883" i="1"/>
  <c r="AA883" i="1"/>
  <c r="AB883" i="1"/>
  <c r="AC883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7" i="1"/>
  <c r="R872" i="1"/>
  <c r="R876" i="1"/>
  <c r="R880" i="1"/>
  <c r="R883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7" i="1"/>
  <c r="Q872" i="1"/>
  <c r="Q876" i="1"/>
  <c r="Q880" i="1"/>
  <c r="Q883" i="1"/>
  <c r="AD798" i="1" l="1"/>
  <c r="AD879" i="1"/>
  <c r="AD829" i="1"/>
  <c r="AD837" i="1"/>
  <c r="AD861" i="1"/>
  <c r="AD855" i="1"/>
  <c r="AD823" i="1"/>
  <c r="AD857" i="1"/>
  <c r="AD831" i="1"/>
  <c r="AD817" i="1"/>
  <c r="AD849" i="1"/>
  <c r="AD847" i="1"/>
  <c r="AD825" i="1"/>
  <c r="AD813" i="1"/>
  <c r="AD809" i="1"/>
  <c r="AD805" i="1"/>
  <c r="AD801" i="1"/>
  <c r="AD839" i="1"/>
  <c r="AD875" i="1"/>
  <c r="AD865" i="1"/>
  <c r="AD845" i="1"/>
  <c r="AD841" i="1"/>
  <c r="AD815" i="1"/>
  <c r="AD807" i="1"/>
  <c r="AD799" i="1"/>
  <c r="AD833" i="1"/>
  <c r="AD821" i="1"/>
  <c r="AD863" i="1"/>
  <c r="AD853" i="1"/>
  <c r="AD877" i="1"/>
  <c r="AD883" i="1"/>
  <c r="AD867" i="1"/>
  <c r="AD835" i="1"/>
  <c r="AD832" i="1"/>
  <c r="AD803" i="1"/>
  <c r="AD873" i="1"/>
  <c r="AD843" i="1"/>
  <c r="AD840" i="1"/>
  <c r="AD811" i="1"/>
  <c r="AD808" i="1"/>
  <c r="AD881" i="1"/>
  <c r="AD851" i="1"/>
  <c r="AD848" i="1"/>
  <c r="AD819" i="1"/>
  <c r="AD859" i="1"/>
  <c r="AD856" i="1"/>
  <c r="AD827" i="1"/>
  <c r="AD800" i="1"/>
  <c r="AD858" i="1"/>
  <c r="AD850" i="1"/>
  <c r="AD842" i="1"/>
  <c r="AD834" i="1"/>
  <c r="AD826" i="1"/>
  <c r="AD818" i="1"/>
  <c r="AD810" i="1"/>
  <c r="AD802" i="1"/>
  <c r="AD824" i="1"/>
  <c r="AD816" i="1"/>
  <c r="AD860" i="1"/>
  <c r="AD852" i="1"/>
  <c r="AD844" i="1"/>
  <c r="AD836" i="1"/>
  <c r="AD828" i="1"/>
  <c r="AD820" i="1"/>
  <c r="AD812" i="1"/>
  <c r="AD804" i="1"/>
  <c r="AD854" i="1"/>
  <c r="AD846" i="1"/>
  <c r="AD838" i="1"/>
  <c r="AD830" i="1"/>
  <c r="AD822" i="1"/>
  <c r="AD814" i="1"/>
  <c r="AD806" i="1"/>
  <c r="AD862" i="1"/>
  <c r="AD878" i="1"/>
  <c r="AD864" i="1"/>
  <c r="AD880" i="1"/>
  <c r="AD872" i="1"/>
  <c r="AD866" i="1"/>
  <c r="AD882" i="1"/>
  <c r="AD874" i="1"/>
  <c r="AD876" i="1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R797" i="1" l="1"/>
  <c r="Q797" i="1"/>
  <c r="R796" i="1"/>
  <c r="Q796" i="1"/>
  <c r="R795" i="1"/>
  <c r="Q795" i="1"/>
  <c r="AC788" i="1"/>
  <c r="AB788" i="1"/>
  <c r="AA788" i="1"/>
  <c r="Z788" i="1"/>
  <c r="Y788" i="1"/>
  <c r="R788" i="1"/>
  <c r="Q788" i="1"/>
  <c r="AC787" i="1"/>
  <c r="AB787" i="1"/>
  <c r="AA787" i="1"/>
  <c r="Z787" i="1"/>
  <c r="Y787" i="1"/>
  <c r="R787" i="1"/>
  <c r="Q787" i="1"/>
  <c r="AC786" i="1"/>
  <c r="AB786" i="1"/>
  <c r="AA786" i="1"/>
  <c r="Z786" i="1"/>
  <c r="Y786" i="1"/>
  <c r="R786" i="1"/>
  <c r="Q786" i="1"/>
  <c r="AC785" i="1"/>
  <c r="AB785" i="1"/>
  <c r="AA785" i="1"/>
  <c r="Z785" i="1"/>
  <c r="Y785" i="1"/>
  <c r="R785" i="1"/>
  <c r="Q785" i="1"/>
  <c r="AC784" i="1"/>
  <c r="AB784" i="1"/>
  <c r="AA784" i="1"/>
  <c r="Z784" i="1"/>
  <c r="Y784" i="1"/>
  <c r="R784" i="1"/>
  <c r="Q784" i="1"/>
  <c r="AC783" i="1"/>
  <c r="AB783" i="1"/>
  <c r="AA783" i="1"/>
  <c r="Z783" i="1"/>
  <c r="Y783" i="1"/>
  <c r="AD783" i="1" s="1"/>
  <c r="R783" i="1"/>
  <c r="Q783" i="1"/>
  <c r="R782" i="1"/>
  <c r="Q782" i="1"/>
  <c r="R781" i="1"/>
  <c r="Q781" i="1"/>
  <c r="Y703" i="1"/>
  <c r="R762" i="1"/>
  <c r="Q762" i="1"/>
  <c r="R754" i="1"/>
  <c r="Q754" i="1"/>
  <c r="R753" i="1"/>
  <c r="Q753" i="1"/>
  <c r="R749" i="1"/>
  <c r="Q749" i="1"/>
  <c r="R748" i="1"/>
  <c r="Q748" i="1"/>
  <c r="R747" i="1"/>
  <c r="Q747" i="1"/>
  <c r="R704" i="1"/>
  <c r="R705" i="1"/>
  <c r="Y704" i="1"/>
  <c r="Z704" i="1"/>
  <c r="AA704" i="1"/>
  <c r="AB704" i="1"/>
  <c r="AC704" i="1"/>
  <c r="AD786" i="1" l="1"/>
  <c r="AD784" i="1"/>
  <c r="AD785" i="1"/>
  <c r="AD788" i="1"/>
  <c r="AD787" i="1"/>
  <c r="AD704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50" i="1"/>
  <c r="Q751" i="1"/>
  <c r="Q752" i="1"/>
  <c r="Q755" i="1"/>
  <c r="Q756" i="1"/>
  <c r="Q757" i="1"/>
  <c r="Q758" i="1"/>
  <c r="Q759" i="1"/>
  <c r="Q760" i="1"/>
  <c r="Q761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9" i="1"/>
  <c r="Q790" i="1"/>
  <c r="Q791" i="1"/>
  <c r="Q792" i="1"/>
  <c r="Q793" i="1"/>
  <c r="Q794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R501" i="1"/>
  <c r="R502" i="1"/>
  <c r="R503" i="1"/>
  <c r="R504" i="1"/>
  <c r="R505" i="1"/>
  <c r="Y562" i="1" l="1"/>
  <c r="Y563" i="1"/>
  <c r="Y564" i="1"/>
  <c r="Y565" i="1"/>
  <c r="Y566" i="1"/>
  <c r="Y567" i="1"/>
  <c r="Y568" i="1"/>
  <c r="Y569" i="1"/>
  <c r="Y570" i="1"/>
  <c r="Y571" i="1"/>
  <c r="Y572" i="1"/>
  <c r="Y573" i="1"/>
  <c r="Y574" i="1"/>
  <c r="Y575" i="1"/>
  <c r="Y576" i="1"/>
  <c r="Y577" i="1"/>
  <c r="Y578" i="1"/>
  <c r="Y579" i="1"/>
  <c r="Y580" i="1"/>
  <c r="Z564" i="1"/>
  <c r="Z565" i="1"/>
  <c r="Z566" i="1"/>
  <c r="Z567" i="1"/>
  <c r="Z568" i="1"/>
  <c r="Z569" i="1"/>
  <c r="Z570" i="1"/>
  <c r="Z571" i="1"/>
  <c r="AA564" i="1"/>
  <c r="AA565" i="1"/>
  <c r="AA566" i="1"/>
  <c r="AA567" i="1"/>
  <c r="AA568" i="1"/>
  <c r="AA569" i="1"/>
  <c r="AA570" i="1"/>
  <c r="AA571" i="1"/>
  <c r="AA572" i="1"/>
  <c r="AB564" i="1"/>
  <c r="AB565" i="1"/>
  <c r="AB566" i="1"/>
  <c r="AB567" i="1"/>
  <c r="AB568" i="1"/>
  <c r="AB569" i="1"/>
  <c r="AB570" i="1"/>
  <c r="AB571" i="1"/>
  <c r="AC561" i="1"/>
  <c r="AC562" i="1"/>
  <c r="AC563" i="1"/>
  <c r="AC564" i="1"/>
  <c r="AC565" i="1"/>
  <c r="AC566" i="1"/>
  <c r="AC567" i="1"/>
  <c r="AC568" i="1"/>
  <c r="AC569" i="1"/>
  <c r="AC570" i="1"/>
  <c r="AC571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D703" i="1" s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9" i="1"/>
  <c r="AC790" i="1"/>
  <c r="AC791" i="1"/>
  <c r="AC792" i="1"/>
  <c r="AC793" i="1"/>
  <c r="AC794" i="1"/>
  <c r="AC795" i="1"/>
  <c r="AC796" i="1"/>
  <c r="AC797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A671" i="1"/>
  <c r="AA672" i="1"/>
  <c r="AA673" i="1"/>
  <c r="AA674" i="1"/>
  <c r="AA675" i="1"/>
  <c r="AA676" i="1"/>
  <c r="AA677" i="1"/>
  <c r="AA678" i="1"/>
  <c r="AA679" i="1"/>
  <c r="AA680" i="1"/>
  <c r="AA681" i="1"/>
  <c r="AA682" i="1"/>
  <c r="AA683" i="1"/>
  <c r="AA684" i="1"/>
  <c r="AA685" i="1"/>
  <c r="AA686" i="1"/>
  <c r="AA687" i="1"/>
  <c r="AA688" i="1"/>
  <c r="AA689" i="1"/>
  <c r="AA690" i="1"/>
  <c r="AA691" i="1"/>
  <c r="AA692" i="1"/>
  <c r="AA693" i="1"/>
  <c r="AA694" i="1"/>
  <c r="AA695" i="1"/>
  <c r="AA696" i="1"/>
  <c r="AA697" i="1"/>
  <c r="AA698" i="1"/>
  <c r="AA699" i="1"/>
  <c r="AA700" i="1"/>
  <c r="AA701" i="1"/>
  <c r="AA702" i="1"/>
  <c r="AA703" i="1"/>
  <c r="AA705" i="1"/>
  <c r="AA706" i="1"/>
  <c r="AA707" i="1"/>
  <c r="AA708" i="1"/>
  <c r="AA709" i="1"/>
  <c r="AA710" i="1"/>
  <c r="AA711" i="1"/>
  <c r="AA712" i="1"/>
  <c r="AA713" i="1"/>
  <c r="AA714" i="1"/>
  <c r="AA715" i="1"/>
  <c r="AA716" i="1"/>
  <c r="AA717" i="1"/>
  <c r="AA718" i="1"/>
  <c r="AA719" i="1"/>
  <c r="AA720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AA646" i="1"/>
  <c r="AA647" i="1"/>
  <c r="AA648" i="1"/>
  <c r="AA649" i="1"/>
  <c r="AA650" i="1"/>
  <c r="AA651" i="1"/>
  <c r="AA652" i="1"/>
  <c r="AA653" i="1"/>
  <c r="AA654" i="1"/>
  <c r="AA655" i="1"/>
  <c r="AA656" i="1"/>
  <c r="AA657" i="1"/>
  <c r="AA658" i="1"/>
  <c r="AA659" i="1"/>
  <c r="AA660" i="1"/>
  <c r="AA661" i="1"/>
  <c r="AA662" i="1"/>
  <c r="AA663" i="1"/>
  <c r="AA664" i="1"/>
  <c r="AA665" i="1"/>
  <c r="AA666" i="1"/>
  <c r="AA667" i="1"/>
  <c r="AA668" i="1"/>
  <c r="AA669" i="1"/>
  <c r="AA670" i="1"/>
  <c r="Z633" i="1"/>
  <c r="Z634" i="1"/>
  <c r="Z635" i="1"/>
  <c r="Z636" i="1"/>
  <c r="Z637" i="1"/>
  <c r="Z638" i="1"/>
  <c r="Z639" i="1"/>
  <c r="Z640" i="1"/>
  <c r="Z641" i="1"/>
  <c r="Z642" i="1"/>
  <c r="Z643" i="1"/>
  <c r="Z644" i="1"/>
  <c r="Z645" i="1"/>
  <c r="Z646" i="1"/>
  <c r="Z647" i="1"/>
  <c r="Z648" i="1"/>
  <c r="Z649" i="1"/>
  <c r="Z650" i="1"/>
  <c r="Z651" i="1"/>
  <c r="Z652" i="1"/>
  <c r="Z653" i="1"/>
  <c r="Z654" i="1"/>
  <c r="Z655" i="1"/>
  <c r="Z656" i="1"/>
  <c r="Z657" i="1"/>
  <c r="Z658" i="1"/>
  <c r="Z659" i="1"/>
  <c r="Z660" i="1"/>
  <c r="Z661" i="1"/>
  <c r="Z662" i="1"/>
  <c r="Z663" i="1"/>
  <c r="Z664" i="1"/>
  <c r="Z665" i="1"/>
  <c r="Z666" i="1"/>
  <c r="Z667" i="1"/>
  <c r="Z668" i="1"/>
  <c r="Z669" i="1"/>
  <c r="Z670" i="1"/>
  <c r="Z671" i="1"/>
  <c r="Z672" i="1"/>
  <c r="Z673" i="1"/>
  <c r="Z674" i="1"/>
  <c r="Z675" i="1"/>
  <c r="Z676" i="1"/>
  <c r="Z677" i="1"/>
  <c r="Z678" i="1"/>
  <c r="Z679" i="1"/>
  <c r="Z680" i="1"/>
  <c r="Z681" i="1"/>
  <c r="Z682" i="1"/>
  <c r="Z683" i="1"/>
  <c r="Z684" i="1"/>
  <c r="Z685" i="1"/>
  <c r="Z686" i="1"/>
  <c r="Z687" i="1"/>
  <c r="Z688" i="1"/>
  <c r="Z689" i="1"/>
  <c r="Z690" i="1"/>
  <c r="Z691" i="1"/>
  <c r="Z692" i="1"/>
  <c r="Z693" i="1"/>
  <c r="Z694" i="1"/>
  <c r="Z695" i="1"/>
  <c r="Z696" i="1"/>
  <c r="Z697" i="1"/>
  <c r="Z698" i="1"/>
  <c r="Z699" i="1"/>
  <c r="Z700" i="1"/>
  <c r="Z701" i="1"/>
  <c r="Z702" i="1"/>
  <c r="Z703" i="1"/>
  <c r="Z705" i="1"/>
  <c r="Z706" i="1"/>
  <c r="Z707" i="1"/>
  <c r="Z708" i="1"/>
  <c r="Z709" i="1"/>
  <c r="Z710" i="1"/>
  <c r="Z711" i="1"/>
  <c r="Z712" i="1"/>
  <c r="Z713" i="1"/>
  <c r="Z714" i="1"/>
  <c r="Z715" i="1"/>
  <c r="Z716" i="1"/>
  <c r="Z717" i="1"/>
  <c r="Z718" i="1"/>
  <c r="Z719" i="1"/>
  <c r="Z720" i="1"/>
  <c r="Z721" i="1"/>
  <c r="Z722" i="1"/>
  <c r="Z723" i="1"/>
  <c r="Z724" i="1"/>
  <c r="Z725" i="1"/>
  <c r="Z726" i="1"/>
  <c r="Z727" i="1"/>
  <c r="Z728" i="1"/>
  <c r="Z729" i="1"/>
  <c r="Z730" i="1"/>
  <c r="Z731" i="1"/>
  <c r="Z732" i="1"/>
  <c r="Z733" i="1"/>
  <c r="Z734" i="1"/>
  <c r="Z735" i="1"/>
  <c r="Z736" i="1"/>
  <c r="Z737" i="1"/>
  <c r="Z738" i="1"/>
  <c r="Z739" i="1"/>
  <c r="Z740" i="1"/>
  <c r="Z741" i="1"/>
  <c r="Z742" i="1"/>
  <c r="Z743" i="1"/>
  <c r="Z744" i="1"/>
  <c r="Z745" i="1"/>
  <c r="Z746" i="1"/>
  <c r="Z747" i="1"/>
  <c r="Z748" i="1"/>
  <c r="Z749" i="1"/>
  <c r="Z750" i="1"/>
  <c r="Z751" i="1"/>
  <c r="Z752" i="1"/>
  <c r="Z753" i="1"/>
  <c r="Z754" i="1"/>
  <c r="Z755" i="1"/>
  <c r="Z756" i="1"/>
  <c r="Z757" i="1"/>
  <c r="Z758" i="1"/>
  <c r="Z759" i="1"/>
  <c r="Z760" i="1"/>
  <c r="Z761" i="1"/>
  <c r="Z762" i="1"/>
  <c r="Z763" i="1"/>
  <c r="Z764" i="1"/>
  <c r="Z765" i="1"/>
  <c r="Z766" i="1"/>
  <c r="Z767" i="1"/>
  <c r="Z768" i="1"/>
  <c r="Z769" i="1"/>
  <c r="Z770" i="1"/>
  <c r="Z771" i="1"/>
  <c r="Z772" i="1"/>
  <c r="Z773" i="1"/>
  <c r="Z774" i="1"/>
  <c r="Z775" i="1"/>
  <c r="Z776" i="1"/>
  <c r="Z777" i="1"/>
  <c r="Z778" i="1"/>
  <c r="Z779" i="1"/>
  <c r="Y634" i="1"/>
  <c r="Y635" i="1"/>
  <c r="Y636" i="1"/>
  <c r="Y637" i="1"/>
  <c r="Y638" i="1"/>
  <c r="Y639" i="1"/>
  <c r="Y640" i="1"/>
  <c r="Y641" i="1"/>
  <c r="Y642" i="1"/>
  <c r="Y643" i="1"/>
  <c r="Y644" i="1"/>
  <c r="Y645" i="1"/>
  <c r="Y646" i="1"/>
  <c r="Y647" i="1"/>
  <c r="Y648" i="1"/>
  <c r="Y649" i="1"/>
  <c r="Y650" i="1"/>
  <c r="Y651" i="1"/>
  <c r="Y652" i="1"/>
  <c r="Y653" i="1"/>
  <c r="Y654" i="1"/>
  <c r="Y655" i="1"/>
  <c r="Y656" i="1"/>
  <c r="Y657" i="1"/>
  <c r="Y658" i="1"/>
  <c r="Y659" i="1"/>
  <c r="Y660" i="1"/>
  <c r="Y661" i="1"/>
  <c r="Y662" i="1"/>
  <c r="Y663" i="1"/>
  <c r="Y664" i="1"/>
  <c r="Y665" i="1"/>
  <c r="Y666" i="1"/>
  <c r="Y667" i="1"/>
  <c r="Y668" i="1"/>
  <c r="Y669" i="1"/>
  <c r="Y670" i="1"/>
  <c r="Y671" i="1"/>
  <c r="Y672" i="1"/>
  <c r="Y673" i="1"/>
  <c r="Y674" i="1"/>
  <c r="Y675" i="1"/>
  <c r="Y676" i="1"/>
  <c r="Y677" i="1"/>
  <c r="Y678" i="1"/>
  <c r="Y679" i="1"/>
  <c r="Y680" i="1"/>
  <c r="Y681" i="1"/>
  <c r="Y682" i="1"/>
  <c r="Y683" i="1"/>
  <c r="Y684" i="1"/>
  <c r="Y685" i="1"/>
  <c r="Y686" i="1"/>
  <c r="Y687" i="1"/>
  <c r="Y688" i="1"/>
  <c r="Y689" i="1"/>
  <c r="Y690" i="1"/>
  <c r="Y691" i="1"/>
  <c r="Y692" i="1"/>
  <c r="Y693" i="1"/>
  <c r="Y694" i="1"/>
  <c r="Y695" i="1"/>
  <c r="Y696" i="1"/>
  <c r="Y697" i="1"/>
  <c r="Y698" i="1"/>
  <c r="Y699" i="1"/>
  <c r="Y700" i="1"/>
  <c r="Y701" i="1"/>
  <c r="Y702" i="1"/>
  <c r="Y705" i="1"/>
  <c r="AD705" i="1" s="1"/>
  <c r="Y706" i="1"/>
  <c r="Y707" i="1"/>
  <c r="Y708" i="1"/>
  <c r="Y709" i="1"/>
  <c r="AD709" i="1" s="1"/>
  <c r="Y710" i="1"/>
  <c r="Y711" i="1"/>
  <c r="Y712" i="1"/>
  <c r="Y713" i="1"/>
  <c r="AD713" i="1" s="1"/>
  <c r="Y714" i="1"/>
  <c r="Y715" i="1"/>
  <c r="Y716" i="1"/>
  <c r="Y717" i="1"/>
  <c r="AD717" i="1" s="1"/>
  <c r="Y718" i="1"/>
  <c r="Y719" i="1"/>
  <c r="Y720" i="1"/>
  <c r="Y721" i="1"/>
  <c r="AD721" i="1" s="1"/>
  <c r="Y722" i="1"/>
  <c r="Y723" i="1"/>
  <c r="Y724" i="1"/>
  <c r="Y725" i="1"/>
  <c r="AD725" i="1" s="1"/>
  <c r="Y726" i="1"/>
  <c r="Y727" i="1"/>
  <c r="Y728" i="1"/>
  <c r="Y729" i="1"/>
  <c r="AD729" i="1" s="1"/>
  <c r="Y730" i="1"/>
  <c r="Y731" i="1"/>
  <c r="Y732" i="1"/>
  <c r="Y733" i="1"/>
  <c r="AD733" i="1" s="1"/>
  <c r="Y734" i="1"/>
  <c r="Y735" i="1"/>
  <c r="Y736" i="1"/>
  <c r="Y737" i="1"/>
  <c r="AD737" i="1" s="1"/>
  <c r="Y738" i="1"/>
  <c r="Y739" i="1"/>
  <c r="Y740" i="1"/>
  <c r="Y741" i="1"/>
  <c r="AD741" i="1" s="1"/>
  <c r="Y742" i="1"/>
  <c r="Y743" i="1"/>
  <c r="Y744" i="1"/>
  <c r="Y745" i="1"/>
  <c r="Y746" i="1"/>
  <c r="Y747" i="1"/>
  <c r="Y748" i="1"/>
  <c r="Y749" i="1"/>
  <c r="AD749" i="1" s="1"/>
  <c r="Y750" i="1"/>
  <c r="Y751" i="1"/>
  <c r="Y752" i="1"/>
  <c r="Y753" i="1"/>
  <c r="AD753" i="1" s="1"/>
  <c r="Y754" i="1"/>
  <c r="Y755" i="1"/>
  <c r="Y756" i="1"/>
  <c r="Y757" i="1"/>
  <c r="AD757" i="1" s="1"/>
  <c r="Y758" i="1"/>
  <c r="Y759" i="1"/>
  <c r="Y760" i="1"/>
  <c r="Y761" i="1"/>
  <c r="AD761" i="1" s="1"/>
  <c r="Y762" i="1"/>
  <c r="Y763" i="1"/>
  <c r="Y764" i="1"/>
  <c r="Y765" i="1"/>
  <c r="AD765" i="1" s="1"/>
  <c r="Y766" i="1"/>
  <c r="Y767" i="1"/>
  <c r="Y768" i="1"/>
  <c r="Y769" i="1"/>
  <c r="AD769" i="1" s="1"/>
  <c r="Y770" i="1"/>
  <c r="AD770" i="1" s="1"/>
  <c r="Y771" i="1"/>
  <c r="Y772" i="1"/>
  <c r="Y773" i="1"/>
  <c r="AD773" i="1" s="1"/>
  <c r="Y774" i="1"/>
  <c r="Y775" i="1"/>
  <c r="Y776" i="1"/>
  <c r="Y777" i="1"/>
  <c r="AD777" i="1" s="1"/>
  <c r="Y778" i="1"/>
  <c r="AD778" i="1" s="1"/>
  <c r="Y779" i="1"/>
  <c r="Y780" i="1"/>
  <c r="Y781" i="1"/>
  <c r="AD781" i="1" s="1"/>
  <c r="Y782" i="1"/>
  <c r="AD782" i="1" s="1"/>
  <c r="Y789" i="1"/>
  <c r="Y790" i="1"/>
  <c r="Y791" i="1"/>
  <c r="AD791" i="1" s="1"/>
  <c r="Y792" i="1"/>
  <c r="AD792" i="1" s="1"/>
  <c r="Y793" i="1"/>
  <c r="Y794" i="1"/>
  <c r="Y795" i="1"/>
  <c r="AD795" i="1" s="1"/>
  <c r="Y796" i="1"/>
  <c r="AD796" i="1" s="1"/>
  <c r="Y797" i="1"/>
  <c r="R713" i="1"/>
  <c r="R712" i="1"/>
  <c r="R711" i="1"/>
  <c r="R710" i="1"/>
  <c r="R709" i="1"/>
  <c r="R708" i="1"/>
  <c r="R707" i="1"/>
  <c r="R706" i="1"/>
  <c r="R703" i="1"/>
  <c r="R702" i="1"/>
  <c r="R701" i="1"/>
  <c r="R700" i="1"/>
  <c r="R699" i="1"/>
  <c r="R698" i="1"/>
  <c r="R697" i="1"/>
  <c r="R696" i="1"/>
  <c r="R695" i="1"/>
  <c r="R694" i="1"/>
  <c r="R693" i="1"/>
  <c r="R692" i="1"/>
  <c r="R691" i="1"/>
  <c r="R690" i="1"/>
  <c r="R689" i="1"/>
  <c r="R688" i="1"/>
  <c r="R687" i="1"/>
  <c r="R686" i="1"/>
  <c r="R685" i="1"/>
  <c r="R684" i="1"/>
  <c r="R683" i="1"/>
  <c r="R682" i="1"/>
  <c r="R681" i="1"/>
  <c r="R680" i="1"/>
  <c r="R679" i="1"/>
  <c r="R678" i="1"/>
  <c r="R677" i="1"/>
  <c r="R676" i="1"/>
  <c r="R675" i="1"/>
  <c r="R674" i="1"/>
  <c r="R673" i="1"/>
  <c r="R672" i="1"/>
  <c r="R671" i="1"/>
  <c r="R670" i="1"/>
  <c r="R669" i="1"/>
  <c r="R668" i="1"/>
  <c r="R667" i="1"/>
  <c r="R666" i="1"/>
  <c r="R665" i="1"/>
  <c r="R664" i="1"/>
  <c r="R663" i="1"/>
  <c r="R662" i="1"/>
  <c r="R661" i="1"/>
  <c r="R660" i="1"/>
  <c r="R659" i="1"/>
  <c r="R658" i="1"/>
  <c r="R657" i="1"/>
  <c r="R656" i="1"/>
  <c r="R655" i="1"/>
  <c r="R654" i="1"/>
  <c r="R653" i="1"/>
  <c r="R652" i="1"/>
  <c r="R651" i="1"/>
  <c r="R650" i="1"/>
  <c r="R649" i="1"/>
  <c r="R648" i="1"/>
  <c r="R647" i="1"/>
  <c r="R646" i="1"/>
  <c r="R645" i="1"/>
  <c r="R644" i="1"/>
  <c r="R643" i="1"/>
  <c r="R642" i="1"/>
  <c r="R641" i="1"/>
  <c r="R640" i="1"/>
  <c r="R639" i="1"/>
  <c r="R638" i="1"/>
  <c r="R637" i="1"/>
  <c r="R636" i="1"/>
  <c r="R635" i="1"/>
  <c r="R634" i="1"/>
  <c r="R714" i="1"/>
  <c r="R715" i="1"/>
  <c r="R716" i="1"/>
  <c r="R717" i="1"/>
  <c r="R718" i="1"/>
  <c r="R719" i="1"/>
  <c r="R720" i="1"/>
  <c r="R721" i="1"/>
  <c r="AA721" i="1"/>
  <c r="R722" i="1"/>
  <c r="AA722" i="1"/>
  <c r="R723" i="1"/>
  <c r="AA723" i="1"/>
  <c r="R724" i="1"/>
  <c r="AA724" i="1"/>
  <c r="R725" i="1"/>
  <c r="AA725" i="1"/>
  <c r="R726" i="1"/>
  <c r="AA726" i="1"/>
  <c r="R727" i="1"/>
  <c r="AA727" i="1"/>
  <c r="R728" i="1"/>
  <c r="AA728" i="1"/>
  <c r="R729" i="1"/>
  <c r="AA729" i="1"/>
  <c r="R730" i="1"/>
  <c r="AA730" i="1"/>
  <c r="R731" i="1"/>
  <c r="AA731" i="1"/>
  <c r="R732" i="1"/>
  <c r="AA732" i="1"/>
  <c r="R733" i="1"/>
  <c r="AA733" i="1"/>
  <c r="R734" i="1"/>
  <c r="AA734" i="1"/>
  <c r="R735" i="1"/>
  <c r="AA735" i="1"/>
  <c r="AB735" i="1"/>
  <c r="R736" i="1"/>
  <c r="AA736" i="1"/>
  <c r="AB736" i="1"/>
  <c r="R737" i="1"/>
  <c r="AA737" i="1"/>
  <c r="AB737" i="1"/>
  <c r="R738" i="1"/>
  <c r="AA738" i="1"/>
  <c r="AB738" i="1"/>
  <c r="R739" i="1"/>
  <c r="AA739" i="1"/>
  <c r="AB739" i="1"/>
  <c r="R740" i="1"/>
  <c r="AA740" i="1"/>
  <c r="AB740" i="1"/>
  <c r="R741" i="1"/>
  <c r="AA741" i="1"/>
  <c r="AB741" i="1"/>
  <c r="R742" i="1"/>
  <c r="AA742" i="1"/>
  <c r="AB742" i="1"/>
  <c r="R743" i="1"/>
  <c r="AA743" i="1"/>
  <c r="AB743" i="1"/>
  <c r="R744" i="1"/>
  <c r="AA744" i="1"/>
  <c r="AB744" i="1"/>
  <c r="R745" i="1"/>
  <c r="AA745" i="1"/>
  <c r="AB745" i="1"/>
  <c r="R746" i="1"/>
  <c r="AA746" i="1"/>
  <c r="AB746" i="1"/>
  <c r="AA747" i="1"/>
  <c r="AB747" i="1"/>
  <c r="AA748" i="1"/>
  <c r="AB748" i="1"/>
  <c r="AA749" i="1"/>
  <c r="AB749" i="1"/>
  <c r="R750" i="1"/>
  <c r="AA750" i="1"/>
  <c r="AB750" i="1"/>
  <c r="R751" i="1"/>
  <c r="AA751" i="1"/>
  <c r="AB751" i="1"/>
  <c r="R752" i="1"/>
  <c r="AA752" i="1"/>
  <c r="AB752" i="1"/>
  <c r="AA753" i="1"/>
  <c r="AB753" i="1"/>
  <c r="AA754" i="1"/>
  <c r="AB754" i="1"/>
  <c r="R755" i="1"/>
  <c r="AA755" i="1"/>
  <c r="AB755" i="1"/>
  <c r="R756" i="1"/>
  <c r="AA756" i="1"/>
  <c r="AB756" i="1"/>
  <c r="R757" i="1"/>
  <c r="AA757" i="1"/>
  <c r="AB757" i="1"/>
  <c r="R758" i="1"/>
  <c r="AA758" i="1"/>
  <c r="AB758" i="1"/>
  <c r="R759" i="1"/>
  <c r="AA759" i="1"/>
  <c r="AB759" i="1"/>
  <c r="R760" i="1"/>
  <c r="AA760" i="1"/>
  <c r="AB760" i="1"/>
  <c r="R761" i="1"/>
  <c r="AA761" i="1"/>
  <c r="AB761" i="1"/>
  <c r="AA762" i="1"/>
  <c r="AB762" i="1"/>
  <c r="R763" i="1"/>
  <c r="AA763" i="1"/>
  <c r="AB763" i="1"/>
  <c r="R764" i="1"/>
  <c r="AA764" i="1"/>
  <c r="AB764" i="1"/>
  <c r="R765" i="1"/>
  <c r="AA765" i="1"/>
  <c r="AB765" i="1"/>
  <c r="R766" i="1"/>
  <c r="AA766" i="1"/>
  <c r="AB766" i="1"/>
  <c r="R767" i="1"/>
  <c r="AA767" i="1"/>
  <c r="AB767" i="1"/>
  <c r="R768" i="1"/>
  <c r="AA768" i="1"/>
  <c r="AB768" i="1"/>
  <c r="R769" i="1"/>
  <c r="AA769" i="1"/>
  <c r="AB769" i="1"/>
  <c r="R770" i="1"/>
  <c r="AA770" i="1"/>
  <c r="AB770" i="1"/>
  <c r="R771" i="1"/>
  <c r="AA771" i="1"/>
  <c r="AB771" i="1"/>
  <c r="R772" i="1"/>
  <c r="AA772" i="1"/>
  <c r="AB772" i="1"/>
  <c r="R773" i="1"/>
  <c r="AA773" i="1"/>
  <c r="AB773" i="1"/>
  <c r="R774" i="1"/>
  <c r="AA774" i="1"/>
  <c r="AB774" i="1"/>
  <c r="R775" i="1"/>
  <c r="AA775" i="1"/>
  <c r="AB775" i="1"/>
  <c r="R776" i="1"/>
  <c r="AA776" i="1"/>
  <c r="AB776" i="1"/>
  <c r="R777" i="1"/>
  <c r="AA777" i="1"/>
  <c r="AB777" i="1"/>
  <c r="R778" i="1"/>
  <c r="AA778" i="1"/>
  <c r="AB778" i="1"/>
  <c r="AD774" i="1" l="1"/>
  <c r="AD745" i="1"/>
  <c r="AD700" i="1"/>
  <c r="AD696" i="1"/>
  <c r="AD692" i="1"/>
  <c r="AD688" i="1"/>
  <c r="AD684" i="1"/>
  <c r="AD680" i="1"/>
  <c r="AD676" i="1"/>
  <c r="AD668" i="1"/>
  <c r="AD656" i="1"/>
  <c r="AD780" i="1"/>
  <c r="AD776" i="1"/>
  <c r="AD772" i="1"/>
  <c r="AD768" i="1"/>
  <c r="AD764" i="1"/>
  <c r="AD760" i="1"/>
  <c r="AD756" i="1"/>
  <c r="AD752" i="1"/>
  <c r="AD748" i="1"/>
  <c r="AD744" i="1"/>
  <c r="AD740" i="1"/>
  <c r="AD736" i="1"/>
  <c r="AD732" i="1"/>
  <c r="AD728" i="1"/>
  <c r="AD724" i="1"/>
  <c r="AD720" i="1"/>
  <c r="AD716" i="1"/>
  <c r="AD712" i="1"/>
  <c r="AD708" i="1"/>
  <c r="AD699" i="1"/>
  <c r="AD695" i="1"/>
  <c r="AD691" i="1"/>
  <c r="AD687" i="1"/>
  <c r="AD683" i="1"/>
  <c r="AD679" i="1"/>
  <c r="AD675" i="1"/>
  <c r="AD671" i="1"/>
  <c r="AD667" i="1"/>
  <c r="AD663" i="1"/>
  <c r="AD659" i="1"/>
  <c r="AD655" i="1"/>
  <c r="AD651" i="1"/>
  <c r="AD647" i="1"/>
  <c r="AD643" i="1"/>
  <c r="AD639" i="1"/>
  <c r="AD635" i="1"/>
  <c r="AD766" i="1"/>
  <c r="AD762" i="1"/>
  <c r="AD758" i="1"/>
  <c r="AD746" i="1"/>
  <c r="AD742" i="1"/>
  <c r="AD738" i="1"/>
  <c r="AD734" i="1"/>
  <c r="AD730" i="1"/>
  <c r="AD726" i="1"/>
  <c r="AD714" i="1"/>
  <c r="AD710" i="1"/>
  <c r="AD701" i="1"/>
  <c r="AD697" i="1"/>
  <c r="AD693" i="1"/>
  <c r="AD689" i="1"/>
  <c r="AD685" i="1"/>
  <c r="AD681" i="1"/>
  <c r="AD677" i="1"/>
  <c r="AD669" i="1"/>
  <c r="AD665" i="1"/>
  <c r="AD661" i="1"/>
  <c r="AD657" i="1"/>
  <c r="AD653" i="1"/>
  <c r="AD649" i="1"/>
  <c r="AD645" i="1"/>
  <c r="AD637" i="1"/>
  <c r="AD641" i="1"/>
  <c r="AD797" i="1"/>
  <c r="AD793" i="1"/>
  <c r="AD789" i="1"/>
  <c r="AD779" i="1"/>
  <c r="AD775" i="1"/>
  <c r="AD767" i="1"/>
  <c r="AD763" i="1"/>
  <c r="AD759" i="1"/>
  <c r="AD755" i="1"/>
  <c r="AD751" i="1"/>
  <c r="AD747" i="1"/>
  <c r="AD743" i="1"/>
  <c r="AD739" i="1"/>
  <c r="AD735" i="1"/>
  <c r="AD731" i="1"/>
  <c r="AD727" i="1"/>
  <c r="AD723" i="1"/>
  <c r="AD715" i="1"/>
  <c r="AD711" i="1"/>
  <c r="AD702" i="1"/>
  <c r="AD698" i="1"/>
  <c r="AD694" i="1"/>
  <c r="AD690" i="1"/>
  <c r="AD686" i="1"/>
  <c r="AD678" i="1"/>
  <c r="AD670" i="1"/>
  <c r="AD658" i="1"/>
  <c r="AD654" i="1"/>
  <c r="AD771" i="1"/>
  <c r="AD750" i="1"/>
  <c r="AD674" i="1"/>
  <c r="AD568" i="1"/>
  <c r="AD564" i="1"/>
  <c r="AD707" i="1"/>
  <c r="AD719" i="1"/>
  <c r="AD673" i="1"/>
  <c r="AD570" i="1"/>
  <c r="AD566" i="1"/>
  <c r="AD562" i="1"/>
  <c r="AD682" i="1"/>
  <c r="AD790" i="1"/>
  <c r="AD794" i="1"/>
  <c r="AD718" i="1"/>
  <c r="AD722" i="1"/>
  <c r="AD754" i="1"/>
  <c r="AD706" i="1"/>
  <c r="AD660" i="1"/>
  <c r="AD569" i="1"/>
  <c r="AD565" i="1"/>
  <c r="AD571" i="1"/>
  <c r="AD567" i="1"/>
  <c r="AD563" i="1"/>
  <c r="AD646" i="1"/>
  <c r="AD636" i="1"/>
  <c r="AD672" i="1"/>
  <c r="AD652" i="1"/>
  <c r="AD662" i="1"/>
  <c r="AD644" i="1"/>
  <c r="AD638" i="1"/>
  <c r="AD664" i="1"/>
  <c r="AD648" i="1"/>
  <c r="AD640" i="1"/>
  <c r="AD666" i="1"/>
  <c r="AD650" i="1"/>
  <c r="AD642" i="1"/>
  <c r="AD634" i="1"/>
  <c r="R583" i="1"/>
  <c r="R577" i="1"/>
  <c r="R576" i="1"/>
  <c r="R574" i="1" l="1"/>
  <c r="R490" i="1"/>
  <c r="R491" i="1"/>
  <c r="R492" i="1"/>
  <c r="R493" i="1"/>
  <c r="R494" i="1"/>
  <c r="R495" i="1"/>
  <c r="R496" i="1"/>
  <c r="R497" i="1"/>
  <c r="R498" i="1"/>
  <c r="R499" i="1"/>
  <c r="R500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5" i="1"/>
  <c r="R578" i="1"/>
  <c r="R579" i="1"/>
  <c r="R580" i="1"/>
  <c r="R581" i="1"/>
  <c r="R582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AC550" i="1" l="1"/>
  <c r="AC551" i="1"/>
  <c r="AC552" i="1"/>
  <c r="AC553" i="1"/>
  <c r="AC554" i="1"/>
  <c r="AC555" i="1"/>
  <c r="AC556" i="1"/>
  <c r="AC557" i="1"/>
  <c r="AC558" i="1"/>
  <c r="AC559" i="1"/>
  <c r="AC560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A550" i="1"/>
  <c r="AA551" i="1"/>
  <c r="AA552" i="1"/>
  <c r="AA553" i="1"/>
  <c r="AA554" i="1"/>
  <c r="AA555" i="1"/>
  <c r="AA556" i="1"/>
  <c r="AA557" i="1"/>
  <c r="AA558" i="1"/>
  <c r="AA559" i="1"/>
  <c r="AA560" i="1"/>
  <c r="AA561" i="1"/>
  <c r="AA562" i="1"/>
  <c r="Z550" i="1"/>
  <c r="Z551" i="1"/>
  <c r="Z552" i="1"/>
  <c r="Z553" i="1"/>
  <c r="Z554" i="1"/>
  <c r="Z555" i="1"/>
  <c r="Z556" i="1"/>
  <c r="Z557" i="1"/>
  <c r="Z558" i="1"/>
  <c r="Z559" i="1"/>
  <c r="Z560" i="1"/>
  <c r="Z561" i="1"/>
  <c r="Z562" i="1"/>
  <c r="Y550" i="1"/>
  <c r="Y551" i="1"/>
  <c r="Y552" i="1"/>
  <c r="Y553" i="1"/>
  <c r="Y554" i="1"/>
  <c r="Y555" i="1"/>
  <c r="Y556" i="1"/>
  <c r="Y557" i="1"/>
  <c r="Y558" i="1"/>
  <c r="Y559" i="1"/>
  <c r="Y560" i="1"/>
  <c r="Y561" i="1"/>
  <c r="AD561" i="1" s="1"/>
  <c r="AD559" i="1" l="1"/>
  <c r="AD555" i="1"/>
  <c r="AD558" i="1"/>
  <c r="AD554" i="1"/>
  <c r="AD560" i="1"/>
  <c r="AD556" i="1"/>
  <c r="AD557" i="1"/>
  <c r="AD553" i="1"/>
  <c r="AD551" i="1"/>
  <c r="AD550" i="1"/>
  <c r="AD552" i="1"/>
  <c r="AC543" i="1"/>
  <c r="AC490" i="1"/>
  <c r="AC491" i="1"/>
  <c r="AC492" i="1"/>
  <c r="AC493" i="1"/>
  <c r="AC494" i="1"/>
  <c r="AC495" i="1"/>
  <c r="AC496" i="1"/>
  <c r="AC497" i="1"/>
  <c r="AC498" i="1"/>
  <c r="AC499" i="1"/>
  <c r="AC500" i="1"/>
  <c r="AC501" i="1"/>
  <c r="AC502" i="1"/>
  <c r="AC503" i="1"/>
  <c r="AC504" i="1"/>
  <c r="AC505" i="1"/>
  <c r="AC513" i="1"/>
  <c r="AC516" i="1"/>
  <c r="AC517" i="1"/>
  <c r="AC521" i="1"/>
  <c r="AC522" i="1"/>
  <c r="AC523" i="1"/>
  <c r="AC529" i="1"/>
  <c r="AC535" i="1"/>
  <c r="AC536" i="1"/>
  <c r="AC540" i="1"/>
  <c r="AC541" i="1"/>
  <c r="AC544" i="1"/>
  <c r="AC545" i="1"/>
  <c r="AC546" i="1"/>
  <c r="AC547" i="1"/>
  <c r="AC548" i="1"/>
  <c r="AC54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13" i="1"/>
  <c r="AB516" i="1"/>
  <c r="AB517" i="1"/>
  <c r="AB521" i="1"/>
  <c r="AB522" i="1"/>
  <c r="AB523" i="1"/>
  <c r="AB529" i="1"/>
  <c r="AB535" i="1"/>
  <c r="AB536" i="1"/>
  <c r="AB540" i="1"/>
  <c r="AB541" i="1"/>
  <c r="AB544" i="1"/>
  <c r="AB545" i="1"/>
  <c r="AB546" i="1"/>
  <c r="AB547" i="1"/>
  <c r="AB548" i="1"/>
  <c r="AB549" i="1"/>
  <c r="AA490" i="1"/>
  <c r="AA491" i="1"/>
  <c r="AA492" i="1"/>
  <c r="AA493" i="1"/>
  <c r="AA494" i="1"/>
  <c r="AA495" i="1"/>
  <c r="AA496" i="1"/>
  <c r="AA497" i="1"/>
  <c r="AA498" i="1"/>
  <c r="AA499" i="1"/>
  <c r="AA500" i="1"/>
  <c r="AA501" i="1"/>
  <c r="AA502" i="1"/>
  <c r="AA503" i="1"/>
  <c r="AA504" i="1"/>
  <c r="AA505" i="1"/>
  <c r="AA513" i="1"/>
  <c r="AA516" i="1"/>
  <c r="AA517" i="1"/>
  <c r="AA521" i="1"/>
  <c r="AA522" i="1"/>
  <c r="AA523" i="1"/>
  <c r="AA529" i="1"/>
  <c r="AA535" i="1"/>
  <c r="AA536" i="1"/>
  <c r="AA540" i="1"/>
  <c r="AA541" i="1"/>
  <c r="AA544" i="1"/>
  <c r="AA545" i="1"/>
  <c r="AA546" i="1"/>
  <c r="AA547" i="1"/>
  <c r="AA548" i="1"/>
  <c r="AA549" i="1"/>
  <c r="Z501" i="1"/>
  <c r="Z502" i="1"/>
  <c r="Z503" i="1"/>
  <c r="Z504" i="1"/>
  <c r="Z505" i="1"/>
  <c r="Z513" i="1"/>
  <c r="Z516" i="1"/>
  <c r="Z517" i="1"/>
  <c r="Z521" i="1"/>
  <c r="Z522" i="1"/>
  <c r="Z523" i="1"/>
  <c r="Z529" i="1"/>
  <c r="Z535" i="1"/>
  <c r="Z536" i="1"/>
  <c r="Z540" i="1"/>
  <c r="Z541" i="1"/>
  <c r="Z544" i="1"/>
  <c r="Z545" i="1"/>
  <c r="Z546" i="1"/>
  <c r="Z547" i="1"/>
  <c r="Z548" i="1"/>
  <c r="Z549" i="1"/>
  <c r="Z490" i="1"/>
  <c r="Z491" i="1"/>
  <c r="Z492" i="1"/>
  <c r="Z493" i="1"/>
  <c r="Z494" i="1"/>
  <c r="Z495" i="1"/>
  <c r="Z496" i="1"/>
  <c r="Z497" i="1"/>
  <c r="Z498" i="1"/>
  <c r="Z499" i="1"/>
  <c r="Z500" i="1"/>
  <c r="Y495" i="1"/>
  <c r="Y496" i="1"/>
  <c r="Y497" i="1"/>
  <c r="Y498" i="1"/>
  <c r="Y499" i="1"/>
  <c r="Y500" i="1"/>
  <c r="Y501" i="1"/>
  <c r="Y502" i="1"/>
  <c r="Y503" i="1"/>
  <c r="Y504" i="1"/>
  <c r="Y505" i="1"/>
  <c r="Y516" i="1"/>
  <c r="Y517" i="1"/>
  <c r="Y521" i="1"/>
  <c r="Y522" i="1"/>
  <c r="Y523" i="1"/>
  <c r="Y529" i="1"/>
  <c r="Y535" i="1"/>
  <c r="Y536" i="1"/>
  <c r="Y540" i="1"/>
  <c r="Y541" i="1"/>
  <c r="Y544" i="1"/>
  <c r="Y545" i="1"/>
  <c r="Y546" i="1"/>
  <c r="Y547" i="1"/>
  <c r="Y548" i="1"/>
  <c r="Y549" i="1"/>
  <c r="Y490" i="1"/>
  <c r="Y491" i="1"/>
  <c r="Y492" i="1"/>
  <c r="Y493" i="1"/>
  <c r="Y494" i="1"/>
  <c r="AD494" i="1" l="1"/>
  <c r="AD490" i="1"/>
  <c r="AD491" i="1"/>
  <c r="AD493" i="1"/>
  <c r="AD492" i="1"/>
  <c r="AD547" i="1"/>
  <c r="AD548" i="1"/>
  <c r="AD544" i="1"/>
  <c r="AD521" i="1"/>
  <c r="AD541" i="1"/>
  <c r="AD529" i="1"/>
  <c r="AD517" i="1"/>
  <c r="AD504" i="1"/>
  <c r="AD500" i="1"/>
  <c r="AD496" i="1"/>
  <c r="AD535" i="1"/>
  <c r="AD505" i="1"/>
  <c r="AD501" i="1"/>
  <c r="AD497" i="1"/>
  <c r="AD549" i="1"/>
  <c r="AD545" i="1"/>
  <c r="AD536" i="1"/>
  <c r="AD522" i="1"/>
  <c r="AD513" i="1"/>
  <c r="AD502" i="1"/>
  <c r="AD498" i="1"/>
  <c r="AD495" i="1"/>
  <c r="AD546" i="1"/>
  <c r="AD516" i="1"/>
  <c r="AD503" i="1"/>
  <c r="AD540" i="1"/>
  <c r="AD523" i="1"/>
  <c r="AD499" i="1"/>
  <c r="Q2" i="1"/>
  <c r="X489" i="1" l="1"/>
  <c r="X474" i="1" l="1"/>
  <c r="X466" i="1" l="1"/>
  <c r="R457" i="1" l="1"/>
  <c r="X454" i="1"/>
  <c r="X428" i="1" l="1"/>
  <c r="N2" i="1" l="1"/>
  <c r="AE419" i="1"/>
  <c r="AE420" i="1"/>
  <c r="AE3" i="1"/>
  <c r="AE4" i="1"/>
  <c r="AE5" i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1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E319" i="1"/>
  <c r="AE320" i="1"/>
  <c r="AE321" i="1"/>
  <c r="AE322" i="1"/>
  <c r="AE323" i="1"/>
  <c r="AE324" i="1"/>
  <c r="AE325" i="1"/>
  <c r="AE326" i="1"/>
  <c r="AE327" i="1"/>
  <c r="AE328" i="1"/>
  <c r="AE329" i="1"/>
  <c r="AE330" i="1"/>
  <c r="AE331" i="1"/>
  <c r="AE332" i="1"/>
  <c r="AE333" i="1"/>
  <c r="AE334" i="1"/>
  <c r="AE335" i="1"/>
  <c r="AE336" i="1"/>
  <c r="AE337" i="1"/>
  <c r="AE338" i="1"/>
  <c r="AE339" i="1"/>
  <c r="AE340" i="1"/>
  <c r="AE341" i="1"/>
  <c r="AE342" i="1"/>
  <c r="AE343" i="1"/>
  <c r="AE344" i="1"/>
  <c r="AE345" i="1"/>
  <c r="AE346" i="1"/>
  <c r="AE347" i="1"/>
  <c r="AE348" i="1"/>
  <c r="AE349" i="1"/>
  <c r="AE350" i="1"/>
  <c r="AE351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364" i="1"/>
  <c r="AE365" i="1"/>
  <c r="AE366" i="1"/>
  <c r="AE367" i="1"/>
  <c r="AE368" i="1"/>
  <c r="AE369" i="1"/>
  <c r="AE370" i="1"/>
  <c r="AE371" i="1"/>
  <c r="AE372" i="1"/>
  <c r="AE373" i="1"/>
  <c r="AE374" i="1"/>
  <c r="AE375" i="1"/>
  <c r="AE376" i="1"/>
  <c r="AE377" i="1"/>
  <c r="AE378" i="1"/>
  <c r="AE379" i="1"/>
  <c r="AE380" i="1"/>
  <c r="AE381" i="1"/>
  <c r="AE382" i="1"/>
  <c r="AE383" i="1"/>
  <c r="AE384" i="1"/>
  <c r="AE385" i="1"/>
  <c r="AE386" i="1"/>
  <c r="AE387" i="1"/>
  <c r="AE388" i="1"/>
  <c r="AE389" i="1"/>
  <c r="AE390" i="1"/>
  <c r="AE391" i="1"/>
  <c r="AE392" i="1"/>
  <c r="AE393" i="1"/>
  <c r="AE394" i="1"/>
  <c r="AE395" i="1"/>
  <c r="AE396" i="1"/>
  <c r="AE397" i="1"/>
  <c r="AE398" i="1"/>
  <c r="AE399" i="1"/>
  <c r="AE400" i="1"/>
  <c r="AE401" i="1"/>
  <c r="AE402" i="1"/>
  <c r="AE403" i="1"/>
  <c r="AE404" i="1"/>
  <c r="AE405" i="1"/>
  <c r="AE406" i="1"/>
  <c r="AE407" i="1"/>
  <c r="AE408" i="1"/>
  <c r="AE409" i="1"/>
  <c r="AE410" i="1"/>
  <c r="AE411" i="1"/>
  <c r="AE412" i="1"/>
  <c r="AE413" i="1"/>
  <c r="AE414" i="1"/>
  <c r="AE415" i="1"/>
  <c r="AE416" i="1"/>
  <c r="AE417" i="1"/>
  <c r="AE418" i="1"/>
  <c r="AE2" i="1"/>
  <c r="X413" i="1" l="1"/>
  <c r="X411" i="1"/>
  <c r="X381" i="1" l="1"/>
  <c r="Y380" i="1"/>
  <c r="X367" i="1" l="1"/>
  <c r="R346" i="1" l="1"/>
  <c r="Y346" i="1"/>
  <c r="Z346" i="1"/>
  <c r="AA346" i="1"/>
  <c r="AB346" i="1"/>
  <c r="AC346" i="1"/>
  <c r="R345" i="1"/>
  <c r="Y345" i="1"/>
  <c r="Z345" i="1"/>
  <c r="AA345" i="1"/>
  <c r="AB345" i="1"/>
  <c r="AC345" i="1"/>
  <c r="R344" i="1"/>
  <c r="Y344" i="1"/>
  <c r="Z344" i="1"/>
  <c r="AA344" i="1"/>
  <c r="AB344" i="1"/>
  <c r="AC344" i="1"/>
  <c r="AD346" i="1" l="1"/>
  <c r="AD345" i="1"/>
  <c r="AD344" i="1"/>
  <c r="R318" i="1"/>
  <c r="Y318" i="1"/>
  <c r="Z318" i="1"/>
  <c r="AA318" i="1"/>
  <c r="AB318" i="1"/>
  <c r="AC318" i="1"/>
  <c r="R319" i="1"/>
  <c r="Y319" i="1"/>
  <c r="Z319" i="1"/>
  <c r="AA319" i="1"/>
  <c r="AB319" i="1"/>
  <c r="AC319" i="1"/>
  <c r="R320" i="1"/>
  <c r="Y320" i="1"/>
  <c r="Z320" i="1"/>
  <c r="AA320" i="1"/>
  <c r="AB320" i="1"/>
  <c r="AC320" i="1"/>
  <c r="R321" i="1"/>
  <c r="Y321" i="1"/>
  <c r="Z321" i="1"/>
  <c r="AA321" i="1"/>
  <c r="AB321" i="1"/>
  <c r="AC321" i="1"/>
  <c r="R322" i="1"/>
  <c r="Y322" i="1"/>
  <c r="Z322" i="1"/>
  <c r="AA322" i="1"/>
  <c r="AB322" i="1"/>
  <c r="AC322" i="1"/>
  <c r="R323" i="1"/>
  <c r="Y323" i="1"/>
  <c r="Z323" i="1"/>
  <c r="AA323" i="1"/>
  <c r="AB323" i="1"/>
  <c r="AC323" i="1"/>
  <c r="R324" i="1"/>
  <c r="Y324" i="1"/>
  <c r="Z324" i="1"/>
  <c r="AA324" i="1"/>
  <c r="AB324" i="1"/>
  <c r="AC324" i="1"/>
  <c r="R325" i="1"/>
  <c r="Y325" i="1"/>
  <c r="Z325" i="1"/>
  <c r="AA325" i="1"/>
  <c r="AB325" i="1"/>
  <c r="AC325" i="1"/>
  <c r="AD321" i="1" l="1"/>
  <c r="AD319" i="1"/>
  <c r="AD324" i="1"/>
  <c r="AD325" i="1"/>
  <c r="AD322" i="1"/>
  <c r="AD318" i="1"/>
  <c r="AD320" i="1"/>
  <c r="AD323" i="1"/>
  <c r="R281" i="1"/>
  <c r="R280" i="1"/>
  <c r="R279" i="1"/>
  <c r="R277" i="1"/>
  <c r="R276" i="1"/>
  <c r="R275" i="1"/>
  <c r="R274" i="1"/>
  <c r="R272" i="1" l="1"/>
  <c r="R271" i="1"/>
  <c r="R264" i="1"/>
  <c r="R263" i="1"/>
  <c r="R262" i="1"/>
  <c r="R261" i="1"/>
  <c r="R260" i="1"/>
  <c r="Y259" i="1"/>
  <c r="R257" i="1" l="1"/>
  <c r="R252" i="1"/>
  <c r="X217" i="1" l="1"/>
  <c r="Y208" i="1"/>
  <c r="X200" i="1" l="1"/>
  <c r="Y204" i="1" l="1"/>
  <c r="X196" i="1"/>
  <c r="R196" i="1"/>
  <c r="X187" i="1"/>
  <c r="X186" i="1"/>
  <c r="X185" i="1"/>
  <c r="X184" i="1"/>
  <c r="Y152" i="1" l="1"/>
  <c r="Z152" i="1"/>
  <c r="AA152" i="1"/>
  <c r="AB152" i="1"/>
  <c r="AC152" i="1"/>
  <c r="R152" i="1"/>
  <c r="H147" i="1"/>
  <c r="X140" i="1"/>
  <c r="X137" i="1"/>
  <c r="Y134" i="1"/>
  <c r="Z134" i="1"/>
  <c r="AA134" i="1"/>
  <c r="AB134" i="1"/>
  <c r="AC134" i="1"/>
  <c r="Y135" i="1"/>
  <c r="Z135" i="1"/>
  <c r="AA135" i="1"/>
  <c r="AB135" i="1"/>
  <c r="AC135" i="1"/>
  <c r="Y136" i="1"/>
  <c r="Z136" i="1"/>
  <c r="AA136" i="1"/>
  <c r="AB136" i="1"/>
  <c r="AC136" i="1"/>
  <c r="Y137" i="1"/>
  <c r="Z137" i="1"/>
  <c r="AA137" i="1"/>
  <c r="AB137" i="1"/>
  <c r="AC137" i="1"/>
  <c r="Y138" i="1"/>
  <c r="Z138" i="1"/>
  <c r="AA138" i="1"/>
  <c r="AB138" i="1"/>
  <c r="AC138" i="1"/>
  <c r="Y139" i="1"/>
  <c r="Z139" i="1"/>
  <c r="AA139" i="1"/>
  <c r="AB139" i="1"/>
  <c r="AC139" i="1"/>
  <c r="Y140" i="1"/>
  <c r="Z140" i="1"/>
  <c r="AA140" i="1"/>
  <c r="AB140" i="1"/>
  <c r="AC140" i="1"/>
  <c r="Y141" i="1"/>
  <c r="Z141" i="1"/>
  <c r="AA141" i="1"/>
  <c r="AB141" i="1"/>
  <c r="AC141" i="1"/>
  <c r="Y142" i="1"/>
  <c r="Z142" i="1"/>
  <c r="AA142" i="1"/>
  <c r="AB142" i="1"/>
  <c r="AC142" i="1"/>
  <c r="Y143" i="1"/>
  <c r="Z143" i="1"/>
  <c r="AA143" i="1"/>
  <c r="AB143" i="1"/>
  <c r="AC143" i="1"/>
  <c r="Y144" i="1"/>
  <c r="Z144" i="1"/>
  <c r="AA144" i="1"/>
  <c r="AB144" i="1"/>
  <c r="AC144" i="1"/>
  <c r="Y145" i="1"/>
  <c r="Z145" i="1"/>
  <c r="AA145" i="1"/>
  <c r="AB145" i="1"/>
  <c r="AC145" i="1"/>
  <c r="Y146" i="1"/>
  <c r="Z146" i="1"/>
  <c r="AA146" i="1"/>
  <c r="AB146" i="1"/>
  <c r="AC146" i="1"/>
  <c r="Y147" i="1"/>
  <c r="Z147" i="1"/>
  <c r="AA147" i="1"/>
  <c r="AB147" i="1"/>
  <c r="AC147" i="1"/>
  <c r="Y148" i="1"/>
  <c r="Z148" i="1"/>
  <c r="AA148" i="1"/>
  <c r="AB148" i="1"/>
  <c r="AC148" i="1"/>
  <c r="Y149" i="1"/>
  <c r="Z149" i="1"/>
  <c r="AA149" i="1"/>
  <c r="AB149" i="1"/>
  <c r="AC149" i="1"/>
  <c r="R134" i="1"/>
  <c r="R135" i="1"/>
  <c r="R136" i="1"/>
  <c r="R137" i="1"/>
  <c r="R138" i="1"/>
  <c r="R139" i="1"/>
  <c r="R140" i="1"/>
  <c r="R141" i="1"/>
  <c r="R142" i="1"/>
  <c r="R143" i="1"/>
  <c r="R144" i="1"/>
  <c r="X110" i="1"/>
  <c r="R100" i="1"/>
  <c r="AC52" i="1"/>
  <c r="AB52" i="1"/>
  <c r="AA52" i="1"/>
  <c r="Z52" i="1"/>
  <c r="Y52" i="1"/>
  <c r="R52" i="1"/>
  <c r="AC51" i="1"/>
  <c r="AB51" i="1"/>
  <c r="AA51" i="1"/>
  <c r="Z51" i="1"/>
  <c r="Y51" i="1"/>
  <c r="R51" i="1"/>
  <c r="AC50" i="1"/>
  <c r="AB50" i="1"/>
  <c r="AA50" i="1"/>
  <c r="Z50" i="1"/>
  <c r="Y50" i="1"/>
  <c r="R50" i="1"/>
  <c r="AC49" i="1"/>
  <c r="AB49" i="1"/>
  <c r="AA49" i="1"/>
  <c r="Z49" i="1"/>
  <c r="Y49" i="1"/>
  <c r="R49" i="1"/>
  <c r="AC48" i="1"/>
  <c r="AB48" i="1"/>
  <c r="AA48" i="1"/>
  <c r="Z48" i="1"/>
  <c r="Y48" i="1"/>
  <c r="R48" i="1"/>
  <c r="AC47" i="1"/>
  <c r="AB47" i="1"/>
  <c r="AA47" i="1"/>
  <c r="Z47" i="1"/>
  <c r="Y47" i="1"/>
  <c r="AD47" i="1" s="1"/>
  <c r="R47" i="1"/>
  <c r="R2" i="1"/>
  <c r="R3" i="1"/>
  <c r="R4" i="1"/>
  <c r="R5" i="1"/>
  <c r="R6" i="1"/>
  <c r="AD48" i="1" l="1"/>
  <c r="AD49" i="1"/>
  <c r="AD50" i="1"/>
  <c r="AD52" i="1"/>
  <c r="AD51" i="1"/>
  <c r="AD143" i="1"/>
  <c r="AD142" i="1"/>
  <c r="AD134" i="1"/>
  <c r="AD135" i="1"/>
  <c r="AD144" i="1"/>
  <c r="AD136" i="1"/>
  <c r="AD152" i="1"/>
  <c r="AD137" i="1"/>
  <c r="AD146" i="1"/>
  <c r="AD138" i="1"/>
  <c r="AD141" i="1"/>
  <c r="AD147" i="1"/>
  <c r="AD139" i="1"/>
  <c r="AD148" i="1"/>
  <c r="AD140" i="1"/>
  <c r="AD149" i="1"/>
  <c r="AD145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45" i="1"/>
  <c r="R146" i="1"/>
  <c r="R147" i="1"/>
  <c r="R148" i="1"/>
  <c r="R149" i="1"/>
  <c r="R150" i="1"/>
  <c r="R151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3" i="1"/>
  <c r="R254" i="1"/>
  <c r="R255" i="1"/>
  <c r="R256" i="1"/>
  <c r="R258" i="1"/>
  <c r="R259" i="1"/>
  <c r="R265" i="1"/>
  <c r="R266" i="1"/>
  <c r="R267" i="1"/>
  <c r="R268" i="1"/>
  <c r="R269" i="1"/>
  <c r="R270" i="1"/>
  <c r="R273" i="1"/>
  <c r="R278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779" i="1"/>
  <c r="R780" i="1"/>
  <c r="R789" i="1"/>
  <c r="R790" i="1"/>
  <c r="R791" i="1"/>
  <c r="R792" i="1"/>
  <c r="R793" i="1"/>
  <c r="R794" i="1"/>
  <c r="AC2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50" i="1"/>
  <c r="AC151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71" i="1"/>
  <c r="AC472" i="1"/>
  <c r="AC473" i="1"/>
  <c r="AC474" i="1"/>
  <c r="AC475" i="1"/>
  <c r="AC476" i="1"/>
  <c r="AC477" i="1"/>
  <c r="AC478" i="1"/>
  <c r="AC479" i="1"/>
  <c r="AC481" i="1"/>
  <c r="AC482" i="1"/>
  <c r="AC483" i="1"/>
  <c r="AC484" i="1"/>
  <c r="AC485" i="1"/>
  <c r="AC486" i="1"/>
  <c r="AC487" i="1"/>
  <c r="AC488" i="1"/>
  <c r="AC489" i="1"/>
  <c r="AC506" i="1"/>
  <c r="AC507" i="1"/>
  <c r="AC508" i="1"/>
  <c r="AC509" i="1"/>
  <c r="AC510" i="1"/>
  <c r="AC511" i="1"/>
  <c r="AC512" i="1"/>
  <c r="AC514" i="1"/>
  <c r="AC515" i="1"/>
  <c r="AC518" i="1"/>
  <c r="AC519" i="1"/>
  <c r="AC520" i="1"/>
  <c r="AC524" i="1"/>
  <c r="AC525" i="1"/>
  <c r="AC526" i="1"/>
  <c r="AC527" i="1"/>
  <c r="AC528" i="1"/>
  <c r="AC530" i="1"/>
  <c r="AC531" i="1"/>
  <c r="AC532" i="1"/>
  <c r="AC533" i="1"/>
  <c r="AC534" i="1"/>
  <c r="AC537" i="1"/>
  <c r="AC538" i="1"/>
  <c r="AC539" i="1"/>
  <c r="AC542" i="1"/>
  <c r="AC572" i="1"/>
  <c r="AD572" i="1" s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AC604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B2" i="1"/>
  <c r="AB3" i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50" i="1"/>
  <c r="AB151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1" i="1"/>
  <c r="AB482" i="1"/>
  <c r="AB483" i="1"/>
  <c r="AB484" i="1"/>
  <c r="AB485" i="1"/>
  <c r="AB486" i="1"/>
  <c r="AB487" i="1"/>
  <c r="AB488" i="1"/>
  <c r="AB489" i="1"/>
  <c r="AB506" i="1"/>
  <c r="AB507" i="1"/>
  <c r="AB508" i="1"/>
  <c r="AB509" i="1"/>
  <c r="AB510" i="1"/>
  <c r="AB511" i="1"/>
  <c r="AB512" i="1"/>
  <c r="AB514" i="1"/>
  <c r="AB515" i="1"/>
  <c r="AB518" i="1"/>
  <c r="AB519" i="1"/>
  <c r="AB520" i="1"/>
  <c r="AB524" i="1"/>
  <c r="AB525" i="1"/>
  <c r="AB526" i="1"/>
  <c r="AB527" i="1"/>
  <c r="AB528" i="1"/>
  <c r="AB530" i="1"/>
  <c r="AB531" i="1"/>
  <c r="AB532" i="1"/>
  <c r="AB533" i="1"/>
  <c r="AB534" i="1"/>
  <c r="AB537" i="1"/>
  <c r="AB538" i="1"/>
  <c r="AB539" i="1"/>
  <c r="AB542" i="1"/>
  <c r="AB543" i="1"/>
  <c r="AB563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779" i="1"/>
  <c r="AB780" i="1"/>
  <c r="AB781" i="1"/>
  <c r="AB782" i="1"/>
  <c r="AB789" i="1"/>
  <c r="AB790" i="1"/>
  <c r="AB791" i="1"/>
  <c r="AB792" i="1"/>
  <c r="AB793" i="1"/>
  <c r="AB794" i="1"/>
  <c r="AB795" i="1"/>
  <c r="AB796" i="1"/>
  <c r="AB797" i="1"/>
  <c r="AA2" i="1"/>
  <c r="AA3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50" i="1"/>
  <c r="AA151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1" i="1"/>
  <c r="AA482" i="1"/>
  <c r="AA483" i="1"/>
  <c r="AA484" i="1"/>
  <c r="AA485" i="1"/>
  <c r="AA486" i="1"/>
  <c r="AA487" i="1"/>
  <c r="AA488" i="1"/>
  <c r="AA489" i="1"/>
  <c r="AA506" i="1"/>
  <c r="AA507" i="1"/>
  <c r="AA508" i="1"/>
  <c r="AA509" i="1"/>
  <c r="AA510" i="1"/>
  <c r="AA511" i="1"/>
  <c r="AA512" i="1"/>
  <c r="AA514" i="1"/>
  <c r="AA515" i="1"/>
  <c r="AA518" i="1"/>
  <c r="AA519" i="1"/>
  <c r="AA520" i="1"/>
  <c r="AA524" i="1"/>
  <c r="AA525" i="1"/>
  <c r="AA526" i="1"/>
  <c r="AA527" i="1"/>
  <c r="AA528" i="1"/>
  <c r="AA530" i="1"/>
  <c r="AA531" i="1"/>
  <c r="AA532" i="1"/>
  <c r="AA533" i="1"/>
  <c r="AA534" i="1"/>
  <c r="AA537" i="1"/>
  <c r="AA538" i="1"/>
  <c r="AA539" i="1"/>
  <c r="AA542" i="1"/>
  <c r="AA543" i="1"/>
  <c r="AA563" i="1"/>
  <c r="AA573" i="1"/>
  <c r="AA574" i="1"/>
  <c r="AA575" i="1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5" i="1"/>
  <c r="AA596" i="1"/>
  <c r="AA597" i="1"/>
  <c r="AA598" i="1"/>
  <c r="AA599" i="1"/>
  <c r="AA600" i="1"/>
  <c r="AA601" i="1"/>
  <c r="AA602" i="1"/>
  <c r="AA603" i="1"/>
  <c r="AA604" i="1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779" i="1"/>
  <c r="AA780" i="1"/>
  <c r="AA781" i="1"/>
  <c r="AA782" i="1"/>
  <c r="AA789" i="1"/>
  <c r="AA790" i="1"/>
  <c r="AA791" i="1"/>
  <c r="AA792" i="1"/>
  <c r="AA793" i="1"/>
  <c r="AA794" i="1"/>
  <c r="AA795" i="1"/>
  <c r="AA796" i="1"/>
  <c r="AA797" i="1"/>
  <c r="Z2" i="1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50" i="1"/>
  <c r="Z151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Z253" i="1"/>
  <c r="Z254" i="1"/>
  <c r="Z255" i="1"/>
  <c r="Z256" i="1"/>
  <c r="Z257" i="1"/>
  <c r="Z258" i="1"/>
  <c r="Z259" i="1"/>
  <c r="Z260" i="1"/>
  <c r="Z261" i="1"/>
  <c r="Z262" i="1"/>
  <c r="Z263" i="1"/>
  <c r="Z264" i="1"/>
  <c r="Z265" i="1"/>
  <c r="Z266" i="1"/>
  <c r="Z267" i="1"/>
  <c r="Z268" i="1"/>
  <c r="Z269" i="1"/>
  <c r="Z270" i="1"/>
  <c r="Z271" i="1"/>
  <c r="Z272" i="1"/>
  <c r="Z273" i="1"/>
  <c r="Z274" i="1"/>
  <c r="Z275" i="1"/>
  <c r="Z276" i="1"/>
  <c r="Z277" i="1"/>
  <c r="Z278" i="1"/>
  <c r="Z279" i="1"/>
  <c r="Z280" i="1"/>
  <c r="Z281" i="1"/>
  <c r="Z282" i="1"/>
  <c r="Z283" i="1"/>
  <c r="Z284" i="1"/>
  <c r="Z285" i="1"/>
  <c r="Z286" i="1"/>
  <c r="Z287" i="1"/>
  <c r="Z288" i="1"/>
  <c r="Z289" i="1"/>
  <c r="Z290" i="1"/>
  <c r="Z291" i="1"/>
  <c r="Z292" i="1"/>
  <c r="Z293" i="1"/>
  <c r="Z294" i="1"/>
  <c r="Z295" i="1"/>
  <c r="Z296" i="1"/>
  <c r="Z297" i="1"/>
  <c r="Z298" i="1"/>
  <c r="Z299" i="1"/>
  <c r="Z300" i="1"/>
  <c r="Z301" i="1"/>
  <c r="Z302" i="1"/>
  <c r="Z303" i="1"/>
  <c r="Z304" i="1"/>
  <c r="Z305" i="1"/>
  <c r="Z306" i="1"/>
  <c r="Z307" i="1"/>
  <c r="Z308" i="1"/>
  <c r="Z309" i="1"/>
  <c r="Z310" i="1"/>
  <c r="Z311" i="1"/>
  <c r="Z312" i="1"/>
  <c r="Z313" i="1"/>
  <c r="Z314" i="1"/>
  <c r="Z315" i="1"/>
  <c r="Z316" i="1"/>
  <c r="Z317" i="1"/>
  <c r="Z326" i="1"/>
  <c r="Z327" i="1"/>
  <c r="Z328" i="1"/>
  <c r="Z329" i="1"/>
  <c r="Z330" i="1"/>
  <c r="Z331" i="1"/>
  <c r="Z332" i="1"/>
  <c r="Z333" i="1"/>
  <c r="Z334" i="1"/>
  <c r="Z335" i="1"/>
  <c r="Z336" i="1"/>
  <c r="Z337" i="1"/>
  <c r="Z338" i="1"/>
  <c r="Z339" i="1"/>
  <c r="Z340" i="1"/>
  <c r="Z341" i="1"/>
  <c r="Z342" i="1"/>
  <c r="Z343" i="1"/>
  <c r="Z347" i="1"/>
  <c r="Z348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1" i="1"/>
  <c r="Z362" i="1"/>
  <c r="Z363" i="1"/>
  <c r="Z364" i="1"/>
  <c r="Z365" i="1"/>
  <c r="Z366" i="1"/>
  <c r="Z367" i="1"/>
  <c r="Z368" i="1"/>
  <c r="Z369" i="1"/>
  <c r="Z370" i="1"/>
  <c r="Z371" i="1"/>
  <c r="Z372" i="1"/>
  <c r="Z373" i="1"/>
  <c r="Z374" i="1"/>
  <c r="Z375" i="1"/>
  <c r="Z376" i="1"/>
  <c r="Z377" i="1"/>
  <c r="Z378" i="1"/>
  <c r="Z379" i="1"/>
  <c r="Z380" i="1"/>
  <c r="Z381" i="1"/>
  <c r="Z382" i="1"/>
  <c r="Z383" i="1"/>
  <c r="Z384" i="1"/>
  <c r="Z385" i="1"/>
  <c r="Z386" i="1"/>
  <c r="Z387" i="1"/>
  <c r="Z388" i="1"/>
  <c r="Z389" i="1"/>
  <c r="Z390" i="1"/>
  <c r="Z391" i="1"/>
  <c r="Z392" i="1"/>
  <c r="Z393" i="1"/>
  <c r="Z394" i="1"/>
  <c r="Z395" i="1"/>
  <c r="Z396" i="1"/>
  <c r="Z397" i="1"/>
  <c r="Z398" i="1"/>
  <c r="Z399" i="1"/>
  <c r="Z400" i="1"/>
  <c r="Z401" i="1"/>
  <c r="Z402" i="1"/>
  <c r="Z403" i="1"/>
  <c r="Z404" i="1"/>
  <c r="Z405" i="1"/>
  <c r="Z406" i="1"/>
  <c r="Z407" i="1"/>
  <c r="Z408" i="1"/>
  <c r="Z409" i="1"/>
  <c r="Z410" i="1"/>
  <c r="Z411" i="1"/>
  <c r="Z412" i="1"/>
  <c r="Z413" i="1"/>
  <c r="Z414" i="1"/>
  <c r="Z415" i="1"/>
  <c r="Z416" i="1"/>
  <c r="Z417" i="1"/>
  <c r="Z418" i="1"/>
  <c r="Z419" i="1"/>
  <c r="Z420" i="1"/>
  <c r="Z421" i="1"/>
  <c r="Z422" i="1"/>
  <c r="Z423" i="1"/>
  <c r="Z424" i="1"/>
  <c r="Z425" i="1"/>
  <c r="Z426" i="1"/>
  <c r="Z427" i="1"/>
  <c r="Z428" i="1"/>
  <c r="Z429" i="1"/>
  <c r="Z430" i="1"/>
  <c r="Z431" i="1"/>
  <c r="Z432" i="1"/>
  <c r="Z433" i="1"/>
  <c r="Z434" i="1"/>
  <c r="Z435" i="1"/>
  <c r="Z436" i="1"/>
  <c r="Z437" i="1"/>
  <c r="Z438" i="1"/>
  <c r="Z439" i="1"/>
  <c r="Z440" i="1"/>
  <c r="Z441" i="1"/>
  <c r="Z442" i="1"/>
  <c r="Z443" i="1"/>
  <c r="Z444" i="1"/>
  <c r="Z445" i="1"/>
  <c r="Z446" i="1"/>
  <c r="Z447" i="1"/>
  <c r="Z448" i="1"/>
  <c r="Z449" i="1"/>
  <c r="Z450" i="1"/>
  <c r="Z451" i="1"/>
  <c r="Z452" i="1"/>
  <c r="Z453" i="1"/>
  <c r="Z454" i="1"/>
  <c r="Z455" i="1"/>
  <c r="Z456" i="1"/>
  <c r="Z457" i="1"/>
  <c r="Z458" i="1"/>
  <c r="Z459" i="1"/>
  <c r="Z460" i="1"/>
  <c r="Z461" i="1"/>
  <c r="Z462" i="1"/>
  <c r="Z463" i="1"/>
  <c r="Z464" i="1"/>
  <c r="Z465" i="1"/>
  <c r="Z466" i="1"/>
  <c r="Z467" i="1"/>
  <c r="Z468" i="1"/>
  <c r="Z469" i="1"/>
  <c r="Z470" i="1"/>
  <c r="Z471" i="1"/>
  <c r="Z472" i="1"/>
  <c r="Z473" i="1"/>
  <c r="Z474" i="1"/>
  <c r="Z475" i="1"/>
  <c r="Z476" i="1"/>
  <c r="Z477" i="1"/>
  <c r="Z478" i="1"/>
  <c r="Z479" i="1"/>
  <c r="Z481" i="1"/>
  <c r="Z482" i="1"/>
  <c r="Z483" i="1"/>
  <c r="Z484" i="1"/>
  <c r="Z485" i="1"/>
  <c r="Z486" i="1"/>
  <c r="Z487" i="1"/>
  <c r="Z488" i="1"/>
  <c r="Z489" i="1"/>
  <c r="Z506" i="1"/>
  <c r="Z507" i="1"/>
  <c r="Z508" i="1"/>
  <c r="Z509" i="1"/>
  <c r="Z510" i="1"/>
  <c r="Z511" i="1"/>
  <c r="Z512" i="1"/>
  <c r="Z514" i="1"/>
  <c r="Z515" i="1"/>
  <c r="Z518" i="1"/>
  <c r="Z519" i="1"/>
  <c r="Z520" i="1"/>
  <c r="Z524" i="1"/>
  <c r="Z525" i="1"/>
  <c r="Z526" i="1"/>
  <c r="Z527" i="1"/>
  <c r="Z528" i="1"/>
  <c r="Z530" i="1"/>
  <c r="Z531" i="1"/>
  <c r="Z532" i="1"/>
  <c r="Z533" i="1"/>
  <c r="Z534" i="1"/>
  <c r="Z537" i="1"/>
  <c r="Z538" i="1"/>
  <c r="Z539" i="1"/>
  <c r="Z542" i="1"/>
  <c r="Z543" i="1"/>
  <c r="Z563" i="1"/>
  <c r="Z572" i="1"/>
  <c r="Z573" i="1"/>
  <c r="Z574" i="1"/>
  <c r="Z575" i="1"/>
  <c r="Z576" i="1"/>
  <c r="Z577" i="1"/>
  <c r="Z578" i="1"/>
  <c r="Z579" i="1"/>
  <c r="Z580" i="1"/>
  <c r="Z581" i="1"/>
  <c r="Z582" i="1"/>
  <c r="Z583" i="1"/>
  <c r="Z584" i="1"/>
  <c r="Z585" i="1"/>
  <c r="Z586" i="1"/>
  <c r="Z587" i="1"/>
  <c r="Z588" i="1"/>
  <c r="Z589" i="1"/>
  <c r="Z590" i="1"/>
  <c r="Z591" i="1"/>
  <c r="Z592" i="1"/>
  <c r="Z593" i="1"/>
  <c r="Z594" i="1"/>
  <c r="Z595" i="1"/>
  <c r="Z596" i="1"/>
  <c r="Z597" i="1"/>
  <c r="Z598" i="1"/>
  <c r="Z599" i="1"/>
  <c r="Z600" i="1"/>
  <c r="Z601" i="1"/>
  <c r="Z602" i="1"/>
  <c r="Z603" i="1"/>
  <c r="Z604" i="1"/>
  <c r="Z605" i="1"/>
  <c r="Z606" i="1"/>
  <c r="Z607" i="1"/>
  <c r="Z608" i="1"/>
  <c r="Z609" i="1"/>
  <c r="Z610" i="1"/>
  <c r="Z611" i="1"/>
  <c r="Z612" i="1"/>
  <c r="Z613" i="1"/>
  <c r="Z614" i="1"/>
  <c r="Z615" i="1"/>
  <c r="Z616" i="1"/>
  <c r="Z617" i="1"/>
  <c r="Z618" i="1"/>
  <c r="Z619" i="1"/>
  <c r="Z620" i="1"/>
  <c r="Z621" i="1"/>
  <c r="Z622" i="1"/>
  <c r="Z623" i="1"/>
  <c r="Z624" i="1"/>
  <c r="Z625" i="1"/>
  <c r="Z626" i="1"/>
  <c r="Z627" i="1"/>
  <c r="Z628" i="1"/>
  <c r="Z629" i="1"/>
  <c r="Z630" i="1"/>
  <c r="Z631" i="1"/>
  <c r="Z632" i="1"/>
  <c r="Z780" i="1"/>
  <c r="Z781" i="1"/>
  <c r="Z782" i="1"/>
  <c r="Z789" i="1"/>
  <c r="Z790" i="1"/>
  <c r="Z791" i="1"/>
  <c r="Z792" i="1"/>
  <c r="Z793" i="1"/>
  <c r="Z794" i="1"/>
  <c r="Z795" i="1"/>
  <c r="Z796" i="1"/>
  <c r="Z797" i="1"/>
  <c r="Y2" i="1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50" i="1"/>
  <c r="Y151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5" i="1"/>
  <c r="Y206" i="1"/>
  <c r="Y207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5" i="1"/>
  <c r="Y436" i="1"/>
  <c r="Y437" i="1"/>
  <c r="Y438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1" i="1"/>
  <c r="Y482" i="1"/>
  <c r="Y483" i="1"/>
  <c r="Y484" i="1"/>
  <c r="Y485" i="1"/>
  <c r="Y486" i="1"/>
  <c r="Y487" i="1"/>
  <c r="Y488" i="1"/>
  <c r="Y489" i="1"/>
  <c r="Y506" i="1"/>
  <c r="Y507" i="1"/>
  <c r="Y508" i="1"/>
  <c r="Y509" i="1"/>
  <c r="Y510" i="1"/>
  <c r="Y511" i="1"/>
  <c r="Y512" i="1"/>
  <c r="Y514" i="1"/>
  <c r="Y515" i="1"/>
  <c r="Y518" i="1"/>
  <c r="Y519" i="1"/>
  <c r="Y520" i="1"/>
  <c r="Y524" i="1"/>
  <c r="Y525" i="1"/>
  <c r="Y526" i="1"/>
  <c r="Y527" i="1"/>
  <c r="Y528" i="1"/>
  <c r="Y530" i="1"/>
  <c r="Y531" i="1"/>
  <c r="Y532" i="1"/>
  <c r="Y533" i="1"/>
  <c r="Y534" i="1"/>
  <c r="Y537" i="1"/>
  <c r="Y538" i="1"/>
  <c r="Y539" i="1"/>
  <c r="Y542" i="1"/>
  <c r="Y543" i="1"/>
  <c r="AD543" i="1" s="1"/>
  <c r="Y581" i="1"/>
  <c r="Y582" i="1"/>
  <c r="Y583" i="1"/>
  <c r="Y584" i="1"/>
  <c r="Y585" i="1"/>
  <c r="Y586" i="1"/>
  <c r="Y587" i="1"/>
  <c r="Y588" i="1"/>
  <c r="Y589" i="1"/>
  <c r="Y590" i="1"/>
  <c r="Y591" i="1"/>
  <c r="Y592" i="1"/>
  <c r="Y593" i="1"/>
  <c r="Y594" i="1"/>
  <c r="Y595" i="1"/>
  <c r="Y596" i="1"/>
  <c r="Y597" i="1"/>
  <c r="Y598" i="1"/>
  <c r="Y599" i="1"/>
  <c r="Y600" i="1"/>
  <c r="Y601" i="1"/>
  <c r="Y602" i="1"/>
  <c r="Y603" i="1"/>
  <c r="Y604" i="1"/>
  <c r="Y605" i="1"/>
  <c r="Y606" i="1"/>
  <c r="Y607" i="1"/>
  <c r="Y608" i="1"/>
  <c r="Y609" i="1"/>
  <c r="Y610" i="1"/>
  <c r="Y611" i="1"/>
  <c r="Y612" i="1"/>
  <c r="Y613" i="1"/>
  <c r="Y614" i="1"/>
  <c r="Y615" i="1"/>
  <c r="Y616" i="1"/>
  <c r="Y617" i="1"/>
  <c r="Y618" i="1"/>
  <c r="Y619" i="1"/>
  <c r="Y620" i="1"/>
  <c r="Y621" i="1"/>
  <c r="Y622" i="1"/>
  <c r="Y623" i="1"/>
  <c r="Y624" i="1"/>
  <c r="Y625" i="1"/>
  <c r="Y626" i="1"/>
  <c r="Y627" i="1"/>
  <c r="Y628" i="1"/>
  <c r="Y629" i="1"/>
  <c r="AD629" i="1" s="1"/>
  <c r="Y630" i="1"/>
  <c r="Y631" i="1"/>
  <c r="Y632" i="1"/>
  <c r="Y633" i="1"/>
  <c r="AD630" i="1" l="1"/>
  <c r="C2" i="5"/>
  <c r="C11" i="5" s="1"/>
  <c r="C21" i="5" l="1"/>
  <c r="B10" i="8" s="1"/>
  <c r="C10" i="5"/>
  <c r="C22" i="5" s="1"/>
  <c r="B11" i="8" s="1"/>
  <c r="C13" i="5"/>
  <c r="C15" i="5"/>
  <c r="B6" i="8" s="1"/>
  <c r="C14" i="5"/>
  <c r="B5" i="8" s="1"/>
  <c r="C7" i="5"/>
  <c r="C19" i="5" s="1"/>
  <c r="B8" i="8" s="1"/>
  <c r="C12" i="5"/>
  <c r="C8" i="5"/>
  <c r="B4" i="8" s="1"/>
  <c r="C4" i="5"/>
  <c r="B2" i="8" s="1"/>
  <c r="C5" i="5"/>
  <c r="B3" i="8" s="1"/>
  <c r="C9" i="5"/>
  <c r="C20" i="5" s="1"/>
  <c r="B9" i="8" s="1"/>
  <c r="C6" i="5"/>
  <c r="C18" i="5" s="1"/>
  <c r="B7" i="8" s="1"/>
  <c r="AH129" i="3"/>
  <c r="C129" i="3"/>
  <c r="D129" i="3"/>
  <c r="E129" i="3"/>
  <c r="F129" i="3"/>
  <c r="G129" i="3"/>
  <c r="H129" i="3"/>
  <c r="I129" i="3"/>
  <c r="J129" i="3"/>
  <c r="K129" i="3"/>
  <c r="L129" i="3"/>
  <c r="M129" i="3"/>
  <c r="N129" i="3"/>
  <c r="O129" i="3"/>
  <c r="P129" i="3"/>
  <c r="Q129" i="3"/>
  <c r="R129" i="3"/>
  <c r="S129" i="3"/>
  <c r="T129" i="3"/>
  <c r="U129" i="3"/>
  <c r="V129" i="3"/>
  <c r="W129" i="3"/>
  <c r="X129" i="3"/>
  <c r="Y129" i="3"/>
  <c r="Z129" i="3"/>
  <c r="AA129" i="3"/>
  <c r="AB129" i="3"/>
  <c r="AC129" i="3"/>
  <c r="AD129" i="3"/>
  <c r="AE129" i="3"/>
  <c r="AF129" i="3"/>
  <c r="AG129" i="3"/>
  <c r="B129" i="3"/>
  <c r="C23" i="5" l="1"/>
  <c r="B12" i="8" s="1"/>
  <c r="AD3" i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50" i="1"/>
  <c r="AD151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71" i="1"/>
  <c r="AD472" i="1"/>
  <c r="AD473" i="1"/>
  <c r="AD474" i="1"/>
  <c r="AD475" i="1"/>
  <c r="AD476" i="1"/>
  <c r="AD477" i="1"/>
  <c r="AD478" i="1"/>
  <c r="AD479" i="1"/>
  <c r="AD481" i="1"/>
  <c r="AD482" i="1"/>
  <c r="AD483" i="1"/>
  <c r="AD484" i="1"/>
  <c r="AD485" i="1"/>
  <c r="AD486" i="1"/>
  <c r="AD487" i="1"/>
  <c r="AD488" i="1"/>
  <c r="AD489" i="1"/>
  <c r="AD506" i="1"/>
  <c r="AD507" i="1"/>
  <c r="AD508" i="1"/>
  <c r="AD509" i="1"/>
  <c r="AD510" i="1"/>
  <c r="AD511" i="1"/>
  <c r="AD512" i="1"/>
  <c r="AD514" i="1"/>
  <c r="AD515" i="1"/>
  <c r="AD518" i="1"/>
  <c r="AD519" i="1"/>
  <c r="AD520" i="1"/>
  <c r="AD524" i="1"/>
  <c r="AD525" i="1"/>
  <c r="AD526" i="1"/>
  <c r="AD527" i="1"/>
  <c r="AD528" i="1"/>
  <c r="AD530" i="1"/>
  <c r="AD531" i="1"/>
  <c r="AD532" i="1"/>
  <c r="AD533" i="1"/>
  <c r="AD534" i="1"/>
  <c r="AD537" i="1"/>
  <c r="AD538" i="1"/>
  <c r="AD539" i="1"/>
  <c r="AD54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31" i="1"/>
  <c r="AD632" i="1"/>
  <c r="AD633" i="1"/>
  <c r="AD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Lisel Johanna Olarte Guerrero</author>
  </authors>
  <commentList>
    <comment ref="W86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Lisel Johanna Olarte Guerrero:
</t>
        </r>
        <r>
          <rPr>
            <sz val="9"/>
            <color indexed="81"/>
            <rFont val="Tahoma"/>
            <family val="2"/>
          </rPr>
          <t>Misma solicitud con radicado 202124101112842</t>
        </r>
      </text>
    </comment>
  </commentList>
</comments>
</file>

<file path=xl/sharedStrings.xml><?xml version="1.0" encoding="utf-8"?>
<sst xmlns="http://schemas.openxmlformats.org/spreadsheetml/2006/main" count="17852" uniqueCount="4334">
  <si>
    <t>No Solicitud</t>
  </si>
  <si>
    <t>NOMBRE</t>
  </si>
  <si>
    <t>CARGO</t>
  </si>
  <si>
    <t>ENTIDAD</t>
  </si>
  <si>
    <t>EMAIL</t>
  </si>
  <si>
    <t>DIRECCIÓN</t>
  </si>
  <si>
    <t>ASUNTO</t>
  </si>
  <si>
    <t>RADICADO ENTRADA</t>
  </si>
  <si>
    <t>MES ENTRADA</t>
  </si>
  <si>
    <t>RADICADO SALIDA</t>
  </si>
  <si>
    <t>FECHA RADICADO SALIDA</t>
  </si>
  <si>
    <t>FECHA RADICADO ENTRADA</t>
  </si>
  <si>
    <t>MES SALIDA</t>
  </si>
  <si>
    <t>DIAS RESPUESTA</t>
  </si>
  <si>
    <t>ESTADO</t>
  </si>
  <si>
    <t>OBSERVACIÓN</t>
  </si>
  <si>
    <t>DEPARTAMENTO</t>
  </si>
  <si>
    <t>MUNICIPIO</t>
  </si>
  <si>
    <t>MEDICAMENTO</t>
  </si>
  <si>
    <t>CANTIDAD UND FARMACEUTICAS</t>
  </si>
  <si>
    <t>CANTIDAD UND COMERCIALES</t>
  </si>
  <si>
    <t>NOMBRE MED.</t>
  </si>
  <si>
    <t>CONCENTRACION</t>
  </si>
  <si>
    <t>FORMA FARMACEUTICA</t>
  </si>
  <si>
    <t>CANTIDAD</t>
  </si>
  <si>
    <t>CANTIDAD NUM LETRAS</t>
  </si>
  <si>
    <t>med mas presentacion</t>
  </si>
  <si>
    <t>Presentacion</t>
  </si>
  <si>
    <t>Fenobarbital 0,4% Solución Oral_frascos X 120 mL c/u</t>
  </si>
  <si>
    <t>Solución Oral</t>
  </si>
  <si>
    <t>Fenobarbital 10 mg Tableta_cajas X 30 unidades c/u</t>
  </si>
  <si>
    <t>Tableta</t>
  </si>
  <si>
    <t>Fenobarbital 100 mg Tableta_cajas X 30 unidades c/u</t>
  </si>
  <si>
    <t>Fenobarbital 50 mg Tableta_cajas X 30 unidades c/u</t>
  </si>
  <si>
    <t>Fenobarbital Sódico 200 mg/mL Solución Inyectable_caja X 10 ampollas c/u</t>
  </si>
  <si>
    <t>Solución Inyectable</t>
  </si>
  <si>
    <t>Fenobarbital Sódico 40 mg/mL Solución Inyectable_caja X 10 ampollas c/u</t>
  </si>
  <si>
    <t>Hidromorfona HCl 2 mg/mL Solución Inyectable_cajas X 10 unidades c/u</t>
  </si>
  <si>
    <t>Hidromorfona HCl 2,5 mg Tableta_cajas X 20 unidades c/u</t>
  </si>
  <si>
    <t xml:space="preserve">2,5 mg </t>
  </si>
  <si>
    <t>Caja X 20 unidades c/u</t>
  </si>
  <si>
    <t>Meperidina HCl 100 mg/2mL Solución Inyectable_cajas X 10 unidades c/u</t>
  </si>
  <si>
    <t xml:space="preserve">Meperidina HCl </t>
  </si>
  <si>
    <t xml:space="preserve">100 mg/2mL </t>
  </si>
  <si>
    <t>Metadona HCl 10 mg Tableta_frascos X 20 unidades c/u</t>
  </si>
  <si>
    <t>Metadona HCl 10 mg Tableta_Cajas X 30 unidades c/u</t>
  </si>
  <si>
    <t>Metadona HCl 40 mg Tableta_frasco X 20 unidades c/u</t>
  </si>
  <si>
    <t>Metadona HCl 40 mg Tableta_Cajas X 30 unidades c/u</t>
  </si>
  <si>
    <t>Metilfenidato HCl 10 mg Comprimido_cajas X 30 unidades c/u</t>
  </si>
  <si>
    <t>Metilfenidato HCl 18 mg Tableta de Liberación Prolongada_frascos X 30 unidades c/u</t>
  </si>
  <si>
    <t xml:space="preserve">18 mg </t>
  </si>
  <si>
    <t>Metilfenidato HCl 20 mg Cápsula de Liberación Prolongada_frascos X 30 unidades c/u</t>
  </si>
  <si>
    <t>20 mg</t>
  </si>
  <si>
    <t>Cápsula de Liberación Prolongada</t>
  </si>
  <si>
    <t>Frasco X 30 unidades c/u</t>
  </si>
  <si>
    <t>Metilfenidato HCl 30 mg Cápsula de Liberación Prolongada_frasco X 30 unidades c/u</t>
  </si>
  <si>
    <t>30 mg</t>
  </si>
  <si>
    <t>Metilfenidato HCl 36 mg Tableta de Liberación Prolongada_frasco X 30 unidades c/u</t>
  </si>
  <si>
    <t>Morfina HCl 0,03 Solución Inyectable_Vial X 20 mL c/u</t>
  </si>
  <si>
    <t>Vial X 20 mL c/u</t>
  </si>
  <si>
    <t>Morfina HCl 0,03 Solución Oral_frascos X 30 mL c/u</t>
  </si>
  <si>
    <t>Primidona 250 mg Tableta_caja X 50 unidades c/u</t>
  </si>
  <si>
    <t>Caja X 50 unidades c/u</t>
  </si>
  <si>
    <t>Morfina HCl 10 mg/mL Solución Inyectable ampolla por 1mL</t>
  </si>
  <si>
    <t>Morfina HCl 10 mg/mL Solución Inyectable ampolla por 5mL</t>
  </si>
  <si>
    <t>#</t>
  </si>
  <si>
    <t>Letras</t>
  </si>
  <si>
    <t>Uno</t>
  </si>
  <si>
    <t>Dos</t>
  </si>
  <si>
    <t>Tres</t>
  </si>
  <si>
    <t>Cuatro</t>
  </si>
  <si>
    <t>Cinco</t>
  </si>
  <si>
    <t>Seis</t>
  </si>
  <si>
    <t>Siete</t>
  </si>
  <si>
    <t>Ocho</t>
  </si>
  <si>
    <t>Nueve</t>
  </si>
  <si>
    <t>Diez</t>
  </si>
  <si>
    <t>Once</t>
  </si>
  <si>
    <t>Doce</t>
  </si>
  <si>
    <t>Trece</t>
  </si>
  <si>
    <t>Catorce</t>
  </si>
  <si>
    <t>Quince</t>
  </si>
  <si>
    <t>Dieciseis</t>
  </si>
  <si>
    <t>Diecisiete</t>
  </si>
  <si>
    <t>Dieciocho</t>
  </si>
  <si>
    <t>Diecinueve</t>
  </si>
  <si>
    <t>Veinte</t>
  </si>
  <si>
    <t>Veintiuno</t>
  </si>
  <si>
    <t>Veintidos</t>
  </si>
  <si>
    <t>Veintitres</t>
  </si>
  <si>
    <t>Veinticuatro</t>
  </si>
  <si>
    <t>Veinticinco</t>
  </si>
  <si>
    <t>Veintiseis</t>
  </si>
  <si>
    <t>Veintisiete</t>
  </si>
  <si>
    <t>Veintiocho</t>
  </si>
  <si>
    <t>Veintinueve</t>
  </si>
  <si>
    <t>Treinta</t>
  </si>
  <si>
    <t>Treinta Y Uno</t>
  </si>
  <si>
    <t>Treinta Y Dos</t>
  </si>
  <si>
    <t>Treinta Y Tres</t>
  </si>
  <si>
    <t>Treinta Y Cuatro</t>
  </si>
  <si>
    <t>Treinta Y Cinco</t>
  </si>
  <si>
    <t>Treinta Y Seis</t>
  </si>
  <si>
    <t>Treinta Y Siete</t>
  </si>
  <si>
    <t>Treinta Y Ocho</t>
  </si>
  <si>
    <t>Treinta Y Nueve</t>
  </si>
  <si>
    <t>Cuarenta</t>
  </si>
  <si>
    <t>Cuarenta Y Uno</t>
  </si>
  <si>
    <t>Cuarenta Y Dos</t>
  </si>
  <si>
    <t>Cuarenta Y Tres</t>
  </si>
  <si>
    <t>Cuarenta Y Cuatro</t>
  </si>
  <si>
    <t>Cuarenta Y Cinco</t>
  </si>
  <si>
    <t>Cuarenta Y Seis</t>
  </si>
  <si>
    <t>Cuarenta Y Siete</t>
  </si>
  <si>
    <t>Cuarenta Y Ocho</t>
  </si>
  <si>
    <t>Cuarenta Y Nueve</t>
  </si>
  <si>
    <t>Cincuenta</t>
  </si>
  <si>
    <t>Cincuenta Y Uno</t>
  </si>
  <si>
    <t>Cincuenta Y Dos</t>
  </si>
  <si>
    <t>Cincuenta Y Tres</t>
  </si>
  <si>
    <t>Cincuenta Y Cuatro</t>
  </si>
  <si>
    <t>Cincuenta Y Cinco</t>
  </si>
  <si>
    <t>Cincuenta Y Seis</t>
  </si>
  <si>
    <t>Cincuenta Y Siete</t>
  </si>
  <si>
    <t>Cincuenta Y Ocho</t>
  </si>
  <si>
    <t>Cincuenta Y Nueve</t>
  </si>
  <si>
    <t>Sesenta</t>
  </si>
  <si>
    <t>Sesenta Y Uno</t>
  </si>
  <si>
    <t>Sesenta Y Dos</t>
  </si>
  <si>
    <t>Sesenta Y Tres</t>
  </si>
  <si>
    <t>Sesenta Y Cuatro</t>
  </si>
  <si>
    <t>Sesenta Y Cinco</t>
  </si>
  <si>
    <t>Sesenta Y Seis</t>
  </si>
  <si>
    <t>Sesenta Y Siete</t>
  </si>
  <si>
    <t>Sesenta Y Ocho</t>
  </si>
  <si>
    <t>Sesenta Y Nueve</t>
  </si>
  <si>
    <t>Setenta</t>
  </si>
  <si>
    <t>Setenta Y Uno</t>
  </si>
  <si>
    <t>Setenta Y Dos</t>
  </si>
  <si>
    <t>Setenta Y Tres</t>
  </si>
  <si>
    <t>Setenta Y Cuatro</t>
  </si>
  <si>
    <t>Setenta Y Cinco</t>
  </si>
  <si>
    <t>Setenta Y Seis</t>
  </si>
  <si>
    <t>Setenta Y Siete</t>
  </si>
  <si>
    <t>Setenta Y Ocho</t>
  </si>
  <si>
    <t>Setenta Y Nueve</t>
  </si>
  <si>
    <t>Ochenta</t>
  </si>
  <si>
    <t>Ochenta Y Uno</t>
  </si>
  <si>
    <t>Ochenta Y Dos</t>
  </si>
  <si>
    <t>Ochenta Y Tres</t>
  </si>
  <si>
    <t>Ochenta Y Cuatro</t>
  </si>
  <si>
    <t>Ochenta Y Cinco</t>
  </si>
  <si>
    <t>Ochenta Y Seis</t>
  </si>
  <si>
    <t>Ochenta Y Siete</t>
  </si>
  <si>
    <t>Ochenta Y Ocho</t>
  </si>
  <si>
    <t>Ochenta Y Nueve</t>
  </si>
  <si>
    <t>Noventa</t>
  </si>
  <si>
    <t>Noventa Y Uno</t>
  </si>
  <si>
    <t>Noventa Y Dos</t>
  </si>
  <si>
    <t>Noventa Y Tres</t>
  </si>
  <si>
    <t>Noventa Y Cuatro</t>
  </si>
  <si>
    <t>Noventa Y Cinco</t>
  </si>
  <si>
    <t>Noventa Y Seis</t>
  </si>
  <si>
    <t>Noventa Y Siete</t>
  </si>
  <si>
    <t>Noventa Y Ocho</t>
  </si>
  <si>
    <t>Noventa Y Nueve</t>
  </si>
  <si>
    <t>Cien</t>
  </si>
  <si>
    <t>Ciento Uno</t>
  </si>
  <si>
    <t>Ciento Dos</t>
  </si>
  <si>
    <t>Ciento Tres</t>
  </si>
  <si>
    <t>Ciento Cuatro</t>
  </si>
  <si>
    <t>Ciento Cinco</t>
  </si>
  <si>
    <t>Ciento Seis</t>
  </si>
  <si>
    <t>Ciento Siete</t>
  </si>
  <si>
    <t>Ciento Ocho</t>
  </si>
  <si>
    <t>Ciento Nueve</t>
  </si>
  <si>
    <t>Ciento Diez</t>
  </si>
  <si>
    <t>Ciento Once</t>
  </si>
  <si>
    <t>Ciento Doce</t>
  </si>
  <si>
    <t>Ciento Trece</t>
  </si>
  <si>
    <t>Ciento Catorce</t>
  </si>
  <si>
    <t>Ciento Quince</t>
  </si>
  <si>
    <t>Ciento Dieciséis</t>
  </si>
  <si>
    <t>Ciento Diecisiete</t>
  </si>
  <si>
    <t>Ciento Dieciocho</t>
  </si>
  <si>
    <t>Ciento Diecinueve</t>
  </si>
  <si>
    <t>Ciento Veinte</t>
  </si>
  <si>
    <t>Ciento Veintiuno</t>
  </si>
  <si>
    <t>Ciento Veintidós</t>
  </si>
  <si>
    <t>Ciento Veintitrés</t>
  </si>
  <si>
    <t>Ciento Veinticuatro</t>
  </si>
  <si>
    <t>Ciento Veinticinco</t>
  </si>
  <si>
    <t>Ciento Veintiséis</t>
  </si>
  <si>
    <t>Ciento Veintisiete</t>
  </si>
  <si>
    <t>Ciento Veintiocho</t>
  </si>
  <si>
    <t>Ciento Veintinueve</t>
  </si>
  <si>
    <t>Ciento Treinta</t>
  </si>
  <si>
    <t>Ciento Treinta Y Uno</t>
  </si>
  <si>
    <t>Ciento Treinta Y Dos</t>
  </si>
  <si>
    <t>Ciento Treinta Y Tres</t>
  </si>
  <si>
    <t>Ciento Treinta Y Cuatro</t>
  </si>
  <si>
    <t>Ciento Treinta Y Cinco</t>
  </si>
  <si>
    <t>Ciento Treinta Y Seis</t>
  </si>
  <si>
    <t>Ciento Treinta Y Siete</t>
  </si>
  <si>
    <t>Ciento Treinta Y Ocho</t>
  </si>
  <si>
    <t>Ciento Treinta Y Nueve</t>
  </si>
  <si>
    <t>Ciento Cuarenta</t>
  </si>
  <si>
    <t>Ciento Cuarenta Y Uno</t>
  </si>
  <si>
    <t>Ciento Cuarenta Y Dos</t>
  </si>
  <si>
    <t>Ciento Cuarenta Y Tres</t>
  </si>
  <si>
    <t>Ciento Cuarenta Y Cuatro</t>
  </si>
  <si>
    <t>Ciento Cuarenta Y Cinco</t>
  </si>
  <si>
    <t>Ciento Cuarenta Y Seis</t>
  </si>
  <si>
    <t>Ciento Cuarenta Y Siete</t>
  </si>
  <si>
    <t>Ciento Cuarenta Y Ocho</t>
  </si>
  <si>
    <t>Ciento Cuarenta Y Nueve</t>
  </si>
  <si>
    <t>Ciento Cincuenta</t>
  </si>
  <si>
    <t>Ciento Cincuenta Y Uno</t>
  </si>
  <si>
    <t>Ciento Cincuenta Y Dos</t>
  </si>
  <si>
    <t>Ciento Cincuenta Y Tres</t>
  </si>
  <si>
    <t>Ciento Cincuenta Y Cuatro</t>
  </si>
  <si>
    <t>Ciento Cincuenta Y Cinco</t>
  </si>
  <si>
    <t>Ciento Cincuenta Y Seis</t>
  </si>
  <si>
    <t>Ciento Cincuenta Y Siete</t>
  </si>
  <si>
    <t>Ciento Cincuenta Y Ocho</t>
  </si>
  <si>
    <t>Ciento Cincuenta Y Nueve</t>
  </si>
  <si>
    <t>Ciento Sesenta</t>
  </si>
  <si>
    <t>Ciento Sesenta Y Uno</t>
  </si>
  <si>
    <t>Ciento Sesenta Y Dos</t>
  </si>
  <si>
    <t>Ciento Sesenta Y Tres</t>
  </si>
  <si>
    <t>Ciento Sesenta Y Cuatro</t>
  </si>
  <si>
    <t>Ciento Sesenta Y Cinco</t>
  </si>
  <si>
    <t>Ciento Sesenta Y Seis</t>
  </si>
  <si>
    <t>Ciento Sesenta Y Siete</t>
  </si>
  <si>
    <t>Ciento Sesenta Y Ocho</t>
  </si>
  <si>
    <t>Ciento Sesenta Y Nueve</t>
  </si>
  <si>
    <t>Ciento Setenta</t>
  </si>
  <si>
    <t>Ciento Setenta Y Uno</t>
  </si>
  <si>
    <t>Ciento Setenta Y Dos</t>
  </si>
  <si>
    <t>Ciento Setenta Y Tres</t>
  </si>
  <si>
    <t>Ciento Setenta Y Cuatro</t>
  </si>
  <si>
    <t>Ciento Setenta Y Cinco</t>
  </si>
  <si>
    <t>Ciento Setenta Y Seis</t>
  </si>
  <si>
    <t>Ciento Setenta Y Siete</t>
  </si>
  <si>
    <t>Ciento Setenta Y Ocho</t>
  </si>
  <si>
    <t>Ciento Setenta Y Nueve</t>
  </si>
  <si>
    <t>Ciento Ochenta</t>
  </si>
  <si>
    <t>Ciento Ochenta Y Uno</t>
  </si>
  <si>
    <t>Ciento Ochenta Y Dos</t>
  </si>
  <si>
    <t>Ciento Ochenta Y Tres</t>
  </si>
  <si>
    <t>Ciento Ochenta Y Cuatro</t>
  </si>
  <si>
    <t>Ciento Ochenta Y Cinco</t>
  </si>
  <si>
    <t>Ciento Ochenta Y Seis</t>
  </si>
  <si>
    <t>Ciento Ochenta Y Siete</t>
  </si>
  <si>
    <t>Ciento Ochenta Y Ocho</t>
  </si>
  <si>
    <t>Ciento Ochenta Y Nueve</t>
  </si>
  <si>
    <t>Ciento Noventa</t>
  </si>
  <si>
    <t>Ciento Noventa Y Uno</t>
  </si>
  <si>
    <t>Ciento Noventa Y Dos</t>
  </si>
  <si>
    <t>Ciento Noventa Y Tres</t>
  </si>
  <si>
    <t>Ciento Noventa Y Cuatro</t>
  </si>
  <si>
    <t>Ciento Noventa Y Cinco</t>
  </si>
  <si>
    <t>Ciento Noventa Y Seis</t>
  </si>
  <si>
    <t>Ciento Noventa Y Siete</t>
  </si>
  <si>
    <t>Ciento Noventa Y Ocho</t>
  </si>
  <si>
    <t>Ciento Noventa Y Nueve</t>
  </si>
  <si>
    <t>Doscientos</t>
  </si>
  <si>
    <t>Doscientos Uno</t>
  </si>
  <si>
    <t>Doscientos Dos</t>
  </si>
  <si>
    <t>Doscientos Tres</t>
  </si>
  <si>
    <t>Doscientos Cuatro</t>
  </si>
  <si>
    <t>Doscientos Cinco</t>
  </si>
  <si>
    <t>Doscientos Seis</t>
  </si>
  <si>
    <t>Doscientos Siete</t>
  </si>
  <si>
    <t>Doscientos Ocho</t>
  </si>
  <si>
    <t>Doscientos Nueve</t>
  </si>
  <si>
    <t>Doscientos Diez</t>
  </si>
  <si>
    <t>Doscientos Once</t>
  </si>
  <si>
    <t>Doscientos Doce</t>
  </si>
  <si>
    <t>Doscientos Trece</t>
  </si>
  <si>
    <t>Doscientos Catorce</t>
  </si>
  <si>
    <t>Doscientos Quince</t>
  </si>
  <si>
    <t>Doscientos Dieciséis</t>
  </si>
  <si>
    <t>Doscientos Diecisiete</t>
  </si>
  <si>
    <t>Doscientos Dieciocho</t>
  </si>
  <si>
    <t>Doscientos Diecinueve</t>
  </si>
  <si>
    <t>Doscientos Veinte</t>
  </si>
  <si>
    <t>Doscientos Veintiuno</t>
  </si>
  <si>
    <t>Doscientos Veintidós</t>
  </si>
  <si>
    <t>Doscientos Veintitrés</t>
  </si>
  <si>
    <t>Doscientos Veinticuatro</t>
  </si>
  <si>
    <t>Doscientos Veinticinco</t>
  </si>
  <si>
    <t>Doscientos Veintiséis</t>
  </si>
  <si>
    <t>Doscientos Veintisiete</t>
  </si>
  <si>
    <t>Doscientos Veintiocho</t>
  </si>
  <si>
    <t>Doscientos Veintinueve</t>
  </si>
  <si>
    <t>Doscientos Treinta</t>
  </si>
  <si>
    <t>Doscientos Treinta Y Uno</t>
  </si>
  <si>
    <t>Doscientos Treinta Y Dos</t>
  </si>
  <si>
    <t>Doscientos Treinta Y Tres</t>
  </si>
  <si>
    <t>Doscientos Treinta Y Cuatro</t>
  </si>
  <si>
    <t>Doscientos Treinta Y Cinco</t>
  </si>
  <si>
    <t>Doscientos Treinta Y Seis</t>
  </si>
  <si>
    <t>Doscientos Treinta Y Siete</t>
  </si>
  <si>
    <t>Doscientos Treinta Y Ocho</t>
  </si>
  <si>
    <t>Doscientos Treinta Y Nueve</t>
  </si>
  <si>
    <t>Doscientos Cuarenta</t>
  </si>
  <si>
    <t>Doscientos Cuarenta Y Uno</t>
  </si>
  <si>
    <t>Doscientos Cuarenta Y Dos</t>
  </si>
  <si>
    <t>Doscientos Cuarenta Y Tres</t>
  </si>
  <si>
    <t>Doscientos Cuarenta Y Cuatro</t>
  </si>
  <si>
    <t>Doscientos Cuarenta Y Cinco</t>
  </si>
  <si>
    <t>Doscientos Cuarenta Y Seis</t>
  </si>
  <si>
    <t>Doscientos Cuarenta Y Siete</t>
  </si>
  <si>
    <t>Doscientos Cuarenta Y Ocho</t>
  </si>
  <si>
    <t>Doscientos Cuarenta Y Nueve</t>
  </si>
  <si>
    <t>Doscientos Cincuenta</t>
  </si>
  <si>
    <t>Doscientos Cincuenta Y Uno</t>
  </si>
  <si>
    <t>Doscientos Cincuenta Y Dos</t>
  </si>
  <si>
    <t>Doscientos Cincuenta Y Tres</t>
  </si>
  <si>
    <t>Doscientos Cincuenta Y Cuatro</t>
  </si>
  <si>
    <t>Doscientos Cincuenta Y Cinco</t>
  </si>
  <si>
    <t>Doscientos Cincuenta Y Seis</t>
  </si>
  <si>
    <t>Doscientos Cincuenta Y Siete</t>
  </si>
  <si>
    <t>Doscientos Cincuenta Y Ocho</t>
  </si>
  <si>
    <t>Doscientos Cincuenta Y Nueve</t>
  </si>
  <si>
    <t>Doscientos Sesenta</t>
  </si>
  <si>
    <t>Doscientos Sesenta Y Uno</t>
  </si>
  <si>
    <t>Doscientos Sesenta Y Dos</t>
  </si>
  <si>
    <t>Doscientos Sesenta Y Tres</t>
  </si>
  <si>
    <t>Doscientos Sesenta Y Cuatro</t>
  </si>
  <si>
    <t>Doscientos Sesenta Y Cinco</t>
  </si>
  <si>
    <t>Doscientos Sesenta Y Seis</t>
  </si>
  <si>
    <t>Doscientos Sesenta Y Siete</t>
  </si>
  <si>
    <t>Doscientos Sesenta Y Ocho</t>
  </si>
  <si>
    <t>Doscientos Sesenta Y Nueve</t>
  </si>
  <si>
    <t>Doscientos Setenta</t>
  </si>
  <si>
    <t>Doscientos Setenta Y Uno</t>
  </si>
  <si>
    <t>Doscientos Setenta Y Dos</t>
  </si>
  <si>
    <t>Doscientos Setenta Y Tres</t>
  </si>
  <si>
    <t>Doscientos Setenta Y Cuatro</t>
  </si>
  <si>
    <t>Doscientos Setenta Y Cinco</t>
  </si>
  <si>
    <t>Doscientos Setenta Y Seis</t>
  </si>
  <si>
    <t>Doscientos Setenta Y Siete</t>
  </si>
  <si>
    <t>Doscientos Setenta Y Ocho</t>
  </si>
  <si>
    <t>Doscientos Setenta Y Nueve</t>
  </si>
  <si>
    <t>Doscientos Ochenta</t>
  </si>
  <si>
    <t>Doscientos Ochenta Y Uno</t>
  </si>
  <si>
    <t>Doscientos Ochenta Y Dos</t>
  </si>
  <si>
    <t>Doscientos Ochenta Y Tres</t>
  </si>
  <si>
    <t>Doscientos Ochenta Y Cuatro</t>
  </si>
  <si>
    <t>Doscientos Ochenta Y Cinco</t>
  </si>
  <si>
    <t>Doscientos Ochenta Y Seis</t>
  </si>
  <si>
    <t>Doscientos Ochenta Y Siete</t>
  </si>
  <si>
    <t>Doscientos Ochenta Y Ocho</t>
  </si>
  <si>
    <t>Doscientos Ochenta Y Nueve</t>
  </si>
  <si>
    <t>Doscientos Noventa</t>
  </si>
  <si>
    <t>Doscientos Noventa Y Uno</t>
  </si>
  <si>
    <t>Doscientos Noventa Y Dos</t>
  </si>
  <si>
    <t>Doscientos Noventa Y Tres</t>
  </si>
  <si>
    <t>Doscientos Noventa Y Cuatro</t>
  </si>
  <si>
    <t>Doscientos Noventa Y Cinco</t>
  </si>
  <si>
    <t>Doscientos Noventa Y Seis</t>
  </si>
  <si>
    <t>Doscientos Noventa Y Siete</t>
  </si>
  <si>
    <t>Doscientos Noventa Y Ocho</t>
  </si>
  <si>
    <t>Doscientos Noventa Y Nueve</t>
  </si>
  <si>
    <t>Trescientos</t>
  </si>
  <si>
    <t>Trescientos Uno</t>
  </si>
  <si>
    <t>Trescientos Dos</t>
  </si>
  <si>
    <t>Trescientos Tres</t>
  </si>
  <si>
    <t>Trescientos Cuatro</t>
  </si>
  <si>
    <t>Trescientos Cinco</t>
  </si>
  <si>
    <t>Trescientos Seis</t>
  </si>
  <si>
    <t>Trescientos Siete</t>
  </si>
  <si>
    <t>Trescientos Ocho</t>
  </si>
  <si>
    <t>Trescientos Nueve</t>
  </si>
  <si>
    <t>Trescientos Diez</t>
  </si>
  <si>
    <t>Trescientos Once</t>
  </si>
  <si>
    <t>Trescientos Doce</t>
  </si>
  <si>
    <t>Trescientos Trece</t>
  </si>
  <si>
    <t>Trescientos Catorce</t>
  </si>
  <si>
    <t>Trescientos Quince</t>
  </si>
  <si>
    <t>Trescientos Dieciséis</t>
  </si>
  <si>
    <t>Trescientos Diecisiete</t>
  </si>
  <si>
    <t>Trescientos Dieciocho</t>
  </si>
  <si>
    <t>Trescientos Diecinueve</t>
  </si>
  <si>
    <t>Trescientos Veinte</t>
  </si>
  <si>
    <t>Trescientos Veintiuno</t>
  </si>
  <si>
    <t>Trescientos Veintidós</t>
  </si>
  <si>
    <t>Trescientos Veintitrés</t>
  </si>
  <si>
    <t>Trescientos Veinticuatro</t>
  </si>
  <si>
    <t>Trescientos Veinticinco</t>
  </si>
  <si>
    <t>Trescientos Veintiséis</t>
  </si>
  <si>
    <t>Trescientos Veintisiete</t>
  </si>
  <si>
    <t>Trescientos Veintiocho</t>
  </si>
  <si>
    <t>Trescientos Veintinueve</t>
  </si>
  <si>
    <t>Trescientos Treinta</t>
  </si>
  <si>
    <t>Trescientos Treinta Y Uno</t>
  </si>
  <si>
    <t>Trescientos Treinta Y Dos</t>
  </si>
  <si>
    <t>Trescientos Treinta Y Tres</t>
  </si>
  <si>
    <t>Trescientos Treinta Y Cuatro</t>
  </si>
  <si>
    <t>Trescientos Treinta Y Cinco</t>
  </si>
  <si>
    <t>Trescientos Treinta Y Seis</t>
  </si>
  <si>
    <t>Trescientos Treinta Y Siete</t>
  </si>
  <si>
    <t>Trescientos Treinta Y Ocho</t>
  </si>
  <si>
    <t>Trescientos Treinta Y Nueve</t>
  </si>
  <si>
    <t>Trescientos Cuarenta</t>
  </si>
  <si>
    <t>Trescientos Cuarenta Y Uno</t>
  </si>
  <si>
    <t>Trescientos Cuarenta Y Dos</t>
  </si>
  <si>
    <t>Trescientos Cuarenta Y Tres</t>
  </si>
  <si>
    <t>Trescientos Cuarenta Y Cuatro</t>
  </si>
  <si>
    <t>Trescientos Cuarenta Y Cinco</t>
  </si>
  <si>
    <t>Trescientos Cuarenta Y Seis</t>
  </si>
  <si>
    <t>Trescientos Cuarenta Y Siete</t>
  </si>
  <si>
    <t>Trescientos Cuarenta Y Ocho</t>
  </si>
  <si>
    <t>Trescientos Cuarenta Y Nueve</t>
  </si>
  <si>
    <t>Trescientos Cincuenta</t>
  </si>
  <si>
    <t>Trescientos Cincuenta Y Uno</t>
  </si>
  <si>
    <t>Trescientos Cincuenta Y Dos</t>
  </si>
  <si>
    <t>Trescientos Cincuenta Y Tres</t>
  </si>
  <si>
    <t>Trescientos Cincuenta Y Cuatro</t>
  </si>
  <si>
    <t>Trescientos Cincuenta Y Cinco</t>
  </si>
  <si>
    <t>Trescientos Cincuenta Y Seis</t>
  </si>
  <si>
    <t>Trescientos Cincuenta Y Siete</t>
  </si>
  <si>
    <t>Trescientos Cincuenta Y Ocho</t>
  </si>
  <si>
    <t>Trescientos Cincuenta Y Nueve</t>
  </si>
  <si>
    <t>Trescientos Sesenta</t>
  </si>
  <si>
    <t>Trescientos Sesenta Y Uno</t>
  </si>
  <si>
    <t>Trescientos Sesenta Y Dos</t>
  </si>
  <si>
    <t>Trescientos Sesenta Y Tres</t>
  </si>
  <si>
    <t>Trescientos Sesenta Y Cuatro</t>
  </si>
  <si>
    <t>Trescientos Sesenta Y Cinco</t>
  </si>
  <si>
    <t>Trescientos Sesenta Y Seis</t>
  </si>
  <si>
    <t>Trescientos Sesenta Y Siete</t>
  </si>
  <si>
    <t>Trescientos Sesenta Y Ocho</t>
  </si>
  <si>
    <t>Trescientos Sesenta Y Nueve</t>
  </si>
  <si>
    <t>Trescientos Setenta</t>
  </si>
  <si>
    <t>Trescientos Setenta Y Uno</t>
  </si>
  <si>
    <t>Trescientos Setenta Y Dos</t>
  </si>
  <si>
    <t>Trescientos Setenta Y Tres</t>
  </si>
  <si>
    <t>Trescientos Setenta Y Cuatro</t>
  </si>
  <si>
    <t>Trescientos Setenta Y Cinco</t>
  </si>
  <si>
    <t>Trescientos Setenta Y Seis</t>
  </si>
  <si>
    <t>Trescientos Setenta Y Siete</t>
  </si>
  <si>
    <t>Trescientos Setenta Y Ocho</t>
  </si>
  <si>
    <t>Trescientos Setenta Y Nueve</t>
  </si>
  <si>
    <t>Trescientos Ochenta</t>
  </si>
  <si>
    <t>Trescientos Ochenta Y Uno</t>
  </si>
  <si>
    <t>Trescientos Ochenta Y Dos</t>
  </si>
  <si>
    <t>Trescientos Ochenta Y Tres</t>
  </si>
  <si>
    <t>Trescientos Ochenta Y Cuatro</t>
  </si>
  <si>
    <t>Trescientos Ochenta Y Cinco</t>
  </si>
  <si>
    <t>Trescientos Ochenta Y Seis</t>
  </si>
  <si>
    <t>Trescientos Ochenta Y Siete</t>
  </si>
  <si>
    <t>Trescientos Ochenta Y Ocho</t>
  </si>
  <si>
    <t>Trescientos Ochenta Y Nueve</t>
  </si>
  <si>
    <t>Trescientos Noventa</t>
  </si>
  <si>
    <t>Trescientos Noventa Y Uno</t>
  </si>
  <si>
    <t>Trescientos Noventa Y Dos</t>
  </si>
  <si>
    <t>Trescientos Noventa Y Tres</t>
  </si>
  <si>
    <t>Trescientos Noventa Y Cuatro</t>
  </si>
  <si>
    <t>Trescientos Noventa Y Cinco</t>
  </si>
  <si>
    <t>Trescientos Noventa Y Seis</t>
  </si>
  <si>
    <t>Trescientos Noventa Y Siete</t>
  </si>
  <si>
    <t>Trescientos Noventa Y Ocho</t>
  </si>
  <si>
    <t>Trescientos Noventa Y Nueve</t>
  </si>
  <si>
    <t>Cuatrocientos</t>
  </si>
  <si>
    <t>Cuatrocientos Uno</t>
  </si>
  <si>
    <t>Cuatrocientos Dos</t>
  </si>
  <si>
    <t>Cuatrocientos Tres</t>
  </si>
  <si>
    <t>Cuatrocientos Cuatro</t>
  </si>
  <si>
    <t>Cuatrocientos Cinco</t>
  </si>
  <si>
    <t>Cuatrocientos Seis</t>
  </si>
  <si>
    <t>Cuatrocientos Siete</t>
  </si>
  <si>
    <t>Cuatrocientos Ocho</t>
  </si>
  <si>
    <t>Cuatrocientos Nueve</t>
  </si>
  <si>
    <t>Cuatrocientos Diez</t>
  </si>
  <si>
    <t>Cuatrocientos Once</t>
  </si>
  <si>
    <t>Cuatrocientos Doce</t>
  </si>
  <si>
    <t>Cuatrocientos Trece</t>
  </si>
  <si>
    <t>Cuatrocientos Catorce</t>
  </si>
  <si>
    <t>Cuatrocientos Quince</t>
  </si>
  <si>
    <t>Cuatrocientos Dieciséis</t>
  </si>
  <si>
    <t>Cuatrocientos Diecisiete</t>
  </si>
  <si>
    <t>Cuatrocientos Dieciocho</t>
  </si>
  <si>
    <t>Cuatrocientos Diecinueve</t>
  </si>
  <si>
    <t>Cuatrocientos Veinte</t>
  </si>
  <si>
    <t>Cuatrocientos Veintiuno</t>
  </si>
  <si>
    <t>Cuatrocientos Veintidós</t>
  </si>
  <si>
    <t>Cuatrocientos Veintitrés</t>
  </si>
  <si>
    <t>Cuatrocientos Veinticuatro</t>
  </si>
  <si>
    <t>Cuatrocientos Veinticinco</t>
  </si>
  <si>
    <t>Cuatrocientos Veintiséis</t>
  </si>
  <si>
    <t>Cuatrocientos Veintisiete</t>
  </si>
  <si>
    <t>Cuatrocientos Veintiocho</t>
  </si>
  <si>
    <t>Cuatrocientos Veintinueve</t>
  </si>
  <si>
    <t>Cuatrocientos Treinta</t>
  </si>
  <si>
    <t>Cuatrocientos Treinta Y Uno</t>
  </si>
  <si>
    <t>Cuatrocientos Treinta Y Dos</t>
  </si>
  <si>
    <t>Cuatrocientos Treinta Y Tres</t>
  </si>
  <si>
    <t>Cuatrocientos Treinta Y Cuatro</t>
  </si>
  <si>
    <t>Cuatrocientos Treinta Y Cinco</t>
  </si>
  <si>
    <t>Cuatrocientos Treinta Y Seis</t>
  </si>
  <si>
    <t>Cuatrocientos Treinta Y Siete</t>
  </si>
  <si>
    <t>Cuatrocientos Treinta Y Ocho</t>
  </si>
  <si>
    <t>Cuatrocientos Treinta Y Nueve</t>
  </si>
  <si>
    <t>Cuatrocientos Cuarenta</t>
  </si>
  <si>
    <t>Cuatrocientos Cuarenta Y Uno</t>
  </si>
  <si>
    <t>Cuatrocientos Cuarenta Y Dos</t>
  </si>
  <si>
    <t>Cuatrocientos Cuarenta Y Tres</t>
  </si>
  <si>
    <t>Cuatrocientos Cuarenta Y Cuatro</t>
  </si>
  <si>
    <t>Cuatrocientos Cuarenta Y Cinco</t>
  </si>
  <si>
    <t>Cuatrocientos Cuarenta Y Seis</t>
  </si>
  <si>
    <t>Cuatrocientos Cuarenta Y Siete</t>
  </si>
  <si>
    <t>Cuatrocientos Cuarenta Y Ocho</t>
  </si>
  <si>
    <t>Cuatrocientos Cuarenta Y Nueve</t>
  </si>
  <si>
    <t>Cuatrocientos Cincuenta</t>
  </si>
  <si>
    <t>Cuatrocientos Cincuenta Y Uno</t>
  </si>
  <si>
    <t>Cuatrocientos Cincuenta Y Dos</t>
  </si>
  <si>
    <t>Cuatrocientos Cincuenta Y Tres</t>
  </si>
  <si>
    <t>Cuatrocientos Cincuenta Y Cuatro</t>
  </si>
  <si>
    <t>Cuatrocientos Cincuenta Y Cinco</t>
  </si>
  <si>
    <t>Cuatrocientos Cincuenta Y Seis</t>
  </si>
  <si>
    <t>Cuatrocientos Cincuenta Y Siete</t>
  </si>
  <si>
    <t>Cuatrocientos Cincuenta Y Ocho</t>
  </si>
  <si>
    <t>Cuatrocientos Cincuenta Y Nueve</t>
  </si>
  <si>
    <t>Cuatrocientos Sesenta</t>
  </si>
  <si>
    <t>Cuatrocientos Sesenta Y Uno</t>
  </si>
  <si>
    <t>Cuatrocientos Sesenta Y Dos</t>
  </si>
  <si>
    <t>Cuatrocientos Sesenta Y Tres</t>
  </si>
  <si>
    <t>Cuatrocientos Sesenta Y Cuatro</t>
  </si>
  <si>
    <t>Cuatrocientos Sesenta Y Cinco</t>
  </si>
  <si>
    <t>Cuatrocientos Sesenta Y Seis</t>
  </si>
  <si>
    <t>Cuatrocientos Sesenta Y Siete</t>
  </si>
  <si>
    <t>Cuatrocientos Sesenta Y Ocho</t>
  </si>
  <si>
    <t>Cuatrocientos Sesenta Y Nueve</t>
  </si>
  <si>
    <t>Cuatrocientos Setenta</t>
  </si>
  <si>
    <t>Cuatrocientos Setenta Y Uno</t>
  </si>
  <si>
    <t>Cuatrocientos Setenta Y Dos</t>
  </si>
  <si>
    <t>Cuatrocientos Setenta Y Tres</t>
  </si>
  <si>
    <t>Cuatrocientos Setenta Y Cuatro</t>
  </si>
  <si>
    <t>Cuatrocientos Setenta Y Cinco</t>
  </si>
  <si>
    <t>Cuatrocientos Setenta Y Seis</t>
  </si>
  <si>
    <t>Cuatrocientos Setenta Y Siete</t>
  </si>
  <si>
    <t>Cuatrocientos Setenta Y Ocho</t>
  </si>
  <si>
    <t>Cuatrocientos Setenta Y Nueve</t>
  </si>
  <si>
    <t>Cuatrocientos Ochenta</t>
  </si>
  <si>
    <t>Cuatrocientos Ochenta Y Uno</t>
  </si>
  <si>
    <t>Cuatrocientos Ochenta Y Dos</t>
  </si>
  <si>
    <t>Cuatrocientos Ochenta Y Tres</t>
  </si>
  <si>
    <t>Cuatrocientos Ochenta Y Cuatro</t>
  </si>
  <si>
    <t>Cuatrocientos Ochenta Y Cinco</t>
  </si>
  <si>
    <t>Cuatrocientos Ochenta Y Seis</t>
  </si>
  <si>
    <t>Cuatrocientos Ochenta Y Siete</t>
  </si>
  <si>
    <t>Cuatrocientos Ochenta Y Ocho</t>
  </si>
  <si>
    <t>Cuatrocientos Ochenta Y Nueve</t>
  </si>
  <si>
    <t>Cuatrocientos Noventa</t>
  </si>
  <si>
    <t>Cuatrocientos Noventa Y Uno</t>
  </si>
  <si>
    <t>Cuatrocientos Noventa Y Dos</t>
  </si>
  <si>
    <t>Cuatrocientos Noventa Y Tres</t>
  </si>
  <si>
    <t>Cuatrocientos Noventa Y Cuatro</t>
  </si>
  <si>
    <t>Cuatrocientos Noventa Y Cinco</t>
  </si>
  <si>
    <t>Cuatrocientos Noventa Y Seis</t>
  </si>
  <si>
    <t>Cuatrocientos Noventa Y Siete</t>
  </si>
  <si>
    <t>Cuatrocientos Noventa Y Ocho</t>
  </si>
  <si>
    <t>Cuatrocientos Noventa Y Nueve</t>
  </si>
  <si>
    <t>Quinientos</t>
  </si>
  <si>
    <t>Quinientos Uno</t>
  </si>
  <si>
    <t>Quinientos Dos</t>
  </si>
  <si>
    <t>Quinientos Tres</t>
  </si>
  <si>
    <t>Quinientos Cuatro</t>
  </si>
  <si>
    <t>Quinientos Cinco</t>
  </si>
  <si>
    <t>Quinientos Seis</t>
  </si>
  <si>
    <t>Quinientos Siete</t>
  </si>
  <si>
    <t>Quinientos Ocho</t>
  </si>
  <si>
    <t>Quinientos Nueve</t>
  </si>
  <si>
    <t>Quinientos Diez</t>
  </si>
  <si>
    <t>Quinientos Once</t>
  </si>
  <si>
    <t>Quinientos Doce</t>
  </si>
  <si>
    <t>Quinientos Trece</t>
  </si>
  <si>
    <t>Quinientos Catorce</t>
  </si>
  <si>
    <t>Quinientos Quince</t>
  </si>
  <si>
    <t>Quinientos Dieciséis</t>
  </si>
  <si>
    <t>Quinientos Diecisiete</t>
  </si>
  <si>
    <t>Quinientos Dieciocho</t>
  </si>
  <si>
    <t>Quinientos Diecinueve</t>
  </si>
  <si>
    <t>Quinientos Veinte</t>
  </si>
  <si>
    <t>Quinientos Veintiuno</t>
  </si>
  <si>
    <t>Quinientos Veintidós</t>
  </si>
  <si>
    <t>Quinientos Veintitrés</t>
  </si>
  <si>
    <t>Quinientos Veinticuatro</t>
  </si>
  <si>
    <t>Quinientos Veinticinco</t>
  </si>
  <si>
    <t>Quinientos Veintiséis</t>
  </si>
  <si>
    <t>Quinientos Veintisiete</t>
  </si>
  <si>
    <t>Quinientos Veintiocho</t>
  </si>
  <si>
    <t>Quinientos Veintinueve</t>
  </si>
  <si>
    <t>Quinientos Treinta</t>
  </si>
  <si>
    <t>Quinientos Treinta Y Uno</t>
  </si>
  <si>
    <t>Quinientos Treinta Y Dos</t>
  </si>
  <si>
    <t>Quinientos Treinta Y Tres</t>
  </si>
  <si>
    <t>Quinientos Treinta Y Cuatro</t>
  </si>
  <si>
    <t>Quinientos Treinta Y Cinco</t>
  </si>
  <si>
    <t>Quinientos Treinta Y Seis</t>
  </si>
  <si>
    <t>Quinientos Treinta Y Siete</t>
  </si>
  <si>
    <t>Quinientos Treinta Y Ocho</t>
  </si>
  <si>
    <t>Quinientos Treinta Y Nueve</t>
  </si>
  <si>
    <t>Quinientos Cuarenta</t>
  </si>
  <si>
    <t>Quinientos Cuarenta Y Uno</t>
  </si>
  <si>
    <t>Quinientos Cuarenta Y Dos</t>
  </si>
  <si>
    <t>Quinientos Cuarenta Y Tres</t>
  </si>
  <si>
    <t>Quinientos Cuarenta Y Cuatro</t>
  </si>
  <si>
    <t>Quinientos Cuarenta Y Cinco</t>
  </si>
  <si>
    <t>Quinientos Cuarenta Y Seis</t>
  </si>
  <si>
    <t>Quinientos Cuarenta Y Siete</t>
  </si>
  <si>
    <t>Quinientos Cuarenta Y Ocho</t>
  </si>
  <si>
    <t>Quinientos Cuarenta Y Nueve</t>
  </si>
  <si>
    <t>Quinientos Cincuenta</t>
  </si>
  <si>
    <t>Quinientos Cincuenta Y Uno</t>
  </si>
  <si>
    <t>Quinientos Cincuenta Y Dos</t>
  </si>
  <si>
    <t>Quinientos Cincuenta Y Tres</t>
  </si>
  <si>
    <t>Quinientos Cincuenta Y Cuatro</t>
  </si>
  <si>
    <t>Quinientos Cincuenta Y Cinco</t>
  </si>
  <si>
    <t>Quinientos Cincuenta Y Seis</t>
  </si>
  <si>
    <t>Quinientos Cincuenta Y Siete</t>
  </si>
  <si>
    <t>Quinientos Cincuenta Y Ocho</t>
  </si>
  <si>
    <t>Quinientos Cincuenta Y Nueve</t>
  </si>
  <si>
    <t>Quinientos Sesenta</t>
  </si>
  <si>
    <t>Quinientos Sesenta Y Uno</t>
  </si>
  <si>
    <t>Quinientos Sesenta Y Dos</t>
  </si>
  <si>
    <t>Quinientos Sesenta Y Tres</t>
  </si>
  <si>
    <t>Quinientos Sesenta Y Cuatro</t>
  </si>
  <si>
    <t>Quinientos Sesenta Y Cinco</t>
  </si>
  <si>
    <t>Quinientos Sesenta Y Seis</t>
  </si>
  <si>
    <t>Quinientos Sesenta Y Siete</t>
  </si>
  <si>
    <t>Quinientos Sesenta Y Ocho</t>
  </si>
  <si>
    <t>Quinientos Sesenta Y Nueve</t>
  </si>
  <si>
    <t>Quinientos Setenta</t>
  </si>
  <si>
    <t>Quinientos Setenta Y Uno</t>
  </si>
  <si>
    <t>Quinientos Setenta Y Dos</t>
  </si>
  <si>
    <t>Quinientos Setenta Y Tres</t>
  </si>
  <si>
    <t>Quinientos Setenta Y Cuatro</t>
  </si>
  <si>
    <t>Quinientos Setenta Y Cinco</t>
  </si>
  <si>
    <t>Quinientos Setenta Y Seis</t>
  </si>
  <si>
    <t>Quinientos Setenta Y Siete</t>
  </si>
  <si>
    <t>Quinientos Setenta Y Ocho</t>
  </si>
  <si>
    <t>Quinientos Setenta Y Nueve</t>
  </si>
  <si>
    <t>Quinientos Ochenta</t>
  </si>
  <si>
    <t>Quinientos Ochenta Y Uno</t>
  </si>
  <si>
    <t>Quinientos Ochenta Y Dos</t>
  </si>
  <si>
    <t>Quinientos Ochenta Y Tres</t>
  </si>
  <si>
    <t>Quinientos Ochenta Y Cuatro</t>
  </si>
  <si>
    <t>Quinientos Ochenta Y Cinco</t>
  </si>
  <si>
    <t>Quinientos Ochenta Y Seis</t>
  </si>
  <si>
    <t>Quinientos Ochenta Y Siete</t>
  </si>
  <si>
    <t>Quinientos Ochenta Y Ocho</t>
  </si>
  <si>
    <t>Quinientos Ochenta Y Nueve</t>
  </si>
  <si>
    <t>Quinientos Noventa</t>
  </si>
  <si>
    <t>Quinientos Noventa Y Uno</t>
  </si>
  <si>
    <t>Quinientos Noventa Y Dos</t>
  </si>
  <si>
    <t>Quinientos Noventa Y Tres</t>
  </si>
  <si>
    <t>Quinientos Noventa Y Cuatro</t>
  </si>
  <si>
    <t>Quinientos Noventa Y Cinco</t>
  </si>
  <si>
    <t>Quinientos Noventa Y Seis</t>
  </si>
  <si>
    <t>Quinientos Noventa Y Siete</t>
  </si>
  <si>
    <t>Quinientos Noventa Y Ocho</t>
  </si>
  <si>
    <t>Quinientos Noventa Y Nueve</t>
  </si>
  <si>
    <t>Seiscientos</t>
  </si>
  <si>
    <t>Seiscientos Uno</t>
  </si>
  <si>
    <t>Seiscientos Dos</t>
  </si>
  <si>
    <t>Seiscientos Tres</t>
  </si>
  <si>
    <t>Seiscientos Cuatro</t>
  </si>
  <si>
    <t>Seiscientos Cinco</t>
  </si>
  <si>
    <t>Seiscientos Seis</t>
  </si>
  <si>
    <t>Seiscientos Siete</t>
  </si>
  <si>
    <t>Seiscientos Ocho</t>
  </si>
  <si>
    <t>Seiscientos Nueve</t>
  </si>
  <si>
    <t>Seiscientos Diez</t>
  </si>
  <si>
    <t>Seiscientos Once</t>
  </si>
  <si>
    <t>Seiscientos Doce</t>
  </si>
  <si>
    <t>Seiscientos Trece</t>
  </si>
  <si>
    <t>Seiscientos Catorce</t>
  </si>
  <si>
    <t>Seiscientos Quince</t>
  </si>
  <si>
    <t>Seiscientos Dieciséis</t>
  </si>
  <si>
    <t>Seiscientos Diecisiete</t>
  </si>
  <si>
    <t>Seiscientos Dieciocho</t>
  </si>
  <si>
    <t>Seiscientos Diecinueve</t>
  </si>
  <si>
    <t>Seiscientos Veinte</t>
  </si>
  <si>
    <t>Seiscientos Veintiuno</t>
  </si>
  <si>
    <t>Seiscientos Veintidós</t>
  </si>
  <si>
    <t>Seiscientos Veintitrés</t>
  </si>
  <si>
    <t>Seiscientos Veinticuatro</t>
  </si>
  <si>
    <t>Seiscientos Veinticinco</t>
  </si>
  <si>
    <t>Seiscientos Veintiséis</t>
  </si>
  <si>
    <t>Seiscientos Veintisiete</t>
  </si>
  <si>
    <t>Seiscientos Veintiocho</t>
  </si>
  <si>
    <t>Seiscientos Veintinueve</t>
  </si>
  <si>
    <t>Seiscientos Treinta</t>
  </si>
  <si>
    <t>Seiscientos Treinta Y Uno</t>
  </si>
  <si>
    <t>Seiscientos Treinta Y Dos</t>
  </si>
  <si>
    <t>Seiscientos Treinta Y Tres</t>
  </si>
  <si>
    <t>Seiscientos Treinta Y Cuatro</t>
  </si>
  <si>
    <t>Seiscientos Treinta Y Cinco</t>
  </si>
  <si>
    <t>Seiscientos Treinta Y Seis</t>
  </si>
  <si>
    <t>Seiscientos Treinta Y Siete</t>
  </si>
  <si>
    <t>Seiscientos Treinta Y Ocho</t>
  </si>
  <si>
    <t>Seiscientos Treinta Y Nueve</t>
  </si>
  <si>
    <t>Seiscientos Cuarenta</t>
  </si>
  <si>
    <t>Seiscientos Cuarenta Y Uno</t>
  </si>
  <si>
    <t>Seiscientos Cuarenta Y Dos</t>
  </si>
  <si>
    <t>Seiscientos Cuarenta Y Tres</t>
  </si>
  <si>
    <t>Seiscientos Cuarenta Y Cuatro</t>
  </si>
  <si>
    <t>Seiscientos Cuarenta Y Cinco</t>
  </si>
  <si>
    <t>Seiscientos Cuarenta Y Seis</t>
  </si>
  <si>
    <t>Seiscientos Cuarenta Y Siete</t>
  </si>
  <si>
    <t>Seiscientos Cuarenta Y Ocho</t>
  </si>
  <si>
    <t>Seiscientos Cuarenta Y Nueve</t>
  </si>
  <si>
    <t>Seiscientos Cincuenta</t>
  </si>
  <si>
    <t>Seiscientos Cincuenta Y Uno</t>
  </si>
  <si>
    <t>Seiscientos Cincuenta Y Dos</t>
  </si>
  <si>
    <t>Seiscientos Cincuenta Y Tres</t>
  </si>
  <si>
    <t>Seiscientos Cincuenta Y Cuatro</t>
  </si>
  <si>
    <t>Seiscientos Cincuenta Y Cinco</t>
  </si>
  <si>
    <t>Seiscientos Cincuenta Y Seis</t>
  </si>
  <si>
    <t>Seiscientos Cincuenta Y Siete</t>
  </si>
  <si>
    <t>Seiscientos Cincuenta Y Ocho</t>
  </si>
  <si>
    <t>Seiscientos Cincuenta Y Nueve</t>
  </si>
  <si>
    <t>Seiscientos Sesenta</t>
  </si>
  <si>
    <t>Seiscientos Sesenta Y Uno</t>
  </si>
  <si>
    <t>Seiscientos Sesenta Y Dos</t>
  </si>
  <si>
    <t>Seiscientos Sesenta Y Tres</t>
  </si>
  <si>
    <t>Seiscientos Sesenta Y Cuatro</t>
  </si>
  <si>
    <t>Seiscientos Sesenta Y Cinco</t>
  </si>
  <si>
    <t>Seiscientos Sesenta Y Seis</t>
  </si>
  <si>
    <t>Seiscientos Sesenta Y Siete</t>
  </si>
  <si>
    <t>Seiscientos Sesenta Y Ocho</t>
  </si>
  <si>
    <t>Seiscientos Sesenta Y Nueve</t>
  </si>
  <si>
    <t>Seiscientos Setenta</t>
  </si>
  <si>
    <t>Seiscientos Setenta Y Uno</t>
  </si>
  <si>
    <t>Seiscientos Setenta Y Dos</t>
  </si>
  <si>
    <t>Seiscientos Setenta Y Tres</t>
  </si>
  <si>
    <t>Seiscientos Setenta Y Cuatro</t>
  </si>
  <si>
    <t>Seiscientos Setenta Y Cinco</t>
  </si>
  <si>
    <t>Seiscientos Setenta Y Seis</t>
  </si>
  <si>
    <t>Seiscientos Setenta Y Siete</t>
  </si>
  <si>
    <t>Seiscientos Setenta Y Ocho</t>
  </si>
  <si>
    <t>Seiscientos Setenta Y Nueve</t>
  </si>
  <si>
    <t>Seiscientos Ochenta</t>
  </si>
  <si>
    <t>Seiscientos Ochenta Y Uno</t>
  </si>
  <si>
    <t>Seiscientos Ochenta Y Dos</t>
  </si>
  <si>
    <t>Seiscientos Ochenta Y Tres</t>
  </si>
  <si>
    <t>Seiscientos Ochenta Y Cuatro</t>
  </si>
  <si>
    <t>Seiscientos Ochenta Y Cinco</t>
  </si>
  <si>
    <t>Seiscientos Ochenta Y Seis</t>
  </si>
  <si>
    <t>Seiscientos Ochenta Y Siete</t>
  </si>
  <si>
    <t>Seiscientos Ochenta Y Ocho</t>
  </si>
  <si>
    <t>Seiscientos Ochenta Y Nueve</t>
  </si>
  <si>
    <t>Seiscientos Noventa</t>
  </si>
  <si>
    <t>Seiscientos Noventa Y Uno</t>
  </si>
  <si>
    <t>Seiscientos Noventa Y Dos</t>
  </si>
  <si>
    <t>Seiscientos Noventa Y Tres</t>
  </si>
  <si>
    <t>Seiscientos Noventa Y Cuatro</t>
  </si>
  <si>
    <t>Seiscientos Noventa Y Cinco</t>
  </si>
  <si>
    <t>Seiscientos Noventa Y Seis</t>
  </si>
  <si>
    <t>Seiscientos Noventa Y Siete</t>
  </si>
  <si>
    <t>Seiscientos Noventa Y Ocho</t>
  </si>
  <si>
    <t>Seiscientos Noventa Y Nueve</t>
  </si>
  <si>
    <t>Setecientos</t>
  </si>
  <si>
    <t>Setecientos Uno</t>
  </si>
  <si>
    <t>Setecientos Dos</t>
  </si>
  <si>
    <t>Setecientos Tres</t>
  </si>
  <si>
    <t>Setecientos Cuatro</t>
  </si>
  <si>
    <t>Setecientos Cinco</t>
  </si>
  <si>
    <t>Setecientos Seis</t>
  </si>
  <si>
    <t>Setecientos Siete</t>
  </si>
  <si>
    <t>Setecientos Ocho</t>
  </si>
  <si>
    <t>Setecientos Nueve</t>
  </si>
  <si>
    <t>Setecientos Diez</t>
  </si>
  <si>
    <t>Setecientos Once</t>
  </si>
  <si>
    <t>Setecientos Doce</t>
  </si>
  <si>
    <t>Setecientos Trece</t>
  </si>
  <si>
    <t>Setecientos Catorce</t>
  </si>
  <si>
    <t>Setecientos Quince</t>
  </si>
  <si>
    <t>Setecientos Dieciséis</t>
  </si>
  <si>
    <t>Setecientos Diecisiete</t>
  </si>
  <si>
    <t>Setecientos Dieciocho</t>
  </si>
  <si>
    <t>Setecientos Diecinueve</t>
  </si>
  <si>
    <t>Setecientos Veinte</t>
  </si>
  <si>
    <t>Setecientos Veintiuno</t>
  </si>
  <si>
    <t>Setecientos Veintidós</t>
  </si>
  <si>
    <t>Setecientos Veintitrés</t>
  </si>
  <si>
    <t>Setecientos Veinticuatro</t>
  </si>
  <si>
    <t>Setecientos Veinticinco</t>
  </si>
  <si>
    <t>Setecientos Veintiséis</t>
  </si>
  <si>
    <t>Setecientos Veintisiete</t>
  </si>
  <si>
    <t>Setecientos Veintiocho</t>
  </si>
  <si>
    <t>Setecientos Veintinueve</t>
  </si>
  <si>
    <t>Setecientos Treinta</t>
  </si>
  <si>
    <t>Setecientos Treinta Y Uno</t>
  </si>
  <si>
    <t>Setecientos Treinta Y Dos</t>
  </si>
  <si>
    <t>Setecientos Treinta Y Tres</t>
  </si>
  <si>
    <t>Setecientos Treinta Y Cuatro</t>
  </si>
  <si>
    <t>Setecientos Treinta Y Cinco</t>
  </si>
  <si>
    <t>Setecientos Treinta Y Seis</t>
  </si>
  <si>
    <t>Setecientos Treinta Y Siete</t>
  </si>
  <si>
    <t>Setecientos Treinta Y Ocho</t>
  </si>
  <si>
    <t>Setecientos Treinta Y Nueve</t>
  </si>
  <si>
    <t>Setecientos Cuarenta</t>
  </si>
  <si>
    <t>Setecientos Cuarenta Y Uno</t>
  </si>
  <si>
    <t>Setecientos Cuarenta Y Dos</t>
  </si>
  <si>
    <t>Setecientos Cuarenta Y Tres</t>
  </si>
  <si>
    <t>Setecientos Cuarenta Y Cuatro</t>
  </si>
  <si>
    <t>Setecientos Cuarenta Y Cinco</t>
  </si>
  <si>
    <t>Setecientos Cuarenta Y Seis</t>
  </si>
  <si>
    <t>Setecientos Cuarenta Y Siete</t>
  </si>
  <si>
    <t>Setecientos Cuarenta Y Ocho</t>
  </si>
  <si>
    <t>Setecientos Cuarenta Y Nueve</t>
  </si>
  <si>
    <t>Setecientos Cincuenta</t>
  </si>
  <si>
    <t>Setecientos Cincuenta Y Uno</t>
  </si>
  <si>
    <t>Setecientos Cincuenta Y Dos</t>
  </si>
  <si>
    <t>Setecientos Cincuenta Y Tres</t>
  </si>
  <si>
    <t>Setecientos Cincuenta Y Cuatro</t>
  </si>
  <si>
    <t>Setecientos Cincuenta Y Cinco</t>
  </si>
  <si>
    <t>Setecientos Cincuenta Y Seis</t>
  </si>
  <si>
    <t>Setecientos Cincuenta Y Siete</t>
  </si>
  <si>
    <t>Setecientos Cincuenta Y Ocho</t>
  </si>
  <si>
    <t>Setecientos Cincuenta Y Nueve</t>
  </si>
  <si>
    <t>Setecientos Sesenta</t>
  </si>
  <si>
    <t>Setecientos Sesenta Y Uno</t>
  </si>
  <si>
    <t>Setecientos Sesenta Y Dos</t>
  </si>
  <si>
    <t>Setecientos Sesenta Y Tres</t>
  </si>
  <si>
    <t>Setecientos Sesenta Y Cuatro</t>
  </si>
  <si>
    <t>Setecientos Sesenta Y Cinco</t>
  </si>
  <si>
    <t>Setecientos Sesenta Y Seis</t>
  </si>
  <si>
    <t>Setecientos Sesenta Y Siete</t>
  </si>
  <si>
    <t>Setecientos Sesenta Y Ocho</t>
  </si>
  <si>
    <t>Setecientos Sesenta Y Nueve</t>
  </si>
  <si>
    <t>Setecientos Setenta</t>
  </si>
  <si>
    <t>Setecientos Setenta Y Uno</t>
  </si>
  <si>
    <t>Setecientos Setenta Y Dos</t>
  </si>
  <si>
    <t>Setecientos Setenta Y Tres</t>
  </si>
  <si>
    <t>Setecientos Setenta Y Cuatro</t>
  </si>
  <si>
    <t>Setecientos Setenta Y Cinco</t>
  </si>
  <si>
    <t>Setecientos Setenta Y Seis</t>
  </si>
  <si>
    <t>Setecientos Setenta Y Siete</t>
  </si>
  <si>
    <t>Setecientos Setenta Y Ocho</t>
  </si>
  <si>
    <t>Setecientos Setenta Y Nueve</t>
  </si>
  <si>
    <t>Setecientos Ochenta</t>
  </si>
  <si>
    <t>Setecientos Ochenta Y Uno</t>
  </si>
  <si>
    <t>Setecientos Ochenta Y Dos</t>
  </si>
  <si>
    <t>Setecientos Ochenta Y Tres</t>
  </si>
  <si>
    <t>Setecientos Ochenta Y Cuatro</t>
  </si>
  <si>
    <t>Setecientos Ochenta Y Cinco</t>
  </si>
  <si>
    <t>Setecientos Ochenta Y Seis</t>
  </si>
  <si>
    <t>Setecientos Ochenta Y Siete</t>
  </si>
  <si>
    <t>Setecientos Ochenta Y Ocho</t>
  </si>
  <si>
    <t>Setecientos Ochenta Y Nueve</t>
  </si>
  <si>
    <t>Setecientos Noventa</t>
  </si>
  <si>
    <t>Setecientos Noventa Y Uno</t>
  </si>
  <si>
    <t>Setecientos Noventa Y Dos</t>
  </si>
  <si>
    <t>Setecientos Noventa Y Tres</t>
  </si>
  <si>
    <t>Setecientos Noventa Y Cuatro</t>
  </si>
  <si>
    <t>Setecientos Noventa Y Cinco</t>
  </si>
  <si>
    <t>Setecientos Noventa Y Seis</t>
  </si>
  <si>
    <t>Setecientos Noventa Y Siete</t>
  </si>
  <si>
    <t>Setecientos Noventa Y Ocho</t>
  </si>
  <si>
    <t>Setecientos Noventa Y Nueve</t>
  </si>
  <si>
    <t>Ochocientos</t>
  </si>
  <si>
    <t>Ochocientos Uno</t>
  </si>
  <si>
    <t>Ochocientos Dos</t>
  </si>
  <si>
    <t>Ochocientos Tres</t>
  </si>
  <si>
    <t>Ochocientos Cuatro</t>
  </si>
  <si>
    <t>Ochocientos Cinco</t>
  </si>
  <si>
    <t>Ochocientos Seis</t>
  </si>
  <si>
    <t>Ochocientos Siete</t>
  </si>
  <si>
    <t>Ochocientos Ocho</t>
  </si>
  <si>
    <t>Ochocientos Nueve</t>
  </si>
  <si>
    <t>Ochocientos Diez</t>
  </si>
  <si>
    <t>Ochocientos Once</t>
  </si>
  <si>
    <t>Ochocientos Doce</t>
  </si>
  <si>
    <t>Ochocientos Trece</t>
  </si>
  <si>
    <t>Ochocientos Catorce</t>
  </si>
  <si>
    <t>Ochocientos Quince</t>
  </si>
  <si>
    <t>Ochocientos Dieciséis</t>
  </si>
  <si>
    <t>Ochocientos Diecisiete</t>
  </si>
  <si>
    <t>Ochocientos Dieciocho</t>
  </si>
  <si>
    <t>Ochocientos Diecinueve</t>
  </si>
  <si>
    <t>Ochocientos Veinte</t>
  </si>
  <si>
    <t>Ochocientos Veintiuno</t>
  </si>
  <si>
    <t>Ochocientos Veintidós</t>
  </si>
  <si>
    <t>Ochocientos Veintitrés</t>
  </si>
  <si>
    <t>Ochocientos Veinticuatro</t>
  </si>
  <si>
    <t>Ochocientos Veinticinco</t>
  </si>
  <si>
    <t>Ochocientos Veintiséis</t>
  </si>
  <si>
    <t>Ochocientos Veintisiete</t>
  </si>
  <si>
    <t>Ochocientos Veintiocho</t>
  </si>
  <si>
    <t>Ochocientos Veintinueve</t>
  </si>
  <si>
    <t>Ochocientos Treinta</t>
  </si>
  <si>
    <t>Ochocientos Treinta Y Uno</t>
  </si>
  <si>
    <t>Ochocientos Treinta Y Dos</t>
  </si>
  <si>
    <t>Ochocientos Treinta Y Tres</t>
  </si>
  <si>
    <t>Ochocientos Treinta Y Cuatro</t>
  </si>
  <si>
    <t>Ochocientos Treinta Y Cinco</t>
  </si>
  <si>
    <t>Ochocientos Treinta Y Seis</t>
  </si>
  <si>
    <t>Ochocientos Treinta Y Siete</t>
  </si>
  <si>
    <t>Ochocientos Treinta Y Ocho</t>
  </si>
  <si>
    <t>Ochocientos Treinta Y Nueve</t>
  </si>
  <si>
    <t>Ochocientos Cuarenta</t>
  </si>
  <si>
    <t>Ochocientos Cuarenta Y Uno</t>
  </si>
  <si>
    <t>Ochocientos Cuarenta Y Dos</t>
  </si>
  <si>
    <t>Ochocientos Cuarenta Y Tres</t>
  </si>
  <si>
    <t>Ochocientos Cuarenta Y Cuatro</t>
  </si>
  <si>
    <t>Ochocientos Cuarenta Y Cinco</t>
  </si>
  <si>
    <t>Ochocientos Cuarenta Y Seis</t>
  </si>
  <si>
    <t>Ochocientos Cuarenta Y Siete</t>
  </si>
  <si>
    <t>Ochocientos Cuarenta Y Ocho</t>
  </si>
  <si>
    <t>Ochocientos Cuarenta Y Nueve</t>
  </si>
  <si>
    <t>Ochocientos Cincuenta</t>
  </si>
  <si>
    <t>Ochocientos Cincuenta Y Uno</t>
  </si>
  <si>
    <t>Ochocientos Cincuenta Y Dos</t>
  </si>
  <si>
    <t>Ochocientos Cincuenta Y Tres</t>
  </si>
  <si>
    <t>Ochocientos Cincuenta Y Cuatro</t>
  </si>
  <si>
    <t>Ochocientos Cincuenta Y Cinco</t>
  </si>
  <si>
    <t>Ochocientos Cincuenta Y Seis</t>
  </si>
  <si>
    <t>Ochocientos Cincuenta Y Siete</t>
  </si>
  <si>
    <t>Ochocientos Cincuenta Y Ocho</t>
  </si>
  <si>
    <t>Ochocientos Cincuenta Y Nueve</t>
  </si>
  <si>
    <t>Ochocientos Sesenta</t>
  </si>
  <si>
    <t>Ochocientos Sesenta Y Uno</t>
  </si>
  <si>
    <t>Ochocientos Sesenta Y Dos</t>
  </si>
  <si>
    <t>Ochocientos Sesenta Y Tres</t>
  </si>
  <si>
    <t>Ochocientos Sesenta Y Cuatro</t>
  </si>
  <si>
    <t>Ochocientos Sesenta Y Cinco</t>
  </si>
  <si>
    <t>Ochocientos Sesenta Y Seis</t>
  </si>
  <si>
    <t>Ochocientos Sesenta Y Siete</t>
  </si>
  <si>
    <t>Ochocientos Sesenta Y Ocho</t>
  </si>
  <si>
    <t>Ochocientos Sesenta Y Nueve</t>
  </si>
  <si>
    <t>Ochocientos Setenta</t>
  </si>
  <si>
    <t>Ochocientos Setenta Y Uno</t>
  </si>
  <si>
    <t>Ochocientos Setenta Y Dos</t>
  </si>
  <si>
    <t>Ochocientos Setenta Y Tres</t>
  </si>
  <si>
    <t>Ochocientos Setenta Y Cuatro</t>
  </si>
  <si>
    <t>Ochocientos Setenta Y Cinco</t>
  </si>
  <si>
    <t>Ochocientos Setenta Y Seis</t>
  </si>
  <si>
    <t>Ochocientos Setenta Y Siete</t>
  </si>
  <si>
    <t>Ochocientos Setenta Y Ocho</t>
  </si>
  <si>
    <t>Ochocientos Setenta Y Nueve</t>
  </si>
  <si>
    <t>Ochocientos Ochenta</t>
  </si>
  <si>
    <t>Ochocientos Ochenta Y Uno</t>
  </si>
  <si>
    <t>Ochocientos Ochenta Y Dos</t>
  </si>
  <si>
    <t>Ochocientos Ochenta Y Tres</t>
  </si>
  <si>
    <t>Ochocientos Ochenta Y Cuatro</t>
  </si>
  <si>
    <t>Ochocientos Ochenta Y Cinco</t>
  </si>
  <si>
    <t>Ochocientos Ochenta Y Seis</t>
  </si>
  <si>
    <t>Ochocientos Ochenta Y Siete</t>
  </si>
  <si>
    <t>Ochocientos Ochenta Y Ocho</t>
  </si>
  <si>
    <t>Ochocientos Ochenta Y Nueve</t>
  </si>
  <si>
    <t>Ochocientos Noventa</t>
  </si>
  <si>
    <t>Ochocientos Noventa Y Uno</t>
  </si>
  <si>
    <t>Ochocientos Noventa Y Dos</t>
  </si>
  <si>
    <t>Ochocientos Noventa Y Tres</t>
  </si>
  <si>
    <t>Ochocientos Noventa Y Cuatro</t>
  </si>
  <si>
    <t>Ochocientos Noventa Y Cinco</t>
  </si>
  <si>
    <t>Ochocientos Noventa Y Seis</t>
  </si>
  <si>
    <t>Ochocientos Noventa Y Siete</t>
  </si>
  <si>
    <t>Ochocientos Noventa Y Ocho</t>
  </si>
  <si>
    <t>Ochocientos Noventa Y Nueve</t>
  </si>
  <si>
    <t>Novecientos</t>
  </si>
  <si>
    <t>Novecientos Uno</t>
  </si>
  <si>
    <t>Novecientos Dos</t>
  </si>
  <si>
    <t>Novecientos Tres</t>
  </si>
  <si>
    <t>Novecientos Cuatro</t>
  </si>
  <si>
    <t>Novecientos Cinco</t>
  </si>
  <si>
    <t>Novecientos Seis</t>
  </si>
  <si>
    <t>Novecientos Siete</t>
  </si>
  <si>
    <t>Novecientos Ocho</t>
  </si>
  <si>
    <t>Novecientos Nueve</t>
  </si>
  <si>
    <t>Novecientos Diez</t>
  </si>
  <si>
    <t>Novecientos Once</t>
  </si>
  <si>
    <t>Novecientos Doce</t>
  </si>
  <si>
    <t>Novecientos Trece</t>
  </si>
  <si>
    <t>Novecientos Catorce</t>
  </si>
  <si>
    <t>Novecientos Quince</t>
  </si>
  <si>
    <t>Novecientos Dieciséis</t>
  </si>
  <si>
    <t>Novecientos Diecisiete</t>
  </si>
  <si>
    <t>Novecientos Dieciocho</t>
  </si>
  <si>
    <t>Novecientos Diecinueve</t>
  </si>
  <si>
    <t>Novecientos Veinte</t>
  </si>
  <si>
    <t>Novecientos Veintiuno</t>
  </si>
  <si>
    <t>Novecientos Veintidós</t>
  </si>
  <si>
    <t>Novecientos Veintitrés</t>
  </si>
  <si>
    <t>Novecientos Veinticuatro</t>
  </si>
  <si>
    <t>Novecientos Veinticinco</t>
  </si>
  <si>
    <t>Novecientos Veintiséis</t>
  </si>
  <si>
    <t>Novecientos Veintisiete</t>
  </si>
  <si>
    <t>Novecientos Veintiocho</t>
  </si>
  <si>
    <t>Novecientos Veintinueve</t>
  </si>
  <si>
    <t>Novecientos Treinta</t>
  </si>
  <si>
    <t>Novecientos Treinta Y Uno</t>
  </si>
  <si>
    <t>Novecientos Treinta Y Dos</t>
  </si>
  <si>
    <t>Novecientos Treinta Y Tres</t>
  </si>
  <si>
    <t>Novecientos Treinta Y Cuatro</t>
  </si>
  <si>
    <t>Novecientos Treinta Y Cinco</t>
  </si>
  <si>
    <t>Novecientos Treinta Y Seis</t>
  </si>
  <si>
    <t>Novecientos Treinta Y Siete</t>
  </si>
  <si>
    <t>Novecientos Treinta Y Ocho</t>
  </si>
  <si>
    <t>Novecientos Treinta Y Nueve</t>
  </si>
  <si>
    <t>Novecientos Cuarenta</t>
  </si>
  <si>
    <t>Novecientos Cuarenta Y Uno</t>
  </si>
  <si>
    <t>Novecientos Cuarenta Y Dos</t>
  </si>
  <si>
    <t>Novecientos Cuarenta Y Tres</t>
  </si>
  <si>
    <t>Novecientos Cuarenta Y Cuatro</t>
  </si>
  <si>
    <t>Novecientos Cuarenta Y Cinco</t>
  </si>
  <si>
    <t>Novecientos Cuarenta Y Seis</t>
  </si>
  <si>
    <t>Novecientos Cuarenta Y Siete</t>
  </si>
  <si>
    <t>Novecientos Cuarenta Y Ocho</t>
  </si>
  <si>
    <t>Novecientos Cuarenta Y Nueve</t>
  </si>
  <si>
    <t>Novecientos Cincuenta</t>
  </si>
  <si>
    <t>Novecientos Cincuenta Y Uno</t>
  </si>
  <si>
    <t>Novecientos Cincuenta Y Dos</t>
  </si>
  <si>
    <t>Novecientos Cincuenta Y Tres</t>
  </si>
  <si>
    <t>Novecientos Cincuenta Y Cuatro</t>
  </si>
  <si>
    <t>Novecientos Cincuenta Y Cinco</t>
  </si>
  <si>
    <t>Novecientos Cincuenta Y Seis</t>
  </si>
  <si>
    <t>Novecientos Cincuenta Y Siete</t>
  </si>
  <si>
    <t>Novecientos Cincuenta Y Ocho</t>
  </si>
  <si>
    <t>Novecientos Cincuenta Y Nueve</t>
  </si>
  <si>
    <t>Novecientos Sesenta</t>
  </si>
  <si>
    <t>Novecientos Sesenta Y Uno</t>
  </si>
  <si>
    <t>Novecientos Sesenta Y Dos</t>
  </si>
  <si>
    <t>Novecientos Sesenta Y Tres</t>
  </si>
  <si>
    <t>Novecientos Sesenta Y Cuatro</t>
  </si>
  <si>
    <t>Novecientos Sesenta Y Cinco</t>
  </si>
  <si>
    <t>Novecientos Sesenta Y Seis</t>
  </si>
  <si>
    <t>Novecientos Sesenta Y Siete</t>
  </si>
  <si>
    <t>Novecientos Sesenta Y Ocho</t>
  </si>
  <si>
    <t>Novecientos Sesenta Y Nueve</t>
  </si>
  <si>
    <t>Novecientos Setenta</t>
  </si>
  <si>
    <t>Novecientos Setenta Y Uno</t>
  </si>
  <si>
    <t>Novecientos Setenta Y Dos</t>
  </si>
  <si>
    <t>Novecientos Setenta Y Tres</t>
  </si>
  <si>
    <t>Novecientos Setenta Y Cuatro</t>
  </si>
  <si>
    <t>Novecientos Setenta Y Cinco</t>
  </si>
  <si>
    <t>Novecientos Setenta Y Seis</t>
  </si>
  <si>
    <t>Novecientos Setenta Y Siete</t>
  </si>
  <si>
    <t>Novecientos Setenta Y Ocho</t>
  </si>
  <si>
    <t>Novecientos Setenta Y Nueve</t>
  </si>
  <si>
    <t>Novecientos Ochenta</t>
  </si>
  <si>
    <t>Novecientos Ochenta Y Uno</t>
  </si>
  <si>
    <t>Novecientos Ochenta Y Dos</t>
  </si>
  <si>
    <t>Novecientos Ochenta Y Tres</t>
  </si>
  <si>
    <t>Novecientos Ochenta Y Cuatro</t>
  </si>
  <si>
    <t>Novecientos Ochenta Y Cinco</t>
  </si>
  <si>
    <t>Novecientos Ochenta Y Seis</t>
  </si>
  <si>
    <t>Novecientos Ochenta Y Siete</t>
  </si>
  <si>
    <t>Novecientos Ochenta Y Ocho</t>
  </si>
  <si>
    <t>Novecientos Ochenta Y Nueve</t>
  </si>
  <si>
    <t>Novecientos Noventa</t>
  </si>
  <si>
    <t>Novecientos Noventa Y Uno</t>
  </si>
  <si>
    <t>Novecientos Noventa Y Dos</t>
  </si>
  <si>
    <t>Novecientos Noventa Y Tres</t>
  </si>
  <si>
    <t>Novecientos Noventa Y Cuatro</t>
  </si>
  <si>
    <t>Novecientos Noventa Y Cinco</t>
  </si>
  <si>
    <t>Novecientos Noventa Y Seis</t>
  </si>
  <si>
    <t>Novecientos Noventa Y Siete</t>
  </si>
  <si>
    <t>Novecientos Noventa Y Ocho</t>
  </si>
  <si>
    <t>Novecientos Noventa Y Nueve</t>
  </si>
  <si>
    <t>Mil</t>
  </si>
  <si>
    <t>cantidad</t>
  </si>
  <si>
    <t>BOGOTA</t>
  </si>
  <si>
    <t>LETICIA</t>
  </si>
  <si>
    <t>EL ENCANTO</t>
  </si>
  <si>
    <t>LA CHORRERA</t>
  </si>
  <si>
    <t>LA PEDRERA</t>
  </si>
  <si>
    <t>LA VICTORIA</t>
  </si>
  <si>
    <t>MIRITI - PARANA</t>
  </si>
  <si>
    <t>PUERTO ALEGRIA</t>
  </si>
  <si>
    <t>PUERTO ARICA</t>
  </si>
  <si>
    <t>PUERTO NARIÑO</t>
  </si>
  <si>
    <t>PUERTO SANTANDER</t>
  </si>
  <si>
    <t>TARAPACA</t>
  </si>
  <si>
    <t>MEDELLIN</t>
  </si>
  <si>
    <t>ABEJORRAL</t>
  </si>
  <si>
    <t>ABRIAQUI</t>
  </si>
  <si>
    <t>ALEJANDRIA</t>
  </si>
  <si>
    <t>AMAGA</t>
  </si>
  <si>
    <t>AMALFI</t>
  </si>
  <si>
    <t>ANDES</t>
  </si>
  <si>
    <t>ANGELOPOLIS</t>
  </si>
  <si>
    <t>ANGOSTURA</t>
  </si>
  <si>
    <t>ANORI</t>
  </si>
  <si>
    <t>SANTAFE DE ANTIOQUIA</t>
  </si>
  <si>
    <t>ANZA</t>
  </si>
  <si>
    <t>APARTADO</t>
  </si>
  <si>
    <t>ARBOLETES</t>
  </si>
  <si>
    <t>ARGELIA</t>
  </si>
  <si>
    <t>ARMENIA</t>
  </si>
  <si>
    <t>BARBOSA</t>
  </si>
  <si>
    <t>BELMIRA</t>
  </si>
  <si>
    <t>BELLO</t>
  </si>
  <si>
    <t>BETANIA</t>
  </si>
  <si>
    <t>BETULIA</t>
  </si>
  <si>
    <t>CIUDAD BOLIVAR</t>
  </si>
  <si>
    <t>BRICEÑO</t>
  </si>
  <si>
    <t>BURITICA</t>
  </si>
  <si>
    <t>CACERES</t>
  </si>
  <si>
    <t>CAICEDO</t>
  </si>
  <si>
    <t>CALDAS</t>
  </si>
  <si>
    <t>CAMPAMENTO</t>
  </si>
  <si>
    <t>CAÑASGORDAS</t>
  </si>
  <si>
    <t>CARACOLI</t>
  </si>
  <si>
    <t>CARAMANTA</t>
  </si>
  <si>
    <t>CAREPA</t>
  </si>
  <si>
    <t>EL CARMEN DE VIBORAL</t>
  </si>
  <si>
    <t>CAROLINA</t>
  </si>
  <si>
    <t>CAUCASIA</t>
  </si>
  <si>
    <t>CHIGORODO</t>
  </si>
  <si>
    <t>CISNEROS</t>
  </si>
  <si>
    <t>COCORNA</t>
  </si>
  <si>
    <t>CONCEPCION</t>
  </si>
  <si>
    <t>CONCORDIA</t>
  </si>
  <si>
    <t>COPACABANA</t>
  </si>
  <si>
    <t>DABEIBA</t>
  </si>
  <si>
    <t>DON MATIAS</t>
  </si>
  <si>
    <t>EBEJICO</t>
  </si>
  <si>
    <t>EL BAGRE</t>
  </si>
  <si>
    <t>ENTRERRIOS</t>
  </si>
  <si>
    <t>ENVIGADO</t>
  </si>
  <si>
    <t>FREDONIA</t>
  </si>
  <si>
    <t>FRONTINO</t>
  </si>
  <si>
    <t>GIRALDO</t>
  </si>
  <si>
    <t>GIRARDOTA</t>
  </si>
  <si>
    <t>GOMEZ PLATA</t>
  </si>
  <si>
    <t>GRANADA</t>
  </si>
  <si>
    <t>GUADALUPE</t>
  </si>
  <si>
    <t>GUARNE</t>
  </si>
  <si>
    <t>GUATAPE</t>
  </si>
  <si>
    <t>HELICONIA</t>
  </si>
  <si>
    <t>HISPANIA</t>
  </si>
  <si>
    <t>ITAGUI</t>
  </si>
  <si>
    <t>ITUANGO</t>
  </si>
  <si>
    <t>JARDIN</t>
  </si>
  <si>
    <t>JERICO</t>
  </si>
  <si>
    <t>LA CEJA</t>
  </si>
  <si>
    <t>LA ESTRELLA</t>
  </si>
  <si>
    <t>LA PINTADA</t>
  </si>
  <si>
    <t>LA UNION</t>
  </si>
  <si>
    <t>LIBORINA</t>
  </si>
  <si>
    <t>MACEO</t>
  </si>
  <si>
    <t>MARINILLA</t>
  </si>
  <si>
    <t>MONTEBELLO</t>
  </si>
  <si>
    <t>MURINDO</t>
  </si>
  <si>
    <t>MUTATA</t>
  </si>
  <si>
    <t>NARIÑO</t>
  </si>
  <si>
    <t>NECOCLI</t>
  </si>
  <si>
    <t>NECHI</t>
  </si>
  <si>
    <t>OLAYA</t>
  </si>
  <si>
    <t>PEÐOL</t>
  </si>
  <si>
    <t>PEQUE</t>
  </si>
  <si>
    <t>PUEBLORRICO</t>
  </si>
  <si>
    <t>PUERTO BERRIO</t>
  </si>
  <si>
    <t>PUERTO NARE</t>
  </si>
  <si>
    <t>PUERTO TRIUNFO</t>
  </si>
  <si>
    <t>REMEDIOS</t>
  </si>
  <si>
    <t>RETIRO</t>
  </si>
  <si>
    <t>RIONEGRO</t>
  </si>
  <si>
    <t>SABANALARGA</t>
  </si>
  <si>
    <t>SABANETA</t>
  </si>
  <si>
    <t>SALGAR</t>
  </si>
  <si>
    <t>SAN ANDRES DE CUERQUIA</t>
  </si>
  <si>
    <t>SAN CARLOS</t>
  </si>
  <si>
    <t>SAN FRANCISCO</t>
  </si>
  <si>
    <t>SAN JERONIMO</t>
  </si>
  <si>
    <t>SAN JOSE DE LA MONTAÑA</t>
  </si>
  <si>
    <t>SAN JUAN DE URABA</t>
  </si>
  <si>
    <t>SAN LUIS</t>
  </si>
  <si>
    <t>SAN PEDRO</t>
  </si>
  <si>
    <t>SAN PEDRO DE URABA</t>
  </si>
  <si>
    <t>SAN RAFAEL</t>
  </si>
  <si>
    <t>SAN ROQUE</t>
  </si>
  <si>
    <t>SAN VICENTE</t>
  </si>
  <si>
    <t>SANTA BARBARA</t>
  </si>
  <si>
    <t>SANTA ROSA DE OSOS</t>
  </si>
  <si>
    <t>SANTO DOMINGO</t>
  </si>
  <si>
    <t>EL SANTUARIO</t>
  </si>
  <si>
    <t>SEGOVIA</t>
  </si>
  <si>
    <t>SONSON</t>
  </si>
  <si>
    <t>SOPETRAN</t>
  </si>
  <si>
    <t>TAMESIS</t>
  </si>
  <si>
    <t>TARAZA</t>
  </si>
  <si>
    <t>TARSO</t>
  </si>
  <si>
    <t>TITIRIBI</t>
  </si>
  <si>
    <t>TOLEDO</t>
  </si>
  <si>
    <t>TURBO</t>
  </si>
  <si>
    <t>URAMITA</t>
  </si>
  <si>
    <t>URRAO</t>
  </si>
  <si>
    <t>VALDIVIA</t>
  </si>
  <si>
    <t>VALPARAISO</t>
  </si>
  <si>
    <t>VEGACHI</t>
  </si>
  <si>
    <t>VENECIA</t>
  </si>
  <si>
    <t>VIGIA DEL FUERTE</t>
  </si>
  <si>
    <t>YALI</t>
  </si>
  <si>
    <t>YARUMAL</t>
  </si>
  <si>
    <t>YOLOMBO</t>
  </si>
  <si>
    <t>YONDO</t>
  </si>
  <si>
    <t>ZARAGOZA</t>
  </si>
  <si>
    <t>ARAUCA</t>
  </si>
  <si>
    <t>ARAUQUITA</t>
  </si>
  <si>
    <t>CRAVO NORTE</t>
  </si>
  <si>
    <t>FORTUL</t>
  </si>
  <si>
    <t>PUERTO RONDON</t>
  </si>
  <si>
    <t>SARAVENA</t>
  </si>
  <si>
    <t>TAME</t>
  </si>
  <si>
    <t>BARRANQUILLA</t>
  </si>
  <si>
    <t>BARANOA</t>
  </si>
  <si>
    <t>CAMPO DE LA CRUZ</t>
  </si>
  <si>
    <t>CANDELARIA</t>
  </si>
  <si>
    <t>GALAPA</t>
  </si>
  <si>
    <t>JUAN DE ACOSTA</t>
  </si>
  <si>
    <t>LURUACO</t>
  </si>
  <si>
    <t>MALAMBO</t>
  </si>
  <si>
    <t>MANATI</t>
  </si>
  <si>
    <t>PALMAR DE VARELA</t>
  </si>
  <si>
    <t>PIOJO</t>
  </si>
  <si>
    <t>POLONUEVO</t>
  </si>
  <si>
    <t>PONEDERA</t>
  </si>
  <si>
    <t>PUERTO COLOMBIA</t>
  </si>
  <si>
    <t>REPELON</t>
  </si>
  <si>
    <t>SABANAGRANDE</t>
  </si>
  <si>
    <t>SANTA LUCIA</t>
  </si>
  <si>
    <t>SANTO TOMAS</t>
  </si>
  <si>
    <t>SOLEDAD</t>
  </si>
  <si>
    <t>SUAN</t>
  </si>
  <si>
    <t>TUBARA</t>
  </si>
  <si>
    <t>USIACURI</t>
  </si>
  <si>
    <t>BOGOTA, D.C.</t>
  </si>
  <si>
    <t>CARTAGENA</t>
  </si>
  <si>
    <t>ACHI</t>
  </si>
  <si>
    <t>ALTOS DEL ROSARIO</t>
  </si>
  <si>
    <t>ARENAL</t>
  </si>
  <si>
    <t>ARJONA</t>
  </si>
  <si>
    <t>ARROYOHONDO</t>
  </si>
  <si>
    <t>BARRANCO DE LOBA</t>
  </si>
  <si>
    <t>CALAMAR</t>
  </si>
  <si>
    <t>CANTAGALLO</t>
  </si>
  <si>
    <t>CICUCO</t>
  </si>
  <si>
    <t>CORDOBA</t>
  </si>
  <si>
    <t>CLEMENCIA</t>
  </si>
  <si>
    <t>EL CARMEN DE BOLIVAR</t>
  </si>
  <si>
    <t>EL GUAMO</t>
  </si>
  <si>
    <t>EL PEÑON</t>
  </si>
  <si>
    <t>HATILLO DE LOBA</t>
  </si>
  <si>
    <t>MAGANGUE</t>
  </si>
  <si>
    <t>MAHATES</t>
  </si>
  <si>
    <t>MARGARITA</t>
  </si>
  <si>
    <t>MARIA LA BAJA</t>
  </si>
  <si>
    <t>MONTECRISTO</t>
  </si>
  <si>
    <t>MOMPOS</t>
  </si>
  <si>
    <t>NOROSI</t>
  </si>
  <si>
    <t>MORALES</t>
  </si>
  <si>
    <t>PINILLOS</t>
  </si>
  <si>
    <t>REGIDOR</t>
  </si>
  <si>
    <t>RIO VIEJO</t>
  </si>
  <si>
    <t>SAN CRISTOBAL</t>
  </si>
  <si>
    <t>SAN ESTANISLAO</t>
  </si>
  <si>
    <t>SAN FERNANDO</t>
  </si>
  <si>
    <t>SAN JACINTO</t>
  </si>
  <si>
    <t>SAN JACINTO DEL CAUCA</t>
  </si>
  <si>
    <t>SAN JUAN NEPOMUCENO</t>
  </si>
  <si>
    <t>SAN MARTIN DE LOBA</t>
  </si>
  <si>
    <t>SAN PABLO</t>
  </si>
  <si>
    <t>SANTA CATALINA</t>
  </si>
  <si>
    <t>SANTA ROSA</t>
  </si>
  <si>
    <t>SANTA ROSA DEL SUR</t>
  </si>
  <si>
    <t>SIMITI</t>
  </si>
  <si>
    <t>SOPLAVIENTO</t>
  </si>
  <si>
    <t>TALAIGUA NUEVO</t>
  </si>
  <si>
    <t>TIQUISIO</t>
  </si>
  <si>
    <t>TURBACO</t>
  </si>
  <si>
    <t>TURBANA</t>
  </si>
  <si>
    <t>VILLANUEVA</t>
  </si>
  <si>
    <t>ZAMBRANO</t>
  </si>
  <si>
    <t>TUNJA</t>
  </si>
  <si>
    <t>ALMEIDA</t>
  </si>
  <si>
    <t>AQUITANIA</t>
  </si>
  <si>
    <t>ARCABUCO</t>
  </si>
  <si>
    <t>BELEN</t>
  </si>
  <si>
    <t>BERBEO</t>
  </si>
  <si>
    <t>BETEITIVA</t>
  </si>
  <si>
    <t>BOAVITA</t>
  </si>
  <si>
    <t>BOYACA</t>
  </si>
  <si>
    <t>BUENAVISTA</t>
  </si>
  <si>
    <t>BUSBANZA</t>
  </si>
  <si>
    <t>CAMPOHERMOSO</t>
  </si>
  <si>
    <t>CERINZA</t>
  </si>
  <si>
    <t>CHINAVITA</t>
  </si>
  <si>
    <t>CHIQUINQUIRA</t>
  </si>
  <si>
    <t>CHISCAS</t>
  </si>
  <si>
    <t>CHITA</t>
  </si>
  <si>
    <t>CHITARAQUE</t>
  </si>
  <si>
    <t>CHIVATA</t>
  </si>
  <si>
    <t>CIENEGA</t>
  </si>
  <si>
    <t>COMBITA</t>
  </si>
  <si>
    <t>COPER</t>
  </si>
  <si>
    <t>CORRALES</t>
  </si>
  <si>
    <t>COVARACHIA</t>
  </si>
  <si>
    <t>CUBARA</t>
  </si>
  <si>
    <t>CUCAITA</t>
  </si>
  <si>
    <t>CUITIVA</t>
  </si>
  <si>
    <t>CHIQUIZA</t>
  </si>
  <si>
    <t>CHIVOR</t>
  </si>
  <si>
    <t>DUITAMA</t>
  </si>
  <si>
    <t>EL COCUY</t>
  </si>
  <si>
    <t>EL ESPINO</t>
  </si>
  <si>
    <t>FIRAVITOBA</t>
  </si>
  <si>
    <t>FLORESTA</t>
  </si>
  <si>
    <t>GACHANTIVA</t>
  </si>
  <si>
    <t>GAMEZA</t>
  </si>
  <si>
    <t>GARAGOA</t>
  </si>
  <si>
    <t>GUACAMAYAS</t>
  </si>
  <si>
    <t>GUATEQUE</t>
  </si>
  <si>
    <t>GUAYATA</t>
  </si>
  <si>
    <t>GsICAN</t>
  </si>
  <si>
    <t>IZA</t>
  </si>
  <si>
    <t>JENESANO</t>
  </si>
  <si>
    <t>LABRANZAGRANDE</t>
  </si>
  <si>
    <t>LA CAPILLA</t>
  </si>
  <si>
    <t>LA UVITA</t>
  </si>
  <si>
    <t>VILLA DE LEYVA</t>
  </si>
  <si>
    <t>MACANAL</t>
  </si>
  <si>
    <t>MARIPI</t>
  </si>
  <si>
    <t>MIRAFLORES</t>
  </si>
  <si>
    <t>MONGUA</t>
  </si>
  <si>
    <t>MONGUI</t>
  </si>
  <si>
    <t>MONIQUIRA</t>
  </si>
  <si>
    <t>MOTAVITA</t>
  </si>
  <si>
    <t>MUZO</t>
  </si>
  <si>
    <t>NOBSA</t>
  </si>
  <si>
    <t>NUEVO COLON</t>
  </si>
  <si>
    <t>OICATA</t>
  </si>
  <si>
    <t>OTANCHE</t>
  </si>
  <si>
    <t>PACHAVITA</t>
  </si>
  <si>
    <t>PAEZ</t>
  </si>
  <si>
    <t>PAIPA</t>
  </si>
  <si>
    <t>PAJARITO</t>
  </si>
  <si>
    <t>PANQUEBA</t>
  </si>
  <si>
    <t>PAUNA</t>
  </si>
  <si>
    <t>PAYA</t>
  </si>
  <si>
    <t>PAZ DE RIO</t>
  </si>
  <si>
    <t>PESCA</t>
  </si>
  <si>
    <t>PISBA</t>
  </si>
  <si>
    <t>PUERTO BOYACA</t>
  </si>
  <si>
    <t>QUIPAMA</t>
  </si>
  <si>
    <t>RAMIRIQUI</t>
  </si>
  <si>
    <t>RAQUIRA</t>
  </si>
  <si>
    <t>RONDON</t>
  </si>
  <si>
    <t>SABOYA</t>
  </si>
  <si>
    <t>SACHICA</t>
  </si>
  <si>
    <t>SAMACA</t>
  </si>
  <si>
    <t>SAN EDUARDO</t>
  </si>
  <si>
    <t>SAN JOSE DE PARE</t>
  </si>
  <si>
    <t>SAN LUIS DE GACENO</t>
  </si>
  <si>
    <t>SAN MATEO</t>
  </si>
  <si>
    <t>SAN MIGUEL DE SEMA</t>
  </si>
  <si>
    <t>SAN PABLO DE BORBUR</t>
  </si>
  <si>
    <t>SANTANA</t>
  </si>
  <si>
    <t>SANTA MARIA</t>
  </si>
  <si>
    <t>SANTA ROSA DE VITERBO</t>
  </si>
  <si>
    <t>SANTA SOFIA</t>
  </si>
  <si>
    <t>SATIVANORTE</t>
  </si>
  <si>
    <t>SATIVASUR</t>
  </si>
  <si>
    <t>SIACHOQUE</t>
  </si>
  <si>
    <t>SOATA</t>
  </si>
  <si>
    <t>SOCOTA</t>
  </si>
  <si>
    <t>SOCHA</t>
  </si>
  <si>
    <t>SOGAMOSO</t>
  </si>
  <si>
    <t>SOMONDOCO</t>
  </si>
  <si>
    <t>SORA</t>
  </si>
  <si>
    <t>SOTAQUIRA</t>
  </si>
  <si>
    <t>SORACA</t>
  </si>
  <si>
    <t>SUSACON</t>
  </si>
  <si>
    <t>SUTAMARCHAN</t>
  </si>
  <si>
    <t>SUTATENZA</t>
  </si>
  <si>
    <t>TASCO</t>
  </si>
  <si>
    <t>TENZA</t>
  </si>
  <si>
    <t>TIBANA</t>
  </si>
  <si>
    <t>TIBASOSA</t>
  </si>
  <si>
    <t>TINJACA</t>
  </si>
  <si>
    <t>TIPACOQUE</t>
  </si>
  <si>
    <t>TOCA</t>
  </si>
  <si>
    <t>TOGsI</t>
  </si>
  <si>
    <t>TOPAGA</t>
  </si>
  <si>
    <t>TOTA</t>
  </si>
  <si>
    <t>TUNUNGUA</t>
  </si>
  <si>
    <t>TURMEQUE</t>
  </si>
  <si>
    <t>TUTA</t>
  </si>
  <si>
    <t>TUTAZA</t>
  </si>
  <si>
    <t>UMBITA</t>
  </si>
  <si>
    <t>VENTAQUEMADA</t>
  </si>
  <si>
    <t>VIRACACHA</t>
  </si>
  <si>
    <t>ZETAQUIRA</t>
  </si>
  <si>
    <t>MANIZALES</t>
  </si>
  <si>
    <t>AGUADAS</t>
  </si>
  <si>
    <t>ANSERMA</t>
  </si>
  <si>
    <t>ARANZAZU</t>
  </si>
  <si>
    <t>BELALCAZAR</t>
  </si>
  <si>
    <t>CHINCHINA</t>
  </si>
  <si>
    <t>FILADELFIA</t>
  </si>
  <si>
    <t>LA DORADA</t>
  </si>
  <si>
    <t>LA MERCED</t>
  </si>
  <si>
    <t>MANZANARES</t>
  </si>
  <si>
    <t>MARMATO</t>
  </si>
  <si>
    <t>MARQUETALIA</t>
  </si>
  <si>
    <t>MARULANDA</t>
  </si>
  <si>
    <t>NEIRA</t>
  </si>
  <si>
    <t>NORCASIA</t>
  </si>
  <si>
    <t>PACORA</t>
  </si>
  <si>
    <t>PALESTINA</t>
  </si>
  <si>
    <t>PENSILVANIA</t>
  </si>
  <si>
    <t>RIOSUCIO</t>
  </si>
  <si>
    <t>RISARALDA</t>
  </si>
  <si>
    <t>SALAMINA</t>
  </si>
  <si>
    <t>SAMANA</t>
  </si>
  <si>
    <t>SAN JOSE</t>
  </si>
  <si>
    <t>SUPIA</t>
  </si>
  <si>
    <t>VICTORIA</t>
  </si>
  <si>
    <t>VILLAMARIA</t>
  </si>
  <si>
    <t>VITERBO</t>
  </si>
  <si>
    <t>FLORENCIA</t>
  </si>
  <si>
    <t>ALBANIA</t>
  </si>
  <si>
    <t>BELEN DE LOS ANDAQUIES</t>
  </si>
  <si>
    <t>CARTAGENA DEL CHAIRA</t>
  </si>
  <si>
    <t>CURILLO</t>
  </si>
  <si>
    <t>EL DONCELLO</t>
  </si>
  <si>
    <t>EL PAUJIL</t>
  </si>
  <si>
    <t>LA MONTAÑITA</t>
  </si>
  <si>
    <t>MILAN</t>
  </si>
  <si>
    <t>MORELIA</t>
  </si>
  <si>
    <t>PUERTO RICO</t>
  </si>
  <si>
    <t>SAN JOSE DEL FRAGUA</t>
  </si>
  <si>
    <t>SAN VICENTE DEL CAGUAN</t>
  </si>
  <si>
    <t>SOLANO</t>
  </si>
  <si>
    <t>SOLITA</t>
  </si>
  <si>
    <t>YOPAL</t>
  </si>
  <si>
    <t>AGUAZUL</t>
  </si>
  <si>
    <t>CHAMEZA</t>
  </si>
  <si>
    <t>HATO COROZAL</t>
  </si>
  <si>
    <t>LA SALINA</t>
  </si>
  <si>
    <t>MANI</t>
  </si>
  <si>
    <t>MONTERREY</t>
  </si>
  <si>
    <t>NUNCHIA</t>
  </si>
  <si>
    <t>OROCUE</t>
  </si>
  <si>
    <t>PAZ DE ARIPORO</t>
  </si>
  <si>
    <t>PORE</t>
  </si>
  <si>
    <t>RECETOR</t>
  </si>
  <si>
    <t>SACAMA</t>
  </si>
  <si>
    <t>SAN LUIS DE PALENQUE</t>
  </si>
  <si>
    <t>TAMARA</t>
  </si>
  <si>
    <t>TAURAMENA</t>
  </si>
  <si>
    <t>TRINIDAD</t>
  </si>
  <si>
    <t>POPAYAN</t>
  </si>
  <si>
    <t>ALMAGUER</t>
  </si>
  <si>
    <t>BALBOA</t>
  </si>
  <si>
    <t>BOLIVAR</t>
  </si>
  <si>
    <t>BUENOS AIRES</t>
  </si>
  <si>
    <t>CAJIBIO</t>
  </si>
  <si>
    <t>CALDONO</t>
  </si>
  <si>
    <t>CALOTO</t>
  </si>
  <si>
    <t>CORINTO</t>
  </si>
  <si>
    <t>EL TAMBO</t>
  </si>
  <si>
    <t>GUACHENE</t>
  </si>
  <si>
    <t>GUAPI</t>
  </si>
  <si>
    <t>INZA</t>
  </si>
  <si>
    <t>JAMBALO</t>
  </si>
  <si>
    <t>LA SIERRA</t>
  </si>
  <si>
    <t>LA VEGA</t>
  </si>
  <si>
    <t>LOPEZ</t>
  </si>
  <si>
    <t>MERCADERES</t>
  </si>
  <si>
    <t>MIRANDA</t>
  </si>
  <si>
    <t>PADILLA</t>
  </si>
  <si>
    <t>PATIA</t>
  </si>
  <si>
    <t>PIAMONTE</t>
  </si>
  <si>
    <t>PIENDAMO</t>
  </si>
  <si>
    <t>PUERTO TEJADA</t>
  </si>
  <si>
    <t>PURACE</t>
  </si>
  <si>
    <t>ROSAS</t>
  </si>
  <si>
    <t>SAN SEBASTIAN</t>
  </si>
  <si>
    <t>SANTANDER DE QUILICHAO</t>
  </si>
  <si>
    <t>SILVIA</t>
  </si>
  <si>
    <t>SOTARA</t>
  </si>
  <si>
    <t>SUAREZ</t>
  </si>
  <si>
    <t>SUCRE</t>
  </si>
  <si>
    <t>TIMBIO</t>
  </si>
  <si>
    <t>TIMBIQUI</t>
  </si>
  <si>
    <t>TORIBIO</t>
  </si>
  <si>
    <t>TOTORO</t>
  </si>
  <si>
    <t>VILLA RICA</t>
  </si>
  <si>
    <t>VALLEDUPAR</t>
  </si>
  <si>
    <t>AGUACHICA</t>
  </si>
  <si>
    <t>AGUSTIN CODAZZI</t>
  </si>
  <si>
    <t>ASTREA</t>
  </si>
  <si>
    <t>BECERRIL</t>
  </si>
  <si>
    <t>BOSCONIA</t>
  </si>
  <si>
    <t>CHIMICHAGUA</t>
  </si>
  <si>
    <t>CHIRIGUANA</t>
  </si>
  <si>
    <t>CURUMANI</t>
  </si>
  <si>
    <t>EL COPEY</t>
  </si>
  <si>
    <t>EL PASO</t>
  </si>
  <si>
    <t>GAMARRA</t>
  </si>
  <si>
    <t>GONZALEZ</t>
  </si>
  <si>
    <t>LA GLORIA</t>
  </si>
  <si>
    <t>LA JAGUA DE IBIRICO</t>
  </si>
  <si>
    <t>MANAURE</t>
  </si>
  <si>
    <t>PAILITAS</t>
  </si>
  <si>
    <t>PELAYA</t>
  </si>
  <si>
    <t>PUEBLO BELLO</t>
  </si>
  <si>
    <t>RIO DE ORO</t>
  </si>
  <si>
    <t>LA PAZ</t>
  </si>
  <si>
    <t>SAN ALBERTO</t>
  </si>
  <si>
    <t>SAN DIEGO</t>
  </si>
  <si>
    <t>SAN MARTIN</t>
  </si>
  <si>
    <t>TAMALAMEQUE</t>
  </si>
  <si>
    <t>QUIBDO</t>
  </si>
  <si>
    <t>ACANDI</t>
  </si>
  <si>
    <t>ALTO BAUDO</t>
  </si>
  <si>
    <t>ATRATO</t>
  </si>
  <si>
    <t>BAGADO</t>
  </si>
  <si>
    <t>BAHIA SOLANO</t>
  </si>
  <si>
    <t>BAJO BAUDO</t>
  </si>
  <si>
    <t>BOJAYA</t>
  </si>
  <si>
    <t>EL CANTON DEL SAN PABLO</t>
  </si>
  <si>
    <t>CARMEN DEL DARIEN</t>
  </si>
  <si>
    <t>CERTEGUI</t>
  </si>
  <si>
    <t>CONDOTO</t>
  </si>
  <si>
    <t>EL CARMEN DE ATRATO</t>
  </si>
  <si>
    <t>EL LITORAL DEL SAN JUAN</t>
  </si>
  <si>
    <t>ISTMINA</t>
  </si>
  <si>
    <t>JURADO</t>
  </si>
  <si>
    <t>LLORO</t>
  </si>
  <si>
    <t>MEDIO ATRATO</t>
  </si>
  <si>
    <t>MEDIO BAUDO</t>
  </si>
  <si>
    <t>MEDIO SAN JUAN</t>
  </si>
  <si>
    <t>NOVITA</t>
  </si>
  <si>
    <t>NUQUI</t>
  </si>
  <si>
    <t>RIO IRO</t>
  </si>
  <si>
    <t>RIO QUITO</t>
  </si>
  <si>
    <t>SAN JOSE DEL PALMAR</t>
  </si>
  <si>
    <t>SIPI</t>
  </si>
  <si>
    <t>TADO</t>
  </si>
  <si>
    <t>UNGUIA</t>
  </si>
  <si>
    <t>UNION PANAMERICANA</t>
  </si>
  <si>
    <t>MONTERIA</t>
  </si>
  <si>
    <t>AYAPEL</t>
  </si>
  <si>
    <t>CANALETE</t>
  </si>
  <si>
    <t>CERETE</t>
  </si>
  <si>
    <t>CHIMA</t>
  </si>
  <si>
    <t>CHINU</t>
  </si>
  <si>
    <t>CIENAGA DE ORO</t>
  </si>
  <si>
    <t>COTORRA</t>
  </si>
  <si>
    <t>LA APARTADA</t>
  </si>
  <si>
    <t>LORICA</t>
  </si>
  <si>
    <t>LOS CORDOBAS</t>
  </si>
  <si>
    <t>MOMIL</t>
  </si>
  <si>
    <t>MONTELIBANO</t>
  </si>
  <si>
    <t>MOÑITOS</t>
  </si>
  <si>
    <t>PLANETA RICA</t>
  </si>
  <si>
    <t>PUEBLO NUEVO</t>
  </si>
  <si>
    <t>PUERTO ESCONDIDO</t>
  </si>
  <si>
    <t>PUERTO LIBERTADOR</t>
  </si>
  <si>
    <t>PURISIMA</t>
  </si>
  <si>
    <t>SAHAGUN</t>
  </si>
  <si>
    <t>SAN ANDRES SOTAVENTO</t>
  </si>
  <si>
    <t>SAN ANTERO</t>
  </si>
  <si>
    <t>SAN BERNARDO DEL VIENTO</t>
  </si>
  <si>
    <t>SAN PELAYO</t>
  </si>
  <si>
    <t>TIERRALTA</t>
  </si>
  <si>
    <t>VALENCIA</t>
  </si>
  <si>
    <t>AGUA DE DIOS</t>
  </si>
  <si>
    <t>ALBAN</t>
  </si>
  <si>
    <t>ANAPOIMA</t>
  </si>
  <si>
    <t>ANOLAIMA</t>
  </si>
  <si>
    <t>ARBELAEZ</t>
  </si>
  <si>
    <t>BELTRAN</t>
  </si>
  <si>
    <t>BITUIMA</t>
  </si>
  <si>
    <t>BOJACA</t>
  </si>
  <si>
    <t>CABRERA</t>
  </si>
  <si>
    <t>CACHIPAY</t>
  </si>
  <si>
    <t>CAJICA</t>
  </si>
  <si>
    <t>CAPARRAPI</t>
  </si>
  <si>
    <t>CAQUEZA</t>
  </si>
  <si>
    <t>CARMEN DE CARUPA</t>
  </si>
  <si>
    <t>CHAGUANI</t>
  </si>
  <si>
    <t>CHIA</t>
  </si>
  <si>
    <t>CHIPAQUE</t>
  </si>
  <si>
    <t>CHOACHI</t>
  </si>
  <si>
    <t>CHOCONTA</t>
  </si>
  <si>
    <t>COGUA</t>
  </si>
  <si>
    <t>COTA</t>
  </si>
  <si>
    <t>CUCUNUBA</t>
  </si>
  <si>
    <t>EL COLEGIO</t>
  </si>
  <si>
    <t>EL ROSAL</t>
  </si>
  <si>
    <t>FACATATIVA</t>
  </si>
  <si>
    <t>FOMEQUE</t>
  </si>
  <si>
    <t>FOSCA</t>
  </si>
  <si>
    <t>FUNZA</t>
  </si>
  <si>
    <t>FUQUENE</t>
  </si>
  <si>
    <t>FUSAGASUGA</t>
  </si>
  <si>
    <t>GACHALA</t>
  </si>
  <si>
    <t>GACHANCIPA</t>
  </si>
  <si>
    <t>GACHETA</t>
  </si>
  <si>
    <t>GAMA</t>
  </si>
  <si>
    <t>GIRARDOT</t>
  </si>
  <si>
    <t>GUACHETA</t>
  </si>
  <si>
    <t>GUADUAS</t>
  </si>
  <si>
    <t>GUASCA</t>
  </si>
  <si>
    <t>GUATAQUI</t>
  </si>
  <si>
    <t>GUATAVITA</t>
  </si>
  <si>
    <t>GUAYABAL DE SIQUIMA</t>
  </si>
  <si>
    <t>GUAYABETAL</t>
  </si>
  <si>
    <t>GUTIERREZ</t>
  </si>
  <si>
    <t>JERUSALEN</t>
  </si>
  <si>
    <t>JUNIN</t>
  </si>
  <si>
    <t>LA CALERA</t>
  </si>
  <si>
    <t>LA MESA</t>
  </si>
  <si>
    <t>LA PALMA</t>
  </si>
  <si>
    <t>LA PEÑA</t>
  </si>
  <si>
    <t>LENGUAZAQUE</t>
  </si>
  <si>
    <t>MACHETA</t>
  </si>
  <si>
    <t>MADRID</t>
  </si>
  <si>
    <t>MANTA</t>
  </si>
  <si>
    <t>MEDINA</t>
  </si>
  <si>
    <t>MOSQUERA</t>
  </si>
  <si>
    <t>NEMOCON</t>
  </si>
  <si>
    <t>NILO</t>
  </si>
  <si>
    <t>NIMAIMA</t>
  </si>
  <si>
    <t>NOCAIMA</t>
  </si>
  <si>
    <t>PACHO</t>
  </si>
  <si>
    <t>PAIME</t>
  </si>
  <si>
    <t>PANDI</t>
  </si>
  <si>
    <t>PARATEBUENO</t>
  </si>
  <si>
    <t>PASCA</t>
  </si>
  <si>
    <t>PUERTO SALGAR</t>
  </si>
  <si>
    <t>PULI</t>
  </si>
  <si>
    <t>QUEBRADANEGRA</t>
  </si>
  <si>
    <t>QUETAME</t>
  </si>
  <si>
    <t>QUIPILE</t>
  </si>
  <si>
    <t>APULO</t>
  </si>
  <si>
    <t>RICAURTE</t>
  </si>
  <si>
    <t>SAN ANTONIO DEL TEQUENDAMA</t>
  </si>
  <si>
    <t>SAN BERNARDO</t>
  </si>
  <si>
    <t>SAN CAYETANO</t>
  </si>
  <si>
    <t>SAN JUAN DE RIO SECO</t>
  </si>
  <si>
    <t>SASAIMA</t>
  </si>
  <si>
    <t>SESQUILE</t>
  </si>
  <si>
    <t>SIBATE</t>
  </si>
  <si>
    <t>SILVANIA</t>
  </si>
  <si>
    <t>SIMIJACA</t>
  </si>
  <si>
    <t>SOACHA</t>
  </si>
  <si>
    <t>SOPO</t>
  </si>
  <si>
    <t>SUBACHOQUE</t>
  </si>
  <si>
    <t>SUESCA</t>
  </si>
  <si>
    <t>SUPATA</t>
  </si>
  <si>
    <t>SUSA</t>
  </si>
  <si>
    <t>SUTATAUSA</t>
  </si>
  <si>
    <t>TABIO</t>
  </si>
  <si>
    <t>TAUSA</t>
  </si>
  <si>
    <t>TENA</t>
  </si>
  <si>
    <t>TENJO</t>
  </si>
  <si>
    <t>TIBACUY</t>
  </si>
  <si>
    <t>TIBIRITA</t>
  </si>
  <si>
    <t>TOCAIMA</t>
  </si>
  <si>
    <t>TOCANCIPA</t>
  </si>
  <si>
    <t>TOPAIPI</t>
  </si>
  <si>
    <t>UBALA</t>
  </si>
  <si>
    <t>UBAQUE</t>
  </si>
  <si>
    <t>VILLA DE SAN DIEGO DE UBATE</t>
  </si>
  <si>
    <t>UNE</t>
  </si>
  <si>
    <t>UTICA</t>
  </si>
  <si>
    <t>VERGARA</t>
  </si>
  <si>
    <t>VIANI</t>
  </si>
  <si>
    <t>VILLAGOMEZ</t>
  </si>
  <si>
    <t>VILLAPINZON</t>
  </si>
  <si>
    <t>VILLETA</t>
  </si>
  <si>
    <t>VIOTA</t>
  </si>
  <si>
    <t>YACOPI</t>
  </si>
  <si>
    <t>ZIPACON</t>
  </si>
  <si>
    <t>ZIPAQUIRA</t>
  </si>
  <si>
    <t>INIRIDA</t>
  </si>
  <si>
    <t>BARRANCO MINAS</t>
  </si>
  <si>
    <t>MAPIRIPANA</t>
  </si>
  <si>
    <t>SAN FELIPE</t>
  </si>
  <si>
    <t>LA GUADALUPE</t>
  </si>
  <si>
    <t>CACAHUAL</t>
  </si>
  <si>
    <t>PANA PANA</t>
  </si>
  <si>
    <t>MORICHAL</t>
  </si>
  <si>
    <t>SAN JOSE DEL GUAVIARE</t>
  </si>
  <si>
    <t>EL RETORNO</t>
  </si>
  <si>
    <t>NEIVA</t>
  </si>
  <si>
    <t>ACEVEDO</t>
  </si>
  <si>
    <t>AGRADO</t>
  </si>
  <si>
    <t>AIPE</t>
  </si>
  <si>
    <t>ALGECIRAS</t>
  </si>
  <si>
    <t>ALTAMIRA</t>
  </si>
  <si>
    <t>BARAYA</t>
  </si>
  <si>
    <t>CAMPOALEGRE</t>
  </si>
  <si>
    <t>COLOMBIA</t>
  </si>
  <si>
    <t>ELIAS</t>
  </si>
  <si>
    <t>GARZON</t>
  </si>
  <si>
    <t>GIGANTE</t>
  </si>
  <si>
    <t>HOBO</t>
  </si>
  <si>
    <t>IQUIRA</t>
  </si>
  <si>
    <t>ISNOS</t>
  </si>
  <si>
    <t>LA ARGENTINA</t>
  </si>
  <si>
    <t>LA PLATA</t>
  </si>
  <si>
    <t>NATAGA</t>
  </si>
  <si>
    <t>OPORAPA</t>
  </si>
  <si>
    <t>PAICOL</t>
  </si>
  <si>
    <t>PALERMO</t>
  </si>
  <si>
    <t>PITAL</t>
  </si>
  <si>
    <t>PITALITO</t>
  </si>
  <si>
    <t>RIVERA</t>
  </si>
  <si>
    <t>SALADOBLANCO</t>
  </si>
  <si>
    <t>SAN AGUSTIN</t>
  </si>
  <si>
    <t>SUAZA</t>
  </si>
  <si>
    <t>TARQUI</t>
  </si>
  <si>
    <t>TESALIA</t>
  </si>
  <si>
    <t>TELLO</t>
  </si>
  <si>
    <t>TERUEL</t>
  </si>
  <si>
    <t>TIMANA</t>
  </si>
  <si>
    <t>VILLAVIEJA</t>
  </si>
  <si>
    <t>YAGUARA</t>
  </si>
  <si>
    <t>RIOHACHA</t>
  </si>
  <si>
    <t>BARRANCAS</t>
  </si>
  <si>
    <t>DIBULLA</t>
  </si>
  <si>
    <t>DISTRACCION</t>
  </si>
  <si>
    <t>EL MOLINO</t>
  </si>
  <si>
    <t>FONSECA</t>
  </si>
  <si>
    <t>HATONUEVO</t>
  </si>
  <si>
    <t>LA JAGUA DEL PILAR</t>
  </si>
  <si>
    <t>MAICAO</t>
  </si>
  <si>
    <t>SAN JUAN DEL CESAR</t>
  </si>
  <si>
    <t>URIBIA</t>
  </si>
  <si>
    <t>URUMITA</t>
  </si>
  <si>
    <t>SANTA MARTA</t>
  </si>
  <si>
    <t>ALGARROBO</t>
  </si>
  <si>
    <t>ARACATACA</t>
  </si>
  <si>
    <t>ARIGUANI</t>
  </si>
  <si>
    <t>CERRO SAN ANTONIO</t>
  </si>
  <si>
    <t>CHIBOLO</t>
  </si>
  <si>
    <t>CIENAGA</t>
  </si>
  <si>
    <t>EL BANCO</t>
  </si>
  <si>
    <t>EL PIÑON</t>
  </si>
  <si>
    <t>EL RETEN</t>
  </si>
  <si>
    <t>FUNDACION</t>
  </si>
  <si>
    <t>GUAMAL</t>
  </si>
  <si>
    <t>NUEVA GRANADA</t>
  </si>
  <si>
    <t>PEDRAZA</t>
  </si>
  <si>
    <t>PIJIÑO DEL CARMEN</t>
  </si>
  <si>
    <t>PIVIJAY</t>
  </si>
  <si>
    <t>PLATO</t>
  </si>
  <si>
    <t>PUEBLOVIEJO</t>
  </si>
  <si>
    <t>REMOLINO</t>
  </si>
  <si>
    <t>SABANAS DE SAN ANGEL</t>
  </si>
  <si>
    <t>SAN SEBASTIAN DE BUENAVISTA</t>
  </si>
  <si>
    <t>SAN ZENON</t>
  </si>
  <si>
    <t>SANTA ANA</t>
  </si>
  <si>
    <t>SANTA BARBARA DE PINTO</t>
  </si>
  <si>
    <t>SITIONUEVO</t>
  </si>
  <si>
    <t>TENERIFE</t>
  </si>
  <si>
    <t>ZAPAYAN</t>
  </si>
  <si>
    <t>ZONA BANANERA</t>
  </si>
  <si>
    <t>VILLAVICENCIO</t>
  </si>
  <si>
    <t>ACACIAS</t>
  </si>
  <si>
    <t>BARRANCA DE UPIA</t>
  </si>
  <si>
    <t>CABUYARO</t>
  </si>
  <si>
    <t>CASTILLA LA NUEVA</t>
  </si>
  <si>
    <t>CUBARRAL</t>
  </si>
  <si>
    <t>CUMARAL</t>
  </si>
  <si>
    <t>EL CALVARIO</t>
  </si>
  <si>
    <t>EL CASTILLO</t>
  </si>
  <si>
    <t>EL DORADO</t>
  </si>
  <si>
    <t>FUENTE DE ORO</t>
  </si>
  <si>
    <t>MAPIRIPAN</t>
  </si>
  <si>
    <t>MESETAS</t>
  </si>
  <si>
    <t>LA MACARENA</t>
  </si>
  <si>
    <t>URIBE</t>
  </si>
  <si>
    <t>LEJANIAS</t>
  </si>
  <si>
    <t>PUERTO CONCORDIA</t>
  </si>
  <si>
    <t>PUERTO GAITAN</t>
  </si>
  <si>
    <t>PUERTO LOPEZ</t>
  </si>
  <si>
    <t>PUERTO LLERAS</t>
  </si>
  <si>
    <t>RESTREPO</t>
  </si>
  <si>
    <t>SAN CARLOS DE GUAROA</t>
  </si>
  <si>
    <t>SAN JUAN DE ARAMA</t>
  </si>
  <si>
    <t>SAN JUANITO</t>
  </si>
  <si>
    <t>VISTAHERMOSA</t>
  </si>
  <si>
    <t>PASTO</t>
  </si>
  <si>
    <t>ALDANA</t>
  </si>
  <si>
    <t>ANCUYA</t>
  </si>
  <si>
    <t>ARBOLEDA</t>
  </si>
  <si>
    <t>BARBACOAS</t>
  </si>
  <si>
    <t>BUESACO</t>
  </si>
  <si>
    <t>COLON</t>
  </si>
  <si>
    <t>CONSACA</t>
  </si>
  <si>
    <t>CONTADERO</t>
  </si>
  <si>
    <t>CUASPUD</t>
  </si>
  <si>
    <t>CUMBAL</t>
  </si>
  <si>
    <t>CUMBITARA</t>
  </si>
  <si>
    <t>CHACHAGsI</t>
  </si>
  <si>
    <t>EL CHARCO</t>
  </si>
  <si>
    <t>EL PEÑOL</t>
  </si>
  <si>
    <t>EL ROSARIO</t>
  </si>
  <si>
    <t>EL TABLON DE GOMEZ</t>
  </si>
  <si>
    <t>FUNES</t>
  </si>
  <si>
    <t>GUACHUCAL</t>
  </si>
  <si>
    <t>GUAITARILLA</t>
  </si>
  <si>
    <t>GUALMATAN</t>
  </si>
  <si>
    <t>ILES</t>
  </si>
  <si>
    <t>IMUES</t>
  </si>
  <si>
    <t>IPIALES</t>
  </si>
  <si>
    <t>LA CRUZ</t>
  </si>
  <si>
    <t>LA FLORIDA</t>
  </si>
  <si>
    <t>LA LLANADA</t>
  </si>
  <si>
    <t>LA TOLA</t>
  </si>
  <si>
    <t>LEIVA</t>
  </si>
  <si>
    <t>LINARES</t>
  </si>
  <si>
    <t>LOS ANDES</t>
  </si>
  <si>
    <t>MAGsI</t>
  </si>
  <si>
    <t>MALLAMA</t>
  </si>
  <si>
    <t>OLAYA HERRERA</t>
  </si>
  <si>
    <t>OSPINA</t>
  </si>
  <si>
    <t>FRANCISCO PIZARRO</t>
  </si>
  <si>
    <t>POLICARPA</t>
  </si>
  <si>
    <t>POTOSI</t>
  </si>
  <si>
    <t>PROVIDENCIA</t>
  </si>
  <si>
    <t>PUERRES</t>
  </si>
  <si>
    <t>PUPIALES</t>
  </si>
  <si>
    <t>ROBERTO PAYAN</t>
  </si>
  <si>
    <t>SAMANIEGO</t>
  </si>
  <si>
    <t>SANDONA</t>
  </si>
  <si>
    <t>SAN LORENZO</t>
  </si>
  <si>
    <t>SAN PEDRO DE CARTAGO</t>
  </si>
  <si>
    <t>SANTACRUZ</t>
  </si>
  <si>
    <t>SAPUYES</t>
  </si>
  <si>
    <t>TAMINANGO</t>
  </si>
  <si>
    <t>TANGUA</t>
  </si>
  <si>
    <t>SAN ANDRES DE TUMACO</t>
  </si>
  <si>
    <t>TUQUERRES</t>
  </si>
  <si>
    <t>YACUANQUER</t>
  </si>
  <si>
    <t>CUCUTA</t>
  </si>
  <si>
    <t>ABREGO</t>
  </si>
  <si>
    <t>ARBOLEDAS</t>
  </si>
  <si>
    <t>BOCHALEMA</t>
  </si>
  <si>
    <t>BUCARASICA</t>
  </si>
  <si>
    <t>CACOTA</t>
  </si>
  <si>
    <t>CACHIRA</t>
  </si>
  <si>
    <t>CHINACOTA</t>
  </si>
  <si>
    <t>CHITAGA</t>
  </si>
  <si>
    <t>CONVENCION</t>
  </si>
  <si>
    <t>CUCUTILLA</t>
  </si>
  <si>
    <t>DURANIA</t>
  </si>
  <si>
    <t>EL CARMEN</t>
  </si>
  <si>
    <t>EL TARRA</t>
  </si>
  <si>
    <t>EL ZULIA</t>
  </si>
  <si>
    <t>GRAMALOTE</t>
  </si>
  <si>
    <t>HACARI</t>
  </si>
  <si>
    <t>HERRAN</t>
  </si>
  <si>
    <t>LABATECA</t>
  </si>
  <si>
    <t>LA ESPERANZA</t>
  </si>
  <si>
    <t>LA PLAYA</t>
  </si>
  <si>
    <t>LOS PATIOS</t>
  </si>
  <si>
    <t>LOURDES</t>
  </si>
  <si>
    <t>MUTISCUA</t>
  </si>
  <si>
    <t>OCAÑA</t>
  </si>
  <si>
    <t>PAMPLONA</t>
  </si>
  <si>
    <t>PAMPLONITA</t>
  </si>
  <si>
    <t>RAGONVALIA</t>
  </si>
  <si>
    <t>SALAZAR</t>
  </si>
  <si>
    <t>SAN CALIXTO</t>
  </si>
  <si>
    <t>SANTIAGO</t>
  </si>
  <si>
    <t>SARDINATA</t>
  </si>
  <si>
    <t>SILOS</t>
  </si>
  <si>
    <t>TEORAMA</t>
  </si>
  <si>
    <t>TIBU</t>
  </si>
  <si>
    <t>VILLA CARO</t>
  </si>
  <si>
    <t>VILLA DEL ROSARIO</t>
  </si>
  <si>
    <t>MOCOA</t>
  </si>
  <si>
    <t>ORITO</t>
  </si>
  <si>
    <t>PUERTO ASIS</t>
  </si>
  <si>
    <t>PUERTO CAICEDO</t>
  </si>
  <si>
    <t>PUERTO GUZMAN</t>
  </si>
  <si>
    <t>LEGUIZAMO</t>
  </si>
  <si>
    <t>SIBUNDOY</t>
  </si>
  <si>
    <t>SAN MIGUEL</t>
  </si>
  <si>
    <t>VALLE DEL GUAMUEZ</t>
  </si>
  <si>
    <t>VILLAGARZON</t>
  </si>
  <si>
    <t>CALARCA</t>
  </si>
  <si>
    <t>CIRCASIA</t>
  </si>
  <si>
    <t>FILANDIA</t>
  </si>
  <si>
    <t>GENOVA</t>
  </si>
  <si>
    <t>LA TEBAIDA</t>
  </si>
  <si>
    <t>MONTENEGRO</t>
  </si>
  <si>
    <t>PIJAO</t>
  </si>
  <si>
    <t>QUIMBAYA</t>
  </si>
  <si>
    <t>SALENTO</t>
  </si>
  <si>
    <t>PEREIRA</t>
  </si>
  <si>
    <t>APIA</t>
  </si>
  <si>
    <t>BELEN DE UMBRIA</t>
  </si>
  <si>
    <t>DOSQUEBRADAS</t>
  </si>
  <si>
    <t>GUATICA</t>
  </si>
  <si>
    <t>LA CELIA</t>
  </si>
  <si>
    <t>LA VIRGINIA</t>
  </si>
  <si>
    <t>MARSELLA</t>
  </si>
  <si>
    <t>MISTRATO</t>
  </si>
  <si>
    <t>PUEBLO RICO</t>
  </si>
  <si>
    <t>QUINCHIA</t>
  </si>
  <si>
    <t>SANTA ROSA DE CABAL</t>
  </si>
  <si>
    <t>SANTUARIO</t>
  </si>
  <si>
    <t>SAN ANDRES</t>
  </si>
  <si>
    <t>BUCARAMANGA</t>
  </si>
  <si>
    <t>AGUADA</t>
  </si>
  <si>
    <t>ARATOCA</t>
  </si>
  <si>
    <t>BARICHARA</t>
  </si>
  <si>
    <t>BARRANCABERMEJA</t>
  </si>
  <si>
    <t>CALIFORNIA</t>
  </si>
  <si>
    <t>CAPITANEJO</t>
  </si>
  <si>
    <t>CARCASI</t>
  </si>
  <si>
    <t>CEPITA</t>
  </si>
  <si>
    <t>CERRITO</t>
  </si>
  <si>
    <t>CHARALA</t>
  </si>
  <si>
    <t>CHARTA</t>
  </si>
  <si>
    <t>CHIPATA</t>
  </si>
  <si>
    <t>CIMITARRA</t>
  </si>
  <si>
    <t>CONFINES</t>
  </si>
  <si>
    <t>CONTRATACION</t>
  </si>
  <si>
    <t>COROMORO</t>
  </si>
  <si>
    <t>CURITI</t>
  </si>
  <si>
    <t>EL CARMEN DE CHUCURI</t>
  </si>
  <si>
    <t>EL GUACAMAYO</t>
  </si>
  <si>
    <t>EL PLAYON</t>
  </si>
  <si>
    <t>ENCINO</t>
  </si>
  <si>
    <t>ENCISO</t>
  </si>
  <si>
    <t>FLORIAN</t>
  </si>
  <si>
    <t>FLORIDABLANCA</t>
  </si>
  <si>
    <t>GALAN</t>
  </si>
  <si>
    <t>GAMBITA</t>
  </si>
  <si>
    <t>GIRON</t>
  </si>
  <si>
    <t>GUACA</t>
  </si>
  <si>
    <t>GUAPOTA</t>
  </si>
  <si>
    <t>GUAVATA</t>
  </si>
  <si>
    <t>GsEPSA</t>
  </si>
  <si>
    <t>HATO</t>
  </si>
  <si>
    <t>JESUS MARIA</t>
  </si>
  <si>
    <t>JORDAN</t>
  </si>
  <si>
    <t>LA BELLEZA</t>
  </si>
  <si>
    <t>LANDAZURI</t>
  </si>
  <si>
    <t>LEBRIJA</t>
  </si>
  <si>
    <t>LOS SANTOS</t>
  </si>
  <si>
    <t>MACARAVITA</t>
  </si>
  <si>
    <t>MALAGA</t>
  </si>
  <si>
    <t>MATANZA</t>
  </si>
  <si>
    <t>MOGOTES</t>
  </si>
  <si>
    <t>MOLAGAVITA</t>
  </si>
  <si>
    <t>OCAMONTE</t>
  </si>
  <si>
    <t>OIBA</t>
  </si>
  <si>
    <t>ONZAGA</t>
  </si>
  <si>
    <t>PALMAR</t>
  </si>
  <si>
    <t>PALMAS DEL SOCORRO</t>
  </si>
  <si>
    <t>PARAMO</t>
  </si>
  <si>
    <t>PIEDECUESTA</t>
  </si>
  <si>
    <t>PINCHOTE</t>
  </si>
  <si>
    <t>PUENTE NACIONAL</t>
  </si>
  <si>
    <t>PUERTO PARRA</t>
  </si>
  <si>
    <t>PUERTO WILCHES</t>
  </si>
  <si>
    <t>SABANA DE TORRES</t>
  </si>
  <si>
    <t>SAN BENITO</t>
  </si>
  <si>
    <t>SAN GIL</t>
  </si>
  <si>
    <t>SAN JOAQUIN</t>
  </si>
  <si>
    <t>SAN JOSE DE MIRANDA</t>
  </si>
  <si>
    <t>SAN VICENTE DE CHUCURI</t>
  </si>
  <si>
    <t>SANTA HELENA DEL OPON</t>
  </si>
  <si>
    <t>SIMACOTA</t>
  </si>
  <si>
    <t>SOCORRO</t>
  </si>
  <si>
    <t>SUAITA</t>
  </si>
  <si>
    <t>SURATA</t>
  </si>
  <si>
    <t>TONA</t>
  </si>
  <si>
    <t>VALLE DE SAN JOSE</t>
  </si>
  <si>
    <t>VELEZ</t>
  </si>
  <si>
    <t>VETAS</t>
  </si>
  <si>
    <t>ZAPATOCA</t>
  </si>
  <si>
    <t>SINCELEJO</t>
  </si>
  <si>
    <t>CAIMITO</t>
  </si>
  <si>
    <t>COLOSO</t>
  </si>
  <si>
    <t>COROZAL</t>
  </si>
  <si>
    <t>COVEÑAS</t>
  </si>
  <si>
    <t>CHALAN</t>
  </si>
  <si>
    <t>EL ROBLE</t>
  </si>
  <si>
    <t>GALERAS</t>
  </si>
  <si>
    <t>GUARANDA</t>
  </si>
  <si>
    <t>LOS PALMITOS</t>
  </si>
  <si>
    <t>MAJAGUAL</t>
  </si>
  <si>
    <t>MORROA</t>
  </si>
  <si>
    <t>OVEJAS</t>
  </si>
  <si>
    <t>PALMITO</t>
  </si>
  <si>
    <t>SAMPUES</t>
  </si>
  <si>
    <t>SAN BENITO ABAD</t>
  </si>
  <si>
    <t>SAN JUAN DE BETULIA</t>
  </si>
  <si>
    <t>SAN MARCOS</t>
  </si>
  <si>
    <t>SAN ONOFRE</t>
  </si>
  <si>
    <t>SAN LUIS DE SINCE</t>
  </si>
  <si>
    <t>SANTIAGO DE TOLU</t>
  </si>
  <si>
    <t>TOLU VIEJO</t>
  </si>
  <si>
    <t>IBAGUE</t>
  </si>
  <si>
    <t>ALPUJARRA</t>
  </si>
  <si>
    <t>ALVARADO</t>
  </si>
  <si>
    <t>AMBALEMA</t>
  </si>
  <si>
    <t>ANZOATEGUI</t>
  </si>
  <si>
    <t>ARMERO</t>
  </si>
  <si>
    <t>ATACO</t>
  </si>
  <si>
    <t>CAJAMARCA</t>
  </si>
  <si>
    <t>CARMEN DE APICALA</t>
  </si>
  <si>
    <t>CASABIANCA</t>
  </si>
  <si>
    <t>CHAPARRAL</t>
  </si>
  <si>
    <t>COELLO</t>
  </si>
  <si>
    <t>COYAIMA</t>
  </si>
  <si>
    <t>CUNDAY</t>
  </si>
  <si>
    <t>DOLORES</t>
  </si>
  <si>
    <t>ESPINAL</t>
  </si>
  <si>
    <t>FALAN</t>
  </si>
  <si>
    <t>FLANDES</t>
  </si>
  <si>
    <t>FRESNO</t>
  </si>
  <si>
    <t>GUAMO</t>
  </si>
  <si>
    <t>HERVEO</t>
  </si>
  <si>
    <t>HONDA</t>
  </si>
  <si>
    <t>ICONONZO</t>
  </si>
  <si>
    <t>LERIDA</t>
  </si>
  <si>
    <t>LIBANO</t>
  </si>
  <si>
    <t>MARIQUITA</t>
  </si>
  <si>
    <t>MELGAR</t>
  </si>
  <si>
    <t>MURILLO</t>
  </si>
  <si>
    <t>NATAGAIMA</t>
  </si>
  <si>
    <t>ORTEGA</t>
  </si>
  <si>
    <t>PALOCABILDO</t>
  </si>
  <si>
    <t>PIEDRAS</t>
  </si>
  <si>
    <t>PLANADAS</t>
  </si>
  <si>
    <t>PRADO</t>
  </si>
  <si>
    <t>PURIFICACION</t>
  </si>
  <si>
    <t>RIOBLANCO</t>
  </si>
  <si>
    <t>RONCESVALLES</t>
  </si>
  <si>
    <t>ROVIRA</t>
  </si>
  <si>
    <t>SALDAÑA</t>
  </si>
  <si>
    <t>SAN ANTONIO</t>
  </si>
  <si>
    <t>SANTA ISABEL</t>
  </si>
  <si>
    <t>VALLE DE SAN JUAN</t>
  </si>
  <si>
    <t>VENADILLO</t>
  </si>
  <si>
    <t>VILLAHERMOSA</t>
  </si>
  <si>
    <t>VILLARRICA</t>
  </si>
  <si>
    <t>CALI</t>
  </si>
  <si>
    <t>ALCALA</t>
  </si>
  <si>
    <t>ANDALUCIA</t>
  </si>
  <si>
    <t>ANSERMANUEVO</t>
  </si>
  <si>
    <t>BUENAVENTURA</t>
  </si>
  <si>
    <t>GUADALAJARA DE BUGA</t>
  </si>
  <si>
    <t>BUGALAGRANDE</t>
  </si>
  <si>
    <t>CAICEDONIA</t>
  </si>
  <si>
    <t>CALIMA</t>
  </si>
  <si>
    <t>CARTAGO</t>
  </si>
  <si>
    <t>DAGUA</t>
  </si>
  <si>
    <t>EL AGUILA</t>
  </si>
  <si>
    <t>EL CAIRO</t>
  </si>
  <si>
    <t>EL CERRITO</t>
  </si>
  <si>
    <t>EL DOVIO</t>
  </si>
  <si>
    <t>FLORIDA</t>
  </si>
  <si>
    <t>GINEBRA</t>
  </si>
  <si>
    <t>GUACARI</t>
  </si>
  <si>
    <t>JAMUNDI</t>
  </si>
  <si>
    <t>LA CUMBRE</t>
  </si>
  <si>
    <t>OBANDO</t>
  </si>
  <si>
    <t>PALMIRA</t>
  </si>
  <si>
    <t>PRADERA</t>
  </si>
  <si>
    <t>RIOFRIO</t>
  </si>
  <si>
    <t>ROLDANILLO</t>
  </si>
  <si>
    <t>SEVILLA</t>
  </si>
  <si>
    <t>TORO</t>
  </si>
  <si>
    <t>TRUJILLO</t>
  </si>
  <si>
    <t>TULUA</t>
  </si>
  <si>
    <t>ULLOA</t>
  </si>
  <si>
    <t>VERSALLES</t>
  </si>
  <si>
    <t>VIJES</t>
  </si>
  <si>
    <t>YOTOCO</t>
  </si>
  <si>
    <t>YUMBO</t>
  </si>
  <si>
    <t>ZARZAL</t>
  </si>
  <si>
    <t>MITU</t>
  </si>
  <si>
    <t>CARURU</t>
  </si>
  <si>
    <t>PACOA</t>
  </si>
  <si>
    <t>TARAIRA</t>
  </si>
  <si>
    <t>PAPUNAUA</t>
  </si>
  <si>
    <t>YAVARATE</t>
  </si>
  <si>
    <t>PUERTO CARREÑO</t>
  </si>
  <si>
    <t>LA PRIMAVERA</t>
  </si>
  <si>
    <t>SANTA ROSALIA</t>
  </si>
  <si>
    <t>CUMARIBO</t>
  </si>
  <si>
    <t>SOLICITUD</t>
  </si>
  <si>
    <t>CESAR</t>
  </si>
  <si>
    <t>Dirección:</t>
  </si>
  <si>
    <t>Municipio/Ciudad:</t>
  </si>
  <si>
    <t>Departamento:</t>
  </si>
  <si>
    <t>Nombre del Establecimiento de Destino:</t>
  </si>
  <si>
    <t>ATLÁNTICO</t>
  </si>
  <si>
    <t>AMAZONAS</t>
  </si>
  <si>
    <t>ANTIOQUIA</t>
  </si>
  <si>
    <t>BOLÍVAR</t>
  </si>
  <si>
    <t>BOYACÁ</t>
  </si>
  <si>
    <t>CAQUETÁ</t>
  </si>
  <si>
    <t>CASANARE</t>
  </si>
  <si>
    <t>CAUCA</t>
  </si>
  <si>
    <t>CHOCÓ</t>
  </si>
  <si>
    <t>CÓRDOBA</t>
  </si>
  <si>
    <t>CUNDINAMARCA</t>
  </si>
  <si>
    <t>GUAINÍA</t>
  </si>
  <si>
    <t>GUAVIARE</t>
  </si>
  <si>
    <t>HUILA</t>
  </si>
  <si>
    <t>LA GUAJIRA</t>
  </si>
  <si>
    <t>MAGDALENA</t>
  </si>
  <si>
    <t>META</t>
  </si>
  <si>
    <t>NORTE DE SANTANDER</t>
  </si>
  <si>
    <t>PUTUMAYO</t>
  </si>
  <si>
    <t>QUINDIO</t>
  </si>
  <si>
    <t>SAN ANDRES ISLAS</t>
  </si>
  <si>
    <t>SANTANDER</t>
  </si>
  <si>
    <t>TOLIMA</t>
  </si>
  <si>
    <t>VALLE DEL CAUCA</t>
  </si>
  <si>
    <t>VAUPÉS</t>
  </si>
  <si>
    <t>VICHADA</t>
  </si>
  <si>
    <t>NIT</t>
  </si>
  <si>
    <t>No. DE RESOLUCIÓN</t>
  </si>
  <si>
    <t>FECHA DE RESOLUCIÓN</t>
  </si>
  <si>
    <t>Resolucion:</t>
  </si>
  <si>
    <t>RESOLUCION</t>
  </si>
  <si>
    <t>FECHA RESOLUCION</t>
  </si>
  <si>
    <t>Primidona 250 mg Tableta_caja X 30 unidades c/u</t>
  </si>
  <si>
    <t>ALEXANDER YEPEZ VELA</t>
  </si>
  <si>
    <t>Director Técnico Servicio Farmacéutico</t>
  </si>
  <si>
    <t xml:space="preserve">MEINTEGRAL S.A.S.  IBAGUE LA SAMARIA </t>
  </si>
  <si>
    <t>meintegral.ocobos@gmail.com</t>
  </si>
  <si>
    <t>Cra 12 Sur No. 93-211 Vía Aeropuerto Perales Piso 6</t>
  </si>
  <si>
    <t>NEGADO</t>
  </si>
  <si>
    <t>No se pudo autorizar por baja disponibilidad en el almacén.</t>
  </si>
  <si>
    <t>No.2842</t>
  </si>
  <si>
    <t>Autorización de Compra directa</t>
  </si>
  <si>
    <t>ZAMIRA COGOLLO CORDERO</t>
  </si>
  <si>
    <t>INSTITUTO MEDICO DE ALTA TECNOLOGIA S.A.S</t>
  </si>
  <si>
    <t>Calle 72 No. 6A-87</t>
  </si>
  <si>
    <t>suministros02@imatsas.com</t>
  </si>
  <si>
    <t>No. 0670</t>
  </si>
  <si>
    <t>AUTORIZADO</t>
  </si>
  <si>
    <t>SAHIDY OSPINO LEOTTAU</t>
  </si>
  <si>
    <t>MEDIHELP SERVICES COLOMBIA</t>
  </si>
  <si>
    <t>830066626-5</t>
  </si>
  <si>
    <t>compras@clinicamedihelp.com</t>
  </si>
  <si>
    <t>Carrera 6 No. 5-101</t>
  </si>
  <si>
    <t>No. 1677</t>
  </si>
  <si>
    <t>GERALDIN RAMIREZ MORENO</t>
  </si>
  <si>
    <t>Quimico Farmacéutico</t>
  </si>
  <si>
    <t>CLINICA EL BOSQUE DUCOT</t>
  </si>
  <si>
    <t>NO DISPONIBLE</t>
  </si>
  <si>
    <t>farmacia_general@clinicaelbosque.net</t>
  </si>
  <si>
    <t>Transv. 54 # 30-11</t>
  </si>
  <si>
    <t>El solicitante no presenta los documentos requeridos para la compra directa</t>
  </si>
  <si>
    <t>YOLIMAR AUDIVETH</t>
  </si>
  <si>
    <t>Regente</t>
  </si>
  <si>
    <t>PH MEDICAL S.A.S</t>
  </si>
  <si>
    <t>900135550-4</t>
  </si>
  <si>
    <t>phmedicalbarranquilla@gmail.com</t>
  </si>
  <si>
    <t>Calle 80 No 47 -43. Piso 3 Oficina 5B</t>
  </si>
  <si>
    <t>UBEIMAR RAMÍREZ</t>
  </si>
  <si>
    <t>Director Técnico</t>
  </si>
  <si>
    <t>COODESTOL</t>
  </si>
  <si>
    <t>800250023-3</t>
  </si>
  <si>
    <t>compras5@coodestol.com.co</t>
  </si>
  <si>
    <t>Calle 19 No. 7-109 Barrio Interlaken</t>
  </si>
  <si>
    <t>No. 1160</t>
  </si>
  <si>
    <t>EDNA PATRICIA BUITRAGO</t>
  </si>
  <si>
    <t>Regente de farmacia</t>
  </si>
  <si>
    <t>E.S.E HOSPITAL SANTA ANA FALAN</t>
  </si>
  <si>
    <t>800193490-5</t>
  </si>
  <si>
    <t>farmaciafalan@gmail.com</t>
  </si>
  <si>
    <t>Carrera 6 No. 2-20</t>
  </si>
  <si>
    <t>No. 4070</t>
  </si>
  <si>
    <t>YOMAIRA BERMEJO PADILLA</t>
  </si>
  <si>
    <t>805027743-1</t>
  </si>
  <si>
    <t xml:space="preserve">	farmacia_general@clinicaelbosque.net</t>
  </si>
  <si>
    <t>No. 1569</t>
  </si>
  <si>
    <t>901085352-0</t>
  </si>
  <si>
    <t>asuministros01@imatoncomedica.com</t>
  </si>
  <si>
    <t>ANDERSON FABIAN MORENO G</t>
  </si>
  <si>
    <t>Coordinador Médico</t>
  </si>
  <si>
    <t xml:space="preserve">MI IPS TOLIMA-UAPS </t>
  </si>
  <si>
    <t>afmorenogu@miips.com.co</t>
  </si>
  <si>
    <t>Calle 19 No. 7-65</t>
  </si>
  <si>
    <t>Calle 80 No 47 - 43. Piso 3 Oficina 5B</t>
  </si>
  <si>
    <t>El medicamento no se encuenta inscrito en la resolución No. 2813</t>
  </si>
  <si>
    <t>No. 2813</t>
  </si>
  <si>
    <t>YESICA MARISOL SUAREZ SOTELO</t>
  </si>
  <si>
    <t>Supervisor de Zona Tolima</t>
  </si>
  <si>
    <t>DISFARMA</t>
  </si>
  <si>
    <t>900580962-2</t>
  </si>
  <si>
    <t xml:space="preserve">	yesica.suarez@disfarma.com.co</t>
  </si>
  <si>
    <t>AV AMBALA N 33 - 36 SAN SIMON PARTE BAJA</t>
  </si>
  <si>
    <t>No. 1212</t>
  </si>
  <si>
    <t>El medicamento solicitado no presenta unidades disponibles para su disribucion</t>
  </si>
  <si>
    <t>NATALIA RIOS MONTOYA</t>
  </si>
  <si>
    <t>UNIDAD MATERNO INFANTIL DEL TOLIMA</t>
  </si>
  <si>
    <t>900138815-4</t>
  </si>
  <si>
    <t>gerencia@umit.com.co</t>
  </si>
  <si>
    <t>Calle 44 No.4-62</t>
  </si>
  <si>
    <t>Calle 44 No.4-63</t>
  </si>
  <si>
    <t>No. 2159</t>
  </si>
  <si>
    <t>LEET ANTONIO MARQUEZ ESCORCIA</t>
  </si>
  <si>
    <t>CLINICA GENERAL DE CIENEGA</t>
  </si>
  <si>
    <t>quimicocienaga@clinicageneraldelnorte.com</t>
  </si>
  <si>
    <t>Carrera 18B No. 18A-13</t>
  </si>
  <si>
    <t>Carrera 18B No. 18A-14</t>
  </si>
  <si>
    <t>Carrera 18B No. 18A-15</t>
  </si>
  <si>
    <t>DANIEL CUARAN</t>
  </si>
  <si>
    <t>CLINICA CREAR VISION S.A.S</t>
  </si>
  <si>
    <t>846003067-6</t>
  </si>
  <si>
    <t>coordinacionfarmacia@clinicacrearvision.co</t>
  </si>
  <si>
    <t>Carrera 8 No 17-56B</t>
  </si>
  <si>
    <t>No. 067</t>
  </si>
  <si>
    <t>LILIANA DEL PILAR SUAREZ</t>
  </si>
  <si>
    <t>EMPRESA SOCIAL DEL ESTADO SOLUCIÓN SALUD E.S.E-RESTREPO</t>
  </si>
  <si>
    <t>822006595-1</t>
  </si>
  <si>
    <t>farmacia@esemeta.gov.co</t>
  </si>
  <si>
    <t>Calle 37 No. 41-80</t>
  </si>
  <si>
    <t>No. 710</t>
  </si>
  <si>
    <t>ONCOMEDICA S.A</t>
  </si>
  <si>
    <t>812007194-8</t>
  </si>
  <si>
    <t>Calle 72,Carrera 6 Vía Careté</t>
  </si>
  <si>
    <t>No.0669</t>
  </si>
  <si>
    <t>Se dio respuesta con la Solicitud de Compra No 18</t>
  </si>
  <si>
    <t>Se dio respuesta con la Solicitud de Compra No 19</t>
  </si>
  <si>
    <t>GLORIA LEONOR USSA</t>
  </si>
  <si>
    <t>NUEVO HOSPITAL LA CANDELARIA</t>
  </si>
  <si>
    <t>890701353-2</t>
  </si>
  <si>
    <t>nhc.almacen@gmail.com</t>
  </si>
  <si>
    <t>Carrera 9 calle 7 esquina barrio Santa Barbara</t>
  </si>
  <si>
    <t>No. 03737</t>
  </si>
  <si>
    <t>809011703-1</t>
  </si>
  <si>
    <t>CORPORACION MI IPS TOLIMA</t>
  </si>
  <si>
    <t>No. 03466</t>
  </si>
  <si>
    <t>JEFFREY JOSUE MEDINA BARANDICA</t>
  </si>
  <si>
    <t>CLINICA LA MILAGROSA S.A</t>
  </si>
  <si>
    <t>800067515-1</t>
  </si>
  <si>
    <t>compras@clinicalamilagrosa.co</t>
  </si>
  <si>
    <t>Calle 22 No. 13A-09</t>
  </si>
  <si>
    <t>No.0888</t>
  </si>
  <si>
    <t>VILMA BERRIO</t>
  </si>
  <si>
    <t>COMPAÑÍA COLOMBIANA DE SALUD COLSALUD S.A</t>
  </si>
  <si>
    <t>819002176-8</t>
  </si>
  <si>
    <t>jefecompras@clinicamarcaribe.com</t>
  </si>
  <si>
    <t>Calle 21 No. 18A-103 piso 6</t>
  </si>
  <si>
    <t>Calle 21 No. 18A-103 piso 7</t>
  </si>
  <si>
    <t>Calle 21 No. 18A-103 piso 8</t>
  </si>
  <si>
    <t>Calle 21 No. 18A-103 piso 9</t>
  </si>
  <si>
    <t>Calle 21 No. 18A-103 piso 10</t>
  </si>
  <si>
    <t>No. 4145</t>
  </si>
  <si>
    <t>ARGENIS TOVAR TRUJULLO</t>
  </si>
  <si>
    <t>813012546-0</t>
  </si>
  <si>
    <t>CORPORACION MI IPS HUILA CAMPOALEGRE</t>
  </si>
  <si>
    <t>farmacorporacionipscampoalegre@gmail.com</t>
  </si>
  <si>
    <t xml:space="preserve">Carrera 8 con calle 19 esquina barrio Centro </t>
  </si>
  <si>
    <t>No. 2628</t>
  </si>
  <si>
    <t>CLINICA GENERAL DE CIENEGA S.A.S</t>
  </si>
  <si>
    <t>819000413-1</t>
  </si>
  <si>
    <t>No. 4005</t>
  </si>
  <si>
    <t>MILENA CARBONO HERNANDEZ</t>
  </si>
  <si>
    <t>Coordinadora Almacén</t>
  </si>
  <si>
    <t>E.S.E HOSPITAL SANTANDER HERRERA</t>
  </si>
  <si>
    <t>almacen@esehsh.gov.co</t>
  </si>
  <si>
    <t>MARIA CRISTINA HURTADO RIVERA</t>
  </si>
  <si>
    <t>HOSPITAL SAN JUAN DE DIOS DE HONDA E.S.E</t>
  </si>
  <si>
    <t>890.700.666-8</t>
  </si>
  <si>
    <t>mariahurtado@hsjd.gov.co</t>
  </si>
  <si>
    <t>Calle 9 Avenida Centenario del municipio de Honda-Tolima</t>
  </si>
  <si>
    <t>No. 02956</t>
  </si>
  <si>
    <t>ZAYRA PATRICIA RODRIGUEZ FERNANDEZ</t>
  </si>
  <si>
    <t>Técnico Farmacia</t>
  </si>
  <si>
    <t>E.S.E HOPSITAL MANUEL ELKIN PATARROYO DE SANTA ROSA DEL SUR-BOLIVAR</t>
  </si>
  <si>
    <t>829001256-0</t>
  </si>
  <si>
    <t>ALMACEN-MEP@hotmail.com</t>
  </si>
  <si>
    <t>Calle 13 No. 20A-30 P1 L1</t>
  </si>
  <si>
    <t>Calle 13 No. 20A-30 P1 L2</t>
  </si>
  <si>
    <t>No. 805</t>
  </si>
  <si>
    <t>PAOLA ANDREA ORTIZ GARCIA</t>
  </si>
  <si>
    <t>UNIDAD DE CIRUGÍA DEL TOLIMA S.A</t>
  </si>
  <si>
    <t>800024744-7</t>
  </si>
  <si>
    <t>farmaciaunicat@hotmail.com</t>
  </si>
  <si>
    <t>Calle 43 No. 4-26 piso 5</t>
  </si>
  <si>
    <t>No.2180</t>
  </si>
  <si>
    <t>DINA ESTHER PEÑALOZA DIAZ</t>
  </si>
  <si>
    <t>Coordinador Regional Servicios Farmacéuticos</t>
  </si>
  <si>
    <t>ASOCIACION DE PRESTADORES DE SERVICIOS Y SUMINISTROS DE SALUD-ASSALUD</t>
  </si>
  <si>
    <t>808411768-1</t>
  </si>
  <si>
    <t>dina.penaloza@assalud.com</t>
  </si>
  <si>
    <t>No. 4080</t>
  </si>
  <si>
    <t>No. 4088</t>
  </si>
  <si>
    <t>Calle 6No 7-17 Local 1</t>
  </si>
  <si>
    <t>Calle 18 No 11-50 Local 1</t>
  </si>
  <si>
    <t>Carrera 16 No. 14-44</t>
  </si>
  <si>
    <t>No. 4086</t>
  </si>
  <si>
    <t>Calle 9 No. 7-10</t>
  </si>
  <si>
    <t>No. 4087</t>
  </si>
  <si>
    <t>Representante Legal</t>
  </si>
  <si>
    <t>SERVICIOS INTEGRALES DE SALUD DEL MAGDALENA S.A.S</t>
  </si>
  <si>
    <t>900018045-5</t>
  </si>
  <si>
    <t>serviciosintegrales_saludmagdale@yahoo.com</t>
  </si>
  <si>
    <t>Calle 24 No. 18A-101</t>
  </si>
  <si>
    <t>No. 4125</t>
  </si>
  <si>
    <t>YAMITH PRECIADO BONILLA</t>
  </si>
  <si>
    <t>MESSER COLOMBIA S.A</t>
  </si>
  <si>
    <t>860005114-4</t>
  </si>
  <si>
    <t>yamith.preciado@messer-co.com</t>
  </si>
  <si>
    <t>Carrera 49C No. 80-148</t>
  </si>
  <si>
    <t>No. 4001</t>
  </si>
  <si>
    <t>Se anula la autorización toda vez que el usuario solicita una nueva cotización con nuevas cantidades radicado No. 202124100099472 del 21/01/2021</t>
  </si>
  <si>
    <t>Calle 19 No. 7-66</t>
  </si>
  <si>
    <t>Esta autorización reemplaza la solicitud con Radicado No. 202124100069372</t>
  </si>
  <si>
    <t>819002025-4</t>
  </si>
  <si>
    <t>Calle 14 No. 12-46</t>
  </si>
  <si>
    <t>Con esta autorizacion se autoriza tambien los radicados No. 202124100101622 y 202124100101082</t>
  </si>
  <si>
    <t>No. 1113</t>
  </si>
  <si>
    <t>900181419-2</t>
  </si>
  <si>
    <t>No. 2842</t>
  </si>
  <si>
    <t>VICTOR AVILA LAGARES</t>
  </si>
  <si>
    <t>MEDICINA INTEGRAL S.A</t>
  </si>
  <si>
    <t>800250634-3</t>
  </si>
  <si>
    <t>victor.avila@medicinaintegralsa.com</t>
  </si>
  <si>
    <t>Calle 44 No. 14-282 Barrio Portal de Almeria</t>
  </si>
  <si>
    <t>Venta directa Medicina Integral</t>
  </si>
  <si>
    <t>No. 0631</t>
  </si>
  <si>
    <t>ANGEL JOHAN OJITO CHAVERRA</t>
  </si>
  <si>
    <t>GRUPO DAO S.A.S</t>
  </si>
  <si>
    <t>817004260-0</t>
  </si>
  <si>
    <t>direcciontecnica@dao.com.co</t>
  </si>
  <si>
    <t>Carrera 4K No 31A-9 Barrio Cadiz</t>
  </si>
  <si>
    <t>Solicitud autorización compra directa medicamentos de control especial monopolio del estado</t>
  </si>
  <si>
    <t>No. 2030</t>
  </si>
  <si>
    <t>SIRCARLOS MOLINA RETAMOZO</t>
  </si>
  <si>
    <t>Director Servicion Farmacéutico</t>
  </si>
  <si>
    <t>CLINICA FUNDACION IPS S.A.S</t>
  </si>
  <si>
    <t>900517542-2</t>
  </si>
  <si>
    <t>sircarlosmolina@gmail.com</t>
  </si>
  <si>
    <t>Calle 8  No. 8-121</t>
  </si>
  <si>
    <t xml:space="preserve">	compra</t>
  </si>
  <si>
    <t>No. 4046</t>
  </si>
  <si>
    <t>ELVER RUIDIAZ TERRAZA</t>
  </si>
  <si>
    <t>SUPLYMEDICAL S.A.S</t>
  </si>
  <si>
    <t>900397985-8</t>
  </si>
  <si>
    <t>suplymedicalsas@gmail.com</t>
  </si>
  <si>
    <t>Carrera 21 No. 21-153 Local 101 CC Plaza Jardín</t>
  </si>
  <si>
    <t>cotización de medicamentos de monopolio</t>
  </si>
  <si>
    <t>No. 3259</t>
  </si>
  <si>
    <t>Hidromorfona HCl 5 mg Tableta_cajas X 30 unidades c/u</t>
  </si>
  <si>
    <t xml:space="preserve">5 mg </t>
  </si>
  <si>
    <t>ERICA JULIETH GOMEZ DIAZ</t>
  </si>
  <si>
    <t>Gerente E.S.E</t>
  </si>
  <si>
    <t>HOSPITAL RICARDO ACOSTA E.S.E</t>
  </si>
  <si>
    <t>809004280-9</t>
  </si>
  <si>
    <t>farmacia@hospitalpalocabildo.gov.co</t>
  </si>
  <si>
    <t>Calle 5 No. 9-50</t>
  </si>
  <si>
    <t>COTIZACIÓN PARA EL MEDICAMENTO FENOBARBITAL</t>
  </si>
  <si>
    <t>No. 3474</t>
  </si>
  <si>
    <t>JOHANNA ANDREA CHINCHILLA VARGAS</t>
  </si>
  <si>
    <t>EMCOSALUD</t>
  </si>
  <si>
    <t>800006150-6</t>
  </si>
  <si>
    <t>regente.emcosaludtolima@gmail.com</t>
  </si>
  <si>
    <t>Calle 25 No. 4C-52</t>
  </si>
  <si>
    <t>Calle 25 No. 4C-53</t>
  </si>
  <si>
    <t>Calle 25 No. 4C-54</t>
  </si>
  <si>
    <t>Calle 25 No. 4C-55</t>
  </si>
  <si>
    <t>Calle 25 No. 4C-56</t>
  </si>
  <si>
    <t>Calle 25 No. 4C-57</t>
  </si>
  <si>
    <t>Solicitud compra Directa Medicamento Monopolio del Estado</t>
  </si>
  <si>
    <t>No. 2618</t>
  </si>
  <si>
    <t>DARLYNTON MIRANDA</t>
  </si>
  <si>
    <t>ETICOS SERRANO GOMEZ LTDA</t>
  </si>
  <si>
    <t>892300678-2</t>
  </si>
  <si>
    <t>farmacia10510@eticos.com</t>
  </si>
  <si>
    <t>Calle 22 No. 2-07</t>
  </si>
  <si>
    <t>Calle 22 No. 2-08</t>
  </si>
  <si>
    <t>Calle 22 No. 2-09</t>
  </si>
  <si>
    <t>SOLICITUD COMPRA DIRECTA DE MEDICAMENTOS MONOPOLIO DEL ESTADO</t>
  </si>
  <si>
    <t>No. 0616</t>
  </si>
  <si>
    <t>SINDY OJEDA MUÑIZ</t>
  </si>
  <si>
    <t>CENTRO MÉDICO CRECER LTDA</t>
  </si>
  <si>
    <t>806004548-6</t>
  </si>
  <si>
    <t>sojeda@clinicacrecer.com</t>
  </si>
  <si>
    <t>Avenida Pedro de Heredia, sector el prado No. 34-22</t>
  </si>
  <si>
    <t>Autorizacion de venta MME</t>
  </si>
  <si>
    <t>No. 613</t>
  </si>
  <si>
    <t>JORGE LUIS DAZA</t>
  </si>
  <si>
    <t xml:space="preserve">E.S.E HOSPITAL DEPARTAMENTAL SAN ANTONIO </t>
  </si>
  <si>
    <t>891180134-2</t>
  </si>
  <si>
    <t>farmacia@hospitalpitalito.gov.co</t>
  </si>
  <si>
    <t>Calle 3A Sur No. 1B- 45</t>
  </si>
  <si>
    <t>Solicitud de compra directa</t>
  </si>
  <si>
    <t>HERMANA MABEL COVALEDA</t>
  </si>
  <si>
    <t>Coordinadora de Farmacia</t>
  </si>
  <si>
    <t>CLINICA MADRE BERNARDA COMUNIDAD DE LAS HERMANAS FRANCISCANAS MISIONERAS DE MARIA AUXILIADORA</t>
  </si>
  <si>
    <t>860028947-1</t>
  </si>
  <si>
    <t>compras@clinicamadrebernarda.com.co</t>
  </si>
  <si>
    <t>Carrera 71 No. 31-395</t>
  </si>
  <si>
    <t>Compra de Morfina</t>
  </si>
  <si>
    <t>No. 474</t>
  </si>
  <si>
    <t>No. 1320</t>
  </si>
  <si>
    <t>SARA MILENA RODIRGUEZ</t>
  </si>
  <si>
    <t>FUNDACIÓN CARDIOVASCULAR DE COLOMBIA</t>
  </si>
  <si>
    <t>890212568-0</t>
  </si>
  <si>
    <t>sararodriguez@fcv.org</t>
  </si>
  <si>
    <t>Calle 155A No. 23-58</t>
  </si>
  <si>
    <t>Cotizacion</t>
  </si>
  <si>
    <t>MARTHA LUCIA DELGADO</t>
  </si>
  <si>
    <t>CLINICA ASOTRAUMA S.A.S</t>
  </si>
  <si>
    <t>800209891-7</t>
  </si>
  <si>
    <t>farmacia@asotrauma.com.co</t>
  </si>
  <si>
    <t>Carrera 4D No. 32-34 B/Cádiz</t>
  </si>
  <si>
    <t>Solicitud de autorización compra de medicamentos de Control Especial</t>
  </si>
  <si>
    <t>No. 2255</t>
  </si>
  <si>
    <t>RAUL BELTRAN PORTELA</t>
  </si>
  <si>
    <t>CLINICA PIEDECUESTA S.A</t>
  </si>
  <si>
    <t>800090749-4</t>
  </si>
  <si>
    <t>qfclinipiedecuesta@gmail.com</t>
  </si>
  <si>
    <t>Carrea 11 No. 6-48</t>
  </si>
  <si>
    <t xml:space="preserve">	SOLICITUD COTIZACIÓN MORFINA.</t>
  </si>
  <si>
    <t>No. 8328</t>
  </si>
  <si>
    <t>No. 16233</t>
  </si>
  <si>
    <t>CINTHYA TATIANA SUAREZ SILVA</t>
  </si>
  <si>
    <t>Jefe Servicio Farmacéutico</t>
  </si>
  <si>
    <t>UNIDAD ONCOLOGICA SURCOLOMBIANA S.A.S</t>
  </si>
  <si>
    <t>900335780-1</t>
  </si>
  <si>
    <t>farmacia@unidadoncosurcolombiana.com</t>
  </si>
  <si>
    <t xml:space="preserve">Calle 9 No. 13-24 </t>
  </si>
  <si>
    <t>Solicitud de Cotización</t>
  </si>
  <si>
    <t>No. 715</t>
  </si>
  <si>
    <t>ELQUIN ALEXIS BEDOYA MONTES</t>
  </si>
  <si>
    <t>MEDLIFE S.A.S</t>
  </si>
  <si>
    <t>804010795-6</t>
  </si>
  <si>
    <t>dispensacionibaguemedlife@gmail.com</t>
  </si>
  <si>
    <t>Carrera 4D No. 36-46/Cádiz</t>
  </si>
  <si>
    <t>COTIZACIÓN</t>
  </si>
  <si>
    <t>No. 2641</t>
  </si>
  <si>
    <t>COORPORACION MI IPS LLANOS ORIENTALES</t>
  </si>
  <si>
    <t>822006818-7</t>
  </si>
  <si>
    <t>farmaciaipslospinos@miips.com.co</t>
  </si>
  <si>
    <t>Carrera 40 No. 32-06</t>
  </si>
  <si>
    <t>COTIZACIÓN MONOPOLIO DEL ESTADO IPS LOS PINOS</t>
  </si>
  <si>
    <t>No. 0130</t>
  </si>
  <si>
    <t>GLORIA AMPARO HENAO VALENCIA</t>
  </si>
  <si>
    <t>HOSPITAL SAN VICENTE DE PAUL E.S.E</t>
  </si>
  <si>
    <t>890700901-4</t>
  </si>
  <si>
    <t>hsvpfarmacia74@gmail.com</t>
  </si>
  <si>
    <t>Carrera 9 No. 2-42</t>
  </si>
  <si>
    <t>COTIZACION MEDICAMENTOS DE CONTROL ESPECIAL HOSPITAL SAN VICENTE DE PAUL FRESNO TOLIMA</t>
  </si>
  <si>
    <t>No. 22431</t>
  </si>
  <si>
    <t>Director</t>
  </si>
  <si>
    <t>FUNDACIÓN OFTALMOLOGICADE SANTANDER-CLINICA CARLOS ARDILA LULLE</t>
  </si>
  <si>
    <t>890205361-4</t>
  </si>
  <si>
    <t>COTIZACION FOSCAL</t>
  </si>
  <si>
    <t>No. 18094</t>
  </si>
  <si>
    <t>JUAN PABLO OSORIO NIÑO</t>
  </si>
  <si>
    <t>JORGE RICARDO LEON FRANCO</t>
  </si>
  <si>
    <t>CLINICA INTERNACIONAL DE ALTA TECNOLOGIA CLINALTEC S.A.S</t>
  </si>
  <si>
    <t>directorfarmaceuticoclinaltec@gmail.com</t>
  </si>
  <si>
    <t>Km 6 Picaleña vía Ibagué-Espinal</t>
  </si>
  <si>
    <t xml:space="preserve">
Asunto 	Tramite de Autorización compra MCE - Clinaltec SAS</t>
  </si>
  <si>
    <t>No. 2617</t>
  </si>
  <si>
    <t>EINAR ALBERTO CAICEDO</t>
  </si>
  <si>
    <t>CLINICA ZAYMA S.A.S</t>
  </si>
  <si>
    <t>800074112-6</t>
  </si>
  <si>
    <t>900718172-6</t>
  </si>
  <si>
    <t>quimico.sfi@clinicazayma.org</t>
  </si>
  <si>
    <t>Calle 28 No. 7 -11</t>
  </si>
  <si>
    <t>Solicitud y venta de MCE monopolio del estado</t>
  </si>
  <si>
    <t>No.071</t>
  </si>
  <si>
    <t>DUVAN ALEXANDER ESCARRAGA</t>
  </si>
  <si>
    <t>Depto de Compras</t>
  </si>
  <si>
    <t>DISTRIBUIDORA MEDICO QUIRURGICA DE COLOMBIA</t>
  </si>
  <si>
    <t>1.110.454.068</t>
  </si>
  <si>
    <t>compras@dmqcolombia.com</t>
  </si>
  <si>
    <t xml:space="preserve">Avenida Ferrocarril No. 32 - 56 </t>
  </si>
  <si>
    <t>SOLICITUD DE COMPRA DIRECTA</t>
  </si>
  <si>
    <t>No. 089</t>
  </si>
  <si>
    <t>INES BRITO SANCHEZ</t>
  </si>
  <si>
    <t>PERFECT BODY MEDICAL CENTER LTDA</t>
  </si>
  <si>
    <t>900223667-4</t>
  </si>
  <si>
    <t>farmacia@perfectbody.com.co</t>
  </si>
  <si>
    <t>Carrera 20 No. 15-110</t>
  </si>
  <si>
    <t>SOLICITUD COTIZACION DE MEDICAMENTOS DE CONTROL ESPECIAL PERFECT BODY MEDICAL CENTER LTDA</t>
  </si>
  <si>
    <t>No. 1620</t>
  </si>
  <si>
    <t>ZORAIDA CUBILLOS MORENO</t>
  </si>
  <si>
    <t>NUEVA CLINICA EL BARZAL S.A.S</t>
  </si>
  <si>
    <t>900470909-1</t>
  </si>
  <si>
    <t>farmacia@ncbsas.com</t>
  </si>
  <si>
    <t>Carrera 37 No. 35-17</t>
  </si>
  <si>
    <t>SOLICITUD DE COMPRA MEDICAMENTOS MONOPOLIO DEL ESTADO</t>
  </si>
  <si>
    <t>No. 277</t>
  </si>
  <si>
    <t>YESENIA PUELLO PACHECO</t>
  </si>
  <si>
    <t>Coordinadora de Compras</t>
  </si>
  <si>
    <t>Solicitud compra de medicamentos de control</t>
  </si>
  <si>
    <t>OMAR MOLINA MENDEZ</t>
  </si>
  <si>
    <t>CLINICA MATERNO INFANTIL CASA DEL NIÑO S.A.S</t>
  </si>
  <si>
    <t>812004935-5</t>
  </si>
  <si>
    <t>coordinadordefarmacia@clinicacasadelnino.com</t>
  </si>
  <si>
    <t>Calle 39 No. 06-15</t>
  </si>
  <si>
    <t>SOLICITUD DE COTIZACIÓN PARA COMPRA DE MEDICAMENTOS MONOPOLIO DEL ESTADO</t>
  </si>
  <si>
    <t>No. 082</t>
  </si>
  <si>
    <t>LIRA MARGARITA TATIS CARABALLO</t>
  </si>
  <si>
    <t>FUNDACION CENTRO COLOMBIANO DE EPILEPSIA Y ENFERMEDADES NEUROLOGICAS-JAIMA FANDILO FRANKY (FIRE)</t>
  </si>
  <si>
    <t>900269029-3</t>
  </si>
  <si>
    <t>SOLICITUD AUTORIZACIÓN COMPRA DIRECTA FEBRERO 4 DEL 2021</t>
  </si>
  <si>
    <t>Calle 1 El Eden Barrio Ternera</t>
  </si>
  <si>
    <t xml:space="preserve">	JEFEMOF@firecolombia.co</t>
  </si>
  <si>
    <t>No. 962</t>
  </si>
  <si>
    <t>SANTIAGO ZULUAGA CASTAÑO</t>
  </si>
  <si>
    <t>CLINICA TOLIMA S.A.</t>
  </si>
  <si>
    <t>890703630-7</t>
  </si>
  <si>
    <t>quimicofarmaceutico@clinicatolima.com</t>
  </si>
  <si>
    <t>Carrera 1 No. 12-22</t>
  </si>
  <si>
    <t>AUTORIZACIÓN COMPRA MEDICAMENTOS MONOPOLIO DE ESTADO</t>
  </si>
  <si>
    <t>No. 1992</t>
  </si>
  <si>
    <t>JOSÉ LUCAS RODRIGUEZ MORA</t>
  </si>
  <si>
    <t>Director técnico</t>
  </si>
  <si>
    <t>SUMINISTROS Y DOTACIONES COLOMBIA S.A - S Y D COLOMBIA S.A</t>
  </si>
  <si>
    <t>802000608-7</t>
  </si>
  <si>
    <t>quimicobta@syd.com.co</t>
  </si>
  <si>
    <t>Av. Calle 24 No. 95-12 Bodega 26 Parque Ind. Portos</t>
  </si>
  <si>
    <t>COMPRA MEDICAMENTOS MONOPOLIO DEL ESTADO</t>
  </si>
  <si>
    <t>EL FNE CUENTA CON BAJA DISPONIBILIDAD EN SU INVENTARIO</t>
  </si>
  <si>
    <t>JOSÉ FERNANDO CAÑIZALES RUBIO</t>
  </si>
  <si>
    <t>E.S.E HOSPITAL UNIVERSITARIO HERNANDO MONCALEANO PERDOMO</t>
  </si>
  <si>
    <t>891180268-0</t>
  </si>
  <si>
    <t>alexandra.mosquera@huhmp.gov.co</t>
  </si>
  <si>
    <t>Calle 9 No. 15-25</t>
  </si>
  <si>
    <t>SOLICITUD DE COTIZACIÒN DE MEDICAMENTOS MONOPOLIO DEL ESTADO</t>
  </si>
  <si>
    <t>No. 483</t>
  </si>
  <si>
    <t>LEIDY JOHANNNA COLORADO</t>
  </si>
  <si>
    <t>Jefe compras</t>
  </si>
  <si>
    <t>MEDICADIZ</t>
  </si>
  <si>
    <t>compras@medicadiz.com.co</t>
  </si>
  <si>
    <t>Carrera 12 sur No. 93-21</t>
  </si>
  <si>
    <t>Carrera 12 sur No. 93-22</t>
  </si>
  <si>
    <t>COTIZACION CLINICA MEDICADIZ</t>
  </si>
  <si>
    <t>SOLICITUD DE COMPRA DE MEDICAMENTOS ZONA FRANCA IMAT SAS 08-02-2021</t>
  </si>
  <si>
    <t>SOLICITUD DE COMPRA DE MEDICAMENTOS ZONA FRANCA IMAT SAS 08-02-2022</t>
  </si>
  <si>
    <t>SOLICITUD DE COMPRA DE MEDICAMENTOS ZONA FRANCA IMAT SAS 08-02-2023</t>
  </si>
  <si>
    <t>SOLICITUD DE COMPRA DE MEDICAMENTOS ZONA FRANCA IMAT SAS 08-02-2024</t>
  </si>
  <si>
    <t>SOLICITUD DE COMPRA DE MEDICAMENTOS ZONA FRANCA IMAT SAS 08-02-2025</t>
  </si>
  <si>
    <t>No. 670</t>
  </si>
  <si>
    <t>OVEIDA PARRA NOVOA</t>
  </si>
  <si>
    <t>E.S.E HOSPITAL SAN JOSE DEL GUAVIARE</t>
  </si>
  <si>
    <t>832001966-2</t>
  </si>
  <si>
    <t>almacensuministros@esehospitalguaviare.gov.co</t>
  </si>
  <si>
    <t xml:space="preserve">Calle 12 Carrera 20 esquina Barrio La Esperanza </t>
  </si>
  <si>
    <t>AUTORIZACION COMPRA DIRECTA</t>
  </si>
  <si>
    <t>No. 234</t>
  </si>
  <si>
    <t>MELISSA GUZMÁN CARABALLO</t>
  </si>
  <si>
    <t>HOSPITAL NAVAL DE CARTAGENA - ETICOS UT 2020</t>
  </si>
  <si>
    <t>901381381-3</t>
  </si>
  <si>
    <t xml:space="preserve">qffarmacia10505@eticos.com </t>
  </si>
  <si>
    <t>Vía 40 No 71-124</t>
  </si>
  <si>
    <t>No. 611</t>
  </si>
  <si>
    <t>MICHAEL GARCIA</t>
  </si>
  <si>
    <t>Carrera 12 Calle 11A-53</t>
  </si>
  <si>
    <t>No. 250</t>
  </si>
  <si>
    <t>THAYRON GONZALES OROZCO</t>
  </si>
  <si>
    <t>Director Tècnico</t>
  </si>
  <si>
    <t>HOSPITAL UNIVERSITARIO SAN JOSE DE POPAYAN E.S.E</t>
  </si>
  <si>
    <t>891580002-5</t>
  </si>
  <si>
    <t>farmacia@hospitalsanjose.gov.co</t>
  </si>
  <si>
    <t>Carrera 6 No. 10N-142</t>
  </si>
  <si>
    <t>No. 05733-05-2018</t>
  </si>
  <si>
    <t>SERVICIOS MEDICOS INTEGRALES DEL CARIBE SAS</t>
  </si>
  <si>
    <t>802018677-4</t>
  </si>
  <si>
    <t>semedical.quimico@gmail.com</t>
  </si>
  <si>
    <t>Calle 19 No. 17-46</t>
  </si>
  <si>
    <t>No. 7129</t>
  </si>
  <si>
    <t>JACKELINE PARRADO MURCIA</t>
  </si>
  <si>
    <t>Calle 33b # 37-45 Barzal</t>
  </si>
  <si>
    <t>ADRIANA CHAVES GONZALEZ</t>
  </si>
  <si>
    <t>HOSPITAL LOS COMUNEROS</t>
  </si>
  <si>
    <t>asistentelogisticacomuneros@gmail.com</t>
  </si>
  <si>
    <t xml:space="preserve"> 	COTIZACION HOSPITAL LOS COMUNEROS DE BUCARAMANGA</t>
  </si>
  <si>
    <t xml:space="preserve"> COTIZACION HOSPITAL LOS COMUNEROS DE BUCARAMANGA</t>
  </si>
  <si>
    <t>NEFER ROMERO MARTINEZ</t>
  </si>
  <si>
    <t xml:space="preserve">IPS MEDICAMENTOS &amp; EQUIPOS COLOMBIA SAS </t>
  </si>
  <si>
    <t>farmaceutico.dt@myecolombia.com.co</t>
  </si>
  <si>
    <t>CALLE 22 Nº 8 - 68 SANTA MARTA</t>
  </si>
  <si>
    <t>Solicitud de cotización para Compra Directa de Medicamentos Monopolio del Estado para IPS MEDICAMENTOS &amp; EQUIPOSCOLOMBIA SAS: CALLE 22 Nº 8 - 68 SANTA MARTA</t>
  </si>
  <si>
    <t xml:space="preserve">202124100230922 	</t>
  </si>
  <si>
    <t>VICTOR TEHERAN VERGARA</t>
  </si>
  <si>
    <t>Coordinador Servicio Farmacèutico</t>
  </si>
  <si>
    <t>CLINICA MONTERIA S.A</t>
  </si>
  <si>
    <t>891001188-8</t>
  </si>
  <si>
    <t>802024817-3</t>
  </si>
  <si>
    <t>compras@clinicamonteria.com.co</t>
  </si>
  <si>
    <t>Carrera 4 No 60-35</t>
  </si>
  <si>
    <t>SOLICITUD DE COTIZACION DE MEDICAMENTOS DE CONTROL</t>
  </si>
  <si>
    <t>No. 20170046</t>
  </si>
  <si>
    <t>MONICA GUERRERO RENDON</t>
  </si>
  <si>
    <t>Coordinadora U.F.A.T</t>
  </si>
  <si>
    <t>E.S.E HOSPITAL JOSE MARIA HERNANDEZ</t>
  </si>
  <si>
    <t>891200679-1</t>
  </si>
  <si>
    <t>bnrojas1315@gmail.com</t>
  </si>
  <si>
    <t>Calle 17 No 7-26</t>
  </si>
  <si>
    <t xml:space="preserve"> 	autorización para la compra de medicamento de control especial</t>
  </si>
  <si>
    <t>No. 357</t>
  </si>
  <si>
    <t>MANUEL ALFONSO GONZALEZ CANTOR</t>
  </si>
  <si>
    <t>Gerente</t>
  </si>
  <si>
    <t>HOSPITAL SANJUAN DE DIOS E.S.E</t>
  </si>
  <si>
    <t>890700666-8</t>
  </si>
  <si>
    <t>farmacia@hsjd.gov.co</t>
  </si>
  <si>
    <t xml:space="preserve">Solicitud de venta de medicamentos Monopolio del Estado </t>
  </si>
  <si>
    <t>No. 2956</t>
  </si>
  <si>
    <t>No. 1149</t>
  </si>
  <si>
    <t>FRANCISCO JAVIER GUERRERO MOLINA</t>
  </si>
  <si>
    <t xml:space="preserve"> 	gerencia@umit.com.co</t>
  </si>
  <si>
    <t>SOLICITUD DE AUTORIZACIÓN COMPRA DIRECTA UNIDAD MATERNO INFANTIL DEL TOLIMA</t>
  </si>
  <si>
    <t>CRISTINA ISABEL ROMERO SALINAS</t>
  </si>
  <si>
    <t>CLINICA CARDIOVASCULAR DEL CARIBE S.A.S</t>
  </si>
  <si>
    <t>800215019-5</t>
  </si>
  <si>
    <t>compras@clinicacardiovasculardelcaribe.com</t>
  </si>
  <si>
    <t>Carrera 9 No. 25-27</t>
  </si>
  <si>
    <t>solicitud para cotización y venta de medicamentos de control especial Clínica cardiovascular Montería</t>
  </si>
  <si>
    <t>No. 20161036</t>
  </si>
  <si>
    <t>JORGE ALBERTO MARRUGO</t>
  </si>
  <si>
    <t>PROFHARMA SALUD IPS S.A.S</t>
  </si>
  <si>
    <t>900839714-7</t>
  </si>
  <si>
    <t>farmacia@profharmasaludips.com</t>
  </si>
  <si>
    <t>Carrera 6 # 22-13 centro</t>
  </si>
  <si>
    <t>solicitud de cotizacion profharmasalud ips</t>
  </si>
  <si>
    <t>No. 039</t>
  </si>
  <si>
    <t>MARICELA TORRENEGRA B</t>
  </si>
  <si>
    <t>MEDICADIZ S.A.S</t>
  </si>
  <si>
    <t>800254132-6</t>
  </si>
  <si>
    <t>Carrera 12 Sur No 93-21 Via Aeropuerto Perales</t>
  </si>
  <si>
    <t>No. 3238</t>
  </si>
  <si>
    <t>DIANA FIERRO</t>
  </si>
  <si>
    <t>CLINICA SANAR S.A.S</t>
  </si>
  <si>
    <t>900273700-3</t>
  </si>
  <si>
    <t>farmaceutico@clinicasanarsas.com</t>
  </si>
  <si>
    <t>Calle33A No. 38-56</t>
  </si>
  <si>
    <t>SOLICITUD DE COMPRA MEDICAMENTOS DE CONTROL</t>
  </si>
  <si>
    <t>No. 605</t>
  </si>
  <si>
    <t>El solicitante no presenta Resolución de inscripcion en el Departamento</t>
  </si>
  <si>
    <t>FRANCISCO MORAN ALVAREZ</t>
  </si>
  <si>
    <t>FUNDACION POLICLINICA DE CIENAGA</t>
  </si>
  <si>
    <t>800201726-3</t>
  </si>
  <si>
    <t>compras.policlinica@hotmail.com</t>
  </si>
  <si>
    <t>CALLE 8 # 11-39</t>
  </si>
  <si>
    <t>DOCUMENTACION FUNDACION POLICLINICA CIENAGA</t>
  </si>
  <si>
    <t>No. 1396</t>
  </si>
  <si>
    <t>JORGE ENRIQUE BOTERO URIBE</t>
  </si>
  <si>
    <t>E.S.E HOSPITAL RAMON MARIA ARANA</t>
  </si>
  <si>
    <t>809001159-1</t>
  </si>
  <si>
    <t xml:space="preserve"> 	hosmurillofarmacia@gmail.com</t>
  </si>
  <si>
    <t>Calle 5 No 7-29</t>
  </si>
  <si>
    <t xml:space="preserve"> solicitud medicamentos d control especial-</t>
  </si>
  <si>
    <t>No. 380</t>
  </si>
  <si>
    <t>CLINICA BLAS DE LEZO S.A</t>
  </si>
  <si>
    <t>890400693-1</t>
  </si>
  <si>
    <t>coordfarmaciadt@clinicablasdelezo.com.co</t>
  </si>
  <si>
    <t>TRANSVERSAL 54 N°47-57</t>
  </si>
  <si>
    <t>Solicitud de Medicamentos</t>
  </si>
  <si>
    <t>No. 545</t>
  </si>
  <si>
    <t>CLINICA GENERAL DEL NORTE S.A.</t>
  </si>
  <si>
    <t>800102768-5</t>
  </si>
  <si>
    <t>quimicopesmag@clinicageneraldelnorte.com</t>
  </si>
  <si>
    <t>Avenida Libertador No. 13-12</t>
  </si>
  <si>
    <t>COMPRA DIRECTA CLINICA GENERAL DEL NORTE SANTA MARTA</t>
  </si>
  <si>
    <t>No. 3792</t>
  </si>
  <si>
    <t>IVAN GUILLERMO GIRALDO</t>
  </si>
  <si>
    <t>IPS MEDICINA INTENSIVA DEL TOLIMA S.A</t>
  </si>
  <si>
    <t>809011517-8</t>
  </si>
  <si>
    <t>farmacia@ucihonda.com.co</t>
  </si>
  <si>
    <t>Calle 9 No 22A-193</t>
  </si>
  <si>
    <t>Solicitud de compra de medicamentos Monopolio del Estado</t>
  </si>
  <si>
    <t>No. 052</t>
  </si>
  <si>
    <t>SURLAY DEL CARMEN REYES CACERES</t>
  </si>
  <si>
    <t>HOSPITAL MILITAR REGIONAL DE BARRANQUILLA PDF BARRANQUILLA BATALLON ASPC No. 2 CACIQUE ALONSO XEQUE.ÉTICOS U.T2020</t>
  </si>
  <si>
    <t>830039670-5</t>
  </si>
  <si>
    <t>qffarmacia10501@eticos.com</t>
  </si>
  <si>
    <t>Calle 30 Km 3 Base Aérea</t>
  </si>
  <si>
    <t>Solicitud Autorización compra medicamentos de control especial</t>
  </si>
  <si>
    <t>No. 1943</t>
  </si>
  <si>
    <t>ALEXANDER RAMOS</t>
  </si>
  <si>
    <t>TRF COORDINADOR</t>
  </si>
  <si>
    <t>LOGIFARMA</t>
  </si>
  <si>
    <t>900073223-3</t>
  </si>
  <si>
    <t>coordinadormagdalena@logifarma.co</t>
  </si>
  <si>
    <t>Carrera 5 No. 26-35 local 107</t>
  </si>
  <si>
    <t>COTIZACION PARA LOGIFARMA MAGDALENA</t>
  </si>
  <si>
    <t>El solicitante no presentó los documentos necesarios para la autorizacion</t>
  </si>
  <si>
    <t>JOCIMAR DAVID POLO ESCORCIA</t>
  </si>
  <si>
    <t>CLINICA DE LA MUJER S.A</t>
  </si>
  <si>
    <t>819.000.364-7</t>
  </si>
  <si>
    <t>quimicofarmaceutico@clinicadelamujersa.com.co</t>
  </si>
  <si>
    <t xml:space="preserve">calle 22 No. 21-16 </t>
  </si>
  <si>
    <t>calle 22 No. 21-17</t>
  </si>
  <si>
    <t>calle 22 No. 21-18</t>
  </si>
  <si>
    <t xml:space="preserve">Cotización de Medicamentos Control Especial -Monopolio del Estado. 
</t>
  </si>
  <si>
    <t>SILVIA ANDREA TRISTANCHO VILLAMIZAR</t>
  </si>
  <si>
    <t>FUNDACION CARDIOVASCULAR DE COLOMBIA</t>
  </si>
  <si>
    <t>silviatristancho@fcv.org</t>
  </si>
  <si>
    <t>solicitud de autorización de compra directa</t>
  </si>
  <si>
    <t>ERIKA JANNET LONDOÑO URIBE</t>
  </si>
  <si>
    <t>LOS COMUNEROS HOSPITAL UNIVERSITARIO DE BUCARAMANGA S.A.</t>
  </si>
  <si>
    <t>900240018-6</t>
  </si>
  <si>
    <t>adriana.chaves@loscomuneroshub.com</t>
  </si>
  <si>
    <t>Carrera 27 No. 30-15</t>
  </si>
  <si>
    <t>solicitar cotización de controlados</t>
  </si>
  <si>
    <t>No. 5531</t>
  </si>
  <si>
    <t>SOLICITUD AUTORIZACION COMPRA DE FENOBARBITAL SOLUCION ORAL 120 ML</t>
  </si>
  <si>
    <t>LILIANA MARIA ARBOLEDA ARANGO</t>
  </si>
  <si>
    <t>Gerente General</t>
  </si>
  <si>
    <t>SERVICIOS DE SALUD IPS SURAMERICANA S.A.</t>
  </si>
  <si>
    <t>811007832-5</t>
  </si>
  <si>
    <t>jquintana@sura.com.co</t>
  </si>
  <si>
    <t>Calle 25 No 45-106</t>
  </si>
  <si>
    <t>Autorización compra directa Fondo Nacional de Estupefacientes</t>
  </si>
  <si>
    <t>No. 2018060232778</t>
  </si>
  <si>
    <t>VICTOR ADRIAN RAMIREZ BERRIO</t>
  </si>
  <si>
    <t>8922300678-7</t>
  </si>
  <si>
    <t>v.adrian.ramirez@gmail.com</t>
  </si>
  <si>
    <t>Km7 Via puerto lopez, vereda Apiay</t>
  </si>
  <si>
    <t>Cotización Medicamento Monopolio - Traslado</t>
  </si>
  <si>
    <t>No. 278</t>
  </si>
  <si>
    <t>JOHN  JAIMA ZAPATA FERIA</t>
  </si>
  <si>
    <t>johnjaimezapata01@gmail.com</t>
  </si>
  <si>
    <t>Calle 15 No 7-95</t>
  </si>
  <si>
    <t>Cotización de MCE Monopolio</t>
  </si>
  <si>
    <t>No. 028</t>
  </si>
  <si>
    <t xml:space="preserve">Se dio respuesta en el radicado  202142300277372 </t>
  </si>
  <si>
    <t>RONALD FUENTES JIMENEZ</t>
  </si>
  <si>
    <t>ESTABLECIMIENTO DE SANIDAD MILITAR 1034 ESCUELA NAVAL DE SUBOFICIALES ARC BARRANQUILLA -ÉTICOS U.T. 2020 -ÉTICOS U.T. 2020</t>
  </si>
  <si>
    <t>830.039.670-5</t>
  </si>
  <si>
    <t>qffarmacia10502@eticos.com</t>
  </si>
  <si>
    <t>Solicitud compra medicamento METILFENIDATO 10 mg TABLETA</t>
  </si>
  <si>
    <t>No. 1944</t>
  </si>
  <si>
    <t>CELMIRA HERRERA MONTEJO</t>
  </si>
  <si>
    <t>DROGERÍA MARCAZSALUD RC SAS</t>
  </si>
  <si>
    <t>Calle 19 No 23 - 14</t>
  </si>
  <si>
    <t>900.928.565-8</t>
  </si>
  <si>
    <t>luis.ratia@marcazsalud.com.co</t>
  </si>
  <si>
    <t>No. 026</t>
  </si>
  <si>
    <t>SHIRLEY PAOLA JIMENEZ SARMIENTO</t>
  </si>
  <si>
    <t>Coordinador del Servicio Farmacéutico</t>
  </si>
  <si>
    <t xml:space="preserve">E.S.E HOSPITAL UNIVERSITARIO JULIO MÉNDEZ BARRENECHE </t>
  </si>
  <si>
    <t>891.780.185-2</t>
  </si>
  <si>
    <t>quimicotroconis@syd.com.co</t>
  </si>
  <si>
    <t> Carrera 14 # 23-42 </t>
  </si>
  <si>
    <t>No. 1609</t>
  </si>
  <si>
    <t>900.240.018-6</t>
  </si>
  <si>
    <t>EL FRE CUENTA CON EL MEDICAMENTO EN PRESENTACIÓN DE 5 ML</t>
  </si>
  <si>
    <t>EL FRE CUENTA CON EL MEDICAMENTO</t>
  </si>
  <si>
    <t>JOHN JAIME ZAPATA FERIA</t>
  </si>
  <si>
    <t>SUMINISTROS Y DOTACIONES DE COLOMBIA S.A</t>
  </si>
  <si>
    <t>802.000.608-7</t>
  </si>
  <si>
    <t>No. 28</t>
  </si>
  <si>
    <t>RENE VANEGAS POLO</t>
  </si>
  <si>
    <t>PREVENCION Y SALUD INTEGRAL PARA LA FAMILIA S.A.S</t>
  </si>
  <si>
    <t>819.003.863-4</t>
  </si>
  <si>
    <t>quimico@previsalud.co</t>
  </si>
  <si>
    <t>Calle 7 No 17-05</t>
  </si>
  <si>
    <t>No. 818</t>
  </si>
  <si>
    <t>ASTRID DIAZ VERGARA</t>
  </si>
  <si>
    <t>NUEVAEPS S.A - ETICOS SERRANO GOMEZ LTDA LA ECONOMIA DROGUERIA DISPENSARIO No. 676</t>
  </si>
  <si>
    <t>900156264-2</t>
  </si>
  <si>
    <t>dispensario676@drogaslaeconomia.com</t>
  </si>
  <si>
    <t>Calle 45 No. 18-111</t>
  </si>
  <si>
    <t xml:space="preserve"> AUTORIZACION COMPRA DE MEDICAMENTOS DISP.676 ETICOS</t>
  </si>
  <si>
    <t>No. 2999</t>
  </si>
  <si>
    <t>MELBA CONSTANZA NIVIA RUIZ</t>
  </si>
  <si>
    <t>Area de Compras</t>
  </si>
  <si>
    <t>HOSPITAL FEDERICO LLERAS ACOSTA DE IBAGUE TOLIMA ESE</t>
  </si>
  <si>
    <t>pe.compras@hflleras.gov.co</t>
  </si>
  <si>
    <t>Calle 33 N°4 A-50 B/La Francia</t>
  </si>
  <si>
    <t>Solicitud cotización Medicamentos Monopolio del Estado</t>
  </si>
  <si>
    <t>JOSE LUCAS RODRIGUEZ MORA</t>
  </si>
  <si>
    <t>HOSPITAL DEPARTAMENTAL DE VILLAVICENCIO</t>
  </si>
  <si>
    <t>892000501-5</t>
  </si>
  <si>
    <t>andrelu93@hotmail.com</t>
  </si>
  <si>
    <t>Calle 37A No 28-53 Barrio Barzal</t>
  </si>
  <si>
    <t>COMPRA MEDICAMENTOS MONOPOLIO DEL ESTADO HDV</t>
  </si>
  <si>
    <t>No. 1896</t>
  </si>
  <si>
    <t xml:space="preserve">COMANDO GENERAL DE LAS FUERZAS MILITARES "DIREQCIQN GENERAL DE SANIDAD MILITAR". </t>
  </si>
  <si>
    <t>Kilometro 7 via Puerto Lopez/Meta, Vereda Apiay</t>
  </si>
  <si>
    <t>El FNE NO CUENTA CON ESTE MEDICAMENTO EN SU PORTAFOLIO</t>
  </si>
  <si>
    <t>JULIA KATRIN RHENALS BERROCAL</t>
  </si>
  <si>
    <t>Coordinadora Zonal</t>
  </si>
  <si>
    <t>LOGIFARMA S.A.S</t>
  </si>
  <si>
    <t>coordinadorcordoba@logifarma.co</t>
  </si>
  <si>
    <t>Carrera 7 No. 25-27</t>
  </si>
  <si>
    <t>Solicitud autorización de compra medicamentos Monopolio del Estado Logifarma Montería.pdf Al Fondo Nacional De Estupefacientes</t>
  </si>
  <si>
    <t>No. 142</t>
  </si>
  <si>
    <t>No. 143</t>
  </si>
  <si>
    <t>No. 144</t>
  </si>
  <si>
    <t>SEMEDICAL</t>
  </si>
  <si>
    <t xml:space="preserve">CERTIFICADO PORA LA COMPRA M.C.E ANTE FNE </t>
  </si>
  <si>
    <t>El solicitante no allego los documentos necesarios para la autorizacion de compra directa</t>
  </si>
  <si>
    <t>SOLICITUD AUTORIZACIÓN COMPRA DIRECTA DE MEDICAMENTOS MONOPOLIO DE ESTADO</t>
  </si>
  <si>
    <t>dispensario686@drogaslaeconomia.com</t>
  </si>
  <si>
    <t>Carrera 32 No 16-13 local 6</t>
  </si>
  <si>
    <t>COMPRA DE MEDICAMENTOS PARA EL FONDO NACIONAL DE ESTUPEFACIENTES</t>
  </si>
  <si>
    <t>No. 616</t>
  </si>
  <si>
    <t>ORLANDO RAFAEL HURTADO PATERNINA</t>
  </si>
  <si>
    <t>892300678-7</t>
  </si>
  <si>
    <t>dispensario684@drogaslaeconomia.com</t>
  </si>
  <si>
    <t>Carrera 33 No. 29-106</t>
  </si>
  <si>
    <t>COMPRA DE MEDICAMENTO</t>
  </si>
  <si>
    <t>No. 363</t>
  </si>
  <si>
    <t>CARMEN CLARO</t>
  </si>
  <si>
    <t>CLINICA SANTA GRACIA DUMIAN MEDICAL S.A.S</t>
  </si>
  <si>
    <t>direcciontecfarmacia.santagracia@dumianmedical.net</t>
  </si>
  <si>
    <t>Calle 14 No 15N-46</t>
  </si>
  <si>
    <t>Solicitud de Cotización de medicamento de control de especial</t>
  </si>
  <si>
    <t>No. 08888-08-2019</t>
  </si>
  <si>
    <t>Calle 72 número 6A - 87</t>
  </si>
  <si>
    <t>SOLICITUD COMPRA DE MEDICAMENTOS 01-03-2021 ZONA FRANCA IMAT SAS</t>
  </si>
  <si>
    <t>MEDICAMENTO EN CUARENTENA POR HALLAZGO DE CALIDAD</t>
  </si>
  <si>
    <t>Se asocia al Radicado No. 202124100306762 del 22/02/2021</t>
  </si>
  <si>
    <t>La razón social de la resolución no coincide con la del RUT allegado</t>
  </si>
  <si>
    <t>EVEDISA</t>
  </si>
  <si>
    <t xml:space="preserve"> dtl1@evedisa.com.co</t>
  </si>
  <si>
    <t>cotización medicamentos controlados</t>
  </si>
  <si>
    <t>NO ALLEGARON DOCUMENTOS (RUT)</t>
  </si>
  <si>
    <t>No.912</t>
  </si>
  <si>
    <t>MARIA CAROLINA SUAREZ ANDRADE</t>
  </si>
  <si>
    <t>CLINICA MEDILASER S.A.</t>
  </si>
  <si>
    <t>813001952-0</t>
  </si>
  <si>
    <t>CYULISAH@medilaser.com.co</t>
  </si>
  <si>
    <t>Carrera 7 No. 11-65</t>
  </si>
  <si>
    <t>Solicitud de cotización para compra de medicamentos de control especial monopolio del estado</t>
  </si>
  <si>
    <t>No. 1429</t>
  </si>
  <si>
    <t>EL USUARIO NO ALLEGO LOS DOCUMENTOS NECESARIOS PARA LA AUTORIZACICON</t>
  </si>
  <si>
    <t>ERNESTO ESTRADA DEAVILA</t>
  </si>
  <si>
    <t>IPS CUIDADO SEGURO EN CASA S.A.</t>
  </si>
  <si>
    <t>900980728-1</t>
  </si>
  <si>
    <t>vgarcia@cuidadoseguro.com.co</t>
  </si>
  <si>
    <t>Carrera 63 a No. 30-19</t>
  </si>
  <si>
    <t>AUTORIZACIÓN COMPRA DIRECTA DE MEDICAMENTOS</t>
  </si>
  <si>
    <t>GUSTAVO ADOLFO VILLA TARRIBA</t>
  </si>
  <si>
    <t>CENTRO HOSPITALARIO SERENA DEL MAR S.A.</t>
  </si>
  <si>
    <t>mariaeu_6@yahoo.com</t>
  </si>
  <si>
    <t>Km 8 Viaal Mar</t>
  </si>
  <si>
    <t>Autorizacion venta Medicamentos monopolio del estado</t>
  </si>
  <si>
    <t>Se anula la autorización toda vez que el usuario solicita una nueva cotizacion ya que el NIT no es el correcto</t>
  </si>
  <si>
    <t>ETICOS UT 2020</t>
  </si>
  <si>
    <t>Via 40 No 71-124</t>
  </si>
  <si>
    <t>COTIZACION MEDICAMENTOS MONOPOLIOS DEL ESTADO</t>
  </si>
  <si>
    <t>Esta autorizacion reemplaza la solicitud 89 autorizacion con radicado No 202124110302651</t>
  </si>
  <si>
    <t>MARIA TERESA FLECHAS ANTOLINEZ</t>
  </si>
  <si>
    <t>CLINICA UROS S.A.S</t>
  </si>
  <si>
    <t>813011577-4</t>
  </si>
  <si>
    <t>Quimicofarmaceutico@clinicauros.com</t>
  </si>
  <si>
    <t>Carrera 6 No 16-35</t>
  </si>
  <si>
    <t>Solicitud cotizacion</t>
  </si>
  <si>
    <t>No. 2985</t>
  </si>
  <si>
    <t>804011768-1</t>
  </si>
  <si>
    <t>Calle 70 No. 41-63 Piso 2B</t>
  </si>
  <si>
    <t>SOLICITUD COMPRA FENOBARBITAL ASSALUD MAGDALENA_1</t>
  </si>
  <si>
    <t>SOLICITUD COMPRA FENOBARBITAL ASSALUD MAGDALENA_2</t>
  </si>
  <si>
    <t>SOLICITUD COMPRA FENOBARBITAL ASSALUD MAGDALENA_3</t>
  </si>
  <si>
    <t>SOLICITUD COMPRA FENOBARBITAL ASSALUD MAGDALENA_4</t>
  </si>
  <si>
    <t>No. 0816</t>
  </si>
  <si>
    <t>HOLMES HOLGUIN TUMAY</t>
  </si>
  <si>
    <t>JERSALUD</t>
  </si>
  <si>
    <t>Farmacia.Villavicencio@jersalud.com</t>
  </si>
  <si>
    <t>Solicitud de compra</t>
  </si>
  <si>
    <t>DROGUERIA EVEDISA TULUA 01</t>
  </si>
  <si>
    <t>CARMEN DE LA HOZ HOYER</t>
  </si>
  <si>
    <t>CENTRO TERAPEUTICO REENCONTRARSE S.A.S</t>
  </si>
  <si>
    <t>900438572-7</t>
  </si>
  <si>
    <t>farmacia@ips-reencontrarse.com</t>
  </si>
  <si>
    <t>Carrera 45 No. 84-197</t>
  </si>
  <si>
    <t>Solicitud de compra de Methadona tabletas 40 y 10 mg</t>
  </si>
  <si>
    <t>No. 7138</t>
  </si>
  <si>
    <t>ESE HOSPITAL UNIVERSITARIO HERNANDO MONCALEANO PERDOMO</t>
  </si>
  <si>
    <t>Calle 9 Nº15-25 </t>
  </si>
  <si>
    <t>RSOLICITUD DE COTIZACIÒN DE MEDICAMENTOS MONOPOLIO DEL ESTADO</t>
  </si>
  <si>
    <t>LUISA FERNANDA FOLLECO NIÑO</t>
  </si>
  <si>
    <t>Encargada del Dispensario</t>
  </si>
  <si>
    <t>891409291-7</t>
  </si>
  <si>
    <t>dtl1@evedisa.com.co</t>
  </si>
  <si>
    <t>Calle 26No. 34-19</t>
  </si>
  <si>
    <t>cotización de medicamentos</t>
  </si>
  <si>
    <t>No. 0912</t>
  </si>
  <si>
    <t>YONATHAN MIRANDA</t>
  </si>
  <si>
    <t>890102768-5</t>
  </si>
  <si>
    <t>quimicopesbol@clinicageneraldelnorte.com</t>
  </si>
  <si>
    <t>SOLICITUD DE VENTA DE MEDICAMENTOS MONOPOLIO DEL ESTADO</t>
  </si>
  <si>
    <t>COTIZACION MCEME</t>
  </si>
  <si>
    <t>DROGERÍAS LA ECONOMIA 684</t>
  </si>
  <si>
    <t>COTIZACIÓN MEDICAMENTOS MONOPOLIO ZONA TOLIMA MARZO 2021</t>
  </si>
  <si>
    <t>El medicamento solicitado se encuentra en cuarentena por hallazgos de claidad</t>
  </si>
  <si>
    <t>Autorización compra Fenobarbital solución oral 120 ml</t>
  </si>
  <si>
    <t>JERSALUD S.A.S</t>
  </si>
  <si>
    <t>900622551-0</t>
  </si>
  <si>
    <t xml:space="preserve"> Coord.FarmaciaMeta@jersalud.com</t>
  </si>
  <si>
    <t>Avenida 40 carrera 40 No 30-26</t>
  </si>
  <si>
    <t>COTIZACION Y AUTORIZACION PARA COMPRA MEDICAMENTOS CONTROL FNE</t>
  </si>
  <si>
    <t>El medicamento no se encuentra en el portafolio del FNE</t>
  </si>
  <si>
    <t>No. 610</t>
  </si>
  <si>
    <t>LORENA MARIA LOZANO</t>
  </si>
  <si>
    <t>EMPRESA LOCAL DEL ESTADO HOSPITAL LOCAL DE SAN MARTIN DE LOS LLANOS</t>
  </si>
  <si>
    <t>892000458-6</t>
  </si>
  <si>
    <t>lmlozanot@gmail.com</t>
  </si>
  <si>
    <t>Calle 4 No 7-34</t>
  </si>
  <si>
    <t>Solicitud de Compra de Medicamentos Monopolio del estado Hospital Local San Martín Meta</t>
  </si>
  <si>
    <t>No. 588</t>
  </si>
  <si>
    <t>SOLICITUD AUTORIZACIÓN COMPRA DIRECTA MARZO 16 DEL 2021</t>
  </si>
  <si>
    <t>900269029-4</t>
  </si>
  <si>
    <t>SOLICITUD AUTORIZACIÓN COMPRA DIRECTA MARZO 16 DEL 2021 RITALINA 10MG</t>
  </si>
  <si>
    <t>AUTORIZACIÓN COMPRA DIRECTA DE MEDICAMENTOS MONOPOLIO DEL ESTADO</t>
  </si>
  <si>
    <t>EL MEDICAMENTO SE ENCUENTRA EN CUARENTENA POR HALLAZGO DE CALIDAD</t>
  </si>
  <si>
    <t>No. 1062</t>
  </si>
  <si>
    <t>JUDY FERNANDEZ</t>
  </si>
  <si>
    <t>CRITICAL CARE GROUP UT</t>
  </si>
  <si>
    <t>farmacia.critical@gmail.com</t>
  </si>
  <si>
    <t>Solicitud de medicamentos</t>
  </si>
  <si>
    <t>900482242-8</t>
  </si>
  <si>
    <t>rosa.caviedes@chsm.com</t>
  </si>
  <si>
    <t>Solicitud de autorización de compra de medicamentos monopolio del estado y compra de recetarios oficiales</t>
  </si>
  <si>
    <t>No 018</t>
  </si>
  <si>
    <t>ALICIA ESTHER FERIA RUIZ</t>
  </si>
  <si>
    <t>LA ECONOMIA DROGUERIA 688</t>
  </si>
  <si>
    <t>dispensario574@drogaslaeconomia.com</t>
  </si>
  <si>
    <t xml:space="preserve">Carrera 3 N°29-43  </t>
  </si>
  <si>
    <t>solicitud compra metadona urgente</t>
  </si>
  <si>
    <t>No. 162</t>
  </si>
  <si>
    <t>VANESSA PITALUA TOVAR</t>
  </si>
  <si>
    <t>AMRITZAR S.A</t>
  </si>
  <si>
    <t>900025914-1</t>
  </si>
  <si>
    <t>van.tovar@hotmail.com</t>
  </si>
  <si>
    <t>Carrera 14 No. 22-24</t>
  </si>
  <si>
    <t>SOLICITUD DE COMPRA DE MEDICAMENTOS MONOPOLIO DEL ESTADO</t>
  </si>
  <si>
    <t>No. 1897</t>
  </si>
  <si>
    <t>CLINICA GENERAL DE CIENAGA S.A.S</t>
  </si>
  <si>
    <t>SOLICITUD COMPRA DIRECTA</t>
  </si>
  <si>
    <t>JHON MONTES</t>
  </si>
  <si>
    <t>CLINICA CENTRAL O.H.L</t>
  </si>
  <si>
    <t>900082202-7</t>
  </si>
  <si>
    <t>william_meza@clinicacentral.com.co</t>
  </si>
  <si>
    <t>Carrera 6  30-36</t>
  </si>
  <si>
    <t>Carrera 6  30-37</t>
  </si>
  <si>
    <t>Carrera 6  30-38</t>
  </si>
  <si>
    <t>solicitud de cotizacion de medicamentos de control especial</t>
  </si>
  <si>
    <t>No. 20180001</t>
  </si>
  <si>
    <t>RAMIRO FLORES SALAS</t>
  </si>
  <si>
    <t>SIKUANY S.A.S</t>
  </si>
  <si>
    <t>sikuanyltda@gmail.com</t>
  </si>
  <si>
    <t>Calle 33 A No.38-41 Barzal Alto</t>
  </si>
  <si>
    <t>COTIZACION MEDICAMENTOS PARA COMPRA</t>
  </si>
  <si>
    <t>SOLICITUD AUTORIZACION COMPRA DE MEDICAMENTOS</t>
  </si>
  <si>
    <t>Avenida Pedro de Heredia Calle 30B No. 63-43</t>
  </si>
  <si>
    <t>No. 968</t>
  </si>
  <si>
    <t>EDITH ISABEL MOLINA</t>
  </si>
  <si>
    <t>Pharmacy Lider</t>
  </si>
  <si>
    <t>edith.isabel.molina@messer-co.com</t>
  </si>
  <si>
    <t>Avenida Santander No 41 -92</t>
  </si>
  <si>
    <t>Solicito autorización para la compra directa del siguiente medicamento</t>
  </si>
  <si>
    <t>No. 620</t>
  </si>
  <si>
    <t>LUIS ALBERTO FRANCO</t>
  </si>
  <si>
    <t>SERVICIOS MEDICOS INTEGRALES DE SALUD -SERVIMEDICOS</t>
  </si>
  <si>
    <t>800162035-4</t>
  </si>
  <si>
    <t>farmaservimedicos@gmail.com</t>
  </si>
  <si>
    <t>Calle 32 # 40a-40 Barrio Barzal Alto</t>
  </si>
  <si>
    <t>Solicitud Autorización Compra Medicamentos Monopolio del Estado</t>
  </si>
  <si>
    <t>No. 005</t>
  </si>
  <si>
    <t>UNIDAD DE CUIDADOS INTENSIVOS NEONATAL DEL BAJO SINU</t>
  </si>
  <si>
    <t>900054563-1</t>
  </si>
  <si>
    <t>farmaciaucinbs@gmail.com</t>
  </si>
  <si>
    <t>cotización de medicamento de control especial</t>
  </si>
  <si>
    <t xml:space="preserve">Fenobarbital </t>
  </si>
  <si>
    <t xml:space="preserve">0,4%. </t>
  </si>
  <si>
    <t>Frasco x 120 mL</t>
  </si>
  <si>
    <t xml:space="preserve">10 mg </t>
  </si>
  <si>
    <t>Tabletas</t>
  </si>
  <si>
    <t>Caja x 30 unidades</t>
  </si>
  <si>
    <t xml:space="preserve">100 mg </t>
  </si>
  <si>
    <t xml:space="preserve">50 mg </t>
  </si>
  <si>
    <t xml:space="preserve">Fenobarbital Sódico </t>
  </si>
  <si>
    <t xml:space="preserve">200 mg/Ml </t>
  </si>
  <si>
    <t>Caja x 10 unidades</t>
  </si>
  <si>
    <t xml:space="preserve">40 mg/mL </t>
  </si>
  <si>
    <t xml:space="preserve">Hidromorfona HCl </t>
  </si>
  <si>
    <t xml:space="preserve">2 mg/mL </t>
  </si>
  <si>
    <t>Caja x 20 unidades</t>
  </si>
  <si>
    <t>Caja 10 ampollas</t>
  </si>
  <si>
    <t xml:space="preserve">Metadona HCl </t>
  </si>
  <si>
    <t>Tabletas IMPORTADA</t>
  </si>
  <si>
    <t>Frasco x 20 unidades</t>
  </si>
  <si>
    <t>Tabletas NACIONAL</t>
  </si>
  <si>
    <t xml:space="preserve">40 mg </t>
  </si>
  <si>
    <t xml:space="preserve">Metilfenidato HCl </t>
  </si>
  <si>
    <t>Comprimidos</t>
  </si>
  <si>
    <t>Tabletas de Liberación Prolongada</t>
  </si>
  <si>
    <t>Frasco x 30 unidades</t>
  </si>
  <si>
    <t xml:space="preserve">36 mg </t>
  </si>
  <si>
    <t xml:space="preserve">Morfina HCl </t>
  </si>
  <si>
    <t xml:space="preserve">3%. </t>
  </si>
  <si>
    <t>Frasco x 30 mL</t>
  </si>
  <si>
    <t xml:space="preserve">10 mg/mL </t>
  </si>
  <si>
    <t xml:space="preserve">10 (50mg/5mL) </t>
  </si>
  <si>
    <t>Caja x 5 unidades</t>
  </si>
  <si>
    <t xml:space="preserve">Primidona </t>
  </si>
  <si>
    <t xml:space="preserve">250 mg </t>
  </si>
  <si>
    <t>MEDICAMENTO2</t>
  </si>
  <si>
    <t>ADRIANA YEPEZ TERRILL</t>
  </si>
  <si>
    <t>Coord. Dirección Técnica</t>
  </si>
  <si>
    <t>Carrera Bosque No. 47-57</t>
  </si>
  <si>
    <t>Solicitud de Medicamentos. CBL Cartagena</t>
  </si>
  <si>
    <t>MARTHA SUÁREZ RAMOS</t>
  </si>
  <si>
    <t>SABANASALUD SAHAGUN S.A.S</t>
  </si>
  <si>
    <t>900398151-7</t>
  </si>
  <si>
    <t xml:space="preserve"> farmasabanasalud@gmail.com</t>
  </si>
  <si>
    <t>Calle 18 No. 1-60</t>
  </si>
  <si>
    <t>SOLICITUD VENTA DE MEDICAMENTOS MONOPOLIO</t>
  </si>
  <si>
    <t>No. 20161021</t>
  </si>
  <si>
    <t>No. 20161022</t>
  </si>
  <si>
    <t xml:space="preserve">Calle 9 No 16-38-Avenida Centenario </t>
  </si>
  <si>
    <t>Solicitud Cotización de Medicamentos de Control</t>
  </si>
  <si>
    <t>JUAN CAMILO AGUILAR</t>
  </si>
  <si>
    <t>HOSPITAL DEPARTAMENTAL DE GRANADA</t>
  </si>
  <si>
    <t>800037021-7</t>
  </si>
  <si>
    <t>ufun_farmacia@hospitalgranada.gov.co</t>
  </si>
  <si>
    <t>Calle 15 entre 2 y 4</t>
  </si>
  <si>
    <t>Calle 15 entre 2 y 5</t>
  </si>
  <si>
    <t>Calle 15 entre 2 y 6</t>
  </si>
  <si>
    <t>Calle 15 entre 2 y 7</t>
  </si>
  <si>
    <t>SOLICITUD COTIZACIÓN HOSPITAL DEPARTAMENTAL DE GRANADA ESE</t>
  </si>
  <si>
    <t>No.  1706</t>
  </si>
  <si>
    <t>Calle 72 No. 6A-88</t>
  </si>
  <si>
    <t>Calle 72 No. 6A-89</t>
  </si>
  <si>
    <t>Calle 72 No. 6A-90</t>
  </si>
  <si>
    <t>SOLICITUD COMPRA DE MEDICAMENTOS 06-04-2021 ZONA FRANCA IMAT SAS</t>
  </si>
  <si>
    <t>SOLICITUD DE COMPRA DE MEDICAMENTOS DE CONTROL.</t>
  </si>
  <si>
    <t>ANGEL LEONARDO RAMOS MOLINA</t>
  </si>
  <si>
    <t>INSTITUTO DE SISTEMA NERVIOSO DE CORDOBA -SEDE SAN SEBASTIÁN</t>
  </si>
  <si>
    <t>901129333-1</t>
  </si>
  <si>
    <t>almacenclinicasansebastian@gmail.com</t>
  </si>
  <si>
    <t>Calle 2 Carrera 3-76 Vereda el Faro 1 via Aguas Negras</t>
  </si>
  <si>
    <t>compra de medicamentos de control especial</t>
  </si>
  <si>
    <t>DIANA PATRICIA MOLINA ARENAS</t>
  </si>
  <si>
    <t>CLINICA UNIVERSITARIA MEDICINA INTEGRAL S.A.S</t>
  </si>
  <si>
    <t>900740827-3</t>
  </si>
  <si>
    <t>claudia.narvaez@cumi.com.co</t>
  </si>
  <si>
    <t>Calle 44 No. 14-232</t>
  </si>
  <si>
    <t>Solicitud de Venta Directa de Medicamentos de Control</t>
  </si>
  <si>
    <t>No. 661</t>
  </si>
  <si>
    <t>MANUEL GONZALEZ</t>
  </si>
  <si>
    <t>Analista de Compras</t>
  </si>
  <si>
    <t>Compras@jersalud.com</t>
  </si>
  <si>
    <t>Calle 40 No. 23-99</t>
  </si>
  <si>
    <t>SOLICITUD COTIZACIÓN JERSALUD CASANARE</t>
  </si>
  <si>
    <t>No. 1328</t>
  </si>
  <si>
    <t>JESUS DAVID PEREZ MERCADO</t>
  </si>
  <si>
    <t>CENTRO CARDIO INFANTIL IPS S.A.S</t>
  </si>
  <si>
    <t>900090247-1</t>
  </si>
  <si>
    <t>farmacia@centrocardioinfantil.com</t>
  </si>
  <si>
    <t>Calle 22 Carrera 17 No. 16-30</t>
  </si>
  <si>
    <t>Compra medicamentos de control monopolio del estado</t>
  </si>
  <si>
    <t>No. 1898</t>
  </si>
  <si>
    <t xml:space="preserve">Director </t>
  </si>
  <si>
    <t>SOLICITUD DE COTIZACION</t>
  </si>
  <si>
    <t>EL SOLICITANTE NO ALLEGO RESOLUCIÓN</t>
  </si>
  <si>
    <t>NELSY SOFIA MANOTAS G.</t>
  </si>
  <si>
    <t>Director Tecnico</t>
  </si>
  <si>
    <t xml:space="preserve"> Autorización de Compra directa y Traslado de medicamentos monopolio del estado</t>
  </si>
  <si>
    <t xml:space="preserve">COTIZACION COMPRA DIRECTA MORFINA SLN ORAL Y RITALINA 10 MG
</t>
  </si>
  <si>
    <t>Calle 72 Carrera 6 Via carete</t>
  </si>
  <si>
    <t xml:space="preserve"> Solicitud Autorizacion Compra Directa ONCOMEDICA S.A</t>
  </si>
  <si>
    <t>ANIBAL RAFAEL DÍAZ VILLAREAL</t>
  </si>
  <si>
    <t>Via 40 No. 60-58</t>
  </si>
  <si>
    <t>No. 1809</t>
  </si>
  <si>
    <t>JEFFRY JOSUE MEDINA BARANDICA</t>
  </si>
  <si>
    <t>Solicitud de Autorización Compra directa Clínica La Milagrosa</t>
  </si>
  <si>
    <t>No. 669</t>
  </si>
  <si>
    <t>GLORIA QUINTERO</t>
  </si>
  <si>
    <t>NEXUS VITAL S.A.S</t>
  </si>
  <si>
    <t>900786595-8</t>
  </si>
  <si>
    <t>gloria_quintero@nexusvital.com</t>
  </si>
  <si>
    <t>Carrera 97 # 24c-61</t>
  </si>
  <si>
    <t>COTIZACIÓN URGENTE MEDICAMENTOS</t>
  </si>
  <si>
    <t>El FNE aun no cuenta con este medicamento en el portafolio</t>
  </si>
  <si>
    <t>No. 1231</t>
  </si>
  <si>
    <t>830512772-6</t>
  </si>
  <si>
    <t xml:space="preserve"> SOLICITUD COMPRA</t>
  </si>
  <si>
    <t>No. 564</t>
  </si>
  <si>
    <t>FERNANDO MEZA MARTINEZ</t>
  </si>
  <si>
    <t>Coordinador U.F.A.T</t>
  </si>
  <si>
    <t>Calle 14 No. 7 -26</t>
  </si>
  <si>
    <t>Cotización del medicamento de control especial</t>
  </si>
  <si>
    <t>ESTEBAN LÓPEZ BURBANO</t>
  </si>
  <si>
    <t>E.S.E HOSPITAL LOCAL</t>
  </si>
  <si>
    <t>846000253-6</t>
  </si>
  <si>
    <t>farmacia@esehospitallocal.gov.co</t>
  </si>
  <si>
    <t>Carrera 29 #10-10</t>
  </si>
  <si>
    <t>Compra MME</t>
  </si>
  <si>
    <t>No.007</t>
  </si>
  <si>
    <t>Cotización de MCE Monopolio de l estado</t>
  </si>
  <si>
    <t>EL FNE NO CUENTA CON UNIDADES DISPONIBLES PARA DISTRIBUIR</t>
  </si>
  <si>
    <t>SOLICITUD COTIZACIÓN PRODUCTO JERSALUD YOPAL</t>
  </si>
  <si>
    <t>SANDRA YANETH MAYORGA</t>
  </si>
  <si>
    <t>MI IPS LLANOS - PARQUE</t>
  </si>
  <si>
    <t>farmaciaipselparque@miips.com.co</t>
  </si>
  <si>
    <t>EL SOLICITANTE NO ALLEGA DOCUMENTOS</t>
  </si>
  <si>
    <t>cotizacion medicamento de Control Especial</t>
  </si>
  <si>
    <t>LUISA FERNANDA GARCIA</t>
  </si>
  <si>
    <t>CORPORACION MI IPS LLANOS ORIENTALES</t>
  </si>
  <si>
    <t xml:space="preserve"> farmaciaipselparque@miips.com.co</t>
  </si>
  <si>
    <t>SOLICITUD DE COTIZACION DE COMPRA DE MEDICAMENTO DEL ESTADO</t>
  </si>
  <si>
    <t>No. 044</t>
  </si>
  <si>
    <t>DOCUMENTOS PARA LA COMPRA DE MORFINA</t>
  </si>
  <si>
    <t>El solicitante no allego la resolución completa y no es posible confirmar la inscripion</t>
  </si>
  <si>
    <t>No. 287</t>
  </si>
  <si>
    <t>LIDIA ESTHER NAVARRO CHIQUILLO</t>
  </si>
  <si>
    <t>LOGIFARMA S.A.S RIOHACHA</t>
  </si>
  <si>
    <t>coordinadorguajira@logifarma.co</t>
  </si>
  <si>
    <t>Calle 11 N° 8 - 61 Local  1</t>
  </si>
  <si>
    <t>Solicitud autorización de compra medicamentos Monopolio del Estado para Logifarma Riohacha Al Fondo Nacional De Estupefacientes</t>
  </si>
  <si>
    <t>No. 055</t>
  </si>
  <si>
    <t>EL FRE CUENTA CON UNIDADES DISPONIBES DE ESTOS MEDICAMENTOS</t>
  </si>
  <si>
    <t>COTIZACION COMPRA DIRECTA MORFINA SLN ORAL Y RITALINA 10 MG</t>
  </si>
  <si>
    <t>FLOR MARÍA ALDANA GONZÁLEZ</t>
  </si>
  <si>
    <t>Coordinadora Proceso Servicio Farmacéutico</t>
  </si>
  <si>
    <t>Hospital Federico Lleras Acosta E.S.E.</t>
  </si>
  <si>
    <t>890700694-4</t>
  </si>
  <si>
    <t>farmacia@hflleras.gov.co</t>
  </si>
  <si>
    <t>Calle 33 N°4 A-50</t>
  </si>
  <si>
    <t>Se recomienda incluir el RUT</t>
  </si>
  <si>
    <t>No. 3226</t>
  </si>
  <si>
    <t>NATALIA JAIMES VELASCO</t>
  </si>
  <si>
    <t>Regente Auxiliar de Compras de Medicamentos</t>
  </si>
  <si>
    <t>autorización para la compra de medicamento de control especial</t>
  </si>
  <si>
    <t>SAMIR VIDES ÁLVAREZ</t>
  </si>
  <si>
    <t>Insuasty Oncología E Investigación</t>
  </si>
  <si>
    <t>900475704-1</t>
  </si>
  <si>
    <t>dtsfarmaceutico@insuastyoncologia.com</t>
  </si>
  <si>
    <t>Calle 54 Nº 33-45 Piso 11/4</t>
  </si>
  <si>
    <t>Solicitud de Compra Hidromorfona 2mg/mL Solución Inyectable</t>
  </si>
  <si>
    <t>No. 11312</t>
  </si>
  <si>
    <t>MÓNICA MONTES USTA</t>
  </si>
  <si>
    <t>812001561-0</t>
  </si>
  <si>
    <t>tecnica@coodescor.org.co</t>
  </si>
  <si>
    <t>Calle28A No. 23-03 B</t>
  </si>
  <si>
    <t>Solicitud de compra directa de HIDROMORFONA 2.5MG TAB</t>
  </si>
  <si>
    <t>No. 436</t>
  </si>
  <si>
    <t>Tramite a la solicitud del Ciudadano ALEXANDER RAMOS Radicado No. 202124100379152 Ministerio de Salud y Proteccion</t>
  </si>
  <si>
    <t>MIGUEL PACHECO CASTRO</t>
  </si>
  <si>
    <t>farmaciaclinicasansebastian@gmail.com</t>
  </si>
  <si>
    <t>solicitud autorización de compra directa de medicamentos monopolio del estado</t>
  </si>
  <si>
    <t>No. 492</t>
  </si>
  <si>
    <t>Regente de Farmacia</t>
  </si>
  <si>
    <t>HOSPITAL SAN JOSE DEL MUNICIPIO DE SAN SEBASTIAN DE MARIQUITA TOLIMA EMPRESA SOCIAL DEL ESTADO</t>
  </si>
  <si>
    <t>890706067-3</t>
  </si>
  <si>
    <t>farmacia@hospitalsanjosedemariquita.gov.co</t>
  </si>
  <si>
    <t>Carrera 4 No 10 y 11</t>
  </si>
  <si>
    <t>COTIZACION</t>
  </si>
  <si>
    <t>No. 1215</t>
  </si>
  <si>
    <t>MIRYAM FAJARDO NAVARRETE</t>
  </si>
  <si>
    <t>AMERIDA BARRERA TOLOSA</t>
  </si>
  <si>
    <t>Coordinadora farmacia</t>
  </si>
  <si>
    <t>consumofrecasanare@gmail.com</t>
  </si>
  <si>
    <t>COTIZACIÓN MEDICAMENTOS MONOPOLIO ZONA TOLIMA ABRIL 2021</t>
  </si>
  <si>
    <t>JESUS CUELLAR NAVARRO</t>
  </si>
  <si>
    <t>COTIZACION MTOS DE CONTROL ESPECIAL</t>
  </si>
  <si>
    <t>COTIZACION Y AUTORIZACION DE COMPRA</t>
  </si>
  <si>
    <t>JULIETA PALACIO PINZON</t>
  </si>
  <si>
    <t>FRE CASANARE</t>
  </si>
  <si>
    <t>Solicitud adquisición de medicamentos.</t>
  </si>
  <si>
    <t>Negado</t>
  </si>
  <si>
    <t>Se informa el procedimiento a seguir para hacer compra directa.</t>
  </si>
  <si>
    <t>CLAUDIA MILENA MARTÍNEZ CAMPO</t>
  </si>
  <si>
    <t xml:space="preserve">Representante Legal </t>
  </si>
  <si>
    <t>Carrera 19 No. 26B – 53 Barrio los naranjos</t>
  </si>
  <si>
    <t>AUTORIZACION PARA COMPRA DIRECTA - SISM SAS</t>
  </si>
  <si>
    <t>Representante legal</t>
  </si>
  <si>
    <t>serviciosintegrales_saludmagdale@yahoo.com&gt;</t>
  </si>
  <si>
    <t>SOLICITUD DE COMPRA DIRECTA DE MEDICAMENTOS DE CONTROL ESPECIAL</t>
  </si>
  <si>
    <t>No. 359</t>
  </si>
  <si>
    <t>SOLICITUD COMPRA DE MEDICAMENTOS 04-05-2021 ZONA FRANCA IMAT SAS</t>
  </si>
  <si>
    <t>No se adjunta la resolución de Inscripción vigente ante el Fondo Rotatorio de Estupefacientes del Departamento.</t>
  </si>
  <si>
    <t>No DISPONIBLE</t>
  </si>
  <si>
    <t>LUISA FERNDANDA GARCIA</t>
  </si>
  <si>
    <t>Tramite a la solicitud del Ciudadano SANDRA YANETH MAYORGA LOAIZA Radicado No. 202124100642392 Ministerio de Salud y Proteccion</t>
  </si>
  <si>
    <t>Esta autorizacion reemplaza la solicitud 180  con radicado No 202124100642392</t>
  </si>
  <si>
    <t>Suministros y Dotaciones de Colombia S.A</t>
  </si>
  <si>
    <t>Cotizacion de MCE monopolio del estado</t>
  </si>
  <si>
    <t>Emiro José Mulett Flórez</t>
  </si>
  <si>
    <t>Coordinador Servicio Farmacéutico</t>
  </si>
  <si>
    <t>E.S.E Hospital San Jerónimo de Montería</t>
  </si>
  <si>
    <t>farmacia.dir@esesanjeronimo.gov.co</t>
  </si>
  <si>
    <t>Carrera 14 Nº 22-200</t>
  </si>
  <si>
    <t>desabastecimiento de medicamentos</t>
  </si>
  <si>
    <t xml:space="preserve">Irina Vanegas Palacios </t>
  </si>
  <si>
    <t>Centros Hospitalarios del Caribe S.A.S</t>
  </si>
  <si>
    <t>900520510-0</t>
  </si>
  <si>
    <t>compras@cehoca.co</t>
  </si>
  <si>
    <t>calle 22 N° 15-20</t>
  </si>
  <si>
    <t>Solicitud de Compra de Medicamentos de Control</t>
  </si>
  <si>
    <t>No.0464</t>
  </si>
  <si>
    <t>MARTHA LILIANA ESPINEL</t>
  </si>
  <si>
    <t>MEDICED IPS SAS</t>
  </si>
  <si>
    <t>901150492-1</t>
  </si>
  <si>
    <t>farmaciamedicedflo@gmail.com</t>
  </si>
  <si>
    <t>Carreraa 9 A N° 9-30  Barrio El Prado</t>
  </si>
  <si>
    <t>SOLICITUD COMPRA DIRECTA METADONA X 10 mg- MEDICED IPS SAS</t>
  </si>
  <si>
    <t>No. 00322</t>
  </si>
  <si>
    <t>ALEXANDRA MOSQUERA TOVAR</t>
  </si>
  <si>
    <t>Auxiliar Administrativa</t>
  </si>
  <si>
    <t>SOLICITUD DE COTIZACION DE MEDICAMENTOS DE MONOPOLIO DEL ESTADO</t>
  </si>
  <si>
    <t>No se adjunta la totalidad de los documentos</t>
  </si>
  <si>
    <t>AUTORIZACION PARA COMPRA DIRECTA - SISM SAS NIT 900.018.045-5</t>
  </si>
  <si>
    <t>SOLICITUD DUPLICADA SE DA LA MISMA PARA LA LAS DOS (185 Y 209)</t>
  </si>
  <si>
    <t>EVARISTO BARRIOS M</t>
  </si>
  <si>
    <t>ASOCIACION DE CABILDOS Y/O AUTORIDADES TRADICIONALES DE LA GUAJIRA-ASOCABILDOS IPSI</t>
  </si>
  <si>
    <t>839000145-3</t>
  </si>
  <si>
    <t>farmacias@asocabildosipsi.com</t>
  </si>
  <si>
    <t>Carrera 15 No. 19-55 Barrio San Martin</t>
  </si>
  <si>
    <t>Solicitud de Cotización de Medicamentos Monopolio del Estado-Radicado 202100000650872</t>
  </si>
  <si>
    <t>No. 002</t>
  </si>
  <si>
    <t>Coordinadora</t>
  </si>
  <si>
    <t>Se niega porque el primer medicamento lo tiene el FRE, se corrigió el segundo medicamento porque era Hidromorfona y se había colocado Fenobarbital 100 mg, pero también se niega porque el fondo no tiene disponibilidad.</t>
  </si>
  <si>
    <t>PAULA ANDREA MORENO QUIROGA</t>
  </si>
  <si>
    <t xml:space="preserve">HOSPITAL PABLO TOBÓN URIBE </t>
  </si>
  <si>
    <t>890901826-2</t>
  </si>
  <si>
    <t>pedidosfarmacia@hptu.org.co</t>
  </si>
  <si>
    <t xml:space="preserve">CALLE 78B No. 69-240 </t>
  </si>
  <si>
    <t>Solicitud Autorización Compra Directa de medicamentos del Estado</t>
  </si>
  <si>
    <t>No. 2018060229292</t>
  </si>
  <si>
    <t>SOLICITUD DE COMPRA DIRECTA MEDICAMENTOS MONOPOLIO DEL ESTADO</t>
  </si>
  <si>
    <t xml:space="preserve">Esta autorizacion fue reemplaza por  la solicitud 180  con radicado No 202124100642392. Por cambio de unidades en el pedido del solicitate. </t>
  </si>
  <si>
    <t>ANIBAL ARNEDO</t>
  </si>
  <si>
    <t>Suministros y Dotaciones Colombia S.A</t>
  </si>
  <si>
    <t>Compra de medicamentos monopolio del estado</t>
  </si>
  <si>
    <t>No se allegan los docuemtentos requeridos para el tramite</t>
  </si>
  <si>
    <t>Yira Arzusa Vasquez</t>
  </si>
  <si>
    <t>Coordinadora Servicio Farmacéutico</t>
  </si>
  <si>
    <t>Clínica Blas de Lezo sede Megaurgencias</t>
  </si>
  <si>
    <t>blmucoordfarma@clinicablasdelezo.com.co</t>
  </si>
  <si>
    <t>Avenida El Bosque Transversal 54 No. 40-129</t>
  </si>
  <si>
    <t>Solicitud de compra directa y traslado MORFINA AMPOLLA</t>
  </si>
  <si>
    <t>No. 966</t>
  </si>
  <si>
    <t>Se niega la solicitud toda vez que el FRE departamental cuenta con los medicamentos.Se recomienda incluir el RUT</t>
  </si>
  <si>
    <t>Se niega porque el FRE departamental tiene los medicamentos</t>
  </si>
  <si>
    <t>Se niega la solicitud porque el FRE departamental cuenta con los meicamentos</t>
  </si>
  <si>
    <t>se modifican las cantidades autprizadas por baja disponibilidad</t>
  </si>
  <si>
    <t>Se niega solicitud porque el FRE ya cuenta con los medicamentos</t>
  </si>
  <si>
    <t xml:space="preserve"> Se negó la autorización, porque el FRE departamental cuenta con el medicamento.</t>
  </si>
  <si>
    <t>CARLOS ANDRES ALVAREZ CORREA</t>
  </si>
  <si>
    <t>Coordinado de Servicios Farmaceuticos</t>
  </si>
  <si>
    <t xml:space="preserve">SERVICIOS DE SALUD IPS SURAMERICANA S.A.S. </t>
  </si>
  <si>
    <t>Calle 49B # 63 21</t>
  </si>
  <si>
    <t>Solicitud de compra morfina 10 mg IPS Suramericana</t>
  </si>
  <si>
    <t>ELVER RUIDIAZ TERRAZA</t>
  </si>
  <si>
    <t>acelis@minsalud.gov.co</t>
  </si>
  <si>
    <t xml:space="preserve">no hay docuemtos </t>
  </si>
  <si>
    <t>no reporta</t>
  </si>
  <si>
    <t>se dio respuesta con el radicado 202124110718611</t>
  </si>
  <si>
    <t>SIRLEY MILENA ALVARADO SALCEDO</t>
  </si>
  <si>
    <t>secretaria</t>
  </si>
  <si>
    <t>E.S.E CENTRO DE SALUD SAMUEL VILLANUEVA VALEST</t>
  </si>
  <si>
    <t>819004280-5</t>
  </si>
  <si>
    <t>contactenos@esesamuelvillanueva.gov.co</t>
  </si>
  <si>
    <t>Calle 7 No 7-39</t>
  </si>
  <si>
    <t>Solicitud de cotización de medicamentos de control especial</t>
  </si>
  <si>
    <t>COTIZACIÓN MEDICAMENTOS</t>
  </si>
  <si>
    <t xml:space="preserve">EIMAR ALBERTO CAICEDO </t>
  </si>
  <si>
    <t>solicitud de medicamentos de control</t>
  </si>
  <si>
    <t>WILLIAM LASSO OJEDA</t>
  </si>
  <si>
    <t>Éticos UT 2020 Farmacia 10559 Palmira</t>
  </si>
  <si>
    <t>farmacia10559@eticos.com</t>
  </si>
  <si>
    <t>Batallón de ingenieros Cr Agustín Codazzi</t>
  </si>
  <si>
    <t>Soliciud de cotizacion de mediacamentos de control especial</t>
  </si>
  <si>
    <t>La solicitud esta duplicada a la radicada con numero 202124100693992</t>
  </si>
  <si>
    <t>Solicitud cotización MEC monopolio</t>
  </si>
  <si>
    <t>SOLICITUD COMPRA DE MEDICAMENTOS 10-05-2021 ZONA FRANCA IMAT SAS</t>
  </si>
  <si>
    <t>Compra directa medicina integral</t>
  </si>
  <si>
    <t>Solicitud de cotización para Compra Directa de MCE-Monopolio del Estado para IPS MEDICAMENTOS &amp; EQUIPOSCOLOMBIA SAS: CALLE 22 Nº 8 - 68 SANTA MARTA</t>
  </si>
  <si>
    <t>Solicitud autorizada en el radicado 202124110717651</t>
  </si>
  <si>
    <t>ADAN DE LA HOZ PERTUZ</t>
  </si>
  <si>
    <t>SOLICITUD DE MEDICAMENTOS DE CONTROL</t>
  </si>
  <si>
    <t xml:space="preserve"> Solicitud Autorización Compra Directa medicamentos monopolio del Estado Rad. No. 202124100690892 del 21/04/2021</t>
  </si>
  <si>
    <t>MONICA MONTES USTA</t>
  </si>
  <si>
    <t>COOPERATIVA DE ENTIDADES DE SALUD DE CORDOBA</t>
  </si>
  <si>
    <t>Solicitud de compra directa de medicamentos de monopolio del Estado</t>
  </si>
  <si>
    <t>COTIZACIÓN FNE IPS LOS PINOS</t>
  </si>
  <si>
    <t>ERIKA VANESSA MARÍN ROJAS</t>
  </si>
  <si>
    <t>819000364-7</t>
  </si>
  <si>
    <t>Calle 22 # 21 - 16</t>
  </si>
  <si>
    <t>Solicitud Autorización Compra Directa medicamento monopolio del Estado.</t>
  </si>
  <si>
    <t>No. 2903</t>
  </si>
  <si>
    <t>HANSS GRIMALDOS</t>
  </si>
  <si>
    <t>EMPRESA SOCIAL DEL ESTADO DEL MUNICIPIO DE VILLAVICENCIO</t>
  </si>
  <si>
    <t>822002459-8</t>
  </si>
  <si>
    <t>farmacia@esedevillavicencio.gov.co</t>
  </si>
  <si>
    <t>CARRERA 42 No. 33-24</t>
  </si>
  <si>
    <t>No. 1623</t>
  </si>
  <si>
    <t>Modifica el radicado de salida  202124110718611</t>
  </si>
  <si>
    <t>CARLOS ALBERTO NAVARRO GUERRA</t>
  </si>
  <si>
    <t>Asistencia Medica Inmediata AMEDI S.A.S.</t>
  </si>
  <si>
    <t xml:space="preserve">824005609-7 </t>
  </si>
  <si>
    <t>dvisbal@amediltda.com</t>
  </si>
  <si>
    <t>Cra 13 No 20-73</t>
  </si>
  <si>
    <t>SOLICITUD MEDICAMENTOS DE CONTROL ESPECIAL MONOPOLIO DEL ESTADO - ASISTENCIA MÉDICA INMEDIATA AMEDI SAS NIT: 824005609-7</t>
  </si>
  <si>
    <t>No. 1022</t>
  </si>
  <si>
    <t>RODRIGO MARTINEZ CARDENAS</t>
  </si>
  <si>
    <t>Socilicitud de cotizacion y venta</t>
  </si>
  <si>
    <t>DAYANA ALZATE DAVILA</t>
  </si>
  <si>
    <t>Coordinadora Aréa de Compras</t>
  </si>
  <si>
    <t>Hospital Departamental Centenario de Sevilla E.S.E.</t>
  </si>
  <si>
    <t>821003143-7</t>
  </si>
  <si>
    <t>compras@hdcentenario.gov.co</t>
  </si>
  <si>
    <t>Calle 56 Carrera 43 barrio Siracusa</t>
  </si>
  <si>
    <t>INVITACION A COTIZAR</t>
  </si>
  <si>
    <t>No. 2045</t>
  </si>
  <si>
    <t>Solicitud cotización MORFINA CLORHIDRATO 10mg/mL Sol. Inyec y MEPERIDINA CLORHIDRATO 100mg/2mL Sol. Inyec</t>
  </si>
  <si>
    <t>No. 03226</t>
  </si>
  <si>
    <t>MAYRA GONZÁLES REYES</t>
  </si>
  <si>
    <t>Directora Tecnica</t>
  </si>
  <si>
    <t>UCI Neonatal del Bajo Sinú</t>
  </si>
  <si>
    <t>maigo.25@hotmail.com</t>
  </si>
  <si>
    <t>solicitud para compra de morfina</t>
  </si>
  <si>
    <t>Solicitud de Medicamentos controlados_CBL</t>
  </si>
  <si>
    <t>Se Negó porque el FRE departamental tiene disponibilidad de los medicamentos</t>
  </si>
  <si>
    <t xml:space="preserve">FRE tiene disponibilidad </t>
  </si>
  <si>
    <t>EL FRE TIENE DISPONIBILIDAD</t>
  </si>
  <si>
    <t>ANA ORTEGA MARQUEZ</t>
  </si>
  <si>
    <t>Asistente Administrativa</t>
  </si>
  <si>
    <t>Clinica San Martin Barranquilla</t>
  </si>
  <si>
    <t>compras@csmbq.com</t>
  </si>
  <si>
    <t>SOLICITUD COMPRA DE MORFINA</t>
  </si>
  <si>
    <t>VANESSA PUETAMAN</t>
  </si>
  <si>
    <t>SUMEFAR DE NARIÑO</t>
  </si>
  <si>
    <t>sumefarcompras@gmail.com</t>
  </si>
  <si>
    <t>Calle 31 Via Pradera del Municipio de Palmira</t>
  </si>
  <si>
    <t>Cotizacion de medicamentos de monopolio</t>
  </si>
  <si>
    <t>No. 170</t>
  </si>
  <si>
    <t xml:space="preserve">Calle 6 # 7 - 17 Local 2 </t>
  </si>
  <si>
    <t>SOLICITUD COTIZACIÓN Y AUTORIZACIÓN PARA COMPRA MEDICAMENTOS ASSALUD Mcpio FUNDACIÖN</t>
  </si>
  <si>
    <t>DIANA MOLINA ARENAS</t>
  </si>
  <si>
    <t>CLÍNICA UNIVERSITARIA MEDICINA INTEGRAL S.A.S.</t>
  </si>
  <si>
    <t xml:space="preserve">Calle 44 No. 14-282 </t>
  </si>
  <si>
    <t>Solicitud Venta Directa de Medicamentos de Control</t>
  </si>
  <si>
    <t>No. 0661</t>
  </si>
  <si>
    <t>Solicitud autorización de compra medicamentos Monopolio del Estado Logifarma Montería Al Fondo Nacional De Estupefacientes</t>
  </si>
  <si>
    <t>HOSPITAL PABLO TOBON URIBE</t>
  </si>
  <si>
    <t>Solicitud Autorización Compra Directa</t>
  </si>
  <si>
    <t>LEONELYS CASTELLANOS</t>
  </si>
  <si>
    <t>Jefe de Servicios Farmaceuticos</t>
  </si>
  <si>
    <t>CLÍNICA GENERAL DEL NORTE</t>
  </si>
  <si>
    <t>auxcompras2@clinicageneraldelnorte.com</t>
  </si>
  <si>
    <t>Carrera 48 No. 70 - 38</t>
  </si>
  <si>
    <t>solicitud de autorizacion de compra directa organizacion clinica general del norte</t>
  </si>
  <si>
    <t>OSWALDO MATEUS MOSQUERA</t>
  </si>
  <si>
    <t>Clinica Chicamocha S.A.</t>
  </si>
  <si>
    <t>890209698-9</t>
  </si>
  <si>
    <t>farmaco.vigilancia@clinicachicamocha.com</t>
  </si>
  <si>
    <t>Calle 40 No.27a-22</t>
  </si>
  <si>
    <t>Solicitud de compra medicamento Morfina 10 mg y Hidromorfona 2 mg</t>
  </si>
  <si>
    <t>No. 08196</t>
  </si>
  <si>
    <t>SOLICITUD MEDICAMENTOS MONOPOLIO DEL ESTADO.</t>
  </si>
  <si>
    <t>JULIO FLORES</t>
  </si>
  <si>
    <t>Distrimed LTDA.</t>
  </si>
  <si>
    <t>900009141-6</t>
  </si>
  <si>
    <t>compras@distrimedltda.com</t>
  </si>
  <si>
    <t>Calle 23 No. 13 A - 05</t>
  </si>
  <si>
    <t>SOLICITUD IMPORTANTE URGENTE</t>
  </si>
  <si>
    <t>No. 1911</t>
  </si>
  <si>
    <t>Coordinadora Área de Compras</t>
  </si>
  <si>
    <t xml:space="preserve">Hospital  Departamental Centenario de Sevilla </t>
  </si>
  <si>
    <t>comprashdcentenario@hdcentenario.gov.co</t>
  </si>
  <si>
    <t xml:space="preserve">cra 43 Calle 56 </t>
  </si>
  <si>
    <t>Solicitud duplicada</t>
  </si>
  <si>
    <t>SOLICITUD COTIZACIÓN MORFINAS Y FENOBARBITAL</t>
  </si>
  <si>
    <t>LUZ RODRIGUEZ</t>
  </si>
  <si>
    <t>MARZAZSALUD</t>
  </si>
  <si>
    <t>luz.rodriguez@marcazsalud.com.co</t>
  </si>
  <si>
    <t>NO DISPOIBLE</t>
  </si>
  <si>
    <t>SOLICITUD MEDICAMENTOS DE CONTROL - MARCAZSALUD R.C SAS</t>
  </si>
  <si>
    <t>NO ADJUNTA DOCUMENTOS</t>
  </si>
  <si>
    <t>solictid de cotizacion y venta medicamento monoñolio del estado</t>
  </si>
  <si>
    <t>CINDY JOHANNA HERRERA FLOREZ</t>
  </si>
  <si>
    <t xml:space="preserve">DISPENSARIO 698 LA ECONOMIA  </t>
  </si>
  <si>
    <t>dispensario698@drogaslaeconomia.com</t>
  </si>
  <si>
    <t xml:space="preserve">cr 3 N°30-28 </t>
  </si>
  <si>
    <t>SOLICITUD DE COMPRA</t>
  </si>
  <si>
    <t>La resolución no corresponde a la institución que solicita la compra</t>
  </si>
  <si>
    <t>EMILCE MENDOZA ESTUPIÑAN</t>
  </si>
  <si>
    <t>IPS Viva Salud</t>
  </si>
  <si>
    <t>804011481-3</t>
  </si>
  <si>
    <t>UCIFlorida@vivasalud.co</t>
  </si>
  <si>
    <t xml:space="preserve"> Calle 7 No. 30-35</t>
  </si>
  <si>
    <t>solicitud cotización para compra medicamentos controlados</t>
  </si>
  <si>
    <t>Compra Directa Fenobarbital Elixir</t>
  </si>
  <si>
    <t>GERMAN JESUS GÓMEZ LIZARAZO</t>
  </si>
  <si>
    <t>ESE ISABU</t>
  </si>
  <si>
    <t>800084206-2</t>
  </si>
  <si>
    <t>gerencia@isabu.gov.co</t>
  </si>
  <si>
    <t>Carrera 9 Calle 12 Norte</t>
  </si>
  <si>
    <t>Solicitud compra de Medicamentos de Control Especial.</t>
  </si>
  <si>
    <t>No. 9661</t>
  </si>
  <si>
    <t>LUISA FERNANDA ALVIRA LOZADA</t>
  </si>
  <si>
    <t>Pharmasan</t>
  </si>
  <si>
    <t>900249425-1</t>
  </si>
  <si>
    <t>profesionalcompras@pharmasan.co</t>
  </si>
  <si>
    <t>Calle 53 # 35 07</t>
  </si>
  <si>
    <t>SOLICITUD COTIZACIÓN</t>
  </si>
  <si>
    <t>No. 648</t>
  </si>
  <si>
    <t>CR 26 17 124</t>
  </si>
  <si>
    <t>DOCUEMTOS PARA LA COMPRA DE MORFINA</t>
  </si>
  <si>
    <t>No. 267</t>
  </si>
  <si>
    <t>Secretaria</t>
  </si>
  <si>
    <t>ESE Samuel Villanueva Valest</t>
  </si>
  <si>
    <t>Calle 7 No. 7 39</t>
  </si>
  <si>
    <t>SOLICITUD COTIZACION MEDICAMENTOS CONTROL ESPECIAL</t>
  </si>
  <si>
    <t>No. 4299</t>
  </si>
  <si>
    <t>819004280-6</t>
  </si>
  <si>
    <t>Calle 7 No. 7 40</t>
  </si>
  <si>
    <t>No. 4300</t>
  </si>
  <si>
    <t>819004280-7</t>
  </si>
  <si>
    <t>Calle 7 No. 7 41</t>
  </si>
  <si>
    <t>No. 4301</t>
  </si>
  <si>
    <t>Coodescor</t>
  </si>
  <si>
    <t>ecnica@coodescor.org.co</t>
  </si>
  <si>
    <t xml:space="preserve">Calle 28A No. 23-03 </t>
  </si>
  <si>
    <t>Solicitud de compra de METILFENIDATO 10MG TAB</t>
  </si>
  <si>
    <t>No. 0436</t>
  </si>
  <si>
    <t>cotizacion</t>
  </si>
  <si>
    <t>AUTORIZACION DE COMPRA DIRECTA - SISM NIT 900 018 045 -5</t>
  </si>
  <si>
    <t>autorizacion</t>
  </si>
  <si>
    <t>SAMIR VIDES ALVAREZ</t>
  </si>
  <si>
    <t>Insuasty Oncología e Investigaciones</t>
  </si>
  <si>
    <t>Calle 54 N° 33 - 45 Piso 8</t>
  </si>
  <si>
    <t>Solicitud de Compra Hidromorfona 2mg/mL - Morfina 10mg/Ml</t>
  </si>
  <si>
    <t>No. 11313</t>
  </si>
  <si>
    <t>LILIA</t>
  </si>
  <si>
    <t>ESE HOSPITAL REGIONAL DE SAN GIL</t>
  </si>
  <si>
    <t>farmacia.hrsg@gmail.com</t>
  </si>
  <si>
    <t>SOLICITUD COTIZACION DE CONTROLADOS HOSPITAL SAN GIL</t>
  </si>
  <si>
    <t>EDWIN PABÓN</t>
  </si>
  <si>
    <t>SOLICITUD COTIZACION MEDICAMENTOS MONOPOLIO DEL ESTADO</t>
  </si>
  <si>
    <t>804010795-7</t>
  </si>
  <si>
    <t>804010795-8</t>
  </si>
  <si>
    <t>804010795-9</t>
  </si>
  <si>
    <t>804010795-10</t>
  </si>
  <si>
    <t>solicitud duplicada</t>
  </si>
  <si>
    <t>DIANA MARCELA ESTEBAN DURAN</t>
  </si>
  <si>
    <t>DISTRIFAR DEL ORIENTE</t>
  </si>
  <si>
    <t>91211831-0</t>
  </si>
  <si>
    <t>bodega.distrifar@outlook.com</t>
  </si>
  <si>
    <t>Cra. 34 # 37 - 13</t>
  </si>
  <si>
    <t>solicitud de cotización distrifar del oriente punto prado bucaramanga</t>
  </si>
  <si>
    <t>No. 18956</t>
  </si>
  <si>
    <t>Solicitud de cotización de MCE</t>
  </si>
  <si>
    <t>CLAUDIA NARVAEZ RAMIREZ</t>
  </si>
  <si>
    <t>Profesional de Compras y Suministros</t>
  </si>
  <si>
    <t>Solicitud venta Directa Medicamentos de Control CUMI</t>
  </si>
  <si>
    <t>SOLICITUD DE COMPRA DE METADONA</t>
  </si>
  <si>
    <t>YUDY ANDREA GAMBOA AGUDELO</t>
  </si>
  <si>
    <t>Coordinadora de Servicio Farmaceutico</t>
  </si>
  <si>
    <t>FUNDACION FOSUNAB</t>
  </si>
  <si>
    <t>900330752-0</t>
  </si>
  <si>
    <t>asistente.suministros3@foscal.com.co</t>
  </si>
  <si>
    <t>Calle 158 No. 20 - 95</t>
  </si>
  <si>
    <t>COTIZACIÓN FUNDACIÓN FOSUNAB BUCARAMANGA</t>
  </si>
  <si>
    <t>No. 717</t>
  </si>
  <si>
    <t>XIOMARA ROJAS SANDOVAL</t>
  </si>
  <si>
    <t>DISPENSARIO 6081 – ECOPETROL</t>
  </si>
  <si>
    <t>dispensario681@drogaslaeconomia.com</t>
  </si>
  <si>
    <t>CRA 26  # 30- 86 cañaveral</t>
  </si>
  <si>
    <t>Cotizacion disp 6081 Eticos Cañaveral</t>
  </si>
  <si>
    <t>Solicitud de autorización compra directa medicamentos de control especial monopolio del estado.</t>
  </si>
  <si>
    <t>No. 13130-11-2019</t>
  </si>
  <si>
    <t xml:space="preserve">Carrera 6 CL 16N-26 </t>
  </si>
  <si>
    <t>Carrera 6 CL 16N-27</t>
  </si>
  <si>
    <t>Carrera 6 CL 16N-28</t>
  </si>
  <si>
    <t>Carrera 6 CL 16N-29</t>
  </si>
  <si>
    <t>Carrera 6 CL 16N-30</t>
  </si>
  <si>
    <t>Carrera 6 CL 16N-31</t>
  </si>
  <si>
    <t>Carrera 6 CL 16N-32</t>
  </si>
  <si>
    <t>Se ha priorizado el abastecimiento para los FREs</t>
  </si>
  <si>
    <t>no hay disponibilidad</t>
  </si>
  <si>
    <t>Trámite de otra dependencia</t>
  </si>
  <si>
    <t>YEIMI PAOLA ESPINOZA</t>
  </si>
  <si>
    <t>Quimica Farmacéutica</t>
  </si>
  <si>
    <t>E.S.E. José María Hernandez</t>
  </si>
  <si>
    <t>dtfarmaceutico@esehospitalmocoa.gov.co</t>
  </si>
  <si>
    <t>Calle 14 No. 7 - 26</t>
  </si>
  <si>
    <t>Solicitud de cotización del medicamento- Morfina</t>
  </si>
  <si>
    <t>Dora Yaniba Ahumada Silva</t>
  </si>
  <si>
    <t>ND</t>
  </si>
  <si>
    <t>doraahus@gmail.com</t>
  </si>
  <si>
    <t>solicitud medicamentos</t>
  </si>
  <si>
    <t>ES UNA PERSONA NATURAL</t>
  </si>
  <si>
    <t xml:space="preserve">	Tramite de Autorización compra MCE - Clinaltec SAS</t>
  </si>
  <si>
    <t>Tramite de Autorización compra MCE - Clinaltec SAS</t>
  </si>
  <si>
    <t>No. 1286</t>
  </si>
  <si>
    <t>EDDY AGUILAR OLAYA</t>
  </si>
  <si>
    <t>CORPORACION MIIPS GRANADA</t>
  </si>
  <si>
    <t>farmaciaipsgranada@miips.com.co</t>
  </si>
  <si>
    <t>Calle 14 No. 14 -13</t>
  </si>
  <si>
    <t>Cotizacion medicamentos Monopolio</t>
  </si>
  <si>
    <t xml:space="preserve">	Cotizacion medicamentos Monopolio</t>
  </si>
  <si>
    <t>ANGELICA MORENO PATERLINA</t>
  </si>
  <si>
    <t>Clínica San Roque Cuidados Crónicos</t>
  </si>
  <si>
    <t>901320299-6</t>
  </si>
  <si>
    <t xml:space="preserve">	farmaciasanroque2020@gmail.com</t>
  </si>
  <si>
    <t>Calle 24 No. 6 - 24</t>
  </si>
  <si>
    <t>Solicitud de compras de medicamentos de control</t>
  </si>
  <si>
    <t>No. 1344</t>
  </si>
  <si>
    <t>documentos para solicitud</t>
  </si>
  <si>
    <t>Se reasigno a Daniela Martinez</t>
  </si>
  <si>
    <t>ELIECER PARRA DEL TORO</t>
  </si>
  <si>
    <t>LA ECONOMIA DROGUERIA</t>
  </si>
  <si>
    <t>eparra@eticos.com</t>
  </si>
  <si>
    <t>Carrera 35 No. 46 - 34</t>
  </si>
  <si>
    <t>Cotización</t>
  </si>
  <si>
    <t>No. 7191</t>
  </si>
  <si>
    <t>No. 7192</t>
  </si>
  <si>
    <t>No. 7193</t>
  </si>
  <si>
    <t>Carrera 26 # 32 - 53</t>
  </si>
  <si>
    <t>COTIZACIÓN MORFINA - SEDES BUCARAMANGA Y GIRON</t>
  </si>
  <si>
    <t>No. 1556</t>
  </si>
  <si>
    <t>Calle 53 # 35A 07</t>
  </si>
  <si>
    <t>No. 4710</t>
  </si>
  <si>
    <t>LUZ ELENA CACERES JEREZ</t>
  </si>
  <si>
    <t>PAINFREE SAS</t>
  </si>
  <si>
    <t>900808423-6</t>
  </si>
  <si>
    <t>administracion@painfreesas.com</t>
  </si>
  <si>
    <t>Carrera 36 No. 46-89</t>
  </si>
  <si>
    <t>Compra de Medicamentos</t>
  </si>
  <si>
    <t>No. 19832</t>
  </si>
  <si>
    <t>LINA MARCELA CHAPARRO GARCIA</t>
  </si>
  <si>
    <t>socorrogomez@fcv.org</t>
  </si>
  <si>
    <t>Calle: 45 No. 11- 52</t>
  </si>
  <si>
    <t>SOLICITO COTIZACION MEDICAMENTOS CONTROL ESPECIAL</t>
  </si>
  <si>
    <t>PAOLA ESPINOSA</t>
  </si>
  <si>
    <t>ESE Hospital José María Hernández</t>
  </si>
  <si>
    <t>Calle 14 Nº 7 26 Av San francisco</t>
  </si>
  <si>
    <t>SOLICITUD COMPRA</t>
  </si>
  <si>
    <t>ANDRES FELIPE MACIAS LOPEZ</t>
  </si>
  <si>
    <t>Coordinador Servicios Farmaceuticos</t>
  </si>
  <si>
    <t>Sociedad Médica De Santa Marta S.A.S. Clínica Prado</t>
  </si>
  <si>
    <t>891701664-1</t>
  </si>
  <si>
    <t>pradofarmacia1@gmail.com</t>
  </si>
  <si>
    <t>Carrera 5 # 25-46</t>
  </si>
  <si>
    <t>SOLICITUD DE COMPRA DIRECTA DE MEDICAMENTOS MONOPOLIO DEL ESTADO</t>
  </si>
  <si>
    <t>No. 979</t>
  </si>
  <si>
    <t>Clínica Chicamocha S.A.</t>
  </si>
  <si>
    <t>Avenida González Valencia #55 B-10</t>
  </si>
  <si>
    <t>Morfina</t>
  </si>
  <si>
    <t>no se adjunta resolución de la sede "ROSITA"</t>
  </si>
  <si>
    <t>No. 2526</t>
  </si>
  <si>
    <t>CARLOS ALBERTO BARANDICA RODRÍGUEZ</t>
  </si>
  <si>
    <t>JORGE HUMBERTO GONZALEZ BAHAMON</t>
  </si>
  <si>
    <t>Hospital Departamental San vicente de Paul</t>
  </si>
  <si>
    <t>891180026-5</t>
  </si>
  <si>
    <t>farmacia@hospitalsvpgarzon.gov.co</t>
  </si>
  <si>
    <t>Calle 7 No. 14-74</t>
  </si>
  <si>
    <t>Solicitud cotización de medicamentos de control especial</t>
  </si>
  <si>
    <t>No. 1857</t>
  </si>
  <si>
    <t>Solicitud cotización MORFINA CLORHIDRATO 10mg/mL Sol. Inyectable</t>
  </si>
  <si>
    <t>SOLICITUD DE VENTA DE MEDICAMENTOS 10-06-2021 IMAT SAS</t>
  </si>
  <si>
    <t>compra de de morfina</t>
  </si>
  <si>
    <t xml:space="preserve">	SOLICITUD DE COTIZACIÒN URGENTE. FNE</t>
  </si>
  <si>
    <t>YOLIMA OSPINA</t>
  </si>
  <si>
    <t>Corporación mi IPS Llanos Orientales - Acacias</t>
  </si>
  <si>
    <t>armaciaipsacacias@miips.com.co</t>
  </si>
  <si>
    <t>Calle 43 No. 18 - 54</t>
  </si>
  <si>
    <t>SOLICITUD COTIZACION MEDICAMENTOS MONOPOLIO ACACIAS META</t>
  </si>
  <si>
    <t>No. 44</t>
  </si>
  <si>
    <t>Cotizar Medicamentos de control especial Fundación Cardiovascular de Colombia</t>
  </si>
  <si>
    <t>EDUAR YESID RIVERA</t>
  </si>
  <si>
    <t>ANGIOGRAFIA DE COLOMBIA</t>
  </si>
  <si>
    <t>900148265-6</t>
  </si>
  <si>
    <t>compras@angiografiadecolombia.com</t>
  </si>
  <si>
    <t>Cra. 40 # 33 - 08</t>
  </si>
  <si>
    <t>SOLICITUD COMPRA DIRECTA DE MEDICAMENTOS MONOPOLIO DEL ESTADO- ANGIOGRAFIA DE COLOMBIA S.A.S</t>
  </si>
  <si>
    <t>SOLICITUD DE COMPRA DIRECTA A FNE DE MEDICAMENTOS DE CONTROL ESPECIAL.</t>
  </si>
  <si>
    <t xml:space="preserve">	COTIZACION JUNIO COMPRA HIDROMORFONA TAB 2.5</t>
  </si>
  <si>
    <t>farmaciasanroque2020@gmail.com</t>
  </si>
  <si>
    <t>Compra medicamentos de control Monopolio del estado</t>
  </si>
  <si>
    <t>LA RESOLUCION SE ENCUENTRA VENCIDA</t>
  </si>
  <si>
    <t>No. 7159</t>
  </si>
  <si>
    <t>FAVOR ENVIAR AUTORIZACION DE COMPRA Y COTIZACION DE LOS MEDICAMENTOS DE CONTROL ESPECIAL.</t>
  </si>
  <si>
    <t>YUDELY ASMITH MEDINA PÉREZ</t>
  </si>
  <si>
    <t>Solicitud de cotización y generación de factura para compra de Fenobarbital 100 mg</t>
  </si>
  <si>
    <t>No. 323</t>
  </si>
  <si>
    <t>CARLOS MARIO GUETE VARGAS</t>
  </si>
  <si>
    <t>JEFE DE COMPRAS</t>
  </si>
  <si>
    <t>Compañia Colombiana De Salud - Clínica Mar Caribe</t>
  </si>
  <si>
    <t>Calle 21 Nª 18A-103</t>
  </si>
  <si>
    <t>OTIZAR MEDICAMENTOS -- COLSALUD CLINICA MAR CARIBE</t>
  </si>
  <si>
    <t>Reasignación a don Pedro Rubio por competencia</t>
  </si>
  <si>
    <t>CLAVE</t>
  </si>
  <si>
    <t>**Nombre**</t>
  </si>
  <si>
    <t>**CargoEmpresa**</t>
  </si>
  <si>
    <t>**CorreoEmpresa**</t>
  </si>
  <si>
    <t>**RadicadoEntrada**</t>
  </si>
  <si>
    <t>**MesEntrada**</t>
  </si>
  <si>
    <t>**Establecimiento**</t>
  </si>
  <si>
    <t>**NIT**</t>
  </si>
  <si>
    <t>**Direccion**</t>
  </si>
  <si>
    <t>**Ciudad**</t>
  </si>
  <si>
    <t>**Departamento**</t>
  </si>
  <si>
    <t>**Resolucion**</t>
  </si>
  <si>
    <t>**Medicamento1**</t>
  </si>
  <si>
    <t>**FormaFar1**</t>
  </si>
  <si>
    <t>**CantidadLetra1**</t>
  </si>
  <si>
    <t>**Medicamento10**</t>
  </si>
  <si>
    <t>**FormaFar10**</t>
  </si>
  <si>
    <t>**CantidadLetra10**</t>
  </si>
  <si>
    <t>**Medicamento9**</t>
  </si>
  <si>
    <t>**FormaFar9**</t>
  </si>
  <si>
    <t>**CantidadLetra9**</t>
  </si>
  <si>
    <t>**Medicamento8**</t>
  </si>
  <si>
    <t>**FormaFar8**</t>
  </si>
  <si>
    <t>**CantidadLetra8**</t>
  </si>
  <si>
    <t>**Medicamento7**</t>
  </si>
  <si>
    <t>**FormaFar7**</t>
  </si>
  <si>
    <t>**CantidadLetra7**</t>
  </si>
  <si>
    <t>**Medicamento6**</t>
  </si>
  <si>
    <t>**FormaFar6**</t>
  </si>
  <si>
    <t>**CantidadLetra6**</t>
  </si>
  <si>
    <t>**Medicamento5**</t>
  </si>
  <si>
    <t>**Concentracion5**</t>
  </si>
  <si>
    <t>**Concentracion1**</t>
  </si>
  <si>
    <t>**Medicamento2**</t>
  </si>
  <si>
    <t>**Concentracion2**</t>
  </si>
  <si>
    <t>**FormaFar2**</t>
  </si>
  <si>
    <t>**CantidadLetra2**</t>
  </si>
  <si>
    <t>**Medicamento3**</t>
  </si>
  <si>
    <t>**Concentracion3**</t>
  </si>
  <si>
    <t>**FormaFar3**</t>
  </si>
  <si>
    <t>**CantidadLetra3**</t>
  </si>
  <si>
    <t>**Medicamento4**</t>
  </si>
  <si>
    <t>**Concentracion4**</t>
  </si>
  <si>
    <t>**FormaFar4**</t>
  </si>
  <si>
    <t>**CantidadLetra4**</t>
  </si>
  <si>
    <t>**FormaFar5**</t>
  </si>
  <si>
    <t>**CantidadLetra5**</t>
  </si>
  <si>
    <t>**Concentracion6**</t>
  </si>
  <si>
    <t>**Concentracion7**</t>
  </si>
  <si>
    <t>**Concentracion8**</t>
  </si>
  <si>
    <t>**Concentracion9**</t>
  </si>
  <si>
    <t>**Concentracion10**</t>
  </si>
  <si>
    <t>NATHALIA JAIMES VELASCO</t>
  </si>
  <si>
    <t>Regente auxiliar de compras</t>
  </si>
  <si>
    <t xml:space="preserve">FUNDACIÓN CARDIOVASCULAR DE COLOMBIA </t>
  </si>
  <si>
    <t>890.212.568-0</t>
  </si>
  <si>
    <t>nathaliajaimes@fcv.org</t>
  </si>
  <si>
    <t>Cll 155A No. 23-58</t>
  </si>
  <si>
    <t>FERNEY CHACON PORTILLA</t>
  </si>
  <si>
    <t>Asistente de compras</t>
  </si>
  <si>
    <t>FOSUNAB</t>
  </si>
  <si>
    <t>900.330.752-0</t>
  </si>
  <si>
    <t>Cll 158 No. 20-95</t>
  </si>
  <si>
    <t>Cra 43 No. 80</t>
  </si>
  <si>
    <t>No adjuntan resolución de inscripción del operador logístico</t>
  </si>
  <si>
    <t>No. 515</t>
  </si>
  <si>
    <t>LUIS ALBERTO FRANCO MORENO</t>
  </si>
  <si>
    <t>SERVIMEDICOS S.A.S</t>
  </si>
  <si>
    <t>800.162.035-4</t>
  </si>
  <si>
    <t>servimedicosfarmacia@gmail.com</t>
  </si>
  <si>
    <t>Cll 32 No. 40-40</t>
  </si>
  <si>
    <t>Yurany Beltran Piñeros</t>
  </si>
  <si>
    <t>CORPORACION MI IPS LLANOS-PARQUE</t>
  </si>
  <si>
    <t>822.006.818-7</t>
  </si>
  <si>
    <t>CARRERA 40 # 32-06 BARZAL</t>
  </si>
  <si>
    <t xml:space="preserve">ANDRÉS FELIPE MACÍAS LÓPEZ </t>
  </si>
  <si>
    <t>SOCIEDAD MÉDICA DE SANTA MARTA</t>
  </si>
  <si>
    <t>891.701.664-1</t>
  </si>
  <si>
    <t>Cra 5 No. 25-46</t>
  </si>
  <si>
    <t>CRISTIAN CAMILO FUENTES ARROYAVE</t>
  </si>
  <si>
    <t>CLÍNICA PUTUMAYO S.A.S. ZOMAC </t>
  </si>
  <si>
    <t>901.201.887-7</t>
  </si>
  <si>
    <t>coordinacionfarmacia@clinicaputumayo.com.co</t>
  </si>
  <si>
    <t>Cra 48 No. 10-29</t>
  </si>
  <si>
    <t>El FRE realizó adquisición del MME</t>
  </si>
  <si>
    <t>No. 159</t>
  </si>
  <si>
    <t>CLÍNICA ZAYMA S.A.S</t>
  </si>
  <si>
    <t>800.074.112-6</t>
  </si>
  <si>
    <t>Cll 28 No. 7-11</t>
  </si>
  <si>
    <t>No. 71</t>
  </si>
  <si>
    <t>BEATRIZ EUGENIA GALLO VÉLEZ</t>
  </si>
  <si>
    <t>Angiografía de Colombia S.A.S</t>
  </si>
  <si>
    <t>900.148.265-6</t>
  </si>
  <si>
    <t>Cra 40 No. 33-08</t>
  </si>
  <si>
    <t>No. 290</t>
  </si>
  <si>
    <t>JULIETH CAROLINA GONZALEZ</t>
  </si>
  <si>
    <t>NEUROMÉDICA</t>
  </si>
  <si>
    <t>900.699.359-9</t>
  </si>
  <si>
    <t>regentefarmanorte@neuromedica.com.co</t>
  </si>
  <si>
    <t>Cra 52 No. 65-91</t>
  </si>
  <si>
    <t>No. 2019060037241</t>
  </si>
  <si>
    <t>KAREN RODRIGEZ A</t>
  </si>
  <si>
    <t>CORPORACIÓN MI IPS LLANOS ORIENTALES</t>
  </si>
  <si>
    <t>farmaciaipspuertogaitan@miips.com.co</t>
  </si>
  <si>
    <t>Calle 8 N° 7 -05 Barrio Triunfo</t>
  </si>
  <si>
    <t>No adjuntan cantidad a cotizar del medicamento</t>
  </si>
  <si>
    <t>DINA ESTHER PEÑALOZA DÍAZ</t>
  </si>
  <si>
    <t>Cordinador Regional</t>
  </si>
  <si>
    <t>ASSALUD</t>
  </si>
  <si>
    <t>Calle 09 N° 07 - 10</t>
  </si>
  <si>
    <t>Calle 14 N° 11 - 61</t>
  </si>
  <si>
    <t>No. 816</t>
  </si>
  <si>
    <t>Cra 16 No 14-44</t>
  </si>
  <si>
    <t>ONCOMÉDICA S.A.</t>
  </si>
  <si>
    <t>812.007.194-8</t>
  </si>
  <si>
    <t>CR 6 72 34</t>
  </si>
  <si>
    <t xml:space="preserve">No adjuntan resolución </t>
  </si>
  <si>
    <t>-</t>
  </si>
  <si>
    <t>900.622.551-0</t>
  </si>
  <si>
    <t>ÉTICOS SERRANO</t>
  </si>
  <si>
    <t>892.300.678-2</t>
  </si>
  <si>
    <t>No.616</t>
  </si>
  <si>
    <t>CLÍNICA MATERNO INFANTIL</t>
  </si>
  <si>
    <t>812.004.935-5</t>
  </si>
  <si>
    <t>Cll 39 No.06-15</t>
  </si>
  <si>
    <t>No. 92</t>
  </si>
  <si>
    <t>Directora Técnica</t>
  </si>
  <si>
    <t>El FRE ya cuenta con disponibilidad del medicamento</t>
  </si>
  <si>
    <t>ALVARO ENRIQUE MORALES RIVERA</t>
  </si>
  <si>
    <t>Gerente Hospital</t>
  </si>
  <si>
    <t>HOSPITAL MANUEL ELKIN PATARROLLO IPS S.A.S</t>
  </si>
  <si>
    <t>901.242.654-3</t>
  </si>
  <si>
    <t>coordinacionadmon.hmep@gmail.com</t>
  </si>
  <si>
    <t>Cra 9 No. 16-14</t>
  </si>
  <si>
    <t>No. 004</t>
  </si>
  <si>
    <t>FUNDACIÓN CARDIOVASCULAR DE COLOMBIA ZONA FRANCA S.A.S</t>
  </si>
  <si>
    <t>900.341.526-1</t>
  </si>
  <si>
    <t>Km 7 Vía Piedecuesta - Floridablanca</t>
  </si>
  <si>
    <t>La resolución adjunta está vencida</t>
  </si>
  <si>
    <t>FRANK ALEXANDER RIVERA MIRA</t>
  </si>
  <si>
    <t>SOCIEDAD CLÍNICA CASANARE LTDA</t>
  </si>
  <si>
    <t>891.855.847-3</t>
  </si>
  <si>
    <t>Calle 13 # 29-36</t>
  </si>
  <si>
    <t>No. 0611</t>
  </si>
  <si>
    <t xml:space="preserve">RAÚL BELTRÁN PORTELA </t>
  </si>
  <si>
    <t>CLÍNICA PIEDECUESTA S.A</t>
  </si>
  <si>
    <t>800.090.749-4</t>
  </si>
  <si>
    <t>Cra 11 No. 6-48</t>
  </si>
  <si>
    <t>No. 8329</t>
  </si>
  <si>
    <t>CARLOS ALBERTO BARANDICA RODRIGUEZ</t>
  </si>
  <si>
    <t>CLINICA CHICAMOCHA S.A</t>
  </si>
  <si>
    <t>890.209.698-9</t>
  </si>
  <si>
    <t>Calle 40 N°.27a-22</t>
  </si>
  <si>
    <t>No. 8196</t>
  </si>
  <si>
    <t>ADALBERTO MORALES DIZ</t>
  </si>
  <si>
    <t>900.090.247-1</t>
  </si>
  <si>
    <t>Calle 22 Carrera 17 No. 16-30 Casasuan</t>
  </si>
  <si>
    <t>Carrera 6 No. 72-34</t>
  </si>
  <si>
    <t>Solicitud Autorizacion Compra Directa ONCOMEDICA S.A</t>
  </si>
  <si>
    <t>No. 0669</t>
  </si>
  <si>
    <t>MARÍA EUGENIA PÉREZ ARRIETA</t>
  </si>
  <si>
    <t>ETICO UT 2020-BRIGADA DE INFANTERÍA DE MARINA No. 1</t>
  </si>
  <si>
    <t>901.381.381-3</t>
  </si>
  <si>
    <t>farmacia10506@eticos.com</t>
  </si>
  <si>
    <t>Av. Troncal de Occidente Kilómetro 2 salida a Sincelejo</t>
  </si>
  <si>
    <t>SOLICITUD AUTORIZACION COMPRA DE CONCERTA DE 36 MG</t>
  </si>
  <si>
    <t>No. 491</t>
  </si>
  <si>
    <t>DISNEY MORENO</t>
  </si>
  <si>
    <t>Area de farmacia</t>
  </si>
  <si>
    <t>HOSPITAL MUNICIPAL DE ACACIAS E.S.E</t>
  </si>
  <si>
    <t>892.000.264-4</t>
  </si>
  <si>
    <t>farmacia@hospitaldeacacias.gov.co</t>
  </si>
  <si>
    <t>Diagonal 15 No. 26-21 Barrio San José</t>
  </si>
  <si>
    <t>No. 479</t>
  </si>
  <si>
    <t>HOSPITAL FEDERICO LLERAS ACOSTA</t>
  </si>
  <si>
    <t>890706833-9</t>
  </si>
  <si>
    <t>Calle 33 No.4A-50</t>
  </si>
  <si>
    <t>Solicitud Autorización Compra Directa medicamentos monopolio del Estado</t>
  </si>
  <si>
    <t>farmaclinicacasanare@gmail.com</t>
  </si>
  <si>
    <t>IMELDA CARVAJAL HERNANDEZ </t>
  </si>
  <si>
    <t>Asistente de compras medicamentos</t>
  </si>
  <si>
    <t>CLÍNICA FOSCAL</t>
  </si>
  <si>
    <t>asistente.suministros5@foscal.com.co </t>
  </si>
  <si>
    <t>Avenida El Bosque No. 23-60 Torre CAL Piso 3</t>
  </si>
  <si>
    <t>890.205.361-4</t>
  </si>
  <si>
    <t>AYLIN YOMARA SOLIS BOLIVAR</t>
  </si>
  <si>
    <t>Dirección técnica del servicio farmacéutica</t>
  </si>
  <si>
    <t>NEUROMEDICA</t>
  </si>
  <si>
    <t>900.699.359-3</t>
  </si>
  <si>
    <t>quimicafarmaceutica@neuromedica.com.co</t>
  </si>
  <si>
    <t>Carrera 43A No. 34-95 Local 1B</t>
  </si>
  <si>
    <t>SOLICITUD DE COTIZACION- NEUROMÉDICA</t>
  </si>
  <si>
    <t>No. 2021060007994</t>
  </si>
  <si>
    <t>JOHN JAVIER ESPINOSA</t>
  </si>
  <si>
    <t>804.010.795-6</t>
  </si>
  <si>
    <t>HOLMES NEY HOLGUIN TUMAY</t>
  </si>
  <si>
    <t>JERSALUD SAS</t>
  </si>
  <si>
    <t>COLSALUD CLINICA MAR CARIBE</t>
  </si>
  <si>
    <t>819.002.176-8</t>
  </si>
  <si>
    <t>COTIZAR MEDICAMENTOS -- COLSALUD CLINICA MAR CARIBE</t>
  </si>
  <si>
    <t>VILMA MARINA BERRIO CANOLES</t>
  </si>
  <si>
    <t>Directora técnica</t>
  </si>
  <si>
    <t>Gerencia</t>
  </si>
  <si>
    <t>812.001.561-0</t>
  </si>
  <si>
    <t>Calle 28A No.23-03 Bario San Jose</t>
  </si>
  <si>
    <t>Solicitud medicamentos monopolio</t>
  </si>
  <si>
    <t>No. 20170019</t>
  </si>
  <si>
    <t>FELIPE MEJIA ESCOBAR</t>
  </si>
  <si>
    <t>CORPORACION CLINICA</t>
  </si>
  <si>
    <t>900.213.617-3</t>
  </si>
  <si>
    <t>regenteadministrativo@clinicaprimavera.com</t>
  </si>
  <si>
    <t>Calle 36 No.35-70 BARZAL</t>
  </si>
  <si>
    <t>SOLICITUD COMPRA MEDICAMENTOS DE CONTROL</t>
  </si>
  <si>
    <t>No. 0003</t>
  </si>
  <si>
    <t>VALENTINA LOPEZ</t>
  </si>
  <si>
    <t>NEUROMEDICA S.A.S</t>
  </si>
  <si>
    <t>neuromedicafarmasur@gmail.com</t>
  </si>
  <si>
    <t>Carrera 41 No. 35sur-14</t>
  </si>
  <si>
    <t>Solicitud MCE Neuromedica Farmasur</t>
  </si>
  <si>
    <t>No. 2016060090172</t>
  </si>
  <si>
    <t>JOSÉ LUCAS RODRÍGUEZ MORA</t>
  </si>
  <si>
    <t>HOSPITAL DEPARTAMENTAL DE VILLAVICENCIO-ESE</t>
  </si>
  <si>
    <t>892.000.501-5</t>
  </si>
  <si>
    <t>Calle 37A No. 28-53 Brr Barzal Alto</t>
  </si>
  <si>
    <t>No. 514</t>
  </si>
  <si>
    <t>YURANY BELTRAN PIÑEROS</t>
  </si>
  <si>
    <t>Carrera 40 No. 32-06 Barzal</t>
  </si>
  <si>
    <t>SOLICITUD COMPRA DIRECTA URGENTE</t>
  </si>
  <si>
    <t>Ciento Veinte (120)_Caja 10 ampollas</t>
  </si>
  <si>
    <t>Seiscientos (600)_Caja x 10 unidades</t>
  </si>
  <si>
    <t>Veinte (20)_Frasco x 30 mL</t>
  </si>
  <si>
    <t>Ochenta (80)_Caja x 10 unidades</t>
  </si>
  <si>
    <t>Veintitres (23)_Caja x 30 unidades</t>
  </si>
  <si>
    <t>Ochenta (80)_Frasco x 120 mL</t>
  </si>
  <si>
    <t>JUL</t>
  </si>
  <si>
    <t>CORPORACIÓN MI IPS LLANOS-PARQUE</t>
  </si>
  <si>
    <t>BENJAMIN SALAS FORTICH</t>
  </si>
  <si>
    <t>D.T. Servicio Farmaceutico</t>
  </si>
  <si>
    <t>FUNDACIÓN AMIGOS DE LA SALUD</t>
  </si>
  <si>
    <t>812.005.522-1</t>
  </si>
  <si>
    <t>farmacia@Fundacionamigosdelasalud.com</t>
  </si>
  <si>
    <t>Calle 27 # 11-35</t>
  </si>
  <si>
    <t>Solicitud de cotización de medicamentos y recetarios de control especial</t>
  </si>
  <si>
    <t>AUTORIZACION COMPRA DE MORFINA SOLUCION ORAL AL 3%</t>
  </si>
  <si>
    <t>Calle 24 #18A-101 Santa Catalina</t>
  </si>
  <si>
    <t>AUTORIZACION PARA COMPRA DIRECTA </t>
  </si>
  <si>
    <t>Solictud de cotizacion medicamento de control monopolio del estado</t>
  </si>
  <si>
    <t>COTIZACIÓN ENVIADA 202124101063882 del 17/06/2021</t>
  </si>
  <si>
    <t>Hospital Departamental San Vicente de Paul</t>
  </si>
  <si>
    <t>891.180.026-5</t>
  </si>
  <si>
    <t>SOLICITUD DE COMPRA + AUTORIZACIÓN DE RETIRO DE MEDICAMENTOS DE CONTROL ESPECIAL</t>
  </si>
  <si>
    <t>ELIANA MARÍA CORREA ESTUPIÑÁN</t>
  </si>
  <si>
    <t>Director Técnico servicio farmacéutico</t>
  </si>
  <si>
    <t>Clínica Medicenter Ficubo SAS</t>
  </si>
  <si>
    <t>900.685.235-8</t>
  </si>
  <si>
    <t>seguridad.paciente@clinicamedicenterficubo.com</t>
  </si>
  <si>
    <t>Carrera 23 # 12-43</t>
  </si>
  <si>
    <t>SOLICITUD AUTORIZACION COMPRA MORFINA</t>
  </si>
  <si>
    <t>No. 1239</t>
  </si>
  <si>
    <t>Químico Farmacéutico – Director Técnico General</t>
  </si>
  <si>
    <t>Droguería Alianza de Occidente 085 Ibagué</t>
  </si>
  <si>
    <t>817.004.260-0</t>
  </si>
  <si>
    <t>Carrera 4k No. 31A -9 Barrio Cádiz</t>
  </si>
  <si>
    <t>Solicitud de autorización compra directa Medicamentos de control Especial Monopolio del Estado.</t>
  </si>
  <si>
    <t>Centro Hospitalario Serena del Mar S.A</t>
  </si>
  <si>
    <t>900.482.242-8</t>
  </si>
  <si>
    <t>gina.ojito@chsm.com</t>
  </si>
  <si>
    <t>Vía al Mar Km 8</t>
  </si>
  <si>
    <t>Solicitud Medicamentos Centro Hospitalario Serena del Mar</t>
  </si>
  <si>
    <t>No. 018</t>
  </si>
  <si>
    <t>891.180.268-0</t>
  </si>
  <si>
    <t>Calle 9 No. 15-25 </t>
  </si>
  <si>
    <t>No. 0483</t>
  </si>
  <si>
    <t>ROSA MARIA JIMENEZ BAQUERO</t>
  </si>
  <si>
    <t>HOSPITAL CASTILLA LA NUEVA E.S.E.</t>
  </si>
  <si>
    <t>900.004.059-7</t>
  </si>
  <si>
    <t>farmaciaesecastillalanueva@gmail.com</t>
  </si>
  <si>
    <t>Carrera 11 No. 6-48</t>
  </si>
  <si>
    <t>Carrera 8 No.15 Vía Cacayal</t>
  </si>
  <si>
    <t>SOLICITUD COMPRA MEDICAMENTOS FNE</t>
  </si>
  <si>
    <t>No. 0012</t>
  </si>
  <si>
    <t>860.005.114-4</t>
  </si>
  <si>
    <t>AUTORIZACION COMPRA MORFINA SOL INYECTABLE</t>
  </si>
  <si>
    <t>Adm. y Regente de Farmacia.</t>
  </si>
  <si>
    <t>DISPENSARIO ETICOS 698</t>
  </si>
  <si>
    <t>892.300.678-7</t>
  </si>
  <si>
    <t>Calle 30 No. 03-28 Barrio Centro</t>
  </si>
  <si>
    <t>Solicitud de compra medicamento fne. urgnte</t>
  </si>
  <si>
    <t>No. 664</t>
  </si>
  <si>
    <t>MARYENIS BAUTISTA URUETA</t>
  </si>
  <si>
    <t>Química Farmacéutica</t>
  </si>
  <si>
    <t>UROCADIZ ESPECIALIDADES MEDICO QUIRURGICAS S.A.S</t>
  </si>
  <si>
    <t>809.012.505-4</t>
  </si>
  <si>
    <t>farmacia@urocadiz.com</t>
  </si>
  <si>
    <t>Cra. 4D N. 32-11 Cádiz</t>
  </si>
  <si>
    <t>SOLICITUD CLINICA UROCADIZ</t>
  </si>
  <si>
    <t>No. 905</t>
  </si>
  <si>
    <t>ANDRÉS FELIPE MACÍAS LÓPEZ</t>
  </si>
  <si>
    <t>CLINICA PRADO</t>
  </si>
  <si>
    <t>CARRERA 5 # 25-46 esquina Barrio el Prado</t>
  </si>
  <si>
    <t>No. 0979</t>
  </si>
  <si>
    <t>Se dio respuesta en el radicado  202124101241262</t>
  </si>
  <si>
    <t>800.250.634-3</t>
  </si>
  <si>
    <t>Calle 44 No.14-282 Barrio Portal de Almeria</t>
  </si>
  <si>
    <t>Compra directa medicamentos medicina integral</t>
  </si>
  <si>
    <t>800.037.021-7</t>
  </si>
  <si>
    <t>SOLICITUD COTIZACIÓN COMPARA MEDICAMENTOS MONOPOLIO DEL ESTADO HOSPITAL DEPARTAMENTAL DE GRANADA ESE</t>
  </si>
  <si>
    <t>No. 1706</t>
  </si>
  <si>
    <t>TIRSO PACHECO MOLINA</t>
  </si>
  <si>
    <t>CLINICA LA ASUNCIÓN</t>
  </si>
  <si>
    <t>890.102.140-0</t>
  </si>
  <si>
    <t>tirso.pacheco@clinicalaasuncion.com</t>
  </si>
  <si>
    <t>Calle 70B No. 41-93</t>
  </si>
  <si>
    <t>SOLICITUD MEDICAMENTOS CLINICA LA ASUNCION</t>
  </si>
  <si>
    <t>No. 7574</t>
  </si>
  <si>
    <t>CL 183 45 03 OF 610 CC SANTAFE</t>
  </si>
  <si>
    <t> Tramite a la solicitud del Ciudadano Radicado No. 202124101078052 Ministerio de Salud y Proteccion</t>
  </si>
  <si>
    <t>901.085.352-0</t>
  </si>
  <si>
    <t>Calle 72 No.6A-87</t>
  </si>
  <si>
    <t>SOLICITUD DE VENTA DE MEDICAMENTOS 14-07-2021 IMAT SAS</t>
  </si>
  <si>
    <t>FUNDACIÓN CARDIO VASCULAR DE COLOMBIA</t>
  </si>
  <si>
    <t>SOLICITUD COTIZACIÓN MEDICAMENTOS DE CONTROL ESPECIAL HOSPITAL INTERNACONAL</t>
  </si>
  <si>
    <t>Coordinador de Farmacia</t>
  </si>
  <si>
    <t>compras.medicamentosfi@foscal.com.co</t>
  </si>
  <si>
    <t>900.073.223-3</t>
  </si>
  <si>
    <t>WILSON RENE SALINAS RODRIGUEZ</t>
  </si>
  <si>
    <t>E.S.E. HOSPITAL LOCAL DE PUERTO LOPEZ</t>
  </si>
  <si>
    <t>800.037.979-7</t>
  </si>
  <si>
    <t>almacen@esehospitalocal-puertolopez-meta.gov.co</t>
  </si>
  <si>
    <t>Calle 8 No. 6-50 Barrio Gaitan</t>
  </si>
  <si>
    <t>No. 203</t>
  </si>
  <si>
    <t>Asociado con radicado 202124101172822</t>
  </si>
  <si>
    <t>ERIKA JANNETH LONDOÑO URIBE</t>
  </si>
  <si>
    <t>dmartinezc@Minsalud.gov.co; adriana.chaves@loscomuneroshub.com</t>
  </si>
  <si>
    <t>luis.ratia@marcazsalud.com.co;  shirley.rojas@marcazsalud.com.co</t>
  </si>
  <si>
    <t>CALLE 19 No. 23-14 BARRIO BICENTENARIO</t>
  </si>
  <si>
    <t>Solicitud</t>
  </si>
  <si>
    <t>Se dio respuesta en el radicado  202124110997291</t>
  </si>
  <si>
    <t>Solicitud duplicada se dio respuesta en el radicado 202124111116481</t>
  </si>
  <si>
    <t>qffarmacia10504@eticos.com</t>
  </si>
  <si>
    <t>Solicitud de autorización para la compra directa medicamentos Monopolio del estado</t>
  </si>
  <si>
    <t>PEDRO P. RODRIGUEZ MARQUEZ</t>
  </si>
  <si>
    <t>Químico Farmacéutico</t>
  </si>
  <si>
    <t>HOSPITAL SAN CRISTOBAL DE CIENAGA EMPRESA SOCIAL DEL ESTADO</t>
  </si>
  <si>
    <t>800.130.625-2</t>
  </si>
  <si>
    <t>peparo29@hotmail.com</t>
  </si>
  <si>
    <t>Calle 5 Carrera 21 Av San Cristobal</t>
  </si>
  <si>
    <t>COTIZACIÓN PARA COMPRA DE MEDICAMENTOS DE CONTROL</t>
  </si>
  <si>
    <t>No. 1171</t>
  </si>
  <si>
    <t>No. 7036</t>
  </si>
  <si>
    <t>Director General</t>
  </si>
  <si>
    <t>FUNDACIÓN OFTALMOLOGICA DE SANTANDER - FOSCAL</t>
  </si>
  <si>
    <t>compras.medicamentos@foscal.com.co</t>
  </si>
  <si>
    <t>Calle 155A No. 23-09</t>
  </si>
  <si>
    <t>CARLOS JOSE IRIARTE ROSA</t>
  </si>
  <si>
    <t xml:space="preserve">Jefe de Logística y Suministros </t>
  </si>
  <si>
    <t>CLINICA AVIDANTI SANTA MARTA</t>
  </si>
  <si>
    <t>800.185.449-9</t>
  </si>
  <si>
    <t>carlosiriarte@avidanti.com</t>
  </si>
  <si>
    <t>Carrera 4 No. 62A-71</t>
  </si>
  <si>
    <t>No. 3911</t>
  </si>
  <si>
    <t>Baja disponibilidad en el FNE</t>
  </si>
  <si>
    <t>HOSPITAL FEDERICO LLERAS ACOSTA E.S.E.</t>
  </si>
  <si>
    <t>pu.farmacia@hflleras.gov.co</t>
  </si>
  <si>
    <t>SOLICITUD DE COTIZACION DE MEDICAMENTOS MONOPOLIO DEL ESTADO</t>
  </si>
  <si>
    <t>Calle 155A No.23-58 Urb El Borque</t>
  </si>
  <si>
    <t>Solicitud de compra directa medicamentos de contol especial</t>
  </si>
  <si>
    <t>LAURA CAROLINA PABON HERRERA</t>
  </si>
  <si>
    <t>CORPORACIÓN MI IPS LLANOS RESTREPO</t>
  </si>
  <si>
    <t>farmaciaipsrestrepo@miips.com.co</t>
  </si>
  <si>
    <t>Carrera 7 No. 8-23 La Acacias</t>
  </si>
  <si>
    <t>COTIZACION COMPRA DIRECTA</t>
  </si>
  <si>
    <t>GLORIA STELLA ARENAS</t>
  </si>
  <si>
    <t>MESSER COLOMBIA AGENCIA BUCARAMANGA</t>
  </si>
  <si>
    <t>gloria.stella.arenas@messer-co.com</t>
  </si>
  <si>
    <t xml:space="preserve">Carrera 28 No. 58-80 </t>
  </si>
  <si>
    <t>cotización de Fenobarbital jarabe</t>
  </si>
  <si>
    <t>No. 7944</t>
  </si>
  <si>
    <t>El FRE cuenta con disponibilidad del medicamento</t>
  </si>
  <si>
    <t>cotizacion medicamento de control</t>
  </si>
  <si>
    <t>Solicitud compra de morfina</t>
  </si>
  <si>
    <t>Carrera 34 No. 37-13</t>
  </si>
  <si>
    <t>JULIETH ALVAREZ</t>
  </si>
  <si>
    <t>IPS INDIGENA MATSULUDANI UNUMA LTDA</t>
  </si>
  <si>
    <t>900.306.711-1</t>
  </si>
  <si>
    <t>farmaciamatsuludani@gmail.com</t>
  </si>
  <si>
    <t>Carrera 13 No 13D-21 Barrio Manacacias</t>
  </si>
  <si>
    <t>No. 478</t>
  </si>
  <si>
    <t>Se dio respuesta en el radicado No. 202124101312482, se asocia</t>
  </si>
  <si>
    <t>MYREYA AGUDELO ROJAS</t>
  </si>
  <si>
    <t>892.000.458-6</t>
  </si>
  <si>
    <t>farmacia@hospitalsanmartinmeta.gov.co</t>
  </si>
  <si>
    <t xml:space="preserve">Calle 4 No. 7 – 34 Barrio Camoa </t>
  </si>
  <si>
    <t>SOLICITUD DE COMPRA DE MEDICAMENTOS DE CONTROL ESPECIAL</t>
  </si>
  <si>
    <t>TRAMITE COTIZACION Y AUTORIZACION COMPRA HIDROMORFONA</t>
  </si>
  <si>
    <t>Solicitud Pedido</t>
  </si>
  <si>
    <t xml:space="preserve">CORPORACIÓN MI IPS LLANOS ORIENTALES </t>
  </si>
  <si>
    <t>Carrera 41 No. 33B-37 Barrio Barzal</t>
  </si>
  <si>
    <t>LINA VIVIANA GUZMAN BARRETO</t>
  </si>
  <si>
    <t>Dir. Técnico Servicio Farmacéutico </t>
  </si>
  <si>
    <t>CLÍNICA TOLIMA S.A.</t>
  </si>
  <si>
    <t>pcortes@minsalud.gov.co</t>
  </si>
  <si>
    <t>Carrera 1 No.12-22</t>
  </si>
  <si>
    <t>AUTORIZACIÓN COMPRA MEDICAMENTOS MONOPOLIO DE ESTADO - CLINICA TOLIMA S.A.</t>
  </si>
  <si>
    <t>No. 01992</t>
  </si>
  <si>
    <t>IPS CLÍNICA BLAS DE LEZO SAS</t>
  </si>
  <si>
    <t>Av. Del Bosque Transversal 54 No.47-57</t>
  </si>
  <si>
    <t>Solicitud de Medicamentos CBL</t>
  </si>
  <si>
    <t>SOLICITUD AUTORIZACION COMPRA DIRECTA</t>
  </si>
  <si>
    <t>RUBEN DARIO BAÑOS SOLANO</t>
  </si>
  <si>
    <t>Coordinador Servicio Farmaceutico</t>
  </si>
  <si>
    <t>CLINICA MATERNO INFANTIL SAN LUIS S.A.</t>
  </si>
  <si>
    <t>890.208.758-8</t>
  </si>
  <si>
    <t>direccion.farmacia@clinicasanluis.com.co</t>
  </si>
  <si>
    <t>Calle 48 No. 25-56 Sotomayor</t>
  </si>
  <si>
    <t>COTIZACION DE MEDICAMENTOS DE CONTROL ESPECIAL</t>
  </si>
  <si>
    <t>LUIS ROJAS CATALÁN</t>
  </si>
  <si>
    <t>PROMOSALUD IPS SEDE HOSPITALARIA CLINICA EL PRADO</t>
  </si>
  <si>
    <t>luis.rojas@promosaludips.com</t>
  </si>
  <si>
    <t>Calle 59 N° 50 – 10</t>
  </si>
  <si>
    <t>Solicitud compra de medicamentos monopolio del estado</t>
  </si>
  <si>
    <t>CLINICA GENERAL DE CIENAGA S.A.S.</t>
  </si>
  <si>
    <t>819.000.413-1</t>
  </si>
  <si>
    <t>Carrera 18B No.18A-15</t>
  </si>
  <si>
    <t>SOLICITUD COTIZACION METADONA TAB 10 MG</t>
  </si>
  <si>
    <t>FUNDACION CARDIOVASCULAR DE COLOMBIA ZONA FRANCA S.A.S</t>
  </si>
  <si>
    <t>Kilometro 7 Vía Piedecuesta</t>
  </si>
  <si>
    <t>SOLICITUD COMPRA MEDICAMENTOS CONTROL ESPECIAL</t>
  </si>
  <si>
    <t>farmaciaipscumaral@miips.com.co</t>
  </si>
  <si>
    <t>SOLCITUD COMPRA MCE CUMARAL</t>
  </si>
  <si>
    <t>SOLICTUD DE COTIZACION DE MEDICAMENTOS MONOPOLIO DEL ESTADO</t>
  </si>
  <si>
    <t>SOLICITUD DE COMPRA DIRECTA A FNE DE MEDICAMENTOS DE CONTROL ESPECIAL</t>
  </si>
  <si>
    <t>SHIRLEY ROJAS</t>
  </si>
  <si>
    <t>MARCAZSALUD R.C S.A.S</t>
  </si>
  <si>
    <t>calle 22 No. 21-16</t>
  </si>
  <si>
    <t>Solicitud Autorización Compra Directa medicamento monopolio del Estado</t>
  </si>
  <si>
    <t>No. 2020060024901</t>
  </si>
  <si>
    <t>VALENTINA LOPEZ ZEA</t>
  </si>
  <si>
    <t>Solicitud MCE Neuromedica Farmasur Sura</t>
  </si>
  <si>
    <t>No. 2020060024449</t>
  </si>
  <si>
    <t>900.192.459-4</t>
  </si>
  <si>
    <t>Tramite a la solicitud del Ciudadano LUIS ROJAS CATALAN Radicado No. 202124101426412 Ministerio de Salud y Proteccion</t>
  </si>
  <si>
    <t>No. 4395</t>
  </si>
  <si>
    <t>farmaciaipsacacias@miips.com.co</t>
  </si>
  <si>
    <t>Corporación mi IPS Llanos Orientales</t>
  </si>
  <si>
    <t>Calle 13 No. 18-59</t>
  </si>
  <si>
    <t>COTIZACION MEDICAMENTOS ACACIAS META</t>
  </si>
  <si>
    <t>800.201.726-3</t>
  </si>
  <si>
    <t>COTIZACION PARA FUNDACION POLICLINICA CIENAGA</t>
  </si>
  <si>
    <t>IVON CEBALLOS IBAÑEZ</t>
  </si>
  <si>
    <t>CLINICA DEL CARIBE S.A.</t>
  </si>
  <si>
    <t>compras@clinicadelcaribe.com</t>
  </si>
  <si>
    <t>Solicitud por faltante de Morfina carta adjunta</t>
  </si>
  <si>
    <t>No adjuntan documentos</t>
  </si>
  <si>
    <t>POLIFRACTURAS CIENAGA I.P.S S.A.S.</t>
  </si>
  <si>
    <t>900.873.344-9</t>
  </si>
  <si>
    <t xml:space="preserve">Carrera 21 No.21-24 </t>
  </si>
  <si>
    <t>COTIZACION PARA POLIFRACTURAS IPS S.A.S</t>
  </si>
  <si>
    <t>No. 0038</t>
  </si>
  <si>
    <t>Carrera 39 No.26B-11 siete de agosto</t>
  </si>
  <si>
    <t>No. 0564</t>
  </si>
  <si>
    <t>MARCAZSALUD R.C. SAS</t>
  </si>
  <si>
    <t>shirley.rojas@marcazsalud.com.co</t>
  </si>
  <si>
    <t>Calle 19 No. 23-14</t>
  </si>
  <si>
    <t>cotizacion de los medicamentos de control especial y monopolio del estado para Marcazsaud Yopal</t>
  </si>
  <si>
    <t>No. 0026</t>
  </si>
  <si>
    <t>LUIS MIGUEL GANDÍA GUERRA</t>
  </si>
  <si>
    <t>FUNDACIÓN PENZENÚ</t>
  </si>
  <si>
    <t>812000852-4</t>
  </si>
  <si>
    <t>lmgandiag@fundacionpanzenu.org.co</t>
  </si>
  <si>
    <t>Casa Betancí</t>
  </si>
  <si>
    <t>SOLICITUD COTIZACIÓN MEDICAMENTOS</t>
  </si>
  <si>
    <t>No. 20170057</t>
  </si>
  <si>
    <t>AUTORIZACION VENTA DIRECTA - COMPRA MORFINA SOLUCION ORAL</t>
  </si>
  <si>
    <t>No.4001</t>
  </si>
  <si>
    <t>ERIKA MARCELA JARAMILLO</t>
  </si>
  <si>
    <t>LUDYS GUTIERREZ GOMEZ</t>
  </si>
  <si>
    <t xml:space="preserve">Directora Tecnica </t>
  </si>
  <si>
    <t>SOCIEDAD CLÍNICA REINA CATALINA S.A.S.</t>
  </si>
  <si>
    <t>800.179.966-0</t>
  </si>
  <si>
    <t>Calle 82 N° 47-12 del Distrito Especial, Industrial y Portuario de Barranquilla</t>
  </si>
  <si>
    <t>jefedeserviciofarmaceutico@gmail.com</t>
  </si>
  <si>
    <t>SOLICITUD COMPRA DIRECTA HIDRATO DE CLORAL CLINICA REINA CATALINA</t>
  </si>
  <si>
    <t>No. 3744</t>
  </si>
  <si>
    <t>JOSÉ TEHERAN GONZÁLEZ</t>
  </si>
  <si>
    <t>qffarmacia10530@eticos.com</t>
  </si>
  <si>
    <t>Calle 12 No.8-112 Kilometro 3 Vía Armenia</t>
  </si>
  <si>
    <t>SOLICITUD DE COMPRA DIRECTA PARA MEDICAMENTOS MONOPOLIO DEL ESTADO</t>
  </si>
  <si>
    <t>No. 1793</t>
  </si>
  <si>
    <t>YENI CASTAÑEDA ZAMBRANO</t>
  </si>
  <si>
    <t>E.S.E HOSPITAL SAN ANTONIO DE GUATAVITA</t>
  </si>
  <si>
    <t>860.035 447-1</t>
  </si>
  <si>
    <t>farmacia_csg@hospitalguatavita.gov.co</t>
  </si>
  <si>
    <t>COTIZACIÓN MCE</t>
  </si>
  <si>
    <t>Hidrato de Cloral 10%Solución Oral</t>
  </si>
  <si>
    <t>EDWIN JEAN DICK DUARTE MARTINEZ</t>
  </si>
  <si>
    <t>Coordinador Almacén y Compras</t>
  </si>
  <si>
    <t>SOCIEDAD CLINICA CASANARE</t>
  </si>
  <si>
    <t>almacenclinicacasanare@gmail.com</t>
  </si>
  <si>
    <t>Calle 13 No: 29-36</t>
  </si>
  <si>
    <t>COTIZACION DE MEDICAMENOS</t>
  </si>
  <si>
    <t>JULIO DUMAR HOYOS</t>
  </si>
  <si>
    <t>ESE Hospital San Juan de Sahagun</t>
  </si>
  <si>
    <t>812.003.851-0</t>
  </si>
  <si>
    <t>dumarjul@yahoo.com</t>
  </si>
  <si>
    <t>Calle 18 No 1-64</t>
  </si>
  <si>
    <t>Solicitud de venta de Morfina iny. 10 mg/mL, Meperidina 100 mg/2mL iny.</t>
  </si>
  <si>
    <t>No. 1124</t>
  </si>
  <si>
    <t>quimico@semedical.com.co</t>
  </si>
  <si>
    <t>carta d no disponibilidad</t>
  </si>
  <si>
    <t>DAMARIS ANDREA GARCIA GOMEZ</t>
  </si>
  <si>
    <t>Supervisora de Inventario</t>
  </si>
  <si>
    <t>FUNDACIÓN CORDIOVASCULAR ZONA FRANCA</t>
  </si>
  <si>
    <t>damarisgarcia@fcv.org</t>
  </si>
  <si>
    <t>Calle 45 No.11-52</t>
  </si>
  <si>
    <t>SOLICITUD COTIZACION MEDICAMENTOS DE CONTROL ESPECIAL</t>
  </si>
  <si>
    <t>LUZ MIRIAN OROZCO MONTOYA</t>
  </si>
  <si>
    <t>MENTAL CARE DROGUERIA</t>
  </si>
  <si>
    <t>info@mentalcaredrugstore.com</t>
  </si>
  <si>
    <t>Solicitud Autorización a Cuidarte SAS para Compra Directa de Medicamentos Monopolio del Estado.</t>
  </si>
  <si>
    <t>Solicitud de compra de metadona</t>
  </si>
  <si>
    <t>HIC ZONA FRANCA KM 7 VIA PIEDECUESTA FLORIDABLANCA DE LA VEREDA MENZULY DEL MUNICIPIO DE PIEDECUESTA</t>
  </si>
  <si>
    <t>Carrera 48 No.70-38</t>
  </si>
  <si>
    <t>SOLICITUD COTIZACION RITALINA 10 MG</t>
  </si>
  <si>
    <t>900.467.331-2</t>
  </si>
  <si>
    <t>Carrera 43A No. 6sur - 26 local 210</t>
  </si>
  <si>
    <t>No. 2018060403423</t>
  </si>
  <si>
    <t>Solicitud por faltante en Fondo Rotatorio de Morfina</t>
  </si>
  <si>
    <t>Calle 13 No. 29-36</t>
  </si>
  <si>
    <t>No. 0718</t>
  </si>
  <si>
    <t>MARÍA ALEJANDRA VARGAS RUIZ</t>
  </si>
  <si>
    <t>DROGUERIA LA SALUD</t>
  </si>
  <si>
    <t>844.002.523-1</t>
  </si>
  <si>
    <t>alejita170.va@gmail.com</t>
  </si>
  <si>
    <t>Calle 9 No. 19-44</t>
  </si>
  <si>
    <t>Cotización Droguería la salud</t>
  </si>
  <si>
    <t>No. 0554</t>
  </si>
  <si>
    <t>SOLICITUD DE COTIZACION MCE MONOPOLIO DEL ESTADO</t>
  </si>
  <si>
    <t>Carrera 4 No. 26A -71</t>
  </si>
  <si>
    <t>AVIDANTI S.A.S.</t>
  </si>
  <si>
    <t>Solicitud cotización de Fenobarbital jarabe y metadona (Messer Colombia S.A. Agencia Bucaramanga)</t>
  </si>
  <si>
    <t>qffarmacia10515@eticos.com</t>
  </si>
  <si>
    <t>Solicitud de cotización y generación de factura para compra de medicamentos de Monopolio del Estado</t>
  </si>
  <si>
    <t>MARÍA SCARLETH PÉREZ MENDOZA</t>
  </si>
  <si>
    <t>Lider Quimica - Farmaceutica</t>
  </si>
  <si>
    <t>CLINICA SAN IGNACIO</t>
  </si>
  <si>
    <t>serviciosfarmaceuticos@clinicasanignacio.org</t>
  </si>
  <si>
    <t>Calle 76 No. 6B-36</t>
  </si>
  <si>
    <t>COMPRA DE MORFINA Y MEPERIDINA</t>
  </si>
  <si>
    <t>890.100.275-7</t>
  </si>
  <si>
    <t>No. 2422</t>
  </si>
  <si>
    <t>SOLICITUD DE COTIZACION Y ORDEN DE COMPRA</t>
  </si>
  <si>
    <t>LAURA ORTIZ JAIMES</t>
  </si>
  <si>
    <t>Administradora</t>
  </si>
  <si>
    <t>dispensario682@drogaslaeconomia.com</t>
  </si>
  <si>
    <t>Carrera 34 # 48 - 77</t>
  </si>
  <si>
    <t>COTIZACIÒN MEDICAMENTO DE CONTROL ESPECIAL</t>
  </si>
  <si>
    <t>No. 16877</t>
  </si>
  <si>
    <t>SERVICIO FARMACÉUTICO DISPENSARIO N 682</t>
  </si>
  <si>
    <t>ROMULO RODADO VILLA</t>
  </si>
  <si>
    <t>MI RED BARRANQUILLA IPS S.A.S.</t>
  </si>
  <si>
    <t>901.139.193-1</t>
  </si>
  <si>
    <t>yjimenez@miredips.org</t>
  </si>
  <si>
    <t>Calle 50 No. 20-91</t>
  </si>
  <si>
    <t>Solicitud de cotización - Morfina 10mg Solución Inyectable</t>
  </si>
  <si>
    <t>No. 2384</t>
  </si>
  <si>
    <t>Solicitud de cotización para Compra Directa de MCE-Monopolio del Estado</t>
  </si>
  <si>
    <t>CARLOS ZAMBRANO PEÑA</t>
  </si>
  <si>
    <t>Director Técnico Q.F</t>
  </si>
  <si>
    <t>SERVICIOS MEDICOS INTEGRALES DEL CARIBE SOCIEDAD POR ACCIONES SIMPLIFICADAS</t>
  </si>
  <si>
    <t>Carrera 19 No. 17-70 local 1</t>
  </si>
  <si>
    <t>No. 2435</t>
  </si>
  <si>
    <t xml:space="preserve">La resolución no tiene el listado de medicamentos monopolio </t>
  </si>
  <si>
    <t>SOLICITUD AUTORIZACION COMPRA</t>
  </si>
  <si>
    <t>No está en el listado de medicamentos autorizados</t>
  </si>
  <si>
    <t xml:space="preserve">El FRE si tiene disponibilidad </t>
  </si>
  <si>
    <t>BERENICE YATE MONTALEGRE</t>
  </si>
  <si>
    <t>HOSPITAL SAN JOSÉ E.S.E</t>
  </si>
  <si>
    <t>890.700.967-1</t>
  </si>
  <si>
    <t>farmacia@hospitalsanjoseortega.gov.co</t>
  </si>
  <si>
    <t>Calle 6 No. 3-25</t>
  </si>
  <si>
    <t>solicitud de compra de medicamento de control HOSPITAL SAN JOSE DE ORTEGA</t>
  </si>
  <si>
    <t>No. 334</t>
  </si>
  <si>
    <t xml:space="preserve">JUAN CAMILO AGUILAR </t>
  </si>
  <si>
    <t>Solicitud duplicada se dio respuesta en el radicado 202124111225841</t>
  </si>
  <si>
    <t>La resolución esta vencida</t>
  </si>
  <si>
    <t>ERROR DE ORFEO (NO SE RADICO)</t>
  </si>
  <si>
    <t>En fabricación</t>
  </si>
  <si>
    <t>RESPONDE GIT-RAO</t>
  </si>
  <si>
    <t>Director Servicio Farmacéutico</t>
  </si>
  <si>
    <t>CLINICA FUNDACION-IPS-SAS</t>
  </si>
  <si>
    <t>900.517.542-5</t>
  </si>
  <si>
    <t>Calle 8 No.8-121</t>
  </si>
  <si>
    <t>COMPRAS</t>
  </si>
  <si>
    <t>Calle 8 No. 7-05</t>
  </si>
  <si>
    <t>COTIZACIÓN DE MEDICAMENTOS</t>
  </si>
  <si>
    <t>Solicitud de compra directa de MEPERIDINA 100MG SOLUCION INYECTABLE</t>
  </si>
  <si>
    <t>91.211.831-0</t>
  </si>
  <si>
    <t>Calle 10 No. 17-74 Barrio San José</t>
  </si>
  <si>
    <t>Calle 82 No. 47-12</t>
  </si>
  <si>
    <t>SOLICITUD COMPRA DIRECTA MORFINA 10MG/ML</t>
  </si>
  <si>
    <t>No. 20170013</t>
  </si>
  <si>
    <t>Calle 28A No. 23-03 Barrio San José</t>
  </si>
  <si>
    <t>Carrera 19 No. 17-46 Barrio las Nieves del Distrito Especial, Industrial y Portuario de Barranquilla</t>
  </si>
  <si>
    <t>No. 2434</t>
  </si>
  <si>
    <t>Calle 53 No. 35A-07</t>
  </si>
  <si>
    <t>COTIZACIÓN METADONA 10 MG BUCARAMANGA</t>
  </si>
  <si>
    <t>Director Técnico General</t>
  </si>
  <si>
    <t>Carrera 6 No. 18N-61</t>
  </si>
  <si>
    <t>Solicitud de autorización compra directa de Medicamentos de control Especial Monopolio del Estado.</t>
  </si>
  <si>
    <t>KAREN RODRIGUEZ AGUILERA</t>
  </si>
  <si>
    <t>880.025.755-2</t>
  </si>
  <si>
    <t>SOLICITUD DE COMPRA MEDICAMENTOS DEL MONOPOLIO CLINICA SAN IGNACIO</t>
  </si>
  <si>
    <t>No. 5126</t>
  </si>
  <si>
    <t>Carrera 9 No.9-96</t>
  </si>
  <si>
    <t>COTIZACIÓN MORFINA SOLUCION ORAL</t>
  </si>
  <si>
    <t>No. 12137</t>
  </si>
  <si>
    <t>SANDRA MILENA RODRIGUEZ LIZARAZO</t>
  </si>
  <si>
    <t>Calle 155A No.23-58 URB EL BOSQUE</t>
  </si>
  <si>
    <t>802.018.677-4</t>
  </si>
  <si>
    <t>SOLICITUD COMPRA MCE MONOPOLIO ANTE FNE.</t>
  </si>
  <si>
    <t>NEYER CASTRO VARGAS</t>
  </si>
  <si>
    <t>Coordinadora Programa de Farmacovigilancia Nacional</t>
  </si>
  <si>
    <t>SERVICIO FARMACÉUTICO DUARQUINT YOPAL</t>
  </si>
  <si>
    <t>830.089.147-8</t>
  </si>
  <si>
    <t>farmacovigilancia@duarquint.com</t>
  </si>
  <si>
    <t>Carrera 14 No. 17-09 Barrio la Esperanza</t>
  </si>
  <si>
    <t>COTIZACION MEDIACAMENTOS MONOPOLIO DEL ESTADO</t>
  </si>
  <si>
    <t>No. 0965</t>
  </si>
  <si>
    <t>900.786.595-8</t>
  </si>
  <si>
    <t>Carrera 22 No. 13-41</t>
  </si>
  <si>
    <t>BRAYAN ALBERTO CENTENO ARIAS</t>
  </si>
  <si>
    <t>Director Técnico del servicio farmacéutico</t>
  </si>
  <si>
    <t>ORGANIZACION CLINICA BONNADONA - PREVENIR S.A.S</t>
  </si>
  <si>
    <t>800.194.798-2</t>
  </si>
  <si>
    <t>Comprasfarmacia@organizacioncbp.org</t>
  </si>
  <si>
    <t>Carrera 49C No. 82-70</t>
  </si>
  <si>
    <t>SOLICITUD INFORMACIÓN COMPRA MORFINAS - BONNADONA BARRANQUILLA</t>
  </si>
  <si>
    <t>No. 5841</t>
  </si>
  <si>
    <t>MIREYA MARTINEZ MESA</t>
  </si>
  <si>
    <t>NEXUS VITAL SAS</t>
  </si>
  <si>
    <t>sf.yopal@nexusvital.com</t>
  </si>
  <si>
    <t>SOLICITUD COMPRA MEDICAMENTOS MONOPOLIO</t>
  </si>
  <si>
    <t>Solicitud duplicada se dio respuesta con el radicado No.</t>
  </si>
  <si>
    <t>Quedan pocas unidades en el FNE</t>
  </si>
  <si>
    <t>Servicio farmacéutico Duarquint Santa Marta</t>
  </si>
  <si>
    <t>830.080.649-2</t>
  </si>
  <si>
    <t>Calle 22 No. 3-26 Edificio Santa Rita</t>
  </si>
  <si>
    <t>SOLICITUD COMPRA Y TRASLADO DE MCE</t>
  </si>
  <si>
    <t>No. 0462</t>
  </si>
  <si>
    <t>ANÍBAL RAFAEL DÍAZ VILLAREAL</t>
  </si>
  <si>
    <t>Carrera 5 No. 26-35 local 7</t>
  </si>
  <si>
    <t>COTIZACIÓN MEDICAMENTOS CONTROL ESPECIAL</t>
  </si>
  <si>
    <t>47433751-2</t>
  </si>
  <si>
    <t>SOLICITUD AUTORIZACION COMPRA MORFINA SOLUCION ORAL</t>
  </si>
  <si>
    <t>ELIÉCIER PARRA DEL TORO</t>
  </si>
  <si>
    <t>Director Técnico Red Ecopetrol</t>
  </si>
  <si>
    <t>No.07191</t>
  </si>
  <si>
    <t>890.102.768-6</t>
  </si>
  <si>
    <t>SOLICITUD AUTORIZACION COMPRA RITALINA Y FENOBARBITAL TAB</t>
  </si>
  <si>
    <t>900.471.909-1</t>
  </si>
  <si>
    <t>dir.compras.grupo@gmail.com</t>
  </si>
  <si>
    <t>Carrera 37 No. 35-17 Barrio el Barzal</t>
  </si>
  <si>
    <t>solicitud de medicamentos de monopolio nueva clinica el barzal sas</t>
  </si>
  <si>
    <t>MARTIN DIAZ GUERRERO</t>
  </si>
  <si>
    <t>900.267.064-2</t>
  </si>
  <si>
    <t>farmacia@clinicabahia.com</t>
  </si>
  <si>
    <t>Carrera 19 No.28C-25 Barrio Los Naranjos </t>
  </si>
  <si>
    <t>CLINICA BAHÍA INVERSIONES AZALUD</t>
  </si>
  <si>
    <t>COMPAÑÍA COLOMBIANA DE SALUD CLÍNICA MAR CARIBE</t>
  </si>
  <si>
    <t>Calle 21 No. 18A-103</t>
  </si>
  <si>
    <t>COTIZAR MEDICAMENTOS -- COMPAÑIA COLOMBIANA DE SALUD</t>
  </si>
  <si>
    <t>MARCAZSALUD RC S.A.S.</t>
  </si>
  <si>
    <t>CLÍNICA BLAS DE LEZO S.A.</t>
  </si>
  <si>
    <t>890.400.693-1</t>
  </si>
  <si>
    <t>Avenidadel Bosque Transversal 54 No. 47-57</t>
  </si>
  <si>
    <t>SOLICITUD DE MEDICAMENTOS</t>
  </si>
  <si>
    <t>JOHANA RODRIGUEZ GONZÁLEZ</t>
  </si>
  <si>
    <t>analistadecompras1@chsm.com</t>
  </si>
  <si>
    <t>Vía al Mar Km 8 Serena del Mar</t>
  </si>
  <si>
    <t>Cotización Medicamentos de Control</t>
  </si>
  <si>
    <t>No. 0818</t>
  </si>
  <si>
    <t>MESSER COLOMBIA S.A.</t>
  </si>
  <si>
    <t>COTIZACION FENOBARBITAL JARABE</t>
  </si>
  <si>
    <t>CARLOS ANIBAL BRICEÑO</t>
  </si>
  <si>
    <t>ETICOS U.T 2020</t>
  </si>
  <si>
    <t>qffarmacia10544@eticos.com</t>
  </si>
  <si>
    <t>KM 7 VIA PUERTO LOPEZ VEREDA APIAY</t>
  </si>
  <si>
    <t>SOLICITUD DE COTIZACION Y VENTA DE PRIMIDONA X 250 MG</t>
  </si>
  <si>
    <t>Avenida San Martin entrada a Bocagrande</t>
  </si>
  <si>
    <t>INVERSIONES AZALUD</t>
  </si>
  <si>
    <t>Carrera 19 No. 28C-25</t>
  </si>
  <si>
    <t>COMPRA DIRECTA</t>
  </si>
  <si>
    <t>No. 3791</t>
  </si>
  <si>
    <t>ALDRIN RAMIRO QUINTANA USTATE</t>
  </si>
  <si>
    <t>SOCIEDAD MEDICA CLÍNICA MAICAO S.A.</t>
  </si>
  <si>
    <t>839.000.356-0</t>
  </si>
  <si>
    <t>quimicasfclinicamaicao@gmail.com</t>
  </si>
  <si>
    <t>Calle 16 No.-6-41</t>
  </si>
  <si>
    <t>Solicitud y Cotización de Medicamentos de Control SOCIEDAD MEDICA CLINICA MAICAO S.A</t>
  </si>
  <si>
    <t>No. 342</t>
  </si>
  <si>
    <t>Duarquint Bucaramanga</t>
  </si>
  <si>
    <t>Avenida 61 No. 10-200</t>
  </si>
  <si>
    <t>SOLICITUD DE COMPRA Y TRASLADO MCE BUCARAMANGA</t>
  </si>
  <si>
    <t>No. 5732</t>
  </si>
  <si>
    <t>YURY CATHERINE RIVEROS RÍOS</t>
  </si>
  <si>
    <t>SOLICITUD COTIZACIÒN PRODUCTOS FNE</t>
  </si>
  <si>
    <t>Director Técnico Servicio Farmacéutico </t>
  </si>
  <si>
    <t>890.703.630-7</t>
  </si>
  <si>
    <t>Veinte (20)_Caja x 10 unidades</t>
  </si>
  <si>
    <t>(en blanco)</t>
  </si>
  <si>
    <t>Suma de CANTIDAD UND COMERCIALES</t>
  </si>
  <si>
    <t/>
  </si>
  <si>
    <t>(Varios elementos)</t>
  </si>
  <si>
    <t>PVTA_1</t>
  </si>
  <si>
    <t>SECRETARIA DE SALUD DEPARTAMENTAL DEL CASANARE</t>
  </si>
  <si>
    <t xml:space="preserve"> SECRETARIA DEPARTAMENTAL DEL CAUCA </t>
  </si>
  <si>
    <t xml:space="preserve"> SECRETARIA DEPARTAMENTAL DE SALUD DEL VALLE DEL CAUCA</t>
  </si>
  <si>
    <t xml:space="preserve"> SECRETARIA DE DESARROLLO DE LA SALUD  -  CORDOBA</t>
  </si>
  <si>
    <t xml:space="preserve"> SECRETARIA DE SALUD DEPARTAMENTAL DEL HUILA</t>
  </si>
  <si>
    <t xml:space="preserve"> SECRETARIA DE SALUD DEPARTAMENTAL DE LA GUAJIRA </t>
  </si>
  <si>
    <t xml:space="preserve"> SECRETARIA DE SALUD DEL META</t>
  </si>
  <si>
    <t>INSTITUTO DEPARTAMENTAL DE SALUD DE NARIÑO</t>
  </si>
  <si>
    <t xml:space="preserve"> SECRETARIA DEPARTAMENTAL DE SALUD DEL PUTUMAYO</t>
  </si>
  <si>
    <t xml:space="preserve"> SECRETARIA DEPARTAMENTAL DE SALUD DE SANTANDER </t>
  </si>
  <si>
    <t>SECRETARIA DEPARTAMENTAL DE SALUD DE SUCRE</t>
  </si>
  <si>
    <t xml:space="preserve"> SECRETARIA DEPARTAMENTAL DE SALUD DEL TOLIMA</t>
  </si>
  <si>
    <t>VentaCD</t>
  </si>
  <si>
    <t>VentaFRE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</si>
</sst>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$&quot;\ * #,##0.00_-;\-&quot;$&quot;\ * #,##0.00_-;_-&quot;$&quot;\ * &quot;-&quot;??_-;_-@_-"/>
    <numFmt numFmtId="164" formatCode="0.0%"/>
    <numFmt numFmtId="165" formatCode="0.000%"/>
  </numFmts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B0A1F"/>
      <name val="Arial"/>
      <family val="2"/>
    </font>
    <font>
      <sz val="11"/>
      <color theme="1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10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</fills>
  <borders count="18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44" fontId="12" fillId="0" borderId="0" applyFont="0" applyFill="0" applyBorder="0" applyAlignment="0" applyProtection="0"/>
    <xf numFmtId="9" fontId="12" fillId="0" borderId="0" applyFont="0" applyFill="0" applyBorder="0" applyAlignment="0" applyProtection="0"/>
  </cellStyleXfs>
  <cellXfs count="7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" fillId="2" borderId="1" xfId="0" applyFont="1" applyFill="1" applyBorder="1"/>
    <xf numFmtId="0" fontId="0" fillId="0" borderId="1" xfId="0" applyBorder="1" applyAlignment="1">
      <alignment horizontal="left"/>
    </xf>
    <xf numFmtId="0" fontId="0" fillId="0" borderId="1" xfId="0" applyBorder="1"/>
    <xf numFmtId="0" fontId="2" fillId="0" borderId="1" xfId="0" applyFont="1" applyBorder="1" applyAlignment="1">
      <alignment horizontal="left" vertical="center" wrapText="1"/>
    </xf>
    <xf numFmtId="0" fontId="1" fillId="2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3" fillId="0" borderId="0" xfId="0" applyFont="1"/>
    <xf numFmtId="0" fontId="3" fillId="0" borderId="4" xfId="0" applyFont="1" applyBorder="1"/>
    <xf numFmtId="0" fontId="3" fillId="0" borderId="7" xfId="0" applyFont="1" applyBorder="1"/>
    <xf numFmtId="0" fontId="3" fillId="0" borderId="9" xfId="0" applyFont="1" applyBorder="1"/>
    <xf numFmtId="0" fontId="4" fillId="3" borderId="4" xfId="0" applyFont="1" applyFill="1" applyBorder="1"/>
    <xf numFmtId="0" fontId="4" fillId="3" borderId="7" xfId="0" applyFont="1" applyFill="1" applyBorder="1"/>
    <xf numFmtId="0" fontId="4" fillId="3" borderId="9" xfId="0" applyFont="1" applyFill="1" applyBorder="1"/>
    <xf numFmtId="0" fontId="1" fillId="3" borderId="10" xfId="0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5" fillId="0" borderId="0" xfId="1" applyAlignment="1">
      <alignment horizontal="center"/>
    </xf>
    <xf numFmtId="0" fontId="6" fillId="0" borderId="0" xfId="1" applyFont="1" applyAlignment="1">
      <alignment horizontal="center"/>
    </xf>
    <xf numFmtId="0" fontId="5" fillId="0" borderId="0" xfId="1" applyAlignment="1">
      <alignment horizontal="center" vertical="center"/>
    </xf>
    <xf numFmtId="0" fontId="0" fillId="0" borderId="0" xfId="0" applyFill="1" applyAlignment="1">
      <alignment horizontal="center"/>
    </xf>
    <xf numFmtId="1" fontId="0" fillId="0" borderId="0" xfId="0" applyNumberFormat="1" applyFill="1" applyAlignment="1">
      <alignment horizontal="center"/>
    </xf>
    <xf numFmtId="0" fontId="0" fillId="0" borderId="0" xfId="0" applyNumberFormat="1" applyAlignment="1">
      <alignment horizontal="center"/>
    </xf>
    <xf numFmtId="0" fontId="1" fillId="5" borderId="13" xfId="0" applyFont="1" applyFill="1" applyBorder="1" applyAlignment="1">
      <alignment horizontal="center" vertical="center" wrapText="1"/>
    </xf>
    <xf numFmtId="0" fontId="0" fillId="0" borderId="1" xfId="0" applyFill="1" applyBorder="1"/>
    <xf numFmtId="164" fontId="0" fillId="0" borderId="1" xfId="0" applyNumberFormat="1" applyFill="1" applyBorder="1"/>
    <xf numFmtId="9" fontId="0" fillId="0" borderId="1" xfId="0" applyNumberFormat="1" applyFill="1" applyBorder="1"/>
    <xf numFmtId="0" fontId="0" fillId="6" borderId="13" xfId="0" applyNumberFormat="1" applyFont="1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0" borderId="0" xfId="0" applyAlignment="1">
      <alignment horizontal="center" wrapText="1"/>
    </xf>
    <xf numFmtId="1" fontId="3" fillId="0" borderId="0" xfId="0" applyNumberFormat="1" applyFont="1" applyAlignment="1">
      <alignment horizontal="center" vertical="center"/>
    </xf>
    <xf numFmtId="14" fontId="0" fillId="0" borderId="0" xfId="0" applyNumberFormat="1" applyFill="1" applyAlignment="1">
      <alignment horizontal="center"/>
    </xf>
    <xf numFmtId="0" fontId="0" fillId="4" borderId="0" xfId="0" applyFill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vertical="center"/>
    </xf>
    <xf numFmtId="1" fontId="0" fillId="0" borderId="17" xfId="0" applyNumberFormat="1" applyFont="1" applyBorder="1" applyAlignment="1">
      <alignment horizontal="center"/>
    </xf>
    <xf numFmtId="0" fontId="5" fillId="0" borderId="0" xfId="1" applyFill="1" applyAlignment="1">
      <alignment horizontal="center"/>
    </xf>
    <xf numFmtId="0" fontId="3" fillId="0" borderId="3" xfId="0" applyFont="1" applyBorder="1"/>
    <xf numFmtId="0" fontId="1" fillId="0" borderId="0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9" xfId="0" applyFont="1" applyBorder="1" applyAlignment="1">
      <alignment vertical="center" wrapText="1"/>
    </xf>
    <xf numFmtId="0" fontId="3" fillId="0" borderId="7" xfId="0" applyFont="1" applyBorder="1" applyAlignment="1">
      <alignment vertical="center" wrapText="1"/>
    </xf>
    <xf numFmtId="0" fontId="3" fillId="0" borderId="4" xfId="0" applyFont="1" applyBorder="1" applyAlignment="1">
      <alignment vertical="center" wrapText="1"/>
    </xf>
    <xf numFmtId="14" fontId="0" fillId="0" borderId="0" xfId="0" applyNumberFormat="1"/>
    <xf numFmtId="1" fontId="0" fillId="0" borderId="0" xfId="0" applyNumberFormat="1"/>
    <xf numFmtId="0" fontId="1" fillId="8" borderId="0" xfId="0" applyFont="1" applyFill="1" applyAlignment="1">
      <alignment vertical="center"/>
    </xf>
    <xf numFmtId="0" fontId="5" fillId="0" borderId="0" xfId="1"/>
    <xf numFmtId="0" fontId="0" fillId="0" borderId="0" xfId="0" applyAlignment="1">
      <alignment horizontal="left"/>
    </xf>
    <xf numFmtId="0" fontId="3" fillId="0" borderId="3" xfId="0" pivotButton="1" applyFont="1" applyBorder="1"/>
    <xf numFmtId="0" fontId="3" fillId="0" borderId="3" xfId="0" applyFont="1" applyBorder="1" applyAlignment="1">
      <alignment horizontal="center"/>
    </xf>
    <xf numFmtId="0" fontId="9" fillId="0" borderId="14" xfId="0" applyNumberFormat="1" applyFont="1" applyBorder="1" applyAlignment="1">
      <alignment horizontal="center"/>
    </xf>
    <xf numFmtId="0" fontId="9" fillId="0" borderId="15" xfId="0" applyNumberFormat="1" applyFont="1" applyBorder="1" applyAlignment="1">
      <alignment horizontal="center"/>
    </xf>
    <xf numFmtId="0" fontId="9" fillId="0" borderId="16" xfId="0" applyNumberFormat="1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14" fontId="0" fillId="0" borderId="3" xfId="0" applyNumberFormat="1" applyBorder="1" applyAlignment="1">
      <alignment horizontal="center"/>
    </xf>
    <xf numFmtId="14" fontId="0" fillId="0" borderId="8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pivotButton="1"/>
    <xf numFmtId="0" fontId="0" fillId="0" borderId="0" xfId="0" applyNumberFormat="1"/>
    <xf numFmtId="44" fontId="0" fillId="0" borderId="0" xfId="2" applyFont="1"/>
    <xf numFmtId="44" fontId="0" fillId="0" borderId="0" xfId="0" applyNumberFormat="1"/>
    <xf numFmtId="165" fontId="0" fillId="0" borderId="0" xfId="3" applyNumberFormat="1" applyFont="1"/>
  </cellXfs>
  <cellStyles count="4">
    <cellStyle name="Hipervínculo" xfId="1" builtinId="8"/>
    <cellStyle name="Moneda" xfId="2" builtinId="4"/>
    <cellStyle name="Normal" xfId="0" builtinId="0"/>
    <cellStyle name="Porcentaje" xfId="3" builtinId="5"/>
  </cellStyles>
  <dxfs count="63">
    <dxf>
      <alignment horizontal="center"/>
    </dxf>
    <dxf>
      <alignment horizontal="center"/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textRotation="0" indent="0" justifyLastLine="0" shrinkToFit="0" readingOrder="0"/>
    </dxf>
    <dxf>
      <numFmt numFmtId="0" formatCode="General"/>
      <alignment horizontal="center" textRotation="0" indent="0" justifyLastLine="0" shrinkToFit="0" readingOrder="0"/>
    </dxf>
    <dxf>
      <numFmt numFmtId="0" formatCode="General"/>
      <alignment horizontal="center" textRotation="0" indent="0" justifyLastLine="0" shrinkToFit="0" readingOrder="0"/>
    </dxf>
    <dxf>
      <numFmt numFmtId="0" formatCode="General"/>
      <alignment horizontal="center" textRotation="0" indent="0" justifyLastLine="0" shrinkToFit="0" readingOrder="0"/>
    </dxf>
    <dxf>
      <numFmt numFmtId="0" formatCode="General"/>
      <alignment horizontal="center" textRotation="0" indent="0" justifyLastLine="0" shrinkToFit="0" readingOrder="0"/>
    </dxf>
    <dxf>
      <numFmt numFmtId="1" formatCode="0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19" formatCode="d/mm/yyyy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9" formatCode="d/mm/yyyy"/>
      <alignment horizontal="center" textRotation="0" wrapText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19" formatCode="d/mm/yyyy"/>
      <alignment horizontal="center" textRotation="0" wrapText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23</xdr:row>
      <xdr:rowOff>190499</xdr:rowOff>
    </xdr:from>
    <xdr:to>
      <xdr:col>1</xdr:col>
      <xdr:colOff>2116667</xdr:colOff>
      <xdr:row>26</xdr:row>
      <xdr:rowOff>137582</xdr:rowOff>
    </xdr:to>
    <xdr:sp macro="[0]!ConsolidarCompraDirect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D8A522C0-1016-428F-852F-8D436AC797AD}"/>
            </a:ext>
          </a:extLst>
        </xdr:cNvPr>
        <xdr:cNvSpPr/>
      </xdr:nvSpPr>
      <xdr:spPr>
        <a:xfrm>
          <a:off x="105833" y="4635499"/>
          <a:ext cx="2116667" cy="51858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200" b="1"/>
            <a:t>AUTORIZAR</a:t>
          </a:r>
          <a:r>
            <a:rPr lang="es-CO" sz="1200" b="1" baseline="0"/>
            <a:t> LA COMPRA DIRECTA</a:t>
          </a:r>
          <a:endParaRPr lang="es-CO" sz="1200" b="1"/>
        </a:p>
      </xdr:txBody>
    </xdr:sp>
    <xdr:clientData/>
  </xdr:twoCellAnchor>
  <xdr:twoCellAnchor>
    <xdr:from>
      <xdr:col>1</xdr:col>
      <xdr:colOff>2518833</xdr:colOff>
      <xdr:row>24</xdr:row>
      <xdr:rowOff>0</xdr:rowOff>
    </xdr:from>
    <xdr:to>
      <xdr:col>5</xdr:col>
      <xdr:colOff>21167</xdr:colOff>
      <xdr:row>26</xdr:row>
      <xdr:rowOff>190499</xdr:rowOff>
    </xdr:to>
    <xdr:sp macro="[0]!ConsolidarNegarCompraDirect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4C3B96A-29B6-4BBA-97C8-D1831C08BCF5}"/>
            </a:ext>
          </a:extLst>
        </xdr:cNvPr>
        <xdr:cNvSpPr/>
      </xdr:nvSpPr>
      <xdr:spPr>
        <a:xfrm>
          <a:off x="2624666" y="4635500"/>
          <a:ext cx="2550584" cy="5714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latin typeface="Arial Narrow" panose="020B0606020202030204" pitchFamily="34" charset="0"/>
            </a:rPr>
            <a:t>NEGAR</a:t>
          </a:r>
          <a:r>
            <a:rPr lang="es-CO" sz="1400" b="1" baseline="0">
              <a:latin typeface="Arial Narrow" panose="020B0606020202030204" pitchFamily="34" charset="0"/>
            </a:rPr>
            <a:t> LA COMPRA DIRECTA</a:t>
          </a:r>
          <a:endParaRPr lang="es-CO" sz="1400" b="1">
            <a:latin typeface="Arial Narrow" panose="020B060602020203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colina/Documents/2021/TRASLADOS-COMPRAS/BASES/BASE%20DE%20DATOS%20TRASLADO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olarteg/Downloads/BASE%20DE%20DATOS%20COMPRA%20DIRECTA%202.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D DE DATOS"/>
      <sheetName val="RESUMEN"/>
      <sheetName val="Hoja1"/>
      <sheetName val="TAB_REF"/>
      <sheetName val="DEPARTAMENTO"/>
      <sheetName val="BASE DE DATOS TRASLADOS"/>
    </sheet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D DE DATOS"/>
      <sheetName val="RESUMEN"/>
      <sheetName val="TAB_REF"/>
      <sheetName val="DEPARTAMENTO"/>
      <sheetName val="BASE DE DATOS COMPRA DIRECTA 2"/>
    </sheetNames>
    <sheetDataSet>
      <sheetData sheetId="0"/>
      <sheetData sheetId="1"/>
      <sheetData sheetId="2"/>
      <sheetData sheetId="3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isel Johanna Olarte Guerrero" refreshedDate="44474.692477777775" createdVersion="6" refreshedVersion="6" minRefreshableVersion="3" recordCount="1242" xr:uid="{00000000-000A-0000-FFFF-FFFF42000000}">
  <cacheSource type="worksheet">
    <worksheetSource name="Tabla1"/>
  </cacheSource>
  <cacheFields count="29">
    <cacheField name="No Solicitud" numFmtId="0">
      <sharedItems containsString="0" containsBlank="1" containsNumber="1" containsInteger="1" minValue="1" maxValue="1196" count="1197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60"/>
        <n v="361"/>
        <n v="362"/>
        <n v="363"/>
        <n v="364"/>
        <n v="366"/>
        <n v="365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9"/>
        <n v="430"/>
        <n v="428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m/>
        <n v="582" u="1"/>
        <n v="1182" u="1"/>
        <n v="1117" u="1"/>
        <n v="1052" u="1"/>
        <n v="973" u="1"/>
        <n v="908" u="1"/>
        <n v="843" u="1"/>
        <n v="778" u="1"/>
        <n v="713" u="1"/>
        <n v="648" u="1"/>
        <n v="583" u="1"/>
        <n v="1184" u="1"/>
        <n v="1119" u="1"/>
        <n v="1054" u="1"/>
        <n v="974" u="1"/>
        <n v="909" u="1"/>
        <n v="844" u="1"/>
        <n v="779" u="1"/>
        <n v="714" u="1"/>
        <n v="649" u="1"/>
        <n v="584" u="1"/>
        <n v="1186" u="1"/>
        <n v="1121" u="1"/>
        <n v="1056" u="1"/>
        <n v="975" u="1"/>
        <n v="910" u="1"/>
        <n v="845" u="1"/>
        <n v="780" u="1"/>
        <n v="715" u="1"/>
        <n v="650" u="1"/>
        <n v="585" u="1"/>
        <n v="1188" u="1"/>
        <n v="1123" u="1"/>
        <n v="1058" u="1"/>
        <n v="976" u="1"/>
        <n v="911" u="1"/>
        <n v="846" u="1"/>
        <n v="781" u="1"/>
        <n v="716" u="1"/>
        <n v="651" u="1"/>
        <n v="586" u="1"/>
        <n v="1190" u="1"/>
        <n v="1125" u="1"/>
        <n v="1060" u="1"/>
        <n v="977" u="1"/>
        <n v="912" u="1"/>
        <n v="847" u="1"/>
        <n v="782" u="1"/>
        <n v="717" u="1"/>
        <n v="652" u="1"/>
        <n v="587" u="1"/>
        <n v="522" u="1"/>
        <n v="1192" u="1"/>
        <n v="1127" u="1"/>
        <n v="1062" u="1"/>
        <n v="978" u="1"/>
        <n v="913" u="1"/>
        <n v="848" u="1"/>
        <n v="783" u="1"/>
        <n v="718" u="1"/>
        <n v="653" u="1"/>
        <n v="588" u="1"/>
        <n v="523" u="1"/>
        <n v="1194" u="1"/>
        <n v="1129" u="1"/>
        <n v="1064" u="1"/>
        <n v="979" u="1"/>
        <n v="914" u="1"/>
        <n v="849" u="1"/>
        <n v="784" u="1"/>
        <n v="719" u="1"/>
        <n v="654" u="1"/>
        <n v="589" u="1"/>
        <n v="524" u="1"/>
        <n v="1196" u="1"/>
        <n v="1131" u="1"/>
        <n v="1066" u="1"/>
        <n v="980" u="1"/>
        <n v="915" u="1"/>
        <n v="850" u="1"/>
        <n v="785" u="1"/>
        <n v="720" u="1"/>
        <n v="655" u="1"/>
        <n v="590" u="1"/>
        <n v="525" u="1"/>
        <n v="1133" u="1"/>
        <n v="1068" u="1"/>
        <n v="981" u="1"/>
        <n v="916" u="1"/>
        <n v="851" u="1"/>
        <n v="786" u="1"/>
        <n v="721" u="1"/>
        <n v="656" u="1"/>
        <n v="591" u="1"/>
        <n v="526" u="1"/>
        <n v="1135" u="1"/>
        <n v="1070" u="1"/>
        <n v="982" u="1"/>
        <n v="917" u="1"/>
        <n v="852" u="1"/>
        <n v="787" u="1"/>
        <n v="722" u="1"/>
        <n v="657" u="1"/>
        <n v="592" u="1"/>
        <n v="527" u="1"/>
        <n v="1137" u="1"/>
        <n v="1072" u="1"/>
        <n v="983" u="1"/>
        <n v="918" u="1"/>
        <n v="853" u="1"/>
        <n v="788" u="1"/>
        <n v="723" u="1"/>
        <n v="658" u="1"/>
        <n v="593" u="1"/>
        <n v="528" u="1"/>
        <n v="1139" u="1"/>
        <n v="1074" u="1"/>
        <n v="984" u="1"/>
        <n v="919" u="1"/>
        <n v="854" u="1"/>
        <n v="789" u="1"/>
        <n v="724" u="1"/>
        <n v="659" u="1"/>
        <n v="594" u="1"/>
        <n v="529" u="1"/>
        <n v="1141" u="1"/>
        <n v="1076" u="1"/>
        <n v="985" u="1"/>
        <n v="920" u="1"/>
        <n v="855" u="1"/>
        <n v="790" u="1"/>
        <n v="725" u="1"/>
        <n v="660" u="1"/>
        <n v="595" u="1"/>
        <n v="530" u="1"/>
        <n v="1143" u="1"/>
        <n v="1078" u="1"/>
        <n v="986" u="1"/>
        <n v="921" u="1"/>
        <n v="856" u="1"/>
        <n v="791" u="1"/>
        <n v="726" u="1"/>
        <n v="661" u="1"/>
        <n v="596" u="1"/>
        <n v="531" u="1"/>
        <n v="359" u="1"/>
        <n v="1145" u="1"/>
        <n v="1080" u="1"/>
        <n v="987" u="1"/>
        <n v="922" u="1"/>
        <n v="857" u="1"/>
        <n v="792" u="1"/>
        <n v="727" u="1"/>
        <n v="662" u="1"/>
        <n v="597" u="1"/>
        <n v="532" u="1"/>
        <n v="1147" u="1"/>
        <n v="1082" u="1"/>
        <n v="988" u="1"/>
        <n v="923" u="1"/>
        <n v="858" u="1"/>
        <n v="793" u="1"/>
        <n v="728" u="1"/>
        <n v="663" u="1"/>
        <n v="598" u="1"/>
        <n v="533" u="1"/>
        <n v="1149" u="1"/>
        <n v="1084" u="1"/>
        <n v="989" u="1"/>
        <n v="924" u="1"/>
        <n v="859" u="1"/>
        <n v="794" u="1"/>
        <n v="729" u="1"/>
        <n v="664" u="1"/>
        <n v="599" u="1"/>
        <n v="534" u="1"/>
        <n v="1151" u="1"/>
        <n v="1086" u="1"/>
        <n v="990" u="1"/>
        <n v="925" u="1"/>
        <n v="860" u="1"/>
        <n v="795" u="1"/>
        <n v="730" u="1"/>
        <n v="665" u="1"/>
        <n v="600" u="1"/>
        <n v="535" u="1"/>
        <n v="1153" u="1"/>
        <n v="1088" u="1"/>
        <n v="991" u="1"/>
        <n v="926" u="1"/>
        <n v="861" u="1"/>
        <n v="796" u="1"/>
        <n v="731" u="1"/>
        <n v="666" u="1"/>
        <n v="601" u="1"/>
        <n v="536" u="1"/>
        <n v="1155" u="1"/>
        <n v="1090" u="1"/>
        <n v="1025" u="1"/>
        <n v="992" u="1"/>
        <n v="927" u="1"/>
        <n v="862" u="1"/>
        <n v="797" u="1"/>
        <n v="732" u="1"/>
        <n v="667" u="1"/>
        <n v="602" u="1"/>
        <n v="537" u="1"/>
        <n v="1157" u="1"/>
        <n v="1092" u="1"/>
        <n v="1027" u="1"/>
        <n v="993" u="1"/>
        <n v="928" u="1"/>
        <n v="863" u="1"/>
        <n v="798" u="1"/>
        <n v="733" u="1"/>
        <n v="668" u="1"/>
        <n v="603" u="1"/>
        <n v="538" u="1"/>
        <n v="1159" u="1"/>
        <n v="1094" u="1"/>
        <n v="1029" u="1"/>
        <n v="994" u="1"/>
        <n v="929" u="1"/>
        <n v="864" u="1"/>
        <n v="799" u="1"/>
        <n v="734" u="1"/>
        <n v="669" u="1"/>
        <n v="604" u="1"/>
        <n v="539" u="1"/>
        <n v="1161" u="1"/>
        <n v="1096" u="1"/>
        <n v="1031" u="1"/>
        <n v="995" u="1"/>
        <n v="930" u="1"/>
        <n v="865" u="1"/>
        <n v="800" u="1"/>
        <n v="735" u="1"/>
        <n v="670" u="1"/>
        <n v="605" u="1"/>
        <n v="540" u="1"/>
        <n v="1163" u="1"/>
        <n v="1098" u="1"/>
        <n v="1033" u="1"/>
        <n v="996" u="1"/>
        <n v="931" u="1"/>
        <n v="866" u="1"/>
        <n v="801" u="1"/>
        <n v="736" u="1"/>
        <n v="671" u="1"/>
        <n v="606" u="1"/>
        <n v="541" u="1"/>
        <n v="1165" u="1"/>
        <n v="1100" u="1"/>
        <n v="1035" u="1"/>
        <n v="997" u="1"/>
        <n v="932" u="1"/>
        <n v="867" u="1"/>
        <n v="802" u="1"/>
        <n v="737" u="1"/>
        <n v="672" u="1"/>
        <n v="607" u="1"/>
        <n v="542" u="1"/>
        <n v="1167" u="1"/>
        <n v="1102" u="1"/>
        <n v="1037" u="1"/>
        <n v="998" u="1"/>
        <n v="933" u="1"/>
        <n v="868" u="1"/>
        <n v="803" u="1"/>
        <n v="738" u="1"/>
        <n v="673" u="1"/>
        <n v="608" u="1"/>
        <n v="543" u="1"/>
        <n v="1169" u="1"/>
        <n v="1104" u="1"/>
        <n v="1039" u="1"/>
        <n v="999" u="1"/>
        <n v="934" u="1"/>
        <n v="869" u="1"/>
        <n v="804" u="1"/>
        <n v="739" u="1"/>
        <n v="674" u="1"/>
        <n v="609" u="1"/>
        <n v="544" u="1"/>
        <n v="1171" u="1"/>
        <n v="1106" u="1"/>
        <n v="1041" u="1"/>
        <n v="1000" u="1"/>
        <n v="935" u="1"/>
        <n v="870" u="1"/>
        <n v="805" u="1"/>
        <n v="740" u="1"/>
        <n v="675" u="1"/>
        <n v="610" u="1"/>
        <n v="545" u="1"/>
        <n v="1173" u="1"/>
        <n v="1108" u="1"/>
        <n v="1043" u="1"/>
        <n v="1001" u="1"/>
        <n v="936" u="1"/>
        <n v="871" u="1"/>
        <n v="806" u="1"/>
        <n v="741" u="1"/>
        <n v="676" u="1"/>
        <n v="611" u="1"/>
        <n v="546" u="1"/>
        <n v="1175" u="1"/>
        <n v="1110" u="1"/>
        <n v="1045" u="1"/>
        <n v="1002" u="1"/>
        <n v="937" u="1"/>
        <n v="872" u="1"/>
        <n v="807" u="1"/>
        <n v="742" u="1"/>
        <n v="677" u="1"/>
        <n v="612" u="1"/>
        <n v="547" u="1"/>
        <n v="1177" u="1"/>
        <n v="1112" u="1"/>
        <n v="1047" u="1"/>
        <n v="1003" u="1"/>
        <n v="938" u="1"/>
        <n v="873" u="1"/>
        <n v="808" u="1"/>
        <n v="743" u="1"/>
        <n v="678" u="1"/>
        <n v="613" u="1"/>
        <n v="548" u="1"/>
        <n v="1179" u="1"/>
        <n v="1114" u="1"/>
        <n v="1049" u="1"/>
        <n v="1004" u="1"/>
        <n v="939" u="1"/>
        <n v="874" u="1"/>
        <n v="809" u="1"/>
        <n v="744" u="1"/>
        <n v="679" u="1"/>
        <n v="614" u="1"/>
        <n v="549" u="1"/>
        <n v="1181" u="1"/>
        <n v="1116" u="1"/>
        <n v="1051" u="1"/>
        <n v="1005" u="1"/>
        <n v="940" u="1"/>
        <n v="875" u="1"/>
        <n v="810" u="1"/>
        <n v="745" u="1"/>
        <n v="680" u="1"/>
        <n v="615" u="1"/>
        <n v="550" u="1"/>
        <n v="1183" u="1"/>
        <n v="1118" u="1"/>
        <n v="1053" u="1"/>
        <n v="1006" u="1"/>
        <n v="941" u="1"/>
        <n v="876" u="1"/>
        <n v="811" u="1"/>
        <n v="746" u="1"/>
        <n v="681" u="1"/>
        <n v="616" u="1"/>
        <n v="551" u="1"/>
        <n v="1185" u="1"/>
        <n v="1120" u="1"/>
        <n v="1055" u="1"/>
        <n v="1007" u="1"/>
        <n v="942" u="1"/>
        <n v="877" u="1"/>
        <n v="812" u="1"/>
        <n v="747" u="1"/>
        <n v="682" u="1"/>
        <n v="617" u="1"/>
        <n v="552" u="1"/>
        <n v="1187" u="1"/>
        <n v="1122" u="1"/>
        <n v="1057" u="1"/>
        <n v="1008" u="1"/>
        <n v="943" u="1"/>
        <n v="878" u="1"/>
        <n v="813" u="1"/>
        <n v="748" u="1"/>
        <n v="683" u="1"/>
        <n v="618" u="1"/>
        <n v="553" u="1"/>
        <n v="1189" u="1"/>
        <n v="1124" u="1"/>
        <n v="1059" u="1"/>
        <n v="1009" u="1"/>
        <n v="944" u="1"/>
        <n v="879" u="1"/>
        <n v="814" u="1"/>
        <n v="749" u="1"/>
        <n v="684" u="1"/>
        <n v="619" u="1"/>
        <n v="554" u="1"/>
        <n v="1191" u="1"/>
        <n v="1126" u="1"/>
        <n v="1061" u="1"/>
        <n v="1010" u="1"/>
        <n v="945" u="1"/>
        <n v="880" u="1"/>
        <n v="815" u="1"/>
        <n v="750" u="1"/>
        <n v="685" u="1"/>
        <n v="620" u="1"/>
        <n v="555" u="1"/>
        <n v="1193" u="1"/>
        <n v="1128" u="1"/>
        <n v="1063" u="1"/>
        <n v="1011" u="1"/>
        <n v="946" u="1"/>
        <n v="881" u="1"/>
        <n v="816" u="1"/>
        <n v="751" u="1"/>
        <n v="686" u="1"/>
        <n v="621" u="1"/>
        <n v="556" u="1"/>
        <n v="1195" u="1"/>
        <n v="1130" u="1"/>
        <n v="1065" u="1"/>
        <n v="1012" u="1"/>
        <n v="947" u="1"/>
        <n v="882" u="1"/>
        <n v="817" u="1"/>
        <n v="752" u="1"/>
        <n v="687" u="1"/>
        <n v="622" u="1"/>
        <n v="557" u="1"/>
        <n v="1132" u="1"/>
        <n v="1067" u="1"/>
        <n v="1013" u="1"/>
        <n v="948" u="1"/>
        <n v="883" u="1"/>
        <n v="818" u="1"/>
        <n v="753" u="1"/>
        <n v="688" u="1"/>
        <n v="623" u="1"/>
        <n v="558" u="1"/>
        <n v="1134" u="1"/>
        <n v="1069" u="1"/>
        <n v="1014" u="1"/>
        <n v="949" u="1"/>
        <n v="884" u="1"/>
        <n v="819" u="1"/>
        <n v="754" u="1"/>
        <n v="689" u="1"/>
        <n v="624" u="1"/>
        <n v="559" u="1"/>
        <n v="1136" u="1"/>
        <n v="1071" u="1"/>
        <n v="1015" u="1"/>
        <n v="950" u="1"/>
        <n v="885" u="1"/>
        <n v="820" u="1"/>
        <n v="755" u="1"/>
        <n v="690" u="1"/>
        <n v="625" u="1"/>
        <n v="560" u="1"/>
        <n v="1138" u="1"/>
        <n v="1073" u="1"/>
        <n v="1016" u="1"/>
        <n v="951" u="1"/>
        <n v="886" u="1"/>
        <n v="821" u="1"/>
        <n v="756" u="1"/>
        <n v="691" u="1"/>
        <n v="626" u="1"/>
        <n v="561" u="1"/>
        <n v="1140" u="1"/>
        <n v="1075" u="1"/>
        <n v="1017" u="1"/>
        <n v="952" u="1"/>
        <n v="887" u="1"/>
        <n v="822" u="1"/>
        <n v="757" u="1"/>
        <n v="692" u="1"/>
        <n v="627" u="1"/>
        <n v="562" u="1"/>
        <n v="1142" u="1"/>
        <n v="1077" u="1"/>
        <n v="1018" u="1"/>
        <n v="953" u="1"/>
        <n v="888" u="1"/>
        <n v="823" u="1"/>
        <n v="758" u="1"/>
        <n v="693" u="1"/>
        <n v="628" u="1"/>
        <n v="563" u="1"/>
        <n v="1144" u="1"/>
        <n v="1079" u="1"/>
        <n v="1019" u="1"/>
        <n v="954" u="1"/>
        <n v="889" u="1"/>
        <n v="824" u="1"/>
        <n v="759" u="1"/>
        <n v="694" u="1"/>
        <n v="629" u="1"/>
        <n v="564" u="1"/>
        <n v="1146" u="1"/>
        <n v="1081" u="1"/>
        <n v="1020" u="1"/>
        <n v="955" u="1"/>
        <n v="890" u="1"/>
        <n v="825" u="1"/>
        <n v="760" u="1"/>
        <n v="695" u="1"/>
        <n v="630" u="1"/>
        <n v="565" u="1"/>
        <n v="1148" u="1"/>
        <n v="1083" u="1"/>
        <n v="1021" u="1"/>
        <n v="956" u="1"/>
        <n v="891" u="1"/>
        <n v="826" u="1"/>
        <n v="761" u="1"/>
        <n v="696" u="1"/>
        <n v="631" u="1"/>
        <n v="566" u="1"/>
        <n v="1150" u="1"/>
        <n v="1085" u="1"/>
        <n v="1022" u="1"/>
        <n v="957" u="1"/>
        <n v="892" u="1"/>
        <n v="827" u="1"/>
        <n v="762" u="1"/>
        <n v="697" u="1"/>
        <n v="632" u="1"/>
        <n v="567" u="1"/>
        <n v="1152" u="1"/>
        <n v="1087" u="1"/>
        <n v="1023" u="1"/>
        <n v="958" u="1"/>
        <n v="893" u="1"/>
        <n v="828" u="1"/>
        <n v="763" u="1"/>
        <n v="698" u="1"/>
        <n v="633" u="1"/>
        <n v="568" u="1"/>
        <n v="1154" u="1"/>
        <n v="1089" u="1"/>
        <n v="1024" u="1"/>
        <n v="959" u="1"/>
        <n v="894" u="1"/>
        <n v="829" u="1"/>
        <n v="764" u="1"/>
        <n v="699" u="1"/>
        <n v="634" u="1"/>
        <n v="569" u="1"/>
        <n v="1156" u="1"/>
        <n v="1091" u="1"/>
        <n v="1026" u="1"/>
        <n v="960" u="1"/>
        <n v="895" u="1"/>
        <n v="830" u="1"/>
        <n v="765" u="1"/>
        <n v="700" u="1"/>
        <n v="635" u="1"/>
        <n v="570" u="1"/>
        <n v="1158" u="1"/>
        <n v="1093" u="1"/>
        <n v="1028" u="1"/>
        <n v="961" u="1"/>
        <n v="896" u="1"/>
        <n v="831" u="1"/>
        <n v="766" u="1"/>
        <n v="701" u="1"/>
        <n v="636" u="1"/>
        <n v="571" u="1"/>
        <n v="1160" u="1"/>
        <n v="1095" u="1"/>
        <n v="1030" u="1"/>
        <n v="962" u="1"/>
        <n v="897" u="1"/>
        <n v="832" u="1"/>
        <n v="767" u="1"/>
        <n v="702" u="1"/>
        <n v="637" u="1"/>
        <n v="572" u="1"/>
        <n v="1162" u="1"/>
        <n v="1097" u="1"/>
        <n v="1032" u="1"/>
        <n v="963" u="1"/>
        <n v="898" u="1"/>
        <n v="833" u="1"/>
        <n v="768" u="1"/>
        <n v="703" u="1"/>
        <n v="638" u="1"/>
        <n v="573" u="1"/>
        <n v="1164" u="1"/>
        <n v="1099" u="1"/>
        <n v="1034" u="1"/>
        <n v="964" u="1"/>
        <n v="899" u="1"/>
        <n v="834" u="1"/>
        <n v="769" u="1"/>
        <n v="704" u="1"/>
        <n v="639" u="1"/>
        <n v="574" u="1"/>
        <n v="1166" u="1"/>
        <n v="1101" u="1"/>
        <n v="1036" u="1"/>
        <n v="965" u="1"/>
        <n v="900" u="1"/>
        <n v="835" u="1"/>
        <n v="770" u="1"/>
        <n v="705" u="1"/>
        <n v="640" u="1"/>
        <n v="575" u="1"/>
        <n v="1168" u="1"/>
        <n v="1103" u="1"/>
        <n v="1038" u="1"/>
        <n v="966" u="1"/>
        <n v="901" u="1"/>
        <n v="836" u="1"/>
        <n v="771" u="1"/>
        <n v="706" u="1"/>
        <n v="641" u="1"/>
        <n v="576" u="1"/>
        <n v="1170" u="1"/>
        <n v="1105" u="1"/>
        <n v="1040" u="1"/>
        <n v="967" u="1"/>
        <n v="902" u="1"/>
        <n v="837" u="1"/>
        <n v="772" u="1"/>
        <n v="707" u="1"/>
        <n v="642" u="1"/>
        <n v="577" u="1"/>
        <n v="1172" u="1"/>
        <n v="1107" u="1"/>
        <n v="1042" u="1"/>
        <n v="968" u="1"/>
        <n v="903" u="1"/>
        <n v="838" u="1"/>
        <n v="773" u="1"/>
        <n v="708" u="1"/>
        <n v="643" u="1"/>
        <n v="578" u="1"/>
        <n v="1174" u="1"/>
        <n v="1109" u="1"/>
        <n v="1044" u="1"/>
        <n v="969" u="1"/>
        <n v="904" u="1"/>
        <n v="839" u="1"/>
        <n v="774" u="1"/>
        <n v="709" u="1"/>
        <n v="644" u="1"/>
        <n v="579" u="1"/>
        <n v="1176" u="1"/>
        <n v="1111" u="1"/>
        <n v="1046" u="1"/>
        <n v="970" u="1"/>
        <n v="905" u="1"/>
        <n v="840" u="1"/>
        <n v="775" u="1"/>
        <n v="710" u="1"/>
        <n v="645" u="1"/>
        <n v="580" u="1"/>
        <n v="1178" u="1"/>
        <n v="1113" u="1"/>
        <n v="1048" u="1"/>
        <n v="971" u="1"/>
        <n v="906" u="1"/>
        <n v="841" u="1"/>
        <n v="776" u="1"/>
        <n v="711" u="1"/>
        <n v="646" u="1"/>
        <n v="581" u="1"/>
        <n v="1180" u="1"/>
        <n v="1115" u="1"/>
        <n v="1050" u="1"/>
        <n v="972" u="1"/>
        <n v="907" u="1"/>
        <n v="842" u="1"/>
        <n v="777" u="1"/>
        <n v="712" u="1"/>
        <n v="647" u="1"/>
      </sharedItems>
    </cacheField>
    <cacheField name="NOMBRE" numFmtId="0">
      <sharedItems containsBlank="1"/>
    </cacheField>
    <cacheField name="CARGO" numFmtId="0">
      <sharedItems containsBlank="1"/>
    </cacheField>
    <cacheField name="ENTIDAD" numFmtId="0">
      <sharedItems containsBlank="1"/>
    </cacheField>
    <cacheField name="NIT" numFmtId="0">
      <sharedItems containsBlank="1" containsMixedTypes="1" containsNumber="1" containsInteger="1" minValue="819000413" maxValue="9001814192"/>
    </cacheField>
    <cacheField name="EMAIL" numFmtId="0">
      <sharedItems containsBlank="1"/>
    </cacheField>
    <cacheField name="DIRECCIÓN" numFmtId="0">
      <sharedItems containsBlank="1"/>
    </cacheField>
    <cacheField name="DEPARTAMENTO" numFmtId="0">
      <sharedItems containsBlank="1" count="23">
        <s v="TOLIMA"/>
        <s v="CÓRDOBA"/>
        <s v="BOLÍVAR"/>
        <s v="ATLÁNTICO"/>
        <s v="MAGDALENA"/>
        <s v="PUTUMAYO"/>
        <s v="META"/>
        <s v="HUILA"/>
        <s v="SANTANDER"/>
        <s v="BOGOTA"/>
        <s v="GUAVIARE"/>
        <s v="LA GUAJIRA"/>
        <s v="CAUCA"/>
        <s v="ANTIOQUIA"/>
        <s v="CASANARE"/>
        <s v="VALLE DEL CAUCA"/>
        <s v="CAQUETÁ"/>
        <s v="NARIÑO"/>
        <s v="NO DISPOIBLE"/>
        <s v="CUNDINAMARCA"/>
        <s v="GUAINÍA"/>
        <s v="SUCRE"/>
        <m/>
      </sharedItems>
    </cacheField>
    <cacheField name="MUNICIPIO" numFmtId="0">
      <sharedItems containsBlank="1"/>
    </cacheField>
    <cacheField name="ASUNTO" numFmtId="0">
      <sharedItems containsBlank="1"/>
    </cacheField>
    <cacheField name="RADICADO ENTRADA" numFmtId="0">
      <sharedItems containsBlank="1" containsMixedTypes="1" containsNumber="1" containsInteger="1" minValue="202124100001812" maxValue="202142301024092"/>
    </cacheField>
    <cacheField name="FECHA RADICADO ENTRADA" numFmtId="14">
      <sharedItems containsNonDate="0" containsDate="1" containsString="0" containsBlank="1" minDate="2021-01-04T00:00:00" maxDate="2021-10-06T00:00:00"/>
    </cacheField>
    <cacheField name="MES ENTRADA" numFmtId="0">
      <sharedItems count="10">
        <s v="ENE"/>
        <s v="FEB"/>
        <s v="MAR"/>
        <s v="ABR"/>
        <s v="MAY"/>
        <s v="JUN"/>
        <s v="JUL"/>
        <s v="AGO"/>
        <s v="SEP"/>
        <s v="OCT"/>
      </sharedItems>
    </cacheField>
    <cacheField name="RADICADO SALIDA" numFmtId="0">
      <sharedItems containsBlank="1" containsMixedTypes="1" containsNumber="1" containsInteger="1" minValue="202124101265242" maxValue="202124141375691"/>
    </cacheField>
    <cacheField name="FECHA RADICADO SALIDA" numFmtId="0">
      <sharedItems containsNonDate="0" containsDate="1" containsString="0" containsBlank="1" minDate="2021-01-04T00:00:00" maxDate="2021-09-02T00:00:00"/>
    </cacheField>
    <cacheField name="MES SALIDA" numFmtId="0">
      <sharedItems/>
    </cacheField>
    <cacheField name="DIAS RESPUESTA" numFmtId="0">
      <sharedItems containsSemiMixedTypes="0" containsString="0" containsNumber="1" containsInteger="1" minValue="-27" maxValue="44474"/>
    </cacheField>
    <cacheField name="ESTADO" numFmtId="0">
      <sharedItems containsBlank="1"/>
    </cacheField>
    <cacheField name="OBSERVACIÓN" numFmtId="0">
      <sharedItems containsBlank="1"/>
    </cacheField>
    <cacheField name="No. DE RESOLUCIÓN" numFmtId="0">
      <sharedItems containsBlank="1"/>
    </cacheField>
    <cacheField name="FECHA DE RESOLUCIÓN" numFmtId="0">
      <sharedItems containsDate="1" containsBlank="1" containsMixedTypes="1" minDate="2012-07-10T00:00:00" maxDate="2029-04-24T00:00:00"/>
    </cacheField>
    <cacheField name="MEDICAMENTO" numFmtId="0">
      <sharedItems containsBlank="1"/>
    </cacheField>
    <cacheField name="CANTIDAD UND FARMACEUTICAS" numFmtId="0">
      <sharedItems containsString="0" containsBlank="1" containsNumber="1" containsInteger="1" minValue="0" maxValue="30000"/>
    </cacheField>
    <cacheField name="CANTIDAD UND COMERCIALES" numFmtId="0">
      <sharedItems containsMixedTypes="1" containsNumber="1" containsInteger="1" minValue="0" maxValue="1200"/>
    </cacheField>
    <cacheField name="NOMBRE MED." numFmtId="0">
      <sharedItems containsBlank="1" count="18">
        <s v="Morfina HCl "/>
        <s v="Hidromorfona HCl "/>
        <s v="Metadona HCl "/>
        <s v="Fenobarbital Sódico "/>
        <s v="Metilfenidato HCl "/>
        <s v="Fenobarbital "/>
        <s v="Meperidina HCl "/>
        <s v="Primidona "/>
        <s v="NO DISPONIBLE"/>
        <s v=""/>
        <m u="1"/>
        <s v="Fenobarbital" u="1"/>
        <s v="Morfina HCl" u="1"/>
        <s v="Primidona" u="1"/>
        <s v="Metadona HCl" u="1"/>
        <s v="Fenobarbital Sódico" u="1"/>
        <s v="Metilfenidato HCl" u="1"/>
        <s v="Hidromorfona HCl" u="1"/>
      </sharedItems>
    </cacheField>
    <cacheField name="CONCENTRACION" numFmtId="0">
      <sharedItems containsBlank="1" count="32">
        <s v="10 mg/mL "/>
        <s v="3%. "/>
        <s v="2 mg/mL "/>
        <s v="10 mg "/>
        <s v="40 mg "/>
        <s v="200 mg/Ml "/>
        <s v="40 mg/mL "/>
        <s v="100 mg "/>
        <s v="100 mg/2mL "/>
        <s v="2,5 mg "/>
        <s v="250 mg "/>
        <s v="0,4%. "/>
        <s v="50 mg "/>
        <s v="5 mg "/>
        <s v="36 mg "/>
        <s v="NO DISPONIBLE"/>
        <s v="10 (50mg/5mL) "/>
        <s v=""/>
        <s v="18 mg "/>
        <m u="1"/>
        <s v="100 mg" u="1"/>
        <s v="10 mg" u="1"/>
        <s v="250 mg" u="1"/>
        <s v="3%." u="1"/>
        <s v="2 mg/mL" u="1"/>
        <s v="40 mg" u="1"/>
        <s v="200 mg/mL" u="1"/>
        <s v="10 mg/mL" u="1"/>
        <s v="20 mg" u="1"/>
        <s v="40 mg/mL" u="1"/>
        <s v="50 mg" u="1"/>
        <s v="0,4%." u="1"/>
      </sharedItems>
    </cacheField>
    <cacheField name="FORMA FARMACEUTICA" numFmtId="0">
      <sharedItems containsBlank="1" count="13">
        <s v="Solución Inyectable"/>
        <s v="Solución Oral"/>
        <s v="Tabletas NACIONAL"/>
        <s v="Comprimidos"/>
        <s v="Tabletas"/>
        <s v="Tableta"/>
        <s v="Tabletas IMPORTADA"/>
        <s v="Tabletas de Liberación Prolongada"/>
        <s v="NO DISPONIBLE"/>
        <s v=""/>
        <m u="1"/>
        <s v="Cápsula de Liberación Prolongada" u="1"/>
        <s v="Comprimido" u="1"/>
      </sharedItems>
    </cacheField>
    <cacheField name="CANTIDAD" numFmtId="0">
      <sharedItems containsBlank="1" count="22">
        <s v="Caja x 10 unidades"/>
        <s v="Frasco x 30 mL"/>
        <s v="Caja x 30 unidades"/>
        <s v="Caja 10 ampollas"/>
        <s v="Caja x 20 unidades"/>
        <s v="Caja X 50 unidades c/u"/>
        <s v="Frasco x 120 mL"/>
        <s v="Caja X 20 unidades c/u"/>
        <s v="Frasco x 20 unidades"/>
        <s v="Vial X 20 mL c/u"/>
        <s v="Frasco x 30 unidades"/>
        <s v="NO DISPONIBLE"/>
        <s v="Caja x 5 unidades"/>
        <s v=""/>
        <m u="1"/>
        <s v="Frasco X 30 mL c/u" u="1"/>
        <s v="Caja X 10 ampollas c/u" u="1"/>
        <s v="Caja X 10 unidades c/u" u="1"/>
        <s v="Caja X 30 unidades c/u" u="1"/>
        <s v="Frascos X 120 mL c/u" u="1"/>
        <s v="Frasco X 20 unidades c/u" u="1"/>
        <s v="Frasco X 30 unidades c/u" u="1"/>
      </sharedItems>
    </cacheField>
    <cacheField name="CANTIDAD NUM LETRAS" numFmtId="0">
      <sharedItems containsBlank="1" count="357">
        <s v=""/>
        <s v="Cien (100)_Frasco x 30 mL"/>
        <s v="Cinco (5)_Caja x 30 unidades"/>
        <s v="Trescientos (300)_Caja x 30 unidades"/>
        <s v="Cincuenta (50)_Caja 10 ampollas"/>
        <s v="Dos (2)_Caja x 10 unidades"/>
        <s v="Cinco (5)_Frasco x 30 mL"/>
        <s v="Veinte (20)_Caja x 30 unidades"/>
        <s v="Uno (1)_Caja x 30 unidades"/>
        <s v="Cinco (5)_Caja 10 ampollas"/>
        <s v="Diez (10)_Caja x 10 unidades"/>
        <s v="Uno (1)_Caja x 10 unidades"/>
        <s v="Trescientos Noventa Y Uno (391)_Caja x 30 unidades"/>
        <s v="Veinticinco (25)_Caja x 20 unidades"/>
        <s v="Setenta (70)_Caja x 10 unidades"/>
        <s v="Veinticinco (25)_Caja x 30 unidades"/>
        <s v="Cinco (5)_Frasco x 120 mL"/>
        <s v="Cinco (5)_Caja x 10 unidades"/>
        <s v="Veinte (20)_Caja x 10 unidades"/>
        <s v="Quince (15)_Caja x 10 unidades"/>
        <s v="Quince (15)_Caja 10 ampollas"/>
        <s v="Cuatrocientos (400)_Frasco x 30 mL"/>
        <s v="Sesenta (60)_Caja x 30 unidades"/>
        <s v="Diez (10)_Caja x 30 unidades"/>
        <s v="Tres (3)_Caja x 10 unidades"/>
        <s v="Cien (100)_Caja 10 ampollas"/>
        <s v="Cien (100)_Caja x 10 unidades"/>
        <s v="Diez (10)_Caja 10 ampollas"/>
        <s v="Tres (3)_Frasco x 30 mL"/>
        <s v="Dos (2)_Caja 10 ampollas"/>
        <s v="Cuatro (4)_Caja x 10 unidades"/>
        <s v="Veinte (20)_Caja 10 ampollas"/>
        <s v="Cien (100)_Caja x 30 unidades"/>
        <s v="Cuarenta (40)_Caja x 30 unidades"/>
        <s v="Ochenta (80)_Caja x 30 unidades"/>
        <s v="Seiscientos (600)_Caja x 30 unidades"/>
        <s v="Doce (12)_Frasco x 120 mL"/>
        <s v="Dieciocho (18)_Frasco x 120 mL"/>
        <s v="Noventa Y Seis (96)_Caja x 10 unidades"/>
        <s v="Ciento Cinco (105)_Caja x 20 unidades"/>
        <s v="Sesenta (60)_Frasco x 30 mL"/>
        <s v="Treinta Y Seis (36)_Caja x 10 unidades"/>
        <s v="Sesenta (60)_Caja x 10 unidades"/>
        <s v="Treinta (30)_Frasco x 30 mL"/>
        <s v="Cuarenta (40)_Frasco x 30 mL"/>
        <s v="Noventa Y Seis (96)_Caja x 30 unidades"/>
        <s v="Veinte (20)_Caja x 20 unidades"/>
        <s v="Diez (10)_Frasco x 30 mL"/>
        <s v="Ochenta Y Tres (83)_Caja x 30 unidades"/>
        <s v="Doce (12)_Caja x 10 unidades"/>
        <s v="Cinco (5)_Frasco x 20 unidades"/>
        <s v="Cuatro (4)_Frasco x 30 mL"/>
        <s v="Nueve (9)_Caja x 20 unidades"/>
        <s v="Seis (6)_Caja x 30 unidades"/>
        <s v="Treinta (30)_Caja x 10 unidades"/>
        <s v="Doscientos (200)_Caja x 10 unidades"/>
        <s v="Treinta (30)_Caja x 30 unidades"/>
        <s v="Cincuenta (50)_Caja x 10 unidades"/>
        <s v="Trescientos Sesenta (360)_Caja x 30 unidades"/>
        <s v="Cincuenta Y Cinco (55)_Caja x 10 unidades"/>
        <s v="Cuatrocientos (400)_Caja x 30 unidades"/>
        <s v="Ciento Cuarenta Y Cuatro (144)_Caja x 10 unidades"/>
        <s v="Doscientos (200)_Frasco x 30 mL"/>
        <s v="Cuarenta (40)_Caja x 10 unidades"/>
        <s v="Cuarenta (40)_Caja 10 ampollas"/>
        <s v="Ochenta (80)_Caja x 10 unidades"/>
        <s v="Doce (12)_Caja x 30 unidades"/>
        <s v="Seis (6)_Caja 10 ampollas"/>
        <s v="Cincuenta (50)_Caja x 30 unidades"/>
        <s v="Diez (10)_Frasco x 120 mL"/>
        <s v="Seiscientos (600)_Caja x 10 unidades"/>
        <s v="Tres (3)_Caja x 30 unidades"/>
        <s v="Cinco (5)_Caja x 20 unidades"/>
        <s v="Veinticuatro (24)_Caja x 30 unidades"/>
        <s v="Veintisiete (27)_Caja x 20 unidades"/>
        <s v="Veintiuno (21)_Caja x 30 unidades"/>
        <s v="Quince (15)_Caja x 30 unidades"/>
        <s v="Veinte (20)_Frasco x 120 mL"/>
        <s v="Trescientos (300)_Caja x 10 unidades"/>
        <s v="Siete (7)_Caja x 30 unidades"/>
        <s v="Ciento Veinte (120)_Caja x 30 unidades"/>
        <s v="Seis (6)_Caja x 10 unidades"/>
        <s v="Doscientos Veintiséis (226)_Caja x 30 unidades"/>
        <s v="Cuatrocientos Cincuenta (450)_Frasco x 30 mL"/>
        <s v="Cincuenta (50)_Caja x 20 unidades"/>
        <s v="Doce (12)_Caja 10 ampollas"/>
        <s v="Cuarenta Y Dos (42)_Caja x 10 unidades"/>
        <s v="Trece (13)_Caja 10 ampollas"/>
        <s v="Treinta Y Cinco (35)_Caja x 10 unidades"/>
        <s v="Dos (2)_Caja x 20 unidades"/>
        <s v="Dos (2)_Caja x 30 unidades"/>
        <s v="Doce (12)_Frasco x 30 mL"/>
        <s v="Trescientos Diez (310)_Caja x 10 unidades"/>
        <s v="Ciento Treinta (130)_Caja x 10 unidades"/>
        <s v="Ciento Ochenta (180)_Frasco x 30 mL"/>
        <s v="Cuarenta (40)_Caja x 20 unidades"/>
        <s v="Ocho (8)_Caja x 30 unidades"/>
        <s v="Veinticinco (25)_Frasco x 30 mL"/>
        <s v="Diez (10)_Caja x 20 unidades"/>
        <s v="Cincuenta (50)_Frasco x 30 mL"/>
        <s v="Quince (15)_Frasco x 120 mL"/>
        <s v="Dieciseis (16)_Caja x 30 unidades"/>
        <s v="Setenta (70)_Caja x 30 unidades"/>
        <s v="Ochenta (80)_Frasco x 120 mL"/>
        <s v="Ciento Veinte (120)_Caja 10 ampollas"/>
        <s v="Quince (15)_Frasco x 30 mL"/>
        <s v="Ocho (8)_Frasco x 30 mL"/>
        <s v="Ciento Cincuenta (150)_Caja x 10 unidades"/>
        <s v="Dos (2)_Frasco x 120 mL"/>
        <s v="Uno (1)_Frasco x 30 mL"/>
        <s v="Cuatro (4)_Caja x 30 unidades"/>
        <s v="Cuatrocientos Cuarenta Y Cinco (445)_Caja x 30 unidades"/>
        <s v="Dieciseis (16)_Frasco x 120 mL"/>
        <s v="Treinta Y Seis (36)_Caja x 20 unidades"/>
        <s v="Mil (1000)_Caja x 30 unidades"/>
        <s v="Cuatro (4)_Frasco x 120 mL"/>
        <s v="Ochenta (80)_Caja 10 ampollas"/>
        <s v="Cuarenta Y Ocho (48)_Caja x 30 unidades"/>
        <s v="Dieciocho (18)_Caja x 20 unidades"/>
        <s v="Treinta Y Ocho (38)_Caja x 30 unidades"/>
        <s v="Ciento Diez (110)_Caja 10 ampollas"/>
        <s v="Tres (3)_Frasco x 120 mL"/>
        <s v="Ocho (8)_Caja x 10 unidades"/>
        <s v="Tres (3)_Caja 10 ampollas"/>
        <s v="Treinta (30)_Caja 10 ampollas"/>
        <s v="Ciento Diez (110)_Caja x 30 unidades"/>
        <s v="Siete (7)_Frasco x 30 mL"/>
        <s v="Ciento Cincuenta (150)_Caja x 20 unidades"/>
        <s v="Ochocientos (800)_Caja x 30 unidades"/>
        <s v="Doscientos (200)_Caja x 20 unidades"/>
        <s v="Trescientos Treinta Y Tres (333)_Caja x 30 unidades"/>
        <s v="Dos (2)_Frasco x 30 unidades"/>
        <s v="NO DISPONIBLE"/>
        <s v="Veintidos (22)_Caja x 30 unidades"/>
        <s v="Dieciocho (18)_Frasco x 30 mL"/>
        <s v="Ocho (8)_Frasco x 120 mL"/>
        <s v="Ochenta (80)_Caja x 5 unidades"/>
        <s v="Diecisiete (17)_Caja x 20 unidades"/>
        <s v="Veinte (20)_Frasco x 30 mL"/>
        <s v="Sesenta (60)_Caja 10 ampollas"/>
        <s v="Noventa (90)_Caja x 30 unidades"/>
        <s v="Quinientos (500)_Caja x 10 unidades"/>
        <s v="Doscientos Veintiocho (228)_Caja x 30 unidades"/>
        <s v="Veinticinco (25)_Caja 10 ampollas"/>
        <s v="Treinta (30)_Caja x 20 unidades"/>
        <s v="Uno (1)_Caja 10 ampollas"/>
        <s v="Cuarenta Y Cinco (45)_Caja x 10 unidades"/>
        <s v="Veinte (20)_Caja x 5 unidades"/>
        <s v="Cuarenta (40)_Frasco x 120 mL"/>
        <s v="Trescientos (300)_Caja x 5 unidades"/>
        <s v="Cuatro (4)_Caja 10 ampollas"/>
        <s v="Cincuenta (50)_Caja x 5 unidades"/>
        <s v="Cuatrocientos (400)_Caja x 5 unidades"/>
        <s v="Cien (100)_Caja x 5 unidades"/>
        <s v="Sesenta Y Cinco (65)_Frasco x 120 mL"/>
        <s v="Quince (15)_Caja x 20 unidades"/>
        <s v="Dos (2)_Frasco x 30 mL"/>
        <s v="Noventa (90)_Frasco x 30 mL"/>
        <s v="Ciento Veinte (120)_Caja x 10 unidades"/>
        <s v="Seis (6)_Frasco x 120 mL"/>
        <s v="Catorce (14)_Caja x 30 unidades"/>
        <s v="Treinta Y Seis (36)_Caja x 30 unidades"/>
        <s v="Setenta Y Dos (72)_Caja x 20 unidades"/>
        <s v="Seis (6)_Frasco x 30 mL"/>
        <s v="Seis (6)_Caja x 20 unidades"/>
        <s v="Tres (3)_Frasco x 20 unidades"/>
        <s v="Uno (1)_Frasco x 30 unidades"/>
        <s v="Cuarenta (40)_Caja x 5 unidades"/>
        <s v="Veinticuatro (24)_Frasco x 30 unidades"/>
        <s v="Treinta Y Siete (37)_Frasco x 30 unidades"/>
        <s v="Ciento Setenta Y Cuatro (174)_Caja x 30 unidades"/>
        <s v="Cien (100)_Caja x 20 unidades"/>
        <s v="Doscientos (200)_Caja x 30 unidades"/>
        <s v="Cuarenta Y Ocho (48)_Frasco x 30 mL"/>
        <s v="Setenta Y Cinco (75)_Caja x 10 unidades"/>
        <s v="Noventa Y Cinco (95)_Frasco x 30 unidades"/>
        <s v="Cuarenta Y Cinco (45)_Frasco x 30 mL"/>
        <s v="Veinticuatro (24)_Caja x 5 unidades"/>
        <s v="Noventa (90)_Caja x 10 unidades"/>
        <s v="Veintitres (23)_Caja x 30 unidades"/>
        <s v="Ciento Treinta Y Tres (133)_Caja x 30 unidades"/>
        <s v="Ciento Ochenta (180)_Caja x 10 unidades"/>
        <s v="Veintiseis (26)_Caja x 30 unidades"/>
        <s v="Catorce (14)_Caja 10 ampollas"/>
        <s v="Catorce (14)_Caja x 10 unidades"/>
        <s v="Cuatrocientos Veinte (420)_Caja x 10 unidades"/>
        <s v="Doce (12)_Caja x 20 unidades"/>
        <s v="Cincuenta (50)_Frasco x 20 unidades"/>
        <s v="Sesenta (60)_Caja x 5 unidades"/>
        <s v="Cuarenta (40)_Frasco x 30 unidades"/>
        <s v="Mil (1000)_Caja x 10 unidades"/>
        <s v="Trescientos (300)_Vial X 20 mL c/u"/>
        <s v="Treinta (30)_Frasco x 20 unidades"/>
        <s v="Doscientos (200)_Frasco x 120 mL"/>
        <s v="Trescientos (300)_Frasco x 30 mL"/>
        <s v="Treinta Y Tres (33)_Caja x 30 unidades"/>
        <s v="Quince (15)_Frasco x 30 unidades"/>
        <s v="Veintisiete (27)_Caja x 30 unidades"/>
        <s v="Ciento Cincuenta (150)_Frasco x 20 unidades"/>
        <s v="Quinientos (500)_Caja x 5 unidades"/>
        <s v="Veintiseis (26)_Caja x 10 unidades"/>
        <s v="Seis (6)_Frasco x 20 unidades"/>
        <s v="Veintiseis (26)_Frasco x 20 unidades"/>
        <s v="Doscientos Cuarenta Y Dos (242)_Caja x 30 unidades"/>
        <s v="Ochenta (80)_Frasco x 30 mL"/>
        <s v="Seis (6)_Vial X 20 mL c/u"/>
        <s v="Sesenta Y Seis (66)_Caja x 30 unidades"/>
        <s v="Veinticuatro (24)_Frasco x 30 mL"/>
        <s v="Uno (1)_Caja x 20 unidades"/>
        <s v="Doce (12)_Frasco X 30 mL c/u" u="1"/>
        <s v="Diez (10)_Frascos X 120 mL c/u" u="1"/>
        <s v="Cien (100)_Caja X 10 ampollas c/u" u="1"/>
        <m u="1"/>
        <s v="Dos (2)_Frasco x 20 unidades" u="1"/>
        <s v="Cinco (5)_Frasco x 30 unidades" u="1"/>
        <s v="Veintiuno (21)_Caja X 30 unidades c/u" u="1"/>
        <s v="Trescientos Noventa Y Uno (391)_Caja X 30 unidades c/u" u="1"/>
        <s v="Cuarenta (40)_Frasco X 30 mL c/u" u="1"/>
        <s v="Doscientos (200)_Caja X 10 unidades c/u" u="1"/>
        <s v="Diez (10)_Caja X 10 ampollas c/u" u="1"/>
        <s v="Diez (10)_Caja X 10 unidades c/u" u="1"/>
        <s v="Diez (10)_Caja X 20 unidades c/u" u="1"/>
        <s v="Diez (10)_Caja X 30 unidades c/u" u="1"/>
        <s v="Uno (1)_Vial X 20 mL c/u" u="1"/>
        <s v="Quince (15)_Frasco X 30 mL c/u" u="1"/>
        <s v="Veinticinco (25)_Caja X 20 unidades c/u" u="1"/>
        <s v="Veinticinco (25)_Caja X 30 unidades c/u" u="1"/>
        <s v="Veintisiete (27)_Caja X 20 unidades c/u" u="1"/>
        <s v="Cinco (5)_Frascos X 120 mL c/u" u="1"/>
        <s v="Uno (1)_Caja X 10 unidades c/u" u="1"/>
        <s v="Uno (1)_Caja X 30 unidades c/u" u="1"/>
        <s v="Treinta Y Ocho (38)_Caja X 30 unidades c/u" u="1"/>
        <s v="Treinta Y Seis (36)_Caja X 10 unidades c/u" u="1"/>
        <s v="Treinta Y Seis (36)_Caja X 20 unidades c/u" u="1"/>
        <s v="Treinta Y Seis (36)_Caja X 30 unidades c/u" u="1"/>
        <s v="Cincuenta Y Cinco (55)_Caja X 10 unidades c/u" u="1"/>
        <s v="Cuatrocientos Cincuenta (450)_Frasco X 30 mL c/u" u="1"/>
        <s v="Ocho (8)_Caja X 30 unidades c/u" u="1"/>
        <s v="Tres (3)_Frascos X 120 mL c/u" u="1"/>
        <s v="Doce (12)_Frascos X 120 mL c/u" u="1"/>
        <s v="Seiscientos (600)_Caja X 10 unidades c/u" u="1"/>
        <s v="Seiscientos (600)_Caja X 30 unidades c/u" u="1"/>
        <s v="Trescientos Diez (310)_Caja X 10 unidades c/u" u="1"/>
        <s v="Cinco (5)_Caja X 10 ampollas c/u" u="1"/>
        <s v="Cinco (5)_Caja X 10 unidades c/u" u="1"/>
        <s v="Cinco (5)_Caja X 20 unidades c/u" u="1"/>
        <s v="Cinco (5)_Caja X 30 unidades c/u" u="1"/>
        <s v="Treinta (30)_Frasco X 30 mL c/u" u="1"/>
        <s v="Cuarenta Y Siete (47)_Frasco x 30 mL" u="1"/>
        <s v="Tres (3)_" u="1"/>
        <s v="Doce (12)_Caja X 10 unidades c/u" u="1"/>
        <s v="Doce (12)_Caja X 30 unidades c/u" u="1"/>
        <s v="Mil (1000)_Caja X 30 unidades c/u" u="1"/>
        <s v="Trece (13)_Caja X 10 unidades c/u" u="1"/>
        <s v="Veinte (20)_Caja X 10 unidades c/u" u="1"/>
        <s v="Veinte (20)_Caja X 20 unidades c/u" u="1"/>
        <s v="Veinte (20)_Caja X 30 unidades c/u" u="1"/>
        <s v="Trescientos (300)_Caja X 10 unidades c/u" u="1"/>
        <s v="Trescientos (300)_Caja X 30 unidades c/u" u="1"/>
        <s v="Cien (100)_Caja X 10 unidades c/u" u="1"/>
        <s v="Cien (100)_Caja X 30 unidades c/u" u="1"/>
        <s v="Dieciocho (18)_Frasco x 20 unidades" u="1"/>
        <s v="Trescientos Sesenta (360)_Caja X 30 unidades c/u" u="1"/>
        <s v="Treinta Y Cinco (35)_Caja X 10 unidades c/u" u="1"/>
        <s v="Cien (100)_Frasco X 30 mL c/u" u="1"/>
        <s v="Cuatrocientos (400)_Caja X 10 unidades c/u" u="1"/>
        <s v="Cuatrocientos (400)_Caja X 30 unidades c/u" u="1"/>
        <s v="Ocho (8)_Frasco X 30 mL c/u" u="1"/>
        <s v="Cuarenta (40)_Frascos X 120 mL c/u" u="1"/>
        <s v="Ochenta (80)_Caja X 10 unidades c/u" u="1"/>
        <s v="Ochenta (80)_Caja X 30 unidades c/u" u="1"/>
        <s v="Cincuenta (50)_Caja X 10 unidades c/u" u="1"/>
        <s v="Cincuenta (50)_Caja X 20 unidades c/u" u="1"/>
        <s v="Cincuenta (50)_Caja X 30 unidades c/u" u="1"/>
        <s v="Trescientos Cincuenta (350)_Caja x 30 unidades" u="1"/>
        <s v="Cuarenta Y Dos (42)_Caja X 10 ampollas c/u" u="1"/>
        <s v="Dieciocho (18)_Frascos X 120 mL c/u" u="1"/>
        <s v="Dieciseis (16)_Frascos X 120 mL c/u" u="1"/>
        <s v="Sesenta (60)_Caja X 10 unidades c/u" u="1"/>
        <s v="Sesenta (60)_Caja X 30 unidades c/u" u="1"/>
        <s v="Dos (2)_Caja x 5 unidades" u="1"/>
        <s v="Dos (2)_Caja X 10 ampollas c/u" u="1"/>
        <s v="Setenta (70)_Caja X 10 unidades c/u" u="1"/>
        <s v="Setenta (70)_Caja X 30 unidades c/u" u="1"/>
        <s v="Uno (1)_Frasco X 30 mL c/u" u="1"/>
        <s v="Cuarenta (40)_Caja X 10 unidades c/u" u="1"/>
        <s v="Cuarenta (40)_Caja X 20 unidades c/u" u="1"/>
        <s v="Cuarenta (40)_Caja X 30 unidades c/u" u="1"/>
        <s v="Treinta (30)_Caja X 10 ampollas c/u" u="1"/>
        <s v="Treinta Y Cinco (35)_Frasco x 30 unidades" u="1"/>
        <s v="Ciento Cuarenta Y Cuatro (144)_Caja X 10 unidades c/u" u="1"/>
        <s v="Cuatro (4)_Frascos X 120 mL c/u" u="1"/>
        <s v="Quince (15)_Caja X 10 unidades c/u" u="1"/>
        <s v="Quince (15)_Caja X 30 unidades c/u" u="1"/>
        <s v="Dieciocho (18)_Caja X 20 unidades c/u" u="1"/>
        <s v="Dieciseis (16)_Caja X 30 unidades c/u" u="1"/>
        <s v="Seis (6)_Caja X 10 unidades c/u" u="1"/>
        <s v="Seis (6)_Caja X 30 unidades c/u" u="1"/>
        <s v="Ochenta (80)_Frascos X 120 mL c/u" u="1"/>
        <s v="Doscientos Veintiséis (226)_Caja X 30 unidades c/u" u="1"/>
        <s v="Ciento Ochenta (180)_Frasco X 30 mL c/u" u="1"/>
        <s v="Veinte (20)_Frascos X 120 mL c/u" u="1"/>
        <s v="Cinco (5)_Frasco X 20 unidades c/u" u="1"/>
        <s v="Cuatrocientos (400)_Frasco X 30 mL c/u" u="1"/>
        <s v="Dieciseis (16)_Frasco X 30 unidades c/u" u="1"/>
        <s v="Dos (2)_Caja X 10 unidades c/u" u="1"/>
        <s v="Dos (2)_Caja X 20 unidades c/u" u="1"/>
        <s v="Dos (2)_Caja X 30 unidades c/u" u="1"/>
        <s v="Tres (3)_Caja X 10 unidades c/u" u="1"/>
        <s v="Tres (3)_Caja X 30 unidades c/u" u="1"/>
        <s v="Sesenta Y Cinco (65)_Frasco x 30 mL" u="1"/>
        <s v="Doscientos (200)_Frasco x 20 unidades" u="1"/>
        <s v="Nueve (9)_Caja x 30 unidades" u="1"/>
        <s v="Doscientos (200)_Frasco X 30 mL c/u" u="1"/>
        <s v="Ochenta Y Tres (83)_Caja X 30 unidades c/u" u="1"/>
        <s v="Cuarenta Y Ocho (48)_Caja X 30 unidades c/u" u="1"/>
        <s v="Cuatrocientos Cuarenta Y Cinco (445)_Caja X 30 unidades c/u" u="1"/>
        <s v="Dos (2)_Frascos X 120 mL c/u" u="1"/>
        <s v="Veinticinco (25)_Frasco X 30 mL c/u" u="1"/>
        <s v="Quince (15)_Frascos X 120 mL c/u" u="1"/>
        <s v="Ciento Veinte (120)_Caja X 10 unidades c/u" u="1"/>
        <s v="Ciento Veinte (120)_Caja X 30 unidades c/u" u="1"/>
        <s v="Tres (3)_Frasco X 30 mL c/u" u="1"/>
        <s v="Treinta (30)_Caja X 10 unidades c/u" u="1"/>
        <s v="Treinta (30)_Caja X 30 unidades c/u" u="1"/>
        <s v="Sesenta (60)_Frasco X 30 mL c/u" u="1"/>
        <s v="Ciento Cincuenta (150)_Caja X 10 unidades c/u" u="1"/>
        <s v="Seiscientos (600)_Caja 10 ampollas" u="1"/>
        <s v="Cincuenta (50)_Caja X 10 ampollas c/u" u="1"/>
        <s v="Cuatro (4)_Caja X 10 unidades c/u" u="1"/>
        <s v="Cuatro (4)_Caja X 30 unidades c/u" u="1"/>
        <s v="Veinticinco (25)_Caja x 10 unidades" u="1"/>
        <s v="Cuatro (4)_Frasco X 30 mL c/u" u="1"/>
        <s v="Veinte (20)_Frasco X 30 mL c/u" u="1"/>
        <s v="Ciento Diez (110)_Caja X 10 unidades c/u" u="1"/>
        <s v="Ciento Diez (110)_Caja X 20 unidades c/u" u="1"/>
        <s v="Diez (10)_Frasco X 30 mL c/u" u="1"/>
        <s v="Veinte (20)_Caja X 10 ampollas c/u" u="1"/>
        <s v="Noventa Y Seis (96)_Caja X 10 unidades c/u" u="1"/>
        <s v="Noventa Y Seis (96)_Caja X 30 unidades c/u" u="1"/>
        <s v="Noventa Y Tres (93)_Caja X 30 unidades c/u" u="1"/>
        <s v="Tres (3)_Caja X 10 ampollas c/u" u="1"/>
        <s v="Ocho (8)_Caja 10 ampollas" u="1"/>
        <s v="Uno (1)_Caja x 5 unidades" u="1"/>
        <s v="Veinticuatro (24)_Caja X 30 unidades c/u" u="1"/>
        <s v="Ciento Setenta (170)_Caja X 10 unidades c/u" u="1"/>
        <s v="Ciento Treinta (130)_Caja X 10 unidades c/u" u="1"/>
        <s v="Diez (10)_Frasco x 30 unidades" u="1"/>
        <s v="Uno (1)_Caja X 10 ampollas c/u" u="1"/>
        <s v="Nueve (9)_Caja X 20 unidades c/u" u="1"/>
        <s v="Cuatrocientos (400)_Caja x 20 unidades" u="1"/>
        <s v="Cincuenta (50)_Frasco X 30 mL c/u" u="1"/>
        <s v="Ochenta (80)_Caja X 10 ampollas c/u" u="1"/>
        <s v="Cinco (5)_Frasco X 30 mL c/u" u="1"/>
        <s v="Ciento Cinco (105)_Caja X 20 unidades c/u" u="1"/>
        <s v="Trescientos (300)_Frasco X 30 mL c/u" u="1"/>
        <s v="Siete (7)_Caja X 30 unidades c/u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42">
  <r>
    <x v="0"/>
    <s v="ALEXANDER YEPEZ VELA"/>
    <s v="Director Técnico Servicio Farmacéutico"/>
    <s v="MEINTEGRAL S.A.S.  IBAGUE LA SAMARIA "/>
    <n v="9001814192"/>
    <s v="meintegral.ocobos@gmail.com"/>
    <s v="Cra 12 Sur No. 93-211 Vía Aeropuerto Perales Piso 6"/>
    <x v="0"/>
    <s v="IBAGUE"/>
    <s v="Autorización de Compra directa"/>
    <n v="202124100001812"/>
    <d v="2021-01-04T00:00:00"/>
    <x v="0"/>
    <n v="202124110002601"/>
    <d v="2021-01-04T00:00:00"/>
    <s v="ENE"/>
    <n v="0"/>
    <s v="NEGADO"/>
    <s v="No se pudo autorizar por baja disponibilidad en el almacén."/>
    <s v="No.2842"/>
    <d v="2019-09-18T00:00:00"/>
    <s v="Morfina HCl 10 mg/mL Solución Inyectable ampolla por 1mL"/>
    <n v="0"/>
    <n v="0"/>
    <x v="0"/>
    <x v="0"/>
    <x v="0"/>
    <x v="0"/>
    <x v="0"/>
  </r>
  <r>
    <x v="1"/>
    <s v="ZAMIRA COGOLLO CORDERO"/>
    <s v="Director Técnico Servicio Farmacéutico"/>
    <s v="INSTITUTO MEDICO DE ALTA TECNOLOGIA S.A.S"/>
    <s v="901085352-0"/>
    <s v="suministros02@imatsas.com"/>
    <s v="Calle 72 No. 6A-87"/>
    <x v="1"/>
    <s v="MONTERIA"/>
    <s v="Autorización de Compra directa"/>
    <n v="202124100009822"/>
    <d v="2021-01-05T00:00:00"/>
    <x v="0"/>
    <n v="202124110010251"/>
    <d v="2021-01-06T00:00:00"/>
    <s v="ENE"/>
    <n v="-1"/>
    <s v="AUTORIZADO"/>
    <m/>
    <s v="No. 0670"/>
    <d v="2019-12-30T00:00:00"/>
    <s v="Morfina HCl 0,03 Solución Oral_frascos X 30 mL c/u"/>
    <n v="100"/>
    <n v="100"/>
    <x v="0"/>
    <x v="1"/>
    <x v="1"/>
    <x v="1"/>
    <x v="1"/>
  </r>
  <r>
    <x v="1"/>
    <s v="ZAMIRA COGOLLO CORDERO"/>
    <s v="Director Técnico Servicio Farmacéutico"/>
    <s v="INSTITUTO MEDICO DE ALTA TECNOLOGIA S.A.S"/>
    <s v="901085352-0"/>
    <s v="suministros02@imatsas.com"/>
    <s v="Calle 72 No. 6A-87"/>
    <x v="1"/>
    <s v="MONTERIA"/>
    <s v="Autorización de Compra directa"/>
    <n v="202124100009822"/>
    <d v="2021-01-05T00:00:00"/>
    <x v="0"/>
    <n v="202124110010251"/>
    <d v="2021-01-06T00:00:00"/>
    <s v="ENE"/>
    <n v="-1"/>
    <s v="NEGADO"/>
    <s v="No se pudo autorizar por baja disponibilidad en el almacén."/>
    <s v="No. 0670"/>
    <d v="2019-12-30T00:00:00"/>
    <s v="Hidromorfona HCl 2 mg/mL Solución Inyectable_cajas X 10 unidades c/u"/>
    <n v="0"/>
    <n v="0"/>
    <x v="1"/>
    <x v="2"/>
    <x v="0"/>
    <x v="0"/>
    <x v="0"/>
  </r>
  <r>
    <x v="1"/>
    <s v="ZAMIRA COGOLLO CORDERO"/>
    <s v="Director Técnico Servicio Farmacéutico"/>
    <s v="INSTITUTO MEDICO DE ALTA TECNOLOGIA S.A.S"/>
    <s v="901085352-0"/>
    <s v="suministros02@imatsas.com"/>
    <s v="Calle 72 No. 6A-87"/>
    <x v="1"/>
    <s v="MONTERIA"/>
    <s v="Autorización de Compra directa"/>
    <n v="202124100009822"/>
    <d v="2021-01-05T00:00:00"/>
    <x v="0"/>
    <n v="202124110010251"/>
    <d v="2021-01-06T00:00:00"/>
    <s v="ENE"/>
    <n v="-1"/>
    <s v="AUTORIZADO"/>
    <m/>
    <s v="No. 0670"/>
    <d v="2019-12-30T00:00:00"/>
    <s v="Metadona HCl 10 mg Tableta_Cajas X 30 unidades c/u"/>
    <n v="150"/>
    <n v="5"/>
    <x v="2"/>
    <x v="3"/>
    <x v="2"/>
    <x v="2"/>
    <x v="2"/>
  </r>
  <r>
    <x v="1"/>
    <s v="ZAMIRA COGOLLO CORDERO"/>
    <s v="Director Técnico Servicio Farmacéutico"/>
    <s v="INSTITUTO MEDICO DE ALTA TECNOLOGIA S.A.S"/>
    <s v="901085352-0"/>
    <s v="suministros02@imatsas.com"/>
    <s v="Calle 72 No. 6A-87"/>
    <x v="1"/>
    <s v="MONTERIA"/>
    <s v="Autorización de Compra directa"/>
    <n v="202124100009822"/>
    <d v="2021-01-05T00:00:00"/>
    <x v="0"/>
    <n v="202124110010251"/>
    <d v="2021-01-06T00:00:00"/>
    <s v="ENE"/>
    <n v="-1"/>
    <s v="AUTORIZADO"/>
    <m/>
    <s v="No. 0670"/>
    <d v="2019-12-30T00:00:00"/>
    <s v="Metadona HCl 40 mg Tableta_Cajas X 30 unidades c/u"/>
    <n v="150"/>
    <n v="5"/>
    <x v="2"/>
    <x v="4"/>
    <x v="2"/>
    <x v="2"/>
    <x v="2"/>
  </r>
  <r>
    <x v="2"/>
    <s v="SAHIDY OSPINO LEOTTAU"/>
    <s v="Director Técnico Servicio Farmacéutico"/>
    <s v="MEDIHELP SERVICES COLOMBIA"/>
    <s v="830066626-5"/>
    <s v="compras@clinicamedihelp.com"/>
    <s v="Carrera 6 No. 5-101"/>
    <x v="2"/>
    <s v="CARTAGENA"/>
    <s v="Autorización de Compra directa"/>
    <n v="202124100006002"/>
    <d v="2021-01-04T00:00:00"/>
    <x v="0"/>
    <n v="202124110010281"/>
    <d v="2021-01-06T00:00:00"/>
    <s v="ENE"/>
    <n v="-2"/>
    <s v="NEGADO"/>
    <s v="No se pudo autorizar por baja disponibilidad en el almacén."/>
    <s v="No. 1677"/>
    <d v="2016-12-06T00:00:00"/>
    <s v="Hidromorfona HCl 2 mg/mL Solución Inyectable_cajas X 10 unidades c/u"/>
    <n v="0"/>
    <n v="0"/>
    <x v="1"/>
    <x v="2"/>
    <x v="0"/>
    <x v="0"/>
    <x v="0"/>
  </r>
  <r>
    <x v="2"/>
    <s v="SAHIDY OSPINO LEOTTAU"/>
    <s v="Director Técnico Servicio Farmacéutico"/>
    <s v="MEDIHELP SERVICES COLOMBIA"/>
    <s v="830066626-5"/>
    <s v="compras@clinicamedihelp.com"/>
    <s v="Carrera 6 No. 5-101"/>
    <x v="2"/>
    <s v="CARTAGENA"/>
    <s v="Autorización de Compra directa"/>
    <n v="202124100006002"/>
    <d v="2021-01-04T00:00:00"/>
    <x v="0"/>
    <n v="202124110010281"/>
    <d v="2021-01-06T00:00:00"/>
    <s v="ENE"/>
    <n v="-2"/>
    <s v="NEGADO"/>
    <s v="No se pudo autorizar por baja disponibilidad en el almacén."/>
    <s v="No. 1677"/>
    <d v="2016-12-06T00:00:00"/>
    <s v="Morfina HCl 10 mg/mL Solución Inyectable ampolla por 1mL"/>
    <n v="0"/>
    <n v="0"/>
    <x v="0"/>
    <x v="0"/>
    <x v="0"/>
    <x v="0"/>
    <x v="0"/>
  </r>
  <r>
    <x v="3"/>
    <s v="GERALDIN RAMIREZ MORENO"/>
    <s v="Quimico Farmacéutico"/>
    <s v="CLINICA EL BOSQUE DUCOT"/>
    <s v="NO DISPONIBLE"/>
    <s v="farmacia_general@clinicaelbosque.net"/>
    <s v="Transv. 54 # 30-11"/>
    <x v="2"/>
    <s v="CARTAGENA"/>
    <s v="Autorización de Compra directa"/>
    <n v="202124100004362"/>
    <d v="2021-01-04T00:00:00"/>
    <x v="0"/>
    <n v="202124110010301"/>
    <d v="2021-01-06T00:00:00"/>
    <s v="ENE"/>
    <n v="-2"/>
    <s v="NEGADO"/>
    <s v="El solicitante no presenta los documentos requeridos para la compra directa"/>
    <s v="NO DISPONIBLE"/>
    <s v="NO DISPONIBLE"/>
    <s v="Morfina HCl 10 mg/mL Solución Inyectable ampolla por 1mL"/>
    <n v="0"/>
    <n v="0"/>
    <x v="0"/>
    <x v="0"/>
    <x v="0"/>
    <x v="0"/>
    <x v="0"/>
  </r>
  <r>
    <x v="3"/>
    <s v="GERALDIN RAMIREZ MORENO"/>
    <s v="Quimico Farmacéutico"/>
    <s v="CLINICA EL BOSQUE DUCOT"/>
    <s v="NO DISPONIBLE"/>
    <s v="farmacia_general@clinicaelbosque.net"/>
    <s v="Transv. 54 # 30-11"/>
    <x v="2"/>
    <s v="CARTAGENA"/>
    <s v="Autorización de Compra directa"/>
    <n v="202124100004362"/>
    <d v="2021-01-04T00:00:00"/>
    <x v="0"/>
    <n v="202124110010301"/>
    <d v="2021-01-06T00:00:00"/>
    <s v="ENE"/>
    <n v="-2"/>
    <s v="NEGADO"/>
    <s v="El solicitante no presenta los documentos requeridos para la compra directa"/>
    <s v="NO DISPONIBLE"/>
    <s v="NO DISPONIBLE"/>
    <s v="Fenobarbital Sódico 200 mg/mL Solución Inyectable_caja X 10 ampollas c/u"/>
    <n v="0"/>
    <n v="0"/>
    <x v="3"/>
    <x v="5"/>
    <x v="0"/>
    <x v="0"/>
    <x v="0"/>
  </r>
  <r>
    <x v="3"/>
    <s v="GERALDIN RAMIREZ MORENO"/>
    <s v="Quimico Farmacéutico"/>
    <s v="CLINICA EL BOSQUE DUCOT"/>
    <s v="NO DISPONIBLE"/>
    <s v="farmacia_general@clinicaelbosque.net"/>
    <s v="Transv. 54 # 30-11"/>
    <x v="2"/>
    <s v="CARTAGENA"/>
    <s v="Autorización de Compra directa"/>
    <n v="202124100004362"/>
    <d v="2021-01-04T00:00:00"/>
    <x v="0"/>
    <n v="202124110010301"/>
    <d v="2021-01-06T00:00:00"/>
    <s v="ENE"/>
    <n v="-2"/>
    <s v="NEGADO"/>
    <s v="El solicitante no presenta los documentos requeridos para la compra directa"/>
    <s v="NO DISPONIBLE"/>
    <s v="NO DISPONIBLE"/>
    <s v="Fenobarbital Sódico 40 mg/mL Solución Inyectable_caja X 10 ampollas c/u"/>
    <n v="0"/>
    <n v="0"/>
    <x v="3"/>
    <x v="6"/>
    <x v="0"/>
    <x v="0"/>
    <x v="0"/>
  </r>
  <r>
    <x v="4"/>
    <s v="YOLIMAR AUDIVETH"/>
    <s v="Regente"/>
    <s v="PH MEDICAL S.A.S"/>
    <s v="900135550-4"/>
    <s v="phmedicalbarranquilla@gmail.com"/>
    <s v="Calle 80 No 47 -43. Piso 3 Oficina 5B"/>
    <x v="3"/>
    <s v="BARRANQUILLA"/>
    <s v="Autorización de Compra directa"/>
    <n v="202124100002442"/>
    <d v="2021-01-04T00:00:00"/>
    <x v="0"/>
    <n v="202124110010321"/>
    <d v="2021-01-06T00:00:00"/>
    <s v="ENE"/>
    <n v="-2"/>
    <s v="NEGADO"/>
    <s v="El solicitante no presenta los documentos requeridos para la compra directa"/>
    <s v="NO DISPONIBLE"/>
    <s v="NO DISPONIBLE"/>
    <s v="Metilfenidato HCl 10 mg Comprimido_cajas X 30 unidades c/u"/>
    <n v="0"/>
    <n v="0"/>
    <x v="4"/>
    <x v="3"/>
    <x v="3"/>
    <x v="2"/>
    <x v="0"/>
  </r>
  <r>
    <x v="5"/>
    <s v="UBEIMAR RAMÍREZ"/>
    <s v="Director Técnico"/>
    <s v="COODESTOL"/>
    <s v="800250023-3"/>
    <s v="compras5@coodestol.com.co"/>
    <s v="Calle 19 No. 7-109 Barrio Interlaken"/>
    <x v="0"/>
    <s v="IBAGUE"/>
    <s v="Autorización de Compra directa"/>
    <n v="202124100016302"/>
    <d v="2021-01-06T00:00:00"/>
    <x v="0"/>
    <n v="202124110013541"/>
    <d v="2021-01-06T00:00:00"/>
    <s v="ENE"/>
    <n v="0"/>
    <s v="AUTORIZADO"/>
    <m/>
    <s v="No. 1160"/>
    <d v="2018-04-16T00:00:00"/>
    <s v="Fenobarbital 100 mg Tableta_cajas X 30 unidades c/u"/>
    <n v="9000"/>
    <n v="300"/>
    <x v="5"/>
    <x v="7"/>
    <x v="4"/>
    <x v="2"/>
    <x v="3"/>
  </r>
  <r>
    <x v="5"/>
    <s v="UBEIMAR RAMÍREZ"/>
    <s v="Director Técnico"/>
    <s v="COODESTOL"/>
    <s v="800250023-3"/>
    <s v="compras5@coodestol.com.co"/>
    <s v="Calle 19 No. 7-109 Barrio Interlaken"/>
    <x v="0"/>
    <s v="IBAGUE"/>
    <s v="Autorización de Compra directa"/>
    <n v="202124100016302"/>
    <d v="2021-01-06T00:00:00"/>
    <x v="0"/>
    <n v="202124110013541"/>
    <d v="2021-01-06T00:00:00"/>
    <s v="ENE"/>
    <n v="0"/>
    <s v="AUTORIZADO"/>
    <m/>
    <s v="No. 1160"/>
    <d v="2018-04-16T00:00:00"/>
    <s v="Meperidina HCl 100 mg/2mL Solución Inyectable_cajas X 10 unidades c/u"/>
    <n v="500"/>
    <n v="50"/>
    <x v="6"/>
    <x v="8"/>
    <x v="0"/>
    <x v="3"/>
    <x v="4"/>
  </r>
  <r>
    <x v="5"/>
    <s v="UBEIMAR RAMÍREZ"/>
    <s v="Director Técnico"/>
    <s v="COODESTOL"/>
    <s v="800250023-3"/>
    <s v="compras5@coodestol.com.co"/>
    <s v="Calle 19 No. 7-109 Barrio Interlaken"/>
    <x v="0"/>
    <s v="IBAGUE"/>
    <s v="Autorización de Compra directa"/>
    <n v="202124100016302"/>
    <d v="2021-01-06T00:00:00"/>
    <x v="0"/>
    <n v="202124110013541"/>
    <d v="2021-01-06T00:00:00"/>
    <s v="ENE"/>
    <n v="0"/>
    <s v="AUTORIZADO"/>
    <m/>
    <s v="No. 1160"/>
    <d v="2018-04-16T00:00:00"/>
    <s v="Fenobarbital Sódico 200 mg/mL Solución Inyectable_caja X 10 ampollas c/u"/>
    <n v="20"/>
    <n v="2"/>
    <x v="3"/>
    <x v="5"/>
    <x v="0"/>
    <x v="0"/>
    <x v="5"/>
  </r>
  <r>
    <x v="5"/>
    <s v="UBEIMAR RAMÍREZ"/>
    <s v="Director Técnico"/>
    <s v="COODESTOL"/>
    <s v="800250023-3"/>
    <s v="compras5@coodestol.com.co"/>
    <s v="Calle 19 No. 7-109 Barrio Interlaken"/>
    <x v="0"/>
    <s v="IBAGUE"/>
    <s v="Autorización de Compra directa"/>
    <n v="202124100016302"/>
    <d v="2021-01-06T00:00:00"/>
    <x v="0"/>
    <n v="202124110013541"/>
    <d v="2021-01-06T00:00:00"/>
    <s v="ENE"/>
    <n v="0"/>
    <s v="NEGADO"/>
    <s v="No se pudo autorizar por baja disponibilidad en el almacén."/>
    <s v="No. 1160"/>
    <d v="2018-04-16T00:00:00"/>
    <s v="Morfina HCl 10 mg/mL Solución Inyectable ampolla por 1mL"/>
    <n v="0"/>
    <n v="0"/>
    <x v="0"/>
    <x v="0"/>
    <x v="0"/>
    <x v="0"/>
    <x v="0"/>
  </r>
  <r>
    <x v="5"/>
    <s v="UBEIMAR RAMÍREZ"/>
    <s v="Director Técnico"/>
    <s v="COODESTOL"/>
    <s v="800250023-3"/>
    <s v="compras5@coodestol.com.co"/>
    <s v="Calle 19 No. 7-109 Barrio Interlaken"/>
    <x v="0"/>
    <s v="IBAGUE"/>
    <s v="Autorización de Compra directa"/>
    <n v="202124100016302"/>
    <d v="2021-01-06T00:00:00"/>
    <x v="0"/>
    <n v="202124110013541"/>
    <d v="2021-01-06T00:00:00"/>
    <s v="ENE"/>
    <n v="0"/>
    <s v="AUTORIZADO"/>
    <m/>
    <s v="No. 1160"/>
    <d v="2018-04-16T00:00:00"/>
    <s v="Morfina HCl 0,03 Solución Oral_frascos X 30 mL c/u"/>
    <n v="5"/>
    <n v="5"/>
    <x v="0"/>
    <x v="1"/>
    <x v="1"/>
    <x v="1"/>
    <x v="6"/>
  </r>
  <r>
    <x v="6"/>
    <s v="EDNA PATRICIA BUITRAGO"/>
    <s v="Regente de farmacia"/>
    <s v="E.S.E HOSPITAL SANTA ANA FALAN"/>
    <s v="800193490-5"/>
    <s v="farmaciafalan@gmail.com"/>
    <s v="Carrera 6 No. 2-20"/>
    <x v="0"/>
    <s v="FALAN"/>
    <s v="Autorización de Compra directa"/>
    <n v="202124100017182"/>
    <d v="2021-01-06T00:00:00"/>
    <x v="0"/>
    <n v="202124110013471"/>
    <d v="2021-01-06T00:00:00"/>
    <s v="ENE"/>
    <n v="0"/>
    <s v="AUTORIZADO"/>
    <m/>
    <s v="No. 4070"/>
    <d v="2019-12-23T00:00:00"/>
    <s v="Fenobarbital 100 mg Tableta_cajas X 30 unidades c/u"/>
    <n v="600"/>
    <n v="20"/>
    <x v="5"/>
    <x v="7"/>
    <x v="4"/>
    <x v="2"/>
    <x v="7"/>
  </r>
  <r>
    <x v="7"/>
    <s v="YOMAIRA BERMEJO PADILLA"/>
    <s v="Director Técnico"/>
    <s v="CLINICA EL BOSQUE DUCOT"/>
    <s v="805027743-1"/>
    <s v="_x0009_farmacia_general@clinicaelbosque.net"/>
    <s v="Transv. 54 # 30-11"/>
    <x v="2"/>
    <s v="CARTAGENA"/>
    <s v="Autorización de Compra directa"/>
    <n v="202124100021002"/>
    <d v="2021-01-06T00:00:00"/>
    <x v="0"/>
    <n v="202124110038111"/>
    <d v="2021-01-13T00:00:00"/>
    <s v="ENE"/>
    <n v="-7"/>
    <s v="AUTORIZADO"/>
    <m/>
    <s v="No. 1569"/>
    <d v="2019-11-27T00:00:00"/>
    <s v="Fenobarbital 100 mg Tableta_cajas X 30 unidades c/u"/>
    <n v="30"/>
    <n v="1"/>
    <x v="5"/>
    <x v="7"/>
    <x v="4"/>
    <x v="2"/>
    <x v="8"/>
  </r>
  <r>
    <x v="7"/>
    <s v="YOMAIRA BERMEJO PADILLA"/>
    <s v="Director Técnico"/>
    <s v="CLINICA EL BOSQUE DUCOT"/>
    <s v="805027743-1"/>
    <s v="_x0009_farmacia_general@clinicaelbosque.net"/>
    <s v="Transv. 54 # 30-11"/>
    <x v="2"/>
    <s v="CARTAGENA"/>
    <s v="Autorización de Compra directa"/>
    <n v="202124100021002"/>
    <d v="2021-01-06T00:00:00"/>
    <x v="0"/>
    <n v="202124110038111"/>
    <d v="2021-01-13T00:00:00"/>
    <s v="ENE"/>
    <n v="-7"/>
    <s v="AUTORIZADO"/>
    <m/>
    <s v="No. 1569"/>
    <d v="2019-11-27T00:00:00"/>
    <s v="Meperidina HCl 100 mg/2mL Solución Inyectable_cajas X 10 unidades c/u"/>
    <n v="50"/>
    <n v="5"/>
    <x v="6"/>
    <x v="8"/>
    <x v="0"/>
    <x v="3"/>
    <x v="9"/>
  </r>
  <r>
    <x v="7"/>
    <s v="YOMAIRA BERMEJO PADILLA"/>
    <s v="Director Técnico"/>
    <s v="CLINICA EL BOSQUE DUCOT"/>
    <s v="805027743-1"/>
    <s v="_x0009_farmacia_general@clinicaelbosque.net"/>
    <s v="Transv. 54 # 30-11"/>
    <x v="2"/>
    <s v="CARTAGENA"/>
    <s v="Autorización de Compra directa"/>
    <n v="202124100021002"/>
    <d v="2021-01-06T00:00:00"/>
    <x v="0"/>
    <n v="202124110038111"/>
    <d v="2021-01-13T00:00:00"/>
    <s v="ENE"/>
    <n v="-7"/>
    <s v="AUTORIZADO"/>
    <m/>
    <s v="No. 1569"/>
    <d v="2019-11-27T00:00:00"/>
    <s v="Morfina HCl 10 mg/mL Solución Inyectable ampolla por 1mL"/>
    <n v="100"/>
    <n v="10"/>
    <x v="0"/>
    <x v="0"/>
    <x v="0"/>
    <x v="0"/>
    <x v="10"/>
  </r>
  <r>
    <x v="7"/>
    <s v="YOMAIRA BERMEJO PADILLA"/>
    <s v="Director Técnico"/>
    <s v="CLINICA EL BOSQUE DUCOT"/>
    <s v="805027743-1"/>
    <s v="_x0009_farmacia_general@clinicaelbosque.net"/>
    <s v="Transv. 54 # 30-11"/>
    <x v="2"/>
    <s v="CARTAGENA"/>
    <s v="Autorización de Compra directa"/>
    <n v="202124100021002"/>
    <d v="2021-01-06T00:00:00"/>
    <x v="0"/>
    <n v="202124110038111"/>
    <d v="2021-01-13T00:00:00"/>
    <s v="ENE"/>
    <n v="-7"/>
    <s v="AUTORIZADO"/>
    <m/>
    <s v="No. 1569"/>
    <d v="2019-11-27T00:00:00"/>
    <s v="Fenobarbital Sódico 40 mg/mL Solución Inyectable_caja X 10 ampollas c/u"/>
    <n v="10"/>
    <n v="1"/>
    <x v="3"/>
    <x v="6"/>
    <x v="0"/>
    <x v="0"/>
    <x v="11"/>
  </r>
  <r>
    <x v="7"/>
    <s v="YOMAIRA BERMEJO PADILLA"/>
    <s v="Director Técnico"/>
    <s v="CLINICA EL BOSQUE DUCOT"/>
    <s v="805027743-1"/>
    <s v="_x0009_farmacia_general@clinicaelbosque.net"/>
    <s v="Transv. 54 # 30-11"/>
    <x v="2"/>
    <s v="CARTAGENA"/>
    <s v="Autorización de Compra directa"/>
    <n v="202124100021002"/>
    <d v="2021-01-06T00:00:00"/>
    <x v="0"/>
    <n v="202124110038111"/>
    <d v="2021-01-13T00:00:00"/>
    <s v="ENE"/>
    <n v="-7"/>
    <s v="AUTORIZADO"/>
    <m/>
    <s v="No. 1569"/>
    <d v="2019-11-27T00:00:00"/>
    <s v="Fenobarbital Sódico 200 mg/mL Solución Inyectable_caja X 10 ampollas c/u"/>
    <n v="10"/>
    <n v="1"/>
    <x v="3"/>
    <x v="5"/>
    <x v="0"/>
    <x v="0"/>
    <x v="11"/>
  </r>
  <r>
    <x v="8"/>
    <s v="ZAMIRA COGOLLO CORDERO"/>
    <s v="Quimico Farmacéutico"/>
    <s v="INSTITUTO MEDICO DE ALTA TECNOLOGIA S.A.S"/>
    <s v="901085352-0"/>
    <s v="asuministros01@imatoncomedica.com"/>
    <s v="Calle 72 No. 6A-87"/>
    <x v="1"/>
    <s v="MONTERIA"/>
    <s v="Autorización de Compra directa"/>
    <n v="202124100021032"/>
    <d v="2021-01-06T00:00:00"/>
    <x v="0"/>
    <n v="202124110024831"/>
    <d v="2021-01-08T00:00:00"/>
    <s v="ENE"/>
    <n v="-2"/>
    <s v="AUTORIZADO"/>
    <s v="Se dio respuesta con la Solicitud de Compra No 18"/>
    <s v="NO DISPONIBLE"/>
    <d v="2019-12-30T00:00:00"/>
    <s v="Morfina HCl 0,03 Solución Oral_frascos X 30 mL c/u"/>
    <n v="0"/>
    <n v="0"/>
    <x v="0"/>
    <x v="1"/>
    <x v="1"/>
    <x v="1"/>
    <x v="0"/>
  </r>
  <r>
    <x v="8"/>
    <s v="ZAMIRA COGOLLO CORDERO"/>
    <s v="Quimico Farmacéutico"/>
    <s v="INSTITUTO MEDICO DE ALTA TECNOLOGIA S.A.S"/>
    <s v="901085352-0"/>
    <s v="asuministros01@imatoncomedica.com"/>
    <s v="Calle 72 No. 6A-87"/>
    <x v="1"/>
    <s v="MONTERIA"/>
    <s v="Autorización de Compra directa"/>
    <n v="202124100021032"/>
    <d v="2021-01-06T00:00:00"/>
    <x v="0"/>
    <n v="202124110024831"/>
    <d v="2021-01-08T00:00:00"/>
    <s v="ENE"/>
    <n v="-2"/>
    <s v="AUTORIZADO"/>
    <s v="Se dio respuesta con la Solicitud de Compra No 19"/>
    <s v="NO DISPONIBLE"/>
    <d v="2019-12-30T00:00:00"/>
    <s v="Metadona HCl 10 mg Tableta_Cajas X 30 unidades c/u"/>
    <n v="0"/>
    <n v="0"/>
    <x v="2"/>
    <x v="3"/>
    <x v="2"/>
    <x v="2"/>
    <x v="0"/>
  </r>
  <r>
    <x v="9"/>
    <s v="ANDERSON FABIAN MORENO G"/>
    <s v="Coordinador Médico"/>
    <s v="MI IPS TOLIMA-UAPS "/>
    <s v="NO DISPONIBLE"/>
    <s v="afmorenogu@miips.com.co"/>
    <s v="Calle 19 No. 7-65"/>
    <x v="0"/>
    <s v="IBAGUE"/>
    <s v="Autorización de Compra directa"/>
    <n v="202124100021042"/>
    <d v="2021-01-06T00:00:00"/>
    <x v="0"/>
    <n v="202124110024871"/>
    <d v="2021-01-08T00:00:00"/>
    <s v="ENE"/>
    <n v="-2"/>
    <s v="NEGADO"/>
    <s v="El solicitante no presenta los documentos requeridos para la compra directa"/>
    <s v="NO DISPONIBLE"/>
    <s v="NO DISPONIBLE"/>
    <s v="Fenobarbital 100 mg Tableta_cajas X 30 unidades c/u"/>
    <n v="0"/>
    <n v="0"/>
    <x v="5"/>
    <x v="7"/>
    <x v="4"/>
    <x v="2"/>
    <x v="0"/>
  </r>
  <r>
    <x v="9"/>
    <s v="ANDERSON FABIAN MORENO G"/>
    <s v="Coordinador Médico"/>
    <s v="MI IPS TOLIMA-UAPS "/>
    <s v="NO DISPONIBLE"/>
    <s v="afmorenogu@miips.com.co"/>
    <s v="Calle 19 No. 7-65"/>
    <x v="0"/>
    <s v="IBAGUE"/>
    <s v="Autorización de Compra directa"/>
    <n v="202124100021042"/>
    <d v="2021-01-06T00:00:00"/>
    <x v="0"/>
    <n v="202124110024871"/>
    <d v="2021-01-08T00:00:00"/>
    <s v="ENE"/>
    <n v="-2"/>
    <s v="NEGADO"/>
    <s v="El solicitante no presenta los documentos requeridos para la compra directa"/>
    <s v="NO DISPONIBLE"/>
    <s v="NO DISPONIBLE"/>
    <s v="Fenobarbital 10 mg Tableta_cajas X 30 unidades c/u"/>
    <n v="0"/>
    <n v="0"/>
    <x v="5"/>
    <x v="3"/>
    <x v="4"/>
    <x v="2"/>
    <x v="0"/>
  </r>
  <r>
    <x v="9"/>
    <s v="ANDERSON FABIAN MORENO G"/>
    <s v="Coordinador Médico"/>
    <s v="MI IPS TOLIMA-UAPS "/>
    <s v="NO DISPONIBLE"/>
    <s v="afmorenogu@miips.com.co"/>
    <s v="Calle 19 No. 7-65"/>
    <x v="0"/>
    <s v="IBAGUE"/>
    <s v="Autorización de Compra directa"/>
    <n v="202124100021042"/>
    <d v="2021-01-06T00:00:00"/>
    <x v="0"/>
    <n v="202124110024871"/>
    <d v="2021-01-08T00:00:00"/>
    <s v="ENE"/>
    <n v="-2"/>
    <s v="NEGADO"/>
    <s v="El solicitante no presenta los documentos requeridos para la compra directa"/>
    <s v="NO DISPONIBLE"/>
    <s v="NO DISPONIBLE"/>
    <s v="Hidromorfona HCl 2 mg/mL Solución Inyectable_cajas X 10 unidades c/u"/>
    <n v="0"/>
    <n v="0"/>
    <x v="1"/>
    <x v="2"/>
    <x v="0"/>
    <x v="0"/>
    <x v="0"/>
  </r>
  <r>
    <x v="9"/>
    <s v="ANDERSON FABIAN MORENO G"/>
    <s v="Coordinador Médico"/>
    <s v="MI IPS TOLIMA-UAPS "/>
    <s v="NO DISPONIBLE"/>
    <s v="afmorenogu@miips.com.co"/>
    <s v="Calle 19 No. 7-65"/>
    <x v="0"/>
    <s v="IBAGUE"/>
    <s v="Autorización de Compra directa"/>
    <n v="202124100021042"/>
    <d v="2021-01-06T00:00:00"/>
    <x v="0"/>
    <n v="202124110024871"/>
    <d v="2021-01-08T00:00:00"/>
    <s v="ENE"/>
    <n v="-2"/>
    <s v="NEGADO"/>
    <s v="El solicitante no presenta los documentos requeridos para la compra directa"/>
    <s v="NO DISPONIBLE"/>
    <s v="NO DISPONIBLE"/>
    <s v="Hidromorfona HCl 2,5 mg Tableta_cajas X 20 unidades c/u"/>
    <n v="0"/>
    <n v="0"/>
    <x v="1"/>
    <x v="9"/>
    <x v="4"/>
    <x v="4"/>
    <x v="0"/>
  </r>
  <r>
    <x v="9"/>
    <s v="ANDERSON FABIAN MORENO G"/>
    <s v="Coordinador Médico"/>
    <s v="MI IPS TOLIMA-UAPS "/>
    <s v="NO DISPONIBLE"/>
    <s v="afmorenogu@miips.com.co"/>
    <s v="Calle 19 No. 7-65"/>
    <x v="0"/>
    <s v="IBAGUE"/>
    <s v="Autorización de Compra directa"/>
    <n v="202124100021042"/>
    <d v="2021-01-06T00:00:00"/>
    <x v="0"/>
    <n v="202124110024871"/>
    <d v="2021-01-08T00:00:00"/>
    <s v="ENE"/>
    <n v="-2"/>
    <s v="NEGADO"/>
    <s v="El solicitante no presenta los documentos requeridos para la compra directa"/>
    <s v="NO DISPONIBLE"/>
    <s v="NO DISPONIBLE"/>
    <s v="Morfina HCl 0,03 Solución Oral_frascos X 30 mL c/u"/>
    <n v="0"/>
    <n v="0"/>
    <x v="0"/>
    <x v="1"/>
    <x v="1"/>
    <x v="1"/>
    <x v="0"/>
  </r>
  <r>
    <x v="9"/>
    <s v="ANDERSON FABIAN MORENO G"/>
    <s v="Coordinador Médico"/>
    <s v="MI IPS TOLIMA-UAPS "/>
    <s v="NO DISPONIBLE"/>
    <s v="afmorenogu@miips.com.co"/>
    <s v="Calle 19 No. 7-65"/>
    <x v="0"/>
    <s v="IBAGUE"/>
    <s v="Autorización de Compra directa"/>
    <n v="202124100021042"/>
    <d v="2021-01-06T00:00:00"/>
    <x v="0"/>
    <n v="202124110024871"/>
    <d v="2021-01-08T00:00:00"/>
    <s v="ENE"/>
    <n v="-2"/>
    <s v="NEGADO"/>
    <s v="El solicitante no presenta los documentos requeridos para la compra directa"/>
    <s v="NO DISPONIBLE"/>
    <s v="NO DISPONIBLE"/>
    <s v="Morfina HCl 10 mg/mL Solución Inyectable ampolla por 1mL"/>
    <n v="0"/>
    <n v="0"/>
    <x v="0"/>
    <x v="0"/>
    <x v="0"/>
    <x v="0"/>
    <x v="0"/>
  </r>
  <r>
    <x v="10"/>
    <s v="YOLIMAR AUDIVETH"/>
    <s v="Regente"/>
    <s v="PH MEDICAL S.A.S"/>
    <s v="900135550-4"/>
    <s v="phmedicalbarranquilla@gmail.com"/>
    <s v="Calle 80 No 47 - 43. Piso 3 Oficina 5B"/>
    <x v="3"/>
    <s v="BARRANQUILLA"/>
    <s v="Autorización de Compra directa"/>
    <n v="202124100021082"/>
    <d v="2021-01-06T00:00:00"/>
    <x v="0"/>
    <n v="202124110024891"/>
    <d v="2021-01-08T00:00:00"/>
    <s v="ENE"/>
    <n v="-2"/>
    <s v="NEGADO"/>
    <s v="El medicamento no se encuenta inscrito en la resolución No. 2813"/>
    <s v="No. 2813"/>
    <d v="2020-10-15T00:00:00"/>
    <s v="Metilfenidato HCl 10 mg Comprimido_cajas X 30 unidades c/u"/>
    <n v="0"/>
    <n v="0"/>
    <x v="4"/>
    <x v="3"/>
    <x v="3"/>
    <x v="2"/>
    <x v="0"/>
  </r>
  <r>
    <x v="11"/>
    <s v="YESICA MARISOL SUAREZ SOTELO"/>
    <s v="Supervisor de Zona Tolima"/>
    <s v="DISFARMA"/>
    <s v="900580962-2"/>
    <s v="_x0009_yesica.suarez@disfarma.com.co"/>
    <s v="AV AMBALA N 33 - 36 SAN SIMON PARTE BAJA"/>
    <x v="0"/>
    <s v="IBAGUE"/>
    <s v="Autorización de Compra directa"/>
    <n v="202124100022772"/>
    <d v="2021-01-07T00:00:00"/>
    <x v="0"/>
    <n v="202124110038141"/>
    <d v="2021-01-13T00:00:00"/>
    <s v="ENE"/>
    <n v="-6"/>
    <s v="AUTORIZADO"/>
    <m/>
    <s v="No. 1212"/>
    <d v="2019-05-07T00:00:00"/>
    <s v="Fenobarbital 100 mg Tableta_cajas X 30 unidades c/u"/>
    <n v="11730"/>
    <n v="391"/>
    <x v="5"/>
    <x v="7"/>
    <x v="4"/>
    <x v="2"/>
    <x v="12"/>
  </r>
  <r>
    <x v="11"/>
    <s v="YESICA MARISOL SUAREZ SOTELO"/>
    <s v="Supervisor de Zona Tolima"/>
    <s v="DISFARMA"/>
    <s v="900580962-2"/>
    <s v="_x0009_yesica.suarez@disfarma.com.co"/>
    <s v="AV AMBALA N 33 - 36 SAN SIMON PARTE BAJA"/>
    <x v="0"/>
    <s v="IBAGUE"/>
    <s v="Autorización de Compra directa"/>
    <n v="202124100022772"/>
    <d v="2021-01-07T00:00:00"/>
    <x v="0"/>
    <n v="202124110038141"/>
    <d v="2021-01-13T00:00:00"/>
    <s v="ENE"/>
    <n v="-6"/>
    <s v="AUTORIZADO"/>
    <m/>
    <s v="No. 1212"/>
    <d v="2019-05-07T00:00:00"/>
    <s v="Hidromorfona HCl 2,5 mg Tableta_cajas X 20 unidades c/u"/>
    <n v="500"/>
    <n v="25"/>
    <x v="1"/>
    <x v="9"/>
    <x v="4"/>
    <x v="4"/>
    <x v="13"/>
  </r>
  <r>
    <x v="11"/>
    <s v="YESICA MARISOL SUAREZ SOTELO"/>
    <s v="Supervisor de Zona Tolima"/>
    <s v="DISFARMA"/>
    <s v="900580962-2"/>
    <s v="_x0009_yesica.suarez@disfarma.com.co"/>
    <s v="AV AMBALA N 33 - 36 SAN SIMON PARTE BAJA"/>
    <x v="0"/>
    <s v="IBAGUE"/>
    <s v="Autorización de Compra directa"/>
    <n v="202124100022772"/>
    <d v="2021-01-07T00:00:00"/>
    <x v="0"/>
    <n v="202124110038141"/>
    <d v="2021-01-13T00:00:00"/>
    <s v="ENE"/>
    <n v="-6"/>
    <s v="AUTORIZADO"/>
    <m/>
    <s v="No. 1212"/>
    <d v="2019-05-07T00:00:00"/>
    <s v="Morfina HCl 10 mg/mL Solución Inyectable ampolla por 1mL"/>
    <n v="700"/>
    <n v="70"/>
    <x v="0"/>
    <x v="0"/>
    <x v="0"/>
    <x v="0"/>
    <x v="14"/>
  </r>
  <r>
    <x v="11"/>
    <s v="YESICA MARISOL SUAREZ SOTELO"/>
    <s v="Supervisor de Zona Tolima"/>
    <s v="DISFARMA"/>
    <s v="900580962-2"/>
    <s v="_x0009_yesica.suarez@disfarma.com.co"/>
    <s v="AV AMBALA N 33 - 36 SAN SIMON PARTE BAJA"/>
    <x v="0"/>
    <s v="IBAGUE"/>
    <s v="Autorización de Compra directa"/>
    <n v="202124100022772"/>
    <d v="2021-01-07T00:00:00"/>
    <x v="0"/>
    <n v="202124110038141"/>
    <d v="2021-01-13T00:00:00"/>
    <s v="ENE"/>
    <n v="-6"/>
    <s v="NEGADO"/>
    <s v="El medicamento solicitado no presenta unidades disponibles para su disribucion"/>
    <s v="No. 1212"/>
    <d v="2019-05-07T00:00:00"/>
    <s v="Primidona 250 mg Tableta_caja X 50 unidades c/u"/>
    <n v="0"/>
    <n v="0"/>
    <x v="7"/>
    <x v="10"/>
    <x v="4"/>
    <x v="5"/>
    <x v="0"/>
  </r>
  <r>
    <x v="11"/>
    <s v="YESICA MARISOL SUAREZ SOTELO"/>
    <s v="Supervisor de Zona Tolima"/>
    <s v="DISFARMA"/>
    <s v="900580962-2"/>
    <s v="_x0009_yesica.suarez@disfarma.com.co"/>
    <s v="AV AMBALA N 33 - 36 SAN SIMON PARTE BAJA"/>
    <x v="0"/>
    <s v="IBAGUE"/>
    <s v="Autorización de Compra directa"/>
    <n v="202124100022772"/>
    <d v="2021-01-07T00:00:00"/>
    <x v="0"/>
    <n v="202124110038141"/>
    <d v="2021-01-13T00:00:00"/>
    <s v="ENE"/>
    <n v="-6"/>
    <s v="AUTORIZADO"/>
    <m/>
    <s v="No. 1212"/>
    <d v="2019-05-07T00:00:00"/>
    <s v="Metilfenidato HCl 10 mg Comprimido_cajas X 30 unidades c/u"/>
    <n v="750"/>
    <n v="25"/>
    <x v="4"/>
    <x v="3"/>
    <x v="3"/>
    <x v="2"/>
    <x v="15"/>
  </r>
  <r>
    <x v="12"/>
    <s v="NATALIA RIOS MONTOYA"/>
    <s v="Quimico Farmacéutico"/>
    <s v="UNIDAD MATERNO INFANTIL DEL TOLIMA"/>
    <s v="900138815-4"/>
    <s v="gerencia@umit.com.co"/>
    <s v="Calle 44 No.4-62"/>
    <x v="0"/>
    <s v="IBAGUE"/>
    <s v="Autorización de Compra directa"/>
    <n v="202124100026612"/>
    <d v="2021-01-08T00:00:00"/>
    <x v="0"/>
    <n v="202124110038151"/>
    <d v="2021-01-13T00:00:00"/>
    <s v="ENE"/>
    <n v="-5"/>
    <s v="AUTORIZADO"/>
    <m/>
    <s v="No. 2159"/>
    <d v="2019-07-18T00:00:00"/>
    <s v="Fenobarbital 0,4% Solución Oral_frascos X 120 mL c/u"/>
    <n v="5"/>
    <n v="5"/>
    <x v="5"/>
    <x v="11"/>
    <x v="1"/>
    <x v="6"/>
    <x v="16"/>
  </r>
  <r>
    <x v="12"/>
    <s v="NATALIA RIOS MONTOYA"/>
    <s v="Quimico Farmacéutico"/>
    <s v="UNIDAD MATERNO INFANTIL DEL TOLIMA"/>
    <s v="900138815-4"/>
    <s v="gerencia@umit.com.co"/>
    <s v="Calle 44 No.4-63"/>
    <x v="0"/>
    <s v="IBAGUE"/>
    <s v="Autorización de Compra directa"/>
    <n v="202124100026612"/>
    <d v="2021-01-08T00:00:00"/>
    <x v="0"/>
    <n v="202124110038151"/>
    <d v="2021-01-13T00:00:00"/>
    <s v="ENE"/>
    <n v="-5"/>
    <s v="AUTORIZADO"/>
    <m/>
    <s v="No. 2159"/>
    <d v="2019-07-18T00:00:00"/>
    <s v="Fenobarbital Sódico 40 mg/mL Solución Inyectable_caja X 10 ampollas c/u"/>
    <n v="50"/>
    <n v="5"/>
    <x v="3"/>
    <x v="6"/>
    <x v="0"/>
    <x v="0"/>
    <x v="17"/>
  </r>
  <r>
    <x v="13"/>
    <s v="LEET ANTONIO MARQUEZ ESCORCIA"/>
    <s v="Quimico Farmacéutico"/>
    <s v="CLINICA GENERAL DE CIENEGA"/>
    <n v="819000413"/>
    <s v="quimicocienaga@clinicageneraldelnorte.com"/>
    <s v="Carrera 18B No. 18A-13"/>
    <x v="4"/>
    <s v="SANTA MARTA"/>
    <s v="Autorización de Compra directa"/>
    <n v="202124100045982"/>
    <d v="2021-01-13T00:00:00"/>
    <x v="0"/>
    <n v="202124110041591"/>
    <d v="2021-01-13T00:00:00"/>
    <s v="ENE"/>
    <n v="0"/>
    <s v="NEGADO"/>
    <s v="El solicitante no presenta los documentos requeridos para la compra directa"/>
    <s v="NO DISPONIBLE"/>
    <s v="NO DISPONIBLE"/>
    <s v="Fenobarbital 100 mg Tableta_cajas X 30 unidades c/u"/>
    <n v="0"/>
    <n v="0"/>
    <x v="5"/>
    <x v="7"/>
    <x v="4"/>
    <x v="2"/>
    <x v="0"/>
  </r>
  <r>
    <x v="13"/>
    <s v="LEET ANTONIO MARQUEZ ESCORCIA"/>
    <s v="Quimico Farmacéutico"/>
    <s v="CLINICA GENERAL DE CIENEGA"/>
    <n v="819000413"/>
    <s v="quimicocienaga@clinicageneraldelnorte.com"/>
    <s v="Carrera 18B No. 18A-14"/>
    <x v="4"/>
    <s v="SANTA MARTA"/>
    <s v="Autorización de Compra directa"/>
    <n v="202124100045982"/>
    <d v="2021-01-13T00:00:00"/>
    <x v="0"/>
    <n v="202124110041591"/>
    <d v="2021-01-13T00:00:00"/>
    <s v="ENE"/>
    <n v="0"/>
    <s v="NEGADO"/>
    <s v="El solicitante no presenta los documentos requeridos para la compra directa"/>
    <s v="NO DISPONIBLE"/>
    <s v="NO DISPONIBLE"/>
    <s v="Morfina HCl 10 mg/mL Solución Inyectable ampolla por 1mL"/>
    <n v="0"/>
    <n v="0"/>
    <x v="0"/>
    <x v="0"/>
    <x v="0"/>
    <x v="0"/>
    <x v="0"/>
  </r>
  <r>
    <x v="13"/>
    <s v="LEET ANTONIO MARQUEZ ESCORCIA"/>
    <s v="Quimico Farmacéutico"/>
    <s v="CLINICA GENERAL DE CIENEGA"/>
    <n v="819000413"/>
    <s v="quimicocienaga@clinicageneraldelnorte.com"/>
    <s v="Carrera 18B No. 18A-15"/>
    <x v="4"/>
    <s v="SANTA MARTA"/>
    <s v="Autorización de Compra directa"/>
    <n v="202124100045982"/>
    <d v="2021-01-13T00:00:00"/>
    <x v="0"/>
    <n v="202124110041591"/>
    <d v="2021-01-13T00:00:00"/>
    <s v="ENE"/>
    <n v="0"/>
    <s v="NEGADO"/>
    <s v="El solicitante no presenta los documentos requeridos para la compra directa"/>
    <s v="NO DISPONIBLE"/>
    <s v="NO DISPONIBLE"/>
    <s v="Meperidina HCl 100 mg/2mL Solución Inyectable_cajas X 10 unidades c/u"/>
    <n v="0"/>
    <n v="0"/>
    <x v="6"/>
    <x v="8"/>
    <x v="0"/>
    <x v="3"/>
    <x v="0"/>
  </r>
  <r>
    <x v="14"/>
    <s v="DANIEL CUARAN"/>
    <s v="Quimico Farmacéutico"/>
    <s v="CLINICA CREAR VISION S.A.S"/>
    <s v="846003067-6"/>
    <s v="coordinacionfarmacia@clinicacrearvision.co"/>
    <s v="Carrera 8 No 17-56B"/>
    <x v="5"/>
    <s v="MOCOA"/>
    <s v="Autorización de Compra directa"/>
    <n v="202124100054072"/>
    <d v="2021-01-14T00:00:00"/>
    <x v="0"/>
    <n v="202124110063711"/>
    <d v="2021-01-18T00:00:00"/>
    <s v="ENE"/>
    <n v="-4"/>
    <s v="AUTORIZADO"/>
    <m/>
    <s v="No. 067"/>
    <d v="2019-02-28T00:00:00"/>
    <s v="Morfina HCl 10 mg/mL Solución Inyectable ampolla por 1mL"/>
    <n v="200"/>
    <n v="20"/>
    <x v="0"/>
    <x v="0"/>
    <x v="0"/>
    <x v="0"/>
    <x v="18"/>
  </r>
  <r>
    <x v="15"/>
    <s v="LILIANA DEL PILAR SUAREZ"/>
    <s v="Regente de farmacia"/>
    <s v="EMPRESA SOCIAL DEL ESTADO SOLUCIÓN SALUD E.S.E-RESTREPO"/>
    <s v="822006595-1"/>
    <s v="farmacia@esemeta.gov.co"/>
    <s v="Calle 37 No. 41-80"/>
    <x v="6"/>
    <s v="RESTREPO"/>
    <s v="Autorización de Compra directa"/>
    <n v="202124100056802"/>
    <d v="2021-01-14T00:00:00"/>
    <x v="0"/>
    <n v="202124110063761"/>
    <d v="2021-01-18T00:00:00"/>
    <s v="ENE"/>
    <n v="-4"/>
    <s v="AUTORIZADO"/>
    <m/>
    <s v="No. 710"/>
    <d v="2017-06-21T00:00:00"/>
    <s v="Morfina HCl 10 mg/mL Solución Inyectable ampolla por 1mL"/>
    <n v="150"/>
    <n v="15"/>
    <x v="0"/>
    <x v="0"/>
    <x v="0"/>
    <x v="0"/>
    <x v="19"/>
  </r>
  <r>
    <x v="15"/>
    <s v="LILIANA DEL PILAR SUAREZ"/>
    <s v="Regente de farmacia"/>
    <s v="EMPRESA SOCIAL DEL ESTADO SOLUCIÓN SALUD E.S.E-RESTREPO"/>
    <s v="822006595-1"/>
    <s v="farmacia@esemeta.gov.co"/>
    <s v="Calle 37 No. 41-80"/>
    <x v="6"/>
    <s v="RESTREPO"/>
    <s v="Autorización de Compra directa"/>
    <n v="202124100056802"/>
    <d v="2021-01-14T00:00:00"/>
    <x v="0"/>
    <n v="202124110063761"/>
    <d v="2021-01-18T00:00:00"/>
    <s v="ENE"/>
    <n v="-4"/>
    <s v="AUTORIZADO"/>
    <m/>
    <s v="No. 710"/>
    <d v="2017-06-21T00:00:00"/>
    <s v="Meperidina HCl 100 mg/2mL Solución Inyectable_cajas X 10 unidades c/u"/>
    <n v="150"/>
    <n v="15"/>
    <x v="6"/>
    <x v="8"/>
    <x v="0"/>
    <x v="3"/>
    <x v="20"/>
  </r>
  <r>
    <x v="15"/>
    <s v="LILIANA DEL PILAR SUAREZ"/>
    <s v="Regente de farmacia"/>
    <s v="EMPRESA SOCIAL DEL ESTADO SOLUCIÓN SALUD E.S.E-RESTREPO"/>
    <s v="822006595-1"/>
    <s v="farmacia@esemeta.gov.co"/>
    <s v="Calle 37 No. 41-80"/>
    <x v="6"/>
    <s v="RESTREPO"/>
    <s v="Autorización de Compra directa"/>
    <n v="202124100056802"/>
    <d v="2021-01-14T00:00:00"/>
    <x v="0"/>
    <n v="202124110063761"/>
    <d v="2021-01-18T00:00:00"/>
    <s v="ENE"/>
    <n v="-4"/>
    <s v="AUTORIZADO"/>
    <m/>
    <s v="No. 710"/>
    <d v="2017-06-21T00:00:00"/>
    <s v="Fenobarbital Sódico 200 mg/mL Solución Inyectable_caja X 10 ampollas c/u"/>
    <n v="100"/>
    <n v="10"/>
    <x v="3"/>
    <x v="5"/>
    <x v="0"/>
    <x v="0"/>
    <x v="10"/>
  </r>
  <r>
    <x v="16"/>
    <s v="ANDERSON FABIAN MORENO G"/>
    <s v="Coordinador Médico"/>
    <s v="MI IPS TOLIMA-UAPS "/>
    <s v="NO DISPONIBLE"/>
    <s v="afmorenogu@miips.com.co"/>
    <s v="Calle 19 No. 7-65"/>
    <x v="0"/>
    <s v="IBAGUE"/>
    <s v="Autorización de Compra directa"/>
    <n v="202124100021042"/>
    <d v="2021-01-14T00:00:00"/>
    <x v="0"/>
    <n v="202124110063801"/>
    <d v="2021-01-18T00:00:00"/>
    <s v="ENE"/>
    <n v="-4"/>
    <s v="NEGADO"/>
    <s v="El solicitante no presenta los documentos requeridos para la compra directa"/>
    <s v="NO DISPONIBLE"/>
    <s v="NO DISPONIBLE"/>
    <s v="Fenobarbital 100 mg Tableta_cajas X 30 unidades c/u"/>
    <n v="0"/>
    <n v="0"/>
    <x v="5"/>
    <x v="7"/>
    <x v="4"/>
    <x v="2"/>
    <x v="0"/>
  </r>
  <r>
    <x v="16"/>
    <s v="ANDERSON FABIAN MORENO G"/>
    <s v="Coordinador Médico"/>
    <s v="MI IPS TOLIMA-UAPS "/>
    <s v="NO DISPONIBLE"/>
    <s v="afmorenogu@miips.com.co"/>
    <s v="Calle 19 No. 7-65"/>
    <x v="0"/>
    <s v="IBAGUE"/>
    <s v="Autorización de Compra directa"/>
    <n v="202124100021042"/>
    <d v="2021-01-14T00:00:00"/>
    <x v="0"/>
    <n v="202124110063801"/>
    <d v="2021-01-18T00:00:00"/>
    <s v="ENE"/>
    <n v="-4"/>
    <s v="NEGADO"/>
    <s v="El solicitante no presenta los documentos requeridos para la compra directa"/>
    <s v="NO DISPONIBLE"/>
    <s v="NO DISPONIBLE"/>
    <s v="Fenobarbital 10 mg Tableta_cajas X 30 unidades c/u"/>
    <n v="0"/>
    <n v="0"/>
    <x v="5"/>
    <x v="3"/>
    <x v="4"/>
    <x v="2"/>
    <x v="0"/>
  </r>
  <r>
    <x v="16"/>
    <s v="ANDERSON FABIAN MORENO G"/>
    <s v="Coordinador Médico"/>
    <s v="MI IPS TOLIMA-UAPS "/>
    <s v="NO DISPONIBLE"/>
    <s v="afmorenogu@miips.com.co"/>
    <s v="Calle 19 No. 7-65"/>
    <x v="0"/>
    <s v="IBAGUE"/>
    <s v="Autorización de Compra directa"/>
    <n v="202124100021042"/>
    <d v="2021-01-14T00:00:00"/>
    <x v="0"/>
    <n v="202124110063801"/>
    <d v="2021-01-18T00:00:00"/>
    <s v="ENE"/>
    <n v="-4"/>
    <s v="NEGADO"/>
    <s v="El solicitante no presenta los documentos requeridos para la compra directa"/>
    <s v="NO DISPONIBLE"/>
    <s v="NO DISPONIBLE"/>
    <s v="Hidromorfona HCl 2 mg/mL Solución Inyectable_cajas X 10 unidades c/u"/>
    <n v="0"/>
    <n v="0"/>
    <x v="1"/>
    <x v="2"/>
    <x v="0"/>
    <x v="0"/>
    <x v="0"/>
  </r>
  <r>
    <x v="16"/>
    <s v="ANDERSON FABIAN MORENO G"/>
    <s v="Coordinador Médico"/>
    <s v="MI IPS TOLIMA-UAPS "/>
    <s v="NO DISPONIBLE"/>
    <s v="afmorenogu@miips.com.co"/>
    <s v="Calle 19 No. 7-65"/>
    <x v="0"/>
    <s v="IBAGUE"/>
    <s v="Autorización de Compra directa"/>
    <n v="202124100021042"/>
    <d v="2021-01-14T00:00:00"/>
    <x v="0"/>
    <n v="202124110063801"/>
    <d v="2021-01-18T00:00:00"/>
    <s v="ENE"/>
    <n v="-4"/>
    <s v="NEGADO"/>
    <s v="El solicitante no presenta los documentos requeridos para la compra directa"/>
    <s v="NO DISPONIBLE"/>
    <s v="NO DISPONIBLE"/>
    <s v="Hidromorfona HCl 2,5 mg Tableta_cajas X 20 unidades c/u"/>
    <n v="0"/>
    <n v="0"/>
    <x v="1"/>
    <x v="9"/>
    <x v="4"/>
    <x v="4"/>
    <x v="0"/>
  </r>
  <r>
    <x v="16"/>
    <s v="ANDERSON FABIAN MORENO G"/>
    <s v="Coordinador Médico"/>
    <s v="MI IPS TOLIMA-UAPS "/>
    <s v="NO DISPONIBLE"/>
    <s v="afmorenogu@miips.com.co"/>
    <s v="Calle 19 No. 7-65"/>
    <x v="0"/>
    <s v="IBAGUE"/>
    <s v="Autorización de Compra directa"/>
    <n v="202124100021042"/>
    <d v="2021-01-14T00:00:00"/>
    <x v="0"/>
    <n v="202124110063801"/>
    <d v="2021-01-18T00:00:00"/>
    <s v="ENE"/>
    <n v="-4"/>
    <s v="NEGADO"/>
    <s v="El solicitante no presenta los documentos requeridos para la compra directa"/>
    <s v="NO DISPONIBLE"/>
    <s v="NO DISPONIBLE"/>
    <s v="Morfina HCl 0,03 Solución Oral_frascos X 30 mL c/u"/>
    <n v="0"/>
    <n v="0"/>
    <x v="0"/>
    <x v="1"/>
    <x v="1"/>
    <x v="1"/>
    <x v="0"/>
  </r>
  <r>
    <x v="16"/>
    <s v="ANDERSON FABIAN MORENO G"/>
    <s v="Coordinador Médico"/>
    <s v="MI IPS TOLIMA-UAPS "/>
    <s v="NO DISPONIBLE"/>
    <s v="afmorenogu@miips.com.co"/>
    <s v="Calle 19 No. 7-65"/>
    <x v="0"/>
    <s v="IBAGUE"/>
    <s v="Autorización de Compra directa"/>
    <n v="202124100021042"/>
    <d v="2021-01-14T00:00:00"/>
    <x v="0"/>
    <n v="202124110063801"/>
    <d v="2021-01-18T00:00:00"/>
    <s v="ENE"/>
    <n v="-4"/>
    <s v="NEGADO"/>
    <s v="El solicitante no presenta los documentos requeridos para la compra directa"/>
    <s v="NO DISPONIBLE"/>
    <s v="NO DISPONIBLE"/>
    <s v="Morfina HCl 10 mg/mL Solución Inyectable ampolla por 1mL"/>
    <n v="0"/>
    <n v="0"/>
    <x v="0"/>
    <x v="0"/>
    <x v="0"/>
    <x v="0"/>
    <x v="0"/>
  </r>
  <r>
    <x v="17"/>
    <s v="ZAMIRA COGOLLO CORDERO"/>
    <s v="Quimico Farmacéutico"/>
    <s v="ONCOMEDICA S.A"/>
    <s v="812007194-8"/>
    <s v="asuministros01@imatoncomedica.com"/>
    <s v="Calle 72,Carrera 6 Vía Careté"/>
    <x v="1"/>
    <s v="MONTERIA"/>
    <s v="Autorización de Compra directa"/>
    <n v="202124100060662"/>
    <d v="2021-01-14T00:00:00"/>
    <x v="0"/>
    <n v="202124110069721"/>
    <d v="2021-01-18T00:00:00"/>
    <s v="ENE"/>
    <n v="-4"/>
    <s v="AUTORIZADO"/>
    <m/>
    <s v="No.0669"/>
    <d v="2019-12-30T00:00:00"/>
    <s v="Morfina HCl 0,03 Solución Oral_frascos X 30 mL c/u"/>
    <n v="400"/>
    <n v="400"/>
    <x v="0"/>
    <x v="1"/>
    <x v="1"/>
    <x v="1"/>
    <x v="21"/>
  </r>
  <r>
    <x v="17"/>
    <s v="ZAMIRA COGOLLO CORDERO"/>
    <s v="Quimico Farmacéutico"/>
    <s v="ONCOMEDICA S.A"/>
    <s v="812007194-8"/>
    <s v="asuministros01@imatoncomedica.com"/>
    <s v="Calle 72,Carrera 6 Vía Careté"/>
    <x v="1"/>
    <s v="MONTERIA"/>
    <s v="Autorización de Compra directa"/>
    <n v="202124100060662"/>
    <d v="2021-01-14T00:00:00"/>
    <x v="0"/>
    <n v="202124110069721"/>
    <d v="2021-01-18T00:00:00"/>
    <s v="ENE"/>
    <n v="-4"/>
    <s v="AUTORIZADO"/>
    <m/>
    <s v="No.0669"/>
    <d v="2019-12-30T00:00:00"/>
    <s v="Metadona HCl 10 mg Tableta_Cajas X 30 unidades c/u"/>
    <n v="150"/>
    <n v="5"/>
    <x v="2"/>
    <x v="3"/>
    <x v="2"/>
    <x v="2"/>
    <x v="2"/>
  </r>
  <r>
    <x v="18"/>
    <s v="GLORIA LEONOR USSA"/>
    <s v="Regente de farmacia"/>
    <s v="NUEVO HOSPITAL LA CANDELARIA"/>
    <s v="890701353-2"/>
    <s v="nhc.almacen@gmail.com"/>
    <s v="Carrera 9 calle 7 esquina barrio Santa Barbara"/>
    <x v="0"/>
    <s v="PURIFICACION"/>
    <s v="Autorización de Compra directa"/>
    <n v="202124100065242"/>
    <d v="2021-01-15T00:00:00"/>
    <x v="0"/>
    <n v="202124110069821"/>
    <d v="2021-01-18T00:00:00"/>
    <s v="ENE"/>
    <n v="-3"/>
    <s v="AUTORIZADO"/>
    <m/>
    <s v="No. 03737"/>
    <d v="2019-12-04T00:00:00"/>
    <s v="Fenobarbital 100 mg Tableta_cajas X 30 unidades c/u"/>
    <n v="1800"/>
    <n v="60"/>
    <x v="5"/>
    <x v="7"/>
    <x v="4"/>
    <x v="2"/>
    <x v="22"/>
  </r>
  <r>
    <x v="18"/>
    <s v="GLORIA LEONOR USSA"/>
    <s v="Regente de farmacia"/>
    <s v="NUEVO HOSPITAL LA CANDELARIA"/>
    <s v="890701353-2"/>
    <s v="nhc.almacen@gmail.com"/>
    <s v="Carrera 9 calle 7 esquina barrio Santa Barbara"/>
    <x v="0"/>
    <s v="PURIFICACION"/>
    <s v="Autorización de Compra directa"/>
    <n v="202124100065242"/>
    <d v="2021-01-15T00:00:00"/>
    <x v="0"/>
    <n v="202124110069821"/>
    <d v="2021-01-18T00:00:00"/>
    <s v="ENE"/>
    <n v="-3"/>
    <s v="AUTORIZADO"/>
    <m/>
    <s v="No. 03737"/>
    <d v="2019-12-04T00:00:00"/>
    <s v="Meperidina HCl 100 mg/2mL Solución Inyectable_cajas X 10 unidades c/u"/>
    <n v="50"/>
    <n v="5"/>
    <x v="6"/>
    <x v="8"/>
    <x v="0"/>
    <x v="3"/>
    <x v="9"/>
  </r>
  <r>
    <x v="18"/>
    <s v="GLORIA LEONOR USSA"/>
    <s v="Regente de farmacia"/>
    <s v="NUEVO HOSPITAL LA CANDELARIA"/>
    <s v="890701353-2"/>
    <s v="nhc.almacen@gmail.com"/>
    <s v="Carrera 9 calle 7 esquina barrio Santa Barbara"/>
    <x v="0"/>
    <s v="PURIFICACION"/>
    <s v="Autorización de Compra directa"/>
    <n v="202124100065242"/>
    <d v="2021-01-15T00:00:00"/>
    <x v="0"/>
    <n v="202124110069821"/>
    <d v="2021-01-18T00:00:00"/>
    <s v="ENE"/>
    <n v="-3"/>
    <s v="AUTORIZADO"/>
    <m/>
    <s v="No. 03737"/>
    <d v="2019-12-04T00:00:00"/>
    <s v="Metilfenidato HCl 10 mg Comprimido_cajas X 30 unidades c/u"/>
    <n v="300"/>
    <n v="10"/>
    <x v="4"/>
    <x v="3"/>
    <x v="3"/>
    <x v="2"/>
    <x v="23"/>
  </r>
  <r>
    <x v="18"/>
    <s v="GLORIA LEONOR USSA"/>
    <s v="Regente de farmacia"/>
    <s v="NUEVO HOSPITAL LA CANDELARIA"/>
    <s v="890701353-2"/>
    <s v="nhc.almacen@gmail.com"/>
    <s v="Carrera 9 calle 7 esquina barrio Santa Barbara"/>
    <x v="0"/>
    <s v="PURIFICACION"/>
    <s v="Autorización de Compra directa"/>
    <n v="202124100065242"/>
    <d v="2021-01-15T00:00:00"/>
    <x v="0"/>
    <n v="202124110069821"/>
    <d v="2021-01-18T00:00:00"/>
    <s v="ENE"/>
    <n v="-3"/>
    <s v="AUTORIZADO"/>
    <m/>
    <s v="No. 03737"/>
    <d v="2019-12-04T00:00:00"/>
    <s v="Morfina HCl 10 mg/mL Solución Inyectable ampolla por 1mL"/>
    <n v="100"/>
    <n v="10"/>
    <x v="0"/>
    <x v="0"/>
    <x v="0"/>
    <x v="0"/>
    <x v="10"/>
  </r>
  <r>
    <x v="18"/>
    <s v="GLORIA LEONOR USSA"/>
    <s v="Regente de farmacia"/>
    <s v="NUEVO HOSPITAL LA CANDELARIA"/>
    <s v="890701353-2"/>
    <s v="nhc.almacen@gmail.com"/>
    <s v="Carrera 9 calle 7 esquina barrio Santa Barbara"/>
    <x v="0"/>
    <s v="PURIFICACION"/>
    <s v="Autorización de Compra directa"/>
    <n v="202124100065242"/>
    <d v="2021-01-15T00:00:00"/>
    <x v="0"/>
    <n v="202124110069821"/>
    <d v="2021-01-18T00:00:00"/>
    <s v="ENE"/>
    <n v="-3"/>
    <s v="AUTORIZADO"/>
    <m/>
    <s v="No. 03737"/>
    <d v="2019-12-04T00:00:00"/>
    <s v="Fenobarbital Sódico 200 mg/mL Solución Inyectable_caja X 10 ampollas c/u"/>
    <n v="30"/>
    <n v="3"/>
    <x v="3"/>
    <x v="5"/>
    <x v="0"/>
    <x v="0"/>
    <x v="24"/>
  </r>
  <r>
    <x v="19"/>
    <s v="ANDERSON FABIAN MORENO G"/>
    <s v="Coordinador Médico"/>
    <s v="CORPORACION MI IPS TOLIMA"/>
    <s v="809011703-1"/>
    <s v="afmorenogu@miips.com.co"/>
    <s v="Calle 19 No. 7-65"/>
    <x v="0"/>
    <s v="IBAGUE"/>
    <s v="Autorización de Compra directa"/>
    <n v="202124100069372"/>
    <d v="2021-01-15T00:00:00"/>
    <x v="0"/>
    <n v="202124110069911"/>
    <d v="2021-01-18T00:00:00"/>
    <s v="ENE"/>
    <n v="-3"/>
    <s v="AUTORIZADO"/>
    <s v="Se anula la autorización toda vez que el usuario solicita una nueva cotización con nuevas cantidades radicado No. 202124100099472 del 21/01/2021"/>
    <s v="No. 03466"/>
    <d v="2018-11-16T00:00:00"/>
    <s v="Fenobarbital 100 mg Tableta_cajas X 30 unidades c/u"/>
    <n v="0"/>
    <n v="0"/>
    <x v="5"/>
    <x v="7"/>
    <x v="4"/>
    <x v="2"/>
    <x v="0"/>
  </r>
  <r>
    <x v="19"/>
    <s v="ANDERSON FABIAN MORENO G"/>
    <s v="Coordinador Médico"/>
    <s v="CORPORACION MI IPS TOLIMA"/>
    <s v="809011703-1"/>
    <s v="afmorenogu@miips.com.co"/>
    <s v="Calle 19 No. 7-65"/>
    <x v="0"/>
    <s v="IBAGUE"/>
    <s v="Autorización de Compra directa"/>
    <n v="202124100069372"/>
    <d v="2021-01-15T00:00:00"/>
    <x v="0"/>
    <n v="202124110069911"/>
    <d v="2021-01-18T00:00:00"/>
    <s v="ENE"/>
    <n v="-3"/>
    <s v="AUTORIZADO"/>
    <s v="Se anula la autorización toda vez que el usuario solicita una nueva cotización con nuevas cantidades radicado No. 202124100099472 del 21/01/2021"/>
    <s v="No. 03466"/>
    <d v="2018-11-16T00:00:00"/>
    <s v="Fenobarbital 10 mg Tableta_cajas X 30 unidades c/u"/>
    <n v="0"/>
    <n v="0"/>
    <x v="5"/>
    <x v="3"/>
    <x v="4"/>
    <x v="2"/>
    <x v="0"/>
  </r>
  <r>
    <x v="19"/>
    <s v="ANDERSON FABIAN MORENO G"/>
    <s v="Coordinador Médico"/>
    <s v="CORPORACION MI IPS TOLIMA"/>
    <s v="809011703-1"/>
    <s v="afmorenogu@miips.com.co"/>
    <s v="Calle 19 No. 7-65"/>
    <x v="0"/>
    <s v="IBAGUE"/>
    <s v="Autorización de Compra directa"/>
    <n v="202124100069372"/>
    <d v="2021-01-15T00:00:00"/>
    <x v="0"/>
    <n v="202124110069911"/>
    <d v="2021-01-18T00:00:00"/>
    <s v="ENE"/>
    <n v="-3"/>
    <s v="AUTORIZADO"/>
    <s v="Se anula la autorización toda vez que el usuario solicita una nueva cotización con nuevas cantidades radicado No. 202124100099472 del 21/01/2021"/>
    <s v="No. 03466"/>
    <d v="2018-11-16T00:00:00"/>
    <s v="Hidromorfona HCl 2 mg/mL Solución Inyectable_cajas X 10 unidades c/u"/>
    <n v="0"/>
    <n v="0"/>
    <x v="1"/>
    <x v="2"/>
    <x v="0"/>
    <x v="0"/>
    <x v="0"/>
  </r>
  <r>
    <x v="19"/>
    <s v="ANDERSON FABIAN MORENO G"/>
    <s v="Coordinador Médico"/>
    <s v="CORPORACION MI IPS TOLIMA"/>
    <s v="809011703-1"/>
    <s v="afmorenogu@miips.com.co"/>
    <s v="Calle 19 No. 7-65"/>
    <x v="0"/>
    <s v="IBAGUE"/>
    <s v="Autorización de Compra directa"/>
    <n v="202124100069372"/>
    <d v="2021-01-15T00:00:00"/>
    <x v="0"/>
    <n v="202124110069911"/>
    <d v="2021-01-18T00:00:00"/>
    <s v="ENE"/>
    <n v="-3"/>
    <s v="AUTORIZADO"/>
    <s v="Se anula la autorización toda vez que el usuario solicita una nueva cotización con nuevas cantidades radicado No. 202124100099472 del 21/01/2021"/>
    <s v="No. 03466"/>
    <d v="2018-11-16T00:00:00"/>
    <s v="Hidromorfona HCl 2,5 mg Tableta_cajas X 20 unidades c/u"/>
    <n v="0"/>
    <n v="0"/>
    <x v="1"/>
    <x v="9"/>
    <x v="4"/>
    <x v="4"/>
    <x v="0"/>
  </r>
  <r>
    <x v="19"/>
    <s v="ANDERSON FABIAN MORENO G"/>
    <s v="Coordinador Médico"/>
    <s v="CORPORACION MI IPS TOLIMA"/>
    <s v="809011703-1"/>
    <s v="afmorenogu@miips.com.co"/>
    <s v="Calle 19 No. 7-65"/>
    <x v="0"/>
    <s v="IBAGUE"/>
    <s v="Autorización de Compra directa"/>
    <n v="202124100069372"/>
    <d v="2021-01-15T00:00:00"/>
    <x v="0"/>
    <n v="202124110069911"/>
    <d v="2021-01-18T00:00:00"/>
    <s v="ENE"/>
    <n v="-3"/>
    <s v="AUTORIZADO"/>
    <s v="Se anula la autorización toda vez que el usuario solicita una nueva cotización con nuevas cantidades radicado No. 202124100099472 del 21/01/2021"/>
    <s v="No. 03466"/>
    <d v="2018-11-16T00:00:00"/>
    <s v="Morfina HCl 0,03 Solución Oral_frascos X 30 mL c/u"/>
    <n v="0"/>
    <n v="0"/>
    <x v="0"/>
    <x v="1"/>
    <x v="1"/>
    <x v="1"/>
    <x v="0"/>
  </r>
  <r>
    <x v="19"/>
    <s v="ANDERSON FABIAN MORENO G"/>
    <s v="Coordinador Médico"/>
    <s v="CORPORACION MI IPS TOLIMA"/>
    <s v="809011703-1"/>
    <s v="afmorenogu@miips.com.co"/>
    <s v="Calle 19 No. 7-65"/>
    <x v="0"/>
    <s v="IBAGUE"/>
    <s v="Autorización de Compra directa"/>
    <n v="202124100069372"/>
    <d v="2021-01-15T00:00:00"/>
    <x v="0"/>
    <n v="202124110069911"/>
    <d v="2021-01-18T00:00:00"/>
    <s v="ENE"/>
    <n v="-3"/>
    <s v="AUTORIZADO"/>
    <s v="Se anula la autorización toda vez que el usuario solicita una nueva cotización con nuevas cantidades radicado No. 202124100099472 del 21/01/2021"/>
    <s v="No. 03466"/>
    <d v="2018-11-16T00:00:00"/>
    <s v="Morfina HCl 10 mg/mL Solución Inyectable ampolla por 1mL"/>
    <n v="0"/>
    <n v="0"/>
    <x v="0"/>
    <x v="0"/>
    <x v="0"/>
    <x v="0"/>
    <x v="0"/>
  </r>
  <r>
    <x v="20"/>
    <s v="JEFFREY JOSUE MEDINA BARANDICA"/>
    <s v="Director Técnico"/>
    <s v="CLINICA LA MILAGROSA S.A"/>
    <s v="800067515-1"/>
    <s v="compras@clinicalamilagrosa.co"/>
    <s v="Calle 22 No. 13A-09"/>
    <x v="4"/>
    <s v="SANTA MARTA"/>
    <s v="Autorización de Compra directa"/>
    <n v="202124100069442"/>
    <d v="2021-01-15T00:00:00"/>
    <x v="0"/>
    <n v="202124110069961"/>
    <d v="2021-01-18T00:00:00"/>
    <s v="ENE"/>
    <n v="-3"/>
    <s v="AUTORIZADO"/>
    <m/>
    <s v="No.0888"/>
    <d v="2020-07-24T00:00:00"/>
    <s v="Meperidina HCl 100 mg/2mL Solución Inyectable_cajas X 10 unidades c/u"/>
    <n v="1000"/>
    <n v="100"/>
    <x v="6"/>
    <x v="8"/>
    <x v="0"/>
    <x v="3"/>
    <x v="25"/>
  </r>
  <r>
    <x v="20"/>
    <s v="JEFFREY JOSUE MEDINA BARANDICA"/>
    <s v="Director Técnico"/>
    <s v="CLINICA LA MILAGROSA S.A"/>
    <s v="800067515-1"/>
    <s v="compras@clinicalamilagrosa.co"/>
    <s v="Calle 22 No. 13A-09"/>
    <x v="4"/>
    <s v="SANTA MARTA"/>
    <s v="Autorización de Compra directa"/>
    <n v="202124100069442"/>
    <d v="2021-01-15T00:00:00"/>
    <x v="0"/>
    <n v="202124110069961"/>
    <d v="2021-01-18T00:00:00"/>
    <s v="ENE"/>
    <n v="-3"/>
    <s v="AUTORIZADO"/>
    <m/>
    <s v="No.0888"/>
    <d v="2020-07-24T00:00:00"/>
    <s v="Morfina HCl 10 mg/mL Solución Inyectable ampolla por 1mL"/>
    <n v="1000"/>
    <n v="100"/>
    <x v="0"/>
    <x v="0"/>
    <x v="0"/>
    <x v="0"/>
    <x v="26"/>
  </r>
  <r>
    <x v="20"/>
    <s v="JEFFREY JOSUE MEDINA BARANDICA"/>
    <s v="Director Técnico"/>
    <s v="CLINICA LA MILAGROSA S.A"/>
    <s v="800067515-1"/>
    <s v="compras@clinicalamilagrosa.co"/>
    <s v="Calle 22 No. 13A-09"/>
    <x v="4"/>
    <s v="SANTA MARTA"/>
    <s v="Autorización de Compra directa"/>
    <n v="202124100069442"/>
    <d v="2021-01-15T00:00:00"/>
    <x v="0"/>
    <n v="202124110069961"/>
    <d v="2021-01-18T00:00:00"/>
    <s v="ENE"/>
    <n v="-3"/>
    <s v="AUTORIZADO"/>
    <m/>
    <s v="No.0888"/>
    <d v="2020-07-24T00:00:00"/>
    <s v="Fenobarbital Sódico 200 mg/mL Solución Inyectable_caja X 10 ampollas c/u"/>
    <n v="200"/>
    <n v="20"/>
    <x v="3"/>
    <x v="5"/>
    <x v="0"/>
    <x v="0"/>
    <x v="18"/>
  </r>
  <r>
    <x v="21"/>
    <s v="VILMA BERRIO"/>
    <s v="Quimico Farmacéutico"/>
    <s v="COMPAÑÍA COLOMBIANA DE SALUD COLSALUD S.A"/>
    <s v="819002176-8"/>
    <s v="jefecompras@clinicamarcaribe.com"/>
    <s v="Calle 21 No. 18A-103 piso 6"/>
    <x v="4"/>
    <s v="SANTA MARTA"/>
    <s v="Autorización de Compra directa"/>
    <n v="202124100069602"/>
    <d v="2021-01-15T00:00:00"/>
    <x v="0"/>
    <n v="202124110070431"/>
    <d v="2021-01-18T00:00:00"/>
    <s v="ENE"/>
    <n v="-3"/>
    <s v="AUTORIZADO"/>
    <m/>
    <s v="No. 4145"/>
    <d v="2019-11-27T00:00:00"/>
    <s v="Morfina HCl 10 mg/mL Solución Inyectable ampolla por 1mL"/>
    <n v="150"/>
    <n v="15"/>
    <x v="0"/>
    <x v="0"/>
    <x v="0"/>
    <x v="0"/>
    <x v="19"/>
  </r>
  <r>
    <x v="21"/>
    <s v="VILMA BERRIO"/>
    <s v="Quimico Farmacéutico"/>
    <s v="COMPAÑÍA COLOMBIANA DE SALUD COLSALUD S.A"/>
    <s v="819002176-8"/>
    <s v="jefecompras@clinicamarcaribe.com"/>
    <s v="Calle 21 No. 18A-103 piso 7"/>
    <x v="4"/>
    <s v="SANTA MARTA"/>
    <s v="Autorización de Compra directa"/>
    <n v="202124100069602"/>
    <d v="2021-01-15T00:00:00"/>
    <x v="0"/>
    <n v="202124110070431"/>
    <d v="2021-01-18T00:00:00"/>
    <s v="ENE"/>
    <n v="-3"/>
    <s v="AUTORIZADO"/>
    <m/>
    <s v="No. 4145"/>
    <d v="2019-11-27T00:00:00"/>
    <s v="Fenobarbital Sódico 40 mg/mL Solución Inyectable_caja X 10 ampollas c/u"/>
    <n v="50"/>
    <n v="5"/>
    <x v="3"/>
    <x v="6"/>
    <x v="0"/>
    <x v="0"/>
    <x v="17"/>
  </r>
  <r>
    <x v="21"/>
    <s v="VILMA BERRIO"/>
    <s v="Quimico Farmacéutico"/>
    <s v="COMPAÑÍA COLOMBIANA DE SALUD COLSALUD S.A"/>
    <s v="819002176-8"/>
    <s v="jefecompras@clinicamarcaribe.com"/>
    <s v="Calle 21 No. 18A-103 piso 8"/>
    <x v="4"/>
    <s v="SANTA MARTA"/>
    <s v="Autorización de Compra directa"/>
    <n v="202124100069602"/>
    <d v="2021-01-15T00:00:00"/>
    <x v="0"/>
    <n v="202124110070431"/>
    <d v="2021-01-18T00:00:00"/>
    <s v="ENE"/>
    <n v="-3"/>
    <s v="AUTORIZADO"/>
    <m/>
    <s v="No. 4145"/>
    <d v="2019-11-27T00:00:00"/>
    <s v="Meperidina HCl 100 mg/2mL Solución Inyectable_cajas X 10 unidades c/u"/>
    <n v="100"/>
    <n v="10"/>
    <x v="6"/>
    <x v="8"/>
    <x v="0"/>
    <x v="3"/>
    <x v="27"/>
  </r>
  <r>
    <x v="21"/>
    <s v="VILMA BERRIO"/>
    <s v="Quimico Farmacéutico"/>
    <s v="COMPAÑÍA COLOMBIANA DE SALUD COLSALUD S.A"/>
    <s v="819002176-8"/>
    <s v="jefecompras@clinicamarcaribe.com"/>
    <s v="Calle 21 No. 18A-103 piso 9"/>
    <x v="4"/>
    <s v="SANTA MARTA"/>
    <s v="Autorización de Compra directa"/>
    <n v="202124100069602"/>
    <d v="2021-01-15T00:00:00"/>
    <x v="0"/>
    <n v="202124110070431"/>
    <d v="2021-01-18T00:00:00"/>
    <s v="ENE"/>
    <n v="-3"/>
    <s v="AUTORIZADO"/>
    <m/>
    <s v="No. 4145"/>
    <d v="2019-11-27T00:00:00"/>
    <s v="Morfina HCl 0,03 Solución Oral_frascos X 30 mL c/u"/>
    <n v="3"/>
    <n v="3"/>
    <x v="0"/>
    <x v="1"/>
    <x v="1"/>
    <x v="1"/>
    <x v="28"/>
  </r>
  <r>
    <x v="21"/>
    <s v="VILMA BERRIO"/>
    <s v="Quimico Farmacéutico"/>
    <s v="COMPAÑÍA COLOMBIANA DE SALUD COLSALUD S.A"/>
    <s v="819002176-8"/>
    <s v="jefecompras@clinicamarcaribe.com"/>
    <s v="Calle 21 No. 18A-103 piso 10"/>
    <x v="4"/>
    <s v="SANTA MARTA"/>
    <s v="Autorización de Compra directa"/>
    <n v="202124100069602"/>
    <d v="2021-01-15T00:00:00"/>
    <x v="0"/>
    <n v="202124110070431"/>
    <d v="2021-01-18T00:00:00"/>
    <s v="ENE"/>
    <n v="-3"/>
    <s v="AUTORIZADO"/>
    <m/>
    <s v="No. 4145"/>
    <d v="2019-11-27T00:00:00"/>
    <s v="Fenobarbital 50 mg Tableta_cajas X 30 unidades c/u"/>
    <n v="30"/>
    <n v="1"/>
    <x v="5"/>
    <x v="12"/>
    <x v="4"/>
    <x v="2"/>
    <x v="8"/>
  </r>
  <r>
    <x v="22"/>
    <s v="ARGENIS TOVAR TRUJULLO"/>
    <s v="Regente de farmacia"/>
    <s v="CORPORACION MI IPS HUILA CAMPOALEGRE"/>
    <s v="813012546-0"/>
    <s v="farmacorporacionipscampoalegre@gmail.com"/>
    <s v="Carrera 8 con calle 19 esquina barrio Centro "/>
    <x v="7"/>
    <s v="CAMPOALEGRE"/>
    <s v="Autorización de Compra directa"/>
    <n v="202124100060852"/>
    <d v="2021-01-14T00:00:00"/>
    <x v="0"/>
    <n v="202124110081071"/>
    <d v="2021-01-20T00:00:00"/>
    <s v="ENE"/>
    <n v="-6"/>
    <s v="AUTORIZADO"/>
    <m/>
    <s v="No. 2628"/>
    <d v="2017-03-13T00:00:00"/>
    <s v="Fenobarbital 0,4% Solución Oral_frascos X 120 mL c/u"/>
    <n v="5"/>
    <n v="5"/>
    <x v="5"/>
    <x v="11"/>
    <x v="1"/>
    <x v="6"/>
    <x v="16"/>
  </r>
  <r>
    <x v="23"/>
    <s v="LEET ANTONIO MARQUEZ ESCORCIA"/>
    <s v="Quimico Farmacéutico"/>
    <s v="CLINICA GENERAL DE CIENEGA S.A.S"/>
    <s v="819000413-1"/>
    <s v="quimicocienaga@clinicageneraldelnorte.com"/>
    <s v="Carrera 18B No. 18A-15"/>
    <x v="4"/>
    <s v="CIENAGA"/>
    <s v="Autorización de Compra directa"/>
    <n v="202124100082352"/>
    <d v="2021-01-19T00:00:00"/>
    <x v="0"/>
    <n v="202124110093151"/>
    <d v="2021-01-21T00:00:00"/>
    <s v="ENE"/>
    <n v="-2"/>
    <s v="AUTORIZADO"/>
    <m/>
    <s v="No. 4005"/>
    <d v="2019-11-13T00:00:00"/>
    <s v="Fenobarbital 100 mg Tableta_cajas X 30 unidades c/u"/>
    <n v="300"/>
    <n v="10"/>
    <x v="5"/>
    <x v="7"/>
    <x v="4"/>
    <x v="2"/>
    <x v="23"/>
  </r>
  <r>
    <x v="23"/>
    <s v="LEET ANTONIO MARQUEZ ESCORCIA"/>
    <s v="Quimico Farmacéutico"/>
    <s v="CLINICA GENERAL DE CIENEGA S.A.S"/>
    <s v="819000413-1"/>
    <s v="quimicocienaga@clinicageneraldelnorte.com"/>
    <s v="Carrera 18B No. 18A-15"/>
    <x v="4"/>
    <s v="CIENAGA"/>
    <s v="Autorización de Compra directa"/>
    <n v="202124100082352"/>
    <d v="2021-01-19T00:00:00"/>
    <x v="0"/>
    <n v="202124110093151"/>
    <d v="2021-01-21T00:00:00"/>
    <s v="ENE"/>
    <n v="-2"/>
    <s v="AUTORIZADO"/>
    <m/>
    <s v="No. 4005"/>
    <d v="2019-11-13T00:00:00"/>
    <s v="Meperidina HCl 100 mg/2mL Solución Inyectable_cajas X 10 unidades c/u"/>
    <n v="20"/>
    <n v="2"/>
    <x v="6"/>
    <x v="8"/>
    <x v="0"/>
    <x v="3"/>
    <x v="29"/>
  </r>
  <r>
    <x v="23"/>
    <s v="LEET ANTONIO MARQUEZ ESCORCIA"/>
    <s v="Quimico Farmacéutico"/>
    <s v="CLINICA GENERAL DE CIENEGA S.A.S"/>
    <s v="819000413-1"/>
    <s v="quimicocienaga@clinicageneraldelnorte.com"/>
    <s v="Carrera 18B No. 18A-15"/>
    <x v="4"/>
    <s v="CIENAGA"/>
    <s v="Autorización de Compra directa"/>
    <n v="202124100082352"/>
    <d v="2021-01-19T00:00:00"/>
    <x v="0"/>
    <n v="202124110093151"/>
    <d v="2021-01-21T00:00:00"/>
    <s v="ENE"/>
    <n v="-2"/>
    <s v="AUTORIZADO"/>
    <m/>
    <s v="No. 4005"/>
    <d v="2019-11-13T00:00:00"/>
    <s v="Morfina HCl 10 mg/mL Solución Inyectable ampolla por 1mL"/>
    <n v="40"/>
    <n v="4"/>
    <x v="0"/>
    <x v="0"/>
    <x v="0"/>
    <x v="0"/>
    <x v="30"/>
  </r>
  <r>
    <x v="24"/>
    <s v="MILENA CARBONO HERNANDEZ"/>
    <s v="Coordinadora Almacén"/>
    <s v="E.S.E HOSPITAL SANTANDER HERRERA"/>
    <s v="819002025-4"/>
    <s v="almacen@esehsh.gov.co"/>
    <s v="Calle 14 No. 12-46"/>
    <x v="4"/>
    <s v="PIVIJAY"/>
    <s v="Autorización de Compra directa"/>
    <n v="202124100083322"/>
    <d v="2021-01-19T00:00:00"/>
    <x v="0"/>
    <n v="202124110109761"/>
    <d v="2021-01-25T00:00:00"/>
    <s v="ENE"/>
    <n v="-6"/>
    <s v="AUTORIZADO"/>
    <s v="Con esta autorizacion se autoriza tambien los radicados No. 202124100101622 y 202124100101082"/>
    <s v="No. 1113"/>
    <d v="2020-09-14T00:00:00"/>
    <s v="Meperidina HCl 100 mg/2mL Solución Inyectable_cajas X 10 unidades c/u"/>
    <n v="200"/>
    <n v="20"/>
    <x v="6"/>
    <x v="8"/>
    <x v="0"/>
    <x v="3"/>
    <x v="31"/>
  </r>
  <r>
    <x v="24"/>
    <s v="MILENA CARBONO HERNANDEZ"/>
    <s v="Coordinadora Almacén"/>
    <s v="E.S.E HOSPITAL SANTANDER HERRERA"/>
    <s v="819002025-4"/>
    <s v="almacen@esehsh.gov.co"/>
    <s v="Calle 14 No. 12-46"/>
    <x v="4"/>
    <s v="PIVIJAY"/>
    <s v="Autorización de Compra directa"/>
    <n v="202124100083322"/>
    <d v="2021-01-19T00:00:00"/>
    <x v="0"/>
    <n v="202124110109761"/>
    <d v="2021-01-25T00:00:00"/>
    <s v="ENE"/>
    <n v="-6"/>
    <s v="AUTORIZADO"/>
    <s v="Con esta autorizacion se autoriza tambien los radicados No. 202124100101622 y 202124100101082"/>
    <s v="No. 1113"/>
    <d v="2020-09-14T00:00:00"/>
    <s v="Morfina HCl 10 mg/mL Solución Inyectable ampolla por 1mL"/>
    <n v="50"/>
    <n v="5"/>
    <x v="0"/>
    <x v="0"/>
    <x v="0"/>
    <x v="0"/>
    <x v="17"/>
  </r>
  <r>
    <x v="24"/>
    <s v="MILENA CARBONO HERNANDEZ"/>
    <s v="Coordinadora Almacén"/>
    <s v="E.S.E HOSPITAL SANTANDER HERRERA"/>
    <s v="819002025-4"/>
    <s v="almacen@esehsh.gov.co"/>
    <s v="Calle 14 No. 12-46"/>
    <x v="4"/>
    <s v="PIVIJAY"/>
    <s v="Autorización de Compra directa"/>
    <n v="202124100083322"/>
    <d v="2021-01-19T00:00:00"/>
    <x v="0"/>
    <n v="202124110109761"/>
    <d v="2021-01-25T00:00:00"/>
    <s v="ENE"/>
    <n v="-6"/>
    <s v="AUTORIZADO"/>
    <s v="Con esta autorizacion se autoriza tambien los radicados No. 202124100101622 y 202124100101082"/>
    <s v="No. 1113"/>
    <d v="2020-09-14T00:00:00"/>
    <s v="Fenobarbital Sódico 40 mg/mL Solución Inyectable_caja X 10 ampollas c/u"/>
    <n v="50"/>
    <n v="5"/>
    <x v="3"/>
    <x v="6"/>
    <x v="0"/>
    <x v="0"/>
    <x v="17"/>
  </r>
  <r>
    <x v="25"/>
    <s v="MARIA CRISTINA HURTADO RIVERA"/>
    <s v="Quimico Farmacéutico"/>
    <s v="HOSPITAL SAN JUAN DE DIOS DE HONDA E.S.E"/>
    <s v="890.700.666-8"/>
    <s v="mariahurtado@hsjd.gov.co"/>
    <s v="Calle 9 Avenida Centenario del municipio de Honda-Tolima"/>
    <x v="0"/>
    <s v="HONDA"/>
    <s v="Autorización de Compra directa"/>
    <n v="202124100083572"/>
    <d v="2021-01-19T00:00:00"/>
    <x v="0"/>
    <n v="202124110093181"/>
    <d v="2021-01-21T00:00:00"/>
    <s v="ENE"/>
    <n v="-2"/>
    <s v="AUTORIZADO"/>
    <m/>
    <s v="No. 02956"/>
    <d v="2019-09-16T00:00:00"/>
    <s v="Meperidina HCl 100 mg/2mL Solución Inyectable_cajas X 10 unidades c/u"/>
    <n v="50"/>
    <n v="5"/>
    <x v="6"/>
    <x v="8"/>
    <x v="0"/>
    <x v="3"/>
    <x v="9"/>
  </r>
  <r>
    <x v="25"/>
    <s v="MARIA CRISTINA HURTADO RIVERA"/>
    <s v="Quimico Farmacéutico"/>
    <s v="HOSPITAL SAN JUAN DE DIOS DE HONDA E.S.E"/>
    <s v="890.700.666-8"/>
    <s v="mariahurtado@hsjd.gov.co"/>
    <s v="Calle 9 Avenida Centenario del municipio de Honda-Tolima"/>
    <x v="0"/>
    <s v="HONDA"/>
    <s v="Autorización de Compra directa"/>
    <n v="202124100083572"/>
    <d v="2021-01-19T00:00:00"/>
    <x v="0"/>
    <n v="202124110093181"/>
    <d v="2021-01-21T00:00:00"/>
    <s v="ENE"/>
    <n v="-2"/>
    <s v="AUTORIZADO"/>
    <m/>
    <s v="No. 02956"/>
    <d v="2019-09-17T00:00:00"/>
    <s v="Morfina HCl 10 mg/mL Solución Inyectable ampolla por 1mL"/>
    <n v="50"/>
    <n v="5"/>
    <x v="0"/>
    <x v="0"/>
    <x v="0"/>
    <x v="0"/>
    <x v="17"/>
  </r>
  <r>
    <x v="25"/>
    <s v="MARIA CRISTINA HURTADO RIVERA"/>
    <s v="Quimico Farmacéutico"/>
    <s v="HOSPITAL SAN JUAN DE DIOS DE HONDA E.S.E"/>
    <s v="890.700.666-8"/>
    <s v="mariahurtado@hsjd.gov.co"/>
    <s v="Calle 9 Avenida Centenario del municipio de Honda-Tolima"/>
    <x v="0"/>
    <s v="HONDA"/>
    <s v="Autorización de Compra directa"/>
    <n v="202124100083572"/>
    <d v="2021-01-19T00:00:00"/>
    <x v="0"/>
    <n v="202124110093181"/>
    <d v="2021-01-21T00:00:00"/>
    <s v="ENE"/>
    <n v="-2"/>
    <s v="AUTORIZADO"/>
    <m/>
    <s v="No. 02956"/>
    <d v="2019-09-18T00:00:00"/>
    <s v="Hidromorfona HCl 2 mg/mL Solución Inyectable_cajas X 10 unidades c/u"/>
    <n v="30"/>
    <n v="3"/>
    <x v="1"/>
    <x v="2"/>
    <x v="0"/>
    <x v="0"/>
    <x v="24"/>
  </r>
  <r>
    <x v="26"/>
    <s v="ZAYRA PATRICIA RODRIGUEZ FERNANDEZ"/>
    <s v="Técnico Farmacia"/>
    <s v="E.S.E HOPSITAL MANUEL ELKIN PATARROYO DE SANTA ROSA DEL SUR-BOLIVAR"/>
    <s v="829001256-0"/>
    <s v="ALMACEN-MEP@hotmail.com"/>
    <s v="Calle 13 No. 20A-30 P1 L1"/>
    <x v="2"/>
    <s v="SANTA ROSA DEL SUR"/>
    <s v="Autorización de Compra directa"/>
    <n v="202124100083932"/>
    <d v="2021-01-19T00:00:00"/>
    <x v="0"/>
    <n v="202124110093211"/>
    <d v="2021-01-21T00:00:00"/>
    <s v="ENE"/>
    <n v="-2"/>
    <s v="AUTORIZADO"/>
    <m/>
    <s v="No. 805"/>
    <d v="2017-07-27T00:00:00"/>
    <s v="Fenobarbital 100 mg Tableta_cajas X 30 unidades c/u"/>
    <n v="3000"/>
    <n v="100"/>
    <x v="5"/>
    <x v="7"/>
    <x v="4"/>
    <x v="2"/>
    <x v="32"/>
  </r>
  <r>
    <x v="26"/>
    <s v="ZAYRA PATRICIA RODRIGUEZ FERNANDEZ"/>
    <s v="Técnico Farmacia"/>
    <s v="E.S.E HOPSITAL MANUEL ELKIN PATARROYO DE SANTA ROSA DEL SUR-BOLIVAR"/>
    <s v="829001256-0"/>
    <s v="ALMACEN-MEP@hotmail.com"/>
    <s v="Calle 13 No. 20A-30 P1 L2"/>
    <x v="2"/>
    <s v="SANTA ROSA DEL SUR"/>
    <s v="Autorización de Compra directa"/>
    <n v="202124100083932"/>
    <d v="2021-01-19T00:00:00"/>
    <x v="0"/>
    <n v="202124110093211"/>
    <d v="2021-01-21T00:00:00"/>
    <s v="ENE"/>
    <n v="-2"/>
    <s v="AUTORIZADO"/>
    <m/>
    <s v="No. 805"/>
    <d v="2017-07-27T00:00:00"/>
    <s v="Morfina HCl 10 mg/mL Solución Inyectable ampolla por 1mL"/>
    <n v="40"/>
    <n v="4"/>
    <x v="0"/>
    <x v="0"/>
    <x v="0"/>
    <x v="0"/>
    <x v="30"/>
  </r>
  <r>
    <x v="27"/>
    <s v="PAOLA ANDREA ORTIZ GARCIA"/>
    <s v="Regente de farmacia"/>
    <s v="UNIDAD DE CIRUGÍA DEL TOLIMA S.A"/>
    <s v="800024744-7"/>
    <s v="farmaciaunicat@hotmail.com"/>
    <s v="Calle 43 No. 4-26 piso 5"/>
    <x v="0"/>
    <s v="IBAGUE"/>
    <s v="Autorización de Compra directa"/>
    <n v="202124100087572"/>
    <d v="2021-01-19T00:00:00"/>
    <x v="0"/>
    <n v="202124110093251"/>
    <d v="2021-01-21T00:00:00"/>
    <s v="ENE"/>
    <n v="-2"/>
    <s v="AUTORIZADO"/>
    <m/>
    <s v="No.2180"/>
    <d v="2019-07-25T00:00:00"/>
    <s v="Meperidina HCl 100 mg/2mL Solución Inyectable_cajas X 10 unidades c/u"/>
    <n v="50"/>
    <n v="5"/>
    <x v="6"/>
    <x v="8"/>
    <x v="0"/>
    <x v="3"/>
    <x v="9"/>
  </r>
  <r>
    <x v="28"/>
    <s v="DINA ESTHER PEÑALOZA DIAZ"/>
    <s v="Coordinador Regional Servicios Farmacéuticos"/>
    <s v="ASOCIACION DE PRESTADORES DE SERVICIOS Y SUMINISTROS DE SALUD-ASSALUD"/>
    <s v="808411768-1"/>
    <s v="dina.penaloza@assalud.com"/>
    <s v="Calle 18 No 11-50 Local 1"/>
    <x v="4"/>
    <s v="SANTA MARTA"/>
    <s v="Autorización de Compra directa"/>
    <n v="202124100089882"/>
    <d v="2021-01-19T00:00:00"/>
    <x v="0"/>
    <n v="202124110093301"/>
    <d v="2021-01-21T00:00:00"/>
    <s v="ENE"/>
    <n v="-2"/>
    <s v="AUTORIZADO"/>
    <m/>
    <s v="No. 4080"/>
    <d v="2019-11-18T00:00:00"/>
    <s v="Fenobarbital 100 mg Tableta_cajas X 30 unidades c/u"/>
    <n v="1200"/>
    <n v="40"/>
    <x v="5"/>
    <x v="7"/>
    <x v="4"/>
    <x v="2"/>
    <x v="33"/>
  </r>
  <r>
    <x v="29"/>
    <s v="DINA ESTHER PEÑALOZA DIAZ"/>
    <s v="Coordinador Regional Servicios Farmacéuticos"/>
    <s v="ASOCIACION DE PRESTADORES DE SERVICIOS Y SUMINISTROS DE SALUD-ASSALUD"/>
    <s v="808411768-1"/>
    <s v="dina.penaloza@assalud.com"/>
    <s v="Calle 6No 7-17 Local 1"/>
    <x v="4"/>
    <s v="FUNDACION"/>
    <s v="Autorización de Compra directa"/>
    <n v="202124100089882"/>
    <d v="2021-01-19T00:00:00"/>
    <x v="0"/>
    <n v="202124110093331"/>
    <d v="2021-01-21T00:00:00"/>
    <s v="ENE"/>
    <n v="-2"/>
    <s v="AUTORIZADO"/>
    <m/>
    <s v="No. 4088"/>
    <d v="2019-11-18T00:00:00"/>
    <s v="Fenobarbital 100 mg Tableta_cajas X 30 unidades c/u"/>
    <n v="2400"/>
    <n v="80"/>
    <x v="5"/>
    <x v="7"/>
    <x v="4"/>
    <x v="2"/>
    <x v="34"/>
  </r>
  <r>
    <x v="30"/>
    <s v="DINA ESTHER PEÑALOZA DIAZ"/>
    <s v="Coordinador Regional Servicios Farmacéuticos"/>
    <s v="ASOCIACION DE PRESTADORES DE SERVICIOS Y SUMINISTROS DE SALUD-ASSALUD"/>
    <s v="808411768-1"/>
    <s v="dina.penaloza@assalud.com"/>
    <s v="Carrera 16 No. 14-44"/>
    <x v="4"/>
    <s v="PLATO"/>
    <s v="Autorización de Compra directa"/>
    <n v="202124100089882"/>
    <d v="2021-01-19T00:00:00"/>
    <x v="0"/>
    <n v="202124110093341"/>
    <d v="2021-01-21T00:00:00"/>
    <s v="ENE"/>
    <n v="-2"/>
    <s v="AUTORIZADO"/>
    <m/>
    <s v="No. 4086"/>
    <d v="2019-11-18T00:00:00"/>
    <s v="Fenobarbital 100 mg Tableta_cajas X 30 unidades c/u"/>
    <n v="600"/>
    <n v="20"/>
    <x v="5"/>
    <x v="7"/>
    <x v="4"/>
    <x v="2"/>
    <x v="7"/>
  </r>
  <r>
    <x v="31"/>
    <s v="DINA ESTHER PEÑALOZA DIAZ"/>
    <s v="Coordinador Regional Servicios Farmacéuticos"/>
    <s v="ASOCIACION DE PRESTADORES DE SERVICIOS Y SUMINISTROS DE SALUD-ASSALUD"/>
    <s v="808411768-1"/>
    <s v="dina.penaloza@assalud.com"/>
    <s v="Calle 9 No. 7-10"/>
    <x v="4"/>
    <s v="CIENAGA"/>
    <s v="Autorización de Compra directa"/>
    <n v="202124100089882"/>
    <d v="2021-01-19T00:00:00"/>
    <x v="0"/>
    <n v="202124110093511"/>
    <d v="2021-01-21T00:00:00"/>
    <s v="ENE"/>
    <n v="-2"/>
    <s v="AUTORIZADO"/>
    <m/>
    <s v="No. 4087"/>
    <d v="2019-11-18T00:00:00"/>
    <s v="Fenobarbital 100 mg Tableta_cajas X 30 unidades c/u"/>
    <n v="1200"/>
    <n v="40"/>
    <x v="5"/>
    <x v="7"/>
    <x v="4"/>
    <x v="2"/>
    <x v="33"/>
  </r>
  <r>
    <x v="32"/>
    <s v="CLAUDIA MILENA MARTÍNEZ CAMPO"/>
    <s v="Representante Legal"/>
    <s v="SERVICIOS INTEGRALES DE SALUD DEL MAGDALENA S.A.S"/>
    <s v="900018045-5"/>
    <s v="serviciosintegrales_saludmagdale@yahoo.com"/>
    <s v="Calle 24 No. 18A-101"/>
    <x v="4"/>
    <s v="SANTA MARTA"/>
    <s v="Autorización de Compra directa"/>
    <n v="202124100092922"/>
    <d v="2021-01-20T00:00:00"/>
    <x v="0"/>
    <n v="202124110093741"/>
    <d v="2021-01-21T00:00:00"/>
    <s v="ENE"/>
    <n v="-1"/>
    <s v="AUTORIZADO"/>
    <m/>
    <s v="No. 4125"/>
    <d v="2017-12-12T00:00:00"/>
    <s v="Fenobarbital 100 mg Tableta_cajas X 30 unidades c/u"/>
    <n v="18000"/>
    <n v="600"/>
    <x v="5"/>
    <x v="7"/>
    <x v="4"/>
    <x v="2"/>
    <x v="35"/>
  </r>
  <r>
    <x v="32"/>
    <s v="CLAUDIA MILENA MARTÍNEZ CAMPO"/>
    <s v="Representante Legal"/>
    <s v="SERVICIOS INTEGRALES DE SALUD DEL MAGDALENA S.A.S"/>
    <s v="900018045-5"/>
    <s v="serviciosintegrales_saludmagdale@yahoo.com"/>
    <s v="Calle 24 No. 18A-101"/>
    <x v="4"/>
    <s v="SANTA MARTA"/>
    <s v="Autorización de Compra directa"/>
    <n v="202124100092922"/>
    <d v="2021-01-20T00:00:00"/>
    <x v="0"/>
    <n v="202124110093741"/>
    <d v="2021-01-21T00:00:00"/>
    <s v="ENE"/>
    <n v="-1"/>
    <s v="AUTORIZADO"/>
    <m/>
    <s v="No. 4125"/>
    <d v="2017-12-12T00:00:00"/>
    <s v="Fenobarbital 0,4% Solución Oral_frascos X 120 mL c/u"/>
    <n v="12"/>
    <n v="12"/>
    <x v="5"/>
    <x v="11"/>
    <x v="1"/>
    <x v="6"/>
    <x v="36"/>
  </r>
  <r>
    <x v="33"/>
    <s v="YAMITH PRECIADO BONILLA"/>
    <s v="Director Técnico"/>
    <s v="MESSER COLOMBIA S.A"/>
    <s v="860005114-4"/>
    <s v="yamith.preciado@messer-co.com"/>
    <s v="Carrera 49C No. 80-148"/>
    <x v="3"/>
    <s v="BARRANQUILLA"/>
    <s v="Autorización de Compra directa"/>
    <n v="202124100095832"/>
    <d v="2021-01-20T00:00:00"/>
    <x v="0"/>
    <n v="202124110093841"/>
    <d v="2021-01-21T00:00:00"/>
    <s v="ENE"/>
    <n v="-1"/>
    <s v="AUTORIZADO"/>
    <m/>
    <s v="No. 4001"/>
    <d v="2020-12-21T00:00:00"/>
    <s v="Fenobarbital 0,4% Solución Oral_frascos X 120 mL c/u"/>
    <n v="18"/>
    <n v="18"/>
    <x v="5"/>
    <x v="11"/>
    <x v="1"/>
    <x v="6"/>
    <x v="37"/>
  </r>
  <r>
    <x v="34"/>
    <s v="ANDERSON FABIAN MORENO G"/>
    <s v="Coordinador Médico"/>
    <s v="CORPORACION MI IPS TOLIMA"/>
    <s v="809011703-1"/>
    <s v="afmorenogu@miips.com.co"/>
    <s v="Calle 19 No. 7-65"/>
    <x v="0"/>
    <s v="IBAGUE"/>
    <s v="Autorización de Compra directa"/>
    <n v="202124100099472"/>
    <d v="2021-01-21T00:00:00"/>
    <x v="0"/>
    <n v="202124110093891"/>
    <d v="2021-01-21T00:00:00"/>
    <s v="ENE"/>
    <n v="0"/>
    <s v="AUTORIZADO"/>
    <s v="Esta autorización reemplaza la solicitud con Radicado No. 202124100069372"/>
    <s v="No. 03466"/>
    <d v="2018-11-16T00:00:00"/>
    <s v="Fenobarbital 100 mg Tableta_cajas X 30 unidades c/u"/>
    <n v="3000"/>
    <n v="100"/>
    <x v="5"/>
    <x v="7"/>
    <x v="4"/>
    <x v="2"/>
    <x v="32"/>
  </r>
  <r>
    <x v="34"/>
    <s v="ANDERSON FABIAN MORENO G"/>
    <s v="Coordinador Médico"/>
    <s v="CORPORACION MI IPS TOLIMA"/>
    <s v="809011703-1"/>
    <s v="afmorenogu@miips.com.co"/>
    <s v="Calle 19 No. 7-65"/>
    <x v="0"/>
    <s v="IBAGUE"/>
    <s v="Autorización de Compra directa"/>
    <n v="202124100099472"/>
    <d v="2021-01-21T00:00:00"/>
    <x v="0"/>
    <n v="202124110093891"/>
    <d v="2021-01-21T00:00:00"/>
    <s v="ENE"/>
    <n v="0"/>
    <s v="AUTORIZADO"/>
    <s v="Esta autorización reemplaza la solicitud con Radicado No. 202124100069372"/>
    <s v="No. 03466"/>
    <d v="2018-11-16T00:00:00"/>
    <s v="Fenobarbital 10 mg Tableta_cajas X 30 unidades c/u"/>
    <n v="1200"/>
    <n v="40"/>
    <x v="5"/>
    <x v="3"/>
    <x v="4"/>
    <x v="2"/>
    <x v="33"/>
  </r>
  <r>
    <x v="34"/>
    <s v="ANDERSON FABIAN MORENO G"/>
    <s v="Coordinador Médico"/>
    <s v="CORPORACION MI IPS TOLIMA"/>
    <s v="809011703-1"/>
    <s v="afmorenogu@miips.com.co"/>
    <s v="Calle 19 No. 7-65"/>
    <x v="0"/>
    <s v="IBAGUE"/>
    <s v="Autorización de Compra directa"/>
    <n v="202124100099472"/>
    <d v="2021-01-21T00:00:00"/>
    <x v="0"/>
    <n v="202124110093891"/>
    <d v="2021-01-21T00:00:00"/>
    <s v="ENE"/>
    <n v="0"/>
    <s v="AUTORIZADO"/>
    <s v="Esta autorización reemplaza la solicitud con Radicado No. 202124100069372"/>
    <s v="No. 03466"/>
    <d v="2018-11-16T00:00:00"/>
    <s v="Hidromorfona HCl 2 mg/mL Solución Inyectable_cajas X 10 unidades c/u"/>
    <n v="960"/>
    <n v="96"/>
    <x v="1"/>
    <x v="2"/>
    <x v="0"/>
    <x v="0"/>
    <x v="38"/>
  </r>
  <r>
    <x v="34"/>
    <s v="ANDERSON FABIAN MORENO G"/>
    <s v="Coordinador Médico"/>
    <s v="CORPORACION MI IPS TOLIMA"/>
    <s v="809011703-1"/>
    <s v="afmorenogu@miips.com.co"/>
    <s v="Calle 19 No. 7-65"/>
    <x v="0"/>
    <s v="IBAGUE"/>
    <s v="Autorización de Compra directa"/>
    <n v="202124100099472"/>
    <d v="2021-01-21T00:00:00"/>
    <x v="0"/>
    <n v="202124110093891"/>
    <d v="2021-01-21T00:00:00"/>
    <s v="ENE"/>
    <n v="0"/>
    <s v="AUTORIZADO"/>
    <s v="Esta autorización reemplaza la solicitud con Radicado No. 202124100069372"/>
    <s v="No. 03466"/>
    <d v="2018-11-16T00:00:00"/>
    <s v="Hidromorfona HCl 2,5 mg Tableta_cajas X 20 unidades c/u"/>
    <n v="2100"/>
    <n v="105"/>
    <x v="1"/>
    <x v="9"/>
    <x v="4"/>
    <x v="4"/>
    <x v="39"/>
  </r>
  <r>
    <x v="34"/>
    <s v="ANDERSON FABIAN MORENO G"/>
    <s v="Coordinador Médico"/>
    <s v="CORPORACION MI IPS TOLIMA"/>
    <s v="809011703-1"/>
    <s v="afmorenogu@miips.com.co"/>
    <s v="Calle 19 No. 7-65"/>
    <x v="0"/>
    <s v="IBAGUE"/>
    <s v="Autorización de Compra directa"/>
    <n v="202124100099472"/>
    <d v="2021-01-21T00:00:00"/>
    <x v="0"/>
    <n v="202124110093891"/>
    <d v="2021-01-21T00:00:00"/>
    <s v="ENE"/>
    <n v="0"/>
    <s v="AUTORIZADO"/>
    <s v="Esta autorización reemplaza la solicitud con Radicado No. 202124100069372"/>
    <s v="No. 03466"/>
    <d v="2018-11-16T00:00:00"/>
    <s v="Morfina HCl 0,03 Solución Oral_frascos X 30 mL c/u"/>
    <n v="60"/>
    <n v="60"/>
    <x v="0"/>
    <x v="1"/>
    <x v="1"/>
    <x v="1"/>
    <x v="40"/>
  </r>
  <r>
    <x v="34"/>
    <s v="ANDERSON FABIAN MORENO G"/>
    <s v="Coordinador Médico"/>
    <s v="CORPORACION MI IPS TOLIMA"/>
    <s v="809011703-1"/>
    <s v="afmorenogu@miips.com.co"/>
    <s v="Calle 19 No. 7-65"/>
    <x v="0"/>
    <s v="IBAGUE"/>
    <s v="Autorización de Compra directa"/>
    <n v="202124100099472"/>
    <d v="2021-01-21T00:00:00"/>
    <x v="0"/>
    <n v="202124110093891"/>
    <d v="2021-01-21T00:00:00"/>
    <s v="ENE"/>
    <n v="0"/>
    <s v="AUTORIZADO"/>
    <s v="Esta autorización reemplaza la solicitud con Radicado No. 202124100069372"/>
    <s v="No. 03466"/>
    <d v="2018-11-16T00:00:00"/>
    <s v="Morfina HCl 10 mg/mL Solución Inyectable ampolla por 1mL"/>
    <n v="360"/>
    <n v="36"/>
    <x v="0"/>
    <x v="0"/>
    <x v="0"/>
    <x v="0"/>
    <x v="41"/>
  </r>
  <r>
    <x v="34"/>
    <s v="ANDERSON FABIAN MORENO G"/>
    <s v="Coordinador Médico"/>
    <s v="CORPORACION MI IPS TOLIMA"/>
    <s v="809011703-1"/>
    <s v="afmorenogu@miips.com.co"/>
    <s v="Calle 19 No. 7-66"/>
    <x v="0"/>
    <s v="IBAGUE"/>
    <s v="Autorización de Compra directa"/>
    <n v="202124100099472"/>
    <d v="2021-01-21T00:00:00"/>
    <x v="0"/>
    <n v="202124110093891"/>
    <d v="2021-01-21T00:00:00"/>
    <s v="ENE"/>
    <n v="0"/>
    <s v="AUTORIZADO"/>
    <s v="Esta autorización reemplaza la solicitud con Radicado No. 202124100069372"/>
    <s v="No. 03466"/>
    <d v="2018-11-16T00:00:00"/>
    <s v="Primidona 250 mg Tableta_caja X 30 unidades c/u"/>
    <n v="600"/>
    <n v="20"/>
    <x v="7"/>
    <x v="10"/>
    <x v="4"/>
    <x v="2"/>
    <x v="7"/>
  </r>
  <r>
    <x v="35"/>
    <s v="ALEXANDER YEPEZ VELA"/>
    <s v="Director Técnico Servicio Farmacéutico"/>
    <s v="MEINTEGRAL S.A.S.  IBAGUE LA SAMARIA "/>
    <s v="900181419-2"/>
    <s v="meintegral.ocobos@gmail.com"/>
    <s v="Cra 12 Sur No. 93-211 Vía Aeropuerto Perales Piso 6"/>
    <x v="0"/>
    <s v="IBAGUE"/>
    <s v="Autorización de Compra directa"/>
    <n v="202124100100242"/>
    <d v="2021-01-21T00:00:00"/>
    <x v="0"/>
    <n v="202124110109791"/>
    <d v="2021-01-25T00:00:00"/>
    <s v="ENE"/>
    <n v="-4"/>
    <s v="AUTORIZADO"/>
    <m/>
    <s v="No. 2842"/>
    <d v="2019-09-18T00:00:00"/>
    <s v="Morfina HCl 10 mg/mL Solución Inyectable ampolla por 1mL"/>
    <n v="600"/>
    <n v="60"/>
    <x v="0"/>
    <x v="0"/>
    <x v="0"/>
    <x v="0"/>
    <x v="42"/>
  </r>
  <r>
    <x v="36"/>
    <s v="VICTOR AVILA LAGARES"/>
    <s v="Quimico Farmacéutico"/>
    <s v="MEDICINA INTEGRAL S.A"/>
    <s v="800250634-3"/>
    <s v="victor.avila@medicinaintegralsa.com"/>
    <s v="Calle 44 No. 14-282 Barrio Portal de Almeria"/>
    <x v="1"/>
    <s v="MONTERIA"/>
    <s v="Venta directa Medicina Integral"/>
    <n v="202124100100792"/>
    <d v="2021-01-21T00:00:00"/>
    <x v="0"/>
    <n v="202124110109821"/>
    <d v="2021-01-25T00:00:00"/>
    <s v="ENE"/>
    <n v="-4"/>
    <s v="AUTORIZADO"/>
    <m/>
    <s v="No. 0631"/>
    <d v="2020-05-11T00:00:00"/>
    <s v="Morfina HCl 0,03 Solución Oral_frascos X 30 mL c/u"/>
    <n v="30"/>
    <n v="30"/>
    <x v="0"/>
    <x v="1"/>
    <x v="1"/>
    <x v="1"/>
    <x v="43"/>
  </r>
  <r>
    <x v="36"/>
    <s v="VICTOR AVILA LAGARES"/>
    <s v="Quimico Farmacéutico"/>
    <s v="MEDICINA INTEGRAL S.A"/>
    <s v="800250634-3"/>
    <s v="victor.avila@medicinaintegralsa.com"/>
    <s v="Calle 44 No. 14-282 Barrio Portal de Almeria"/>
    <x v="1"/>
    <s v="MONTERIA"/>
    <s v="Venta directa Medicina Integral"/>
    <n v="202124100100792"/>
    <d v="2021-01-21T00:00:00"/>
    <x v="0"/>
    <n v="202124110109821"/>
    <d v="2021-01-25T00:00:00"/>
    <s v="ENE"/>
    <n v="-4"/>
    <s v="AUTORIZADO"/>
    <m/>
    <s v="No. 0631"/>
    <d v="2020-05-11T00:00:00"/>
    <s v="Metilfenidato HCl 10 mg Comprimido_cajas X 30 unidades c/u"/>
    <n v="1200"/>
    <n v="40"/>
    <x v="4"/>
    <x v="3"/>
    <x v="3"/>
    <x v="2"/>
    <x v="33"/>
  </r>
  <r>
    <x v="36"/>
    <s v="VICTOR AVILA LAGARES"/>
    <s v="Quimico Farmacéutico"/>
    <s v="MEDICINA INTEGRAL S.A"/>
    <s v="800250634-3"/>
    <s v="victor.avila@medicinaintegralsa.com"/>
    <s v="Calle 44 No. 14-282 Barrio Portal de Almeria"/>
    <x v="1"/>
    <s v="MONTERIA"/>
    <s v="Venta directa Medicina Integral"/>
    <n v="202124100100792"/>
    <d v="2021-01-21T00:00:00"/>
    <x v="0"/>
    <n v="202124110109821"/>
    <d v="2021-01-25T00:00:00"/>
    <s v="ENE"/>
    <n v="-4"/>
    <s v="AUTORIZADO"/>
    <m/>
    <s v="No. 0631"/>
    <d v="2020-05-11T00:00:00"/>
    <s v="Morfina HCl 10 mg/mL Solución Inyectable ampolla por 1mL"/>
    <n v="100"/>
    <n v="10"/>
    <x v="0"/>
    <x v="0"/>
    <x v="0"/>
    <x v="0"/>
    <x v="10"/>
  </r>
  <r>
    <x v="37"/>
    <s v="ANGEL JOHAN OJITO CHAVERRA"/>
    <s v="Director Técnico"/>
    <s v="GRUPO DAO S.A.S"/>
    <s v="817004260-0"/>
    <s v="direcciontecnica@dao.com.co"/>
    <s v="Carrera 4K No 31A-9 Barrio Cadiz"/>
    <x v="0"/>
    <s v="IBAGUE"/>
    <s v="Solicitud autorización compra directa medicamentos de control especial monopolio del estado"/>
    <n v="202124100103252"/>
    <d v="2021-01-21T00:00:00"/>
    <x v="0"/>
    <n v="202124110109861"/>
    <d v="2021-01-25T00:00:00"/>
    <s v="ENE"/>
    <n v="-4"/>
    <s v="AUTORIZADO"/>
    <m/>
    <s v="No. 2030"/>
    <d v="2020-10-08T00:00:00"/>
    <s v="Metadona HCl 10 mg Tableta_Cajas X 30 unidades c/u"/>
    <n v="300"/>
    <n v="10"/>
    <x v="2"/>
    <x v="3"/>
    <x v="2"/>
    <x v="2"/>
    <x v="23"/>
  </r>
  <r>
    <x v="37"/>
    <s v="ANGEL JOHAN OJITO CHAVERRA"/>
    <s v="Director Técnico"/>
    <s v="GRUPO DAO S.A.S"/>
    <s v="817004260-0"/>
    <s v="direcciontecnica@dao.com.co"/>
    <s v="Carrera 4K No 31A-9 Barrio Cadiz"/>
    <x v="0"/>
    <s v="IBAGUE"/>
    <s v="Solicitud autorización compra directa medicamentos de control especial monopolio del estado"/>
    <n v="202124100103252"/>
    <d v="2021-01-21T00:00:00"/>
    <x v="0"/>
    <n v="202124110109861"/>
    <d v="2021-01-25T00:00:00"/>
    <s v="ENE"/>
    <n v="-4"/>
    <s v="AUTORIZADO"/>
    <m/>
    <s v="No. 2030"/>
    <d v="2020-10-08T00:00:00"/>
    <s v="Morfina HCl 0,03 Solución Oral_frascos X 30 mL c/u"/>
    <n v="40"/>
    <n v="40"/>
    <x v="0"/>
    <x v="1"/>
    <x v="1"/>
    <x v="1"/>
    <x v="44"/>
  </r>
  <r>
    <x v="37"/>
    <s v="ANGEL JOHAN OJITO CHAVERRA"/>
    <s v="Director Técnico"/>
    <s v="GRUPO DAO S.A.S"/>
    <s v="817004260-0"/>
    <s v="direcciontecnica@dao.com.co"/>
    <s v="Carrera 4K No 31A-9 Barrio Cadiz"/>
    <x v="0"/>
    <s v="IBAGUE"/>
    <s v="Solicitud autorización compra directa medicamentos de control especial monopolio del estado"/>
    <n v="202124100103252"/>
    <d v="2021-01-21T00:00:00"/>
    <x v="0"/>
    <n v="202124110109861"/>
    <d v="2021-01-25T00:00:00"/>
    <s v="ENE"/>
    <n v="-4"/>
    <s v="AUTORIZADO"/>
    <m/>
    <s v="No. 2030"/>
    <d v="2020-10-08T00:00:00"/>
    <s v="Morfina HCl 10 mg/mL Solución Inyectable ampolla por 1mL"/>
    <n v="200"/>
    <n v="20"/>
    <x v="0"/>
    <x v="0"/>
    <x v="0"/>
    <x v="0"/>
    <x v="18"/>
  </r>
  <r>
    <x v="38"/>
    <s v="SIRCARLOS MOLINA RETAMOZO"/>
    <s v="Director Servicion Farmacéutico"/>
    <s v="CLINICA FUNDACION IPS S.A.S"/>
    <s v="900517542-2"/>
    <s v="sircarlosmolina@gmail.com"/>
    <s v="Calle 8  No. 8-121"/>
    <x v="4"/>
    <s v="FUNDACION"/>
    <s v="_x0009_compra"/>
    <n v="202124100103272"/>
    <d v="2021-01-21T00:00:00"/>
    <x v="0"/>
    <n v="202124110109871"/>
    <d v="2021-01-25T00:00:00"/>
    <s v="ENE"/>
    <n v="-4"/>
    <s v="AUTORIZADO"/>
    <m/>
    <s v="No. 4046"/>
    <d v="2018-12-07T00:00:00"/>
    <s v="Morfina HCl 10 mg/mL Solución Inyectable ampolla por 1mL"/>
    <n v="20"/>
    <n v="2"/>
    <x v="0"/>
    <x v="0"/>
    <x v="0"/>
    <x v="0"/>
    <x v="5"/>
  </r>
  <r>
    <x v="38"/>
    <s v="SIRCARLOS MOLINA RETAMOZO"/>
    <s v="Director Servicion Farmacéutico"/>
    <s v="CLINICA FUNDACION IPS S.A.S"/>
    <s v="900517542-2"/>
    <s v="sircarlosmolina@gmail.com"/>
    <s v="Calle 8  No. 8-121"/>
    <x v="4"/>
    <s v="FUNDACION"/>
    <s v="_x0009_compra"/>
    <n v="202124100103272"/>
    <d v="2021-01-21T00:00:00"/>
    <x v="0"/>
    <n v="202124110109871"/>
    <d v="2021-01-25T00:00:00"/>
    <s v="ENE"/>
    <n v="-4"/>
    <s v="AUTORIZADO"/>
    <m/>
    <s v="No. 4046"/>
    <d v="2018-12-07T00:00:00"/>
    <s v="Meperidina HCl 100 mg/2mL Solución Inyectable_cajas X 10 unidades c/u"/>
    <n v="20"/>
    <n v="2"/>
    <x v="6"/>
    <x v="8"/>
    <x v="0"/>
    <x v="3"/>
    <x v="29"/>
  </r>
  <r>
    <x v="39"/>
    <s v="ELVER RUIDIAZ TERRAZA"/>
    <s v="Director Técnico"/>
    <s v="SUPLYMEDICAL S.A.S"/>
    <s v="900397985-8"/>
    <s v="suplymedicalsas@gmail.com"/>
    <s v="Carrera 21 No. 21-153 Local 101 CC Plaza Jardín"/>
    <x v="4"/>
    <s v="SANTA MARTA"/>
    <s v="cotización de medicamentos de monopolio"/>
    <n v="202124100103652"/>
    <d v="2021-01-21T00:00:00"/>
    <x v="0"/>
    <n v="202124110123651"/>
    <d v="2021-01-25T00:00:00"/>
    <s v="ENE"/>
    <n v="-4"/>
    <s v="AUTORIZADO"/>
    <m/>
    <s v="No. 3259"/>
    <d v="2018-10-03T00:00:00"/>
    <s v="Fenobarbital 100 mg Tableta_cajas X 30 unidades c/u"/>
    <n v="2880"/>
    <n v="96"/>
    <x v="5"/>
    <x v="7"/>
    <x v="4"/>
    <x v="2"/>
    <x v="45"/>
  </r>
  <r>
    <x v="39"/>
    <s v="ELVER RUIDIAZ TERRAZA"/>
    <s v="Director Técnico"/>
    <s v="SUPLYMEDICAL S.A.S"/>
    <s v="900397985-8"/>
    <s v="suplymedicalsas@gmail.com"/>
    <s v="Carrera 21 No. 21-153 Local 101 CC Plaza Jardín"/>
    <x v="4"/>
    <s v="SANTA MARTA"/>
    <s v="cotización de medicamentos de monopolio"/>
    <n v="202124100103652"/>
    <d v="2021-01-21T00:00:00"/>
    <x v="0"/>
    <n v="202124110123651"/>
    <d v="2021-01-25T00:00:00"/>
    <s v="ENE"/>
    <n v="-4"/>
    <s v="AUTORIZADO"/>
    <m/>
    <s v="No. 3259"/>
    <d v="2018-10-03T00:00:00"/>
    <s v="Hidromorfona HCl 2,5 mg Tableta_cajas X 20 unidades c/u"/>
    <n v="400"/>
    <n v="20"/>
    <x v="1"/>
    <x v="9"/>
    <x v="4"/>
    <x v="4"/>
    <x v="46"/>
  </r>
  <r>
    <x v="39"/>
    <s v="ELVER RUIDIAZ TERRAZA"/>
    <s v="Director Técnico"/>
    <s v="SUPLYMEDICAL S.A.S"/>
    <s v="900397985-8"/>
    <s v="suplymedicalsas@gmail.com"/>
    <s v="Carrera 21 No. 21-153 Local 101 CC Plaza Jardín"/>
    <x v="4"/>
    <s v="SANTA MARTA"/>
    <s v="cotización de medicamentos de monopolio"/>
    <n v="202124100103652"/>
    <d v="2021-01-21T00:00:00"/>
    <x v="0"/>
    <n v="202124110123651"/>
    <d v="2021-01-25T00:00:00"/>
    <s v="ENE"/>
    <n v="-4"/>
    <s v="AUTORIZADO"/>
    <m/>
    <s v="No. 3259"/>
    <d v="2018-10-03T00:00:00"/>
    <s v="Hidromorfona HCl 5 mg Tableta_cajas X 30 unidades c/u"/>
    <n v="0"/>
    <n v="0"/>
    <x v="1"/>
    <x v="13"/>
    <x v="5"/>
    <x v="7"/>
    <x v="0"/>
  </r>
  <r>
    <x v="39"/>
    <s v="ELVER RUIDIAZ TERRAZA"/>
    <s v="Director Técnico"/>
    <s v="SUPLYMEDICAL S.A.S"/>
    <s v="900397985-8"/>
    <s v="suplymedicalsas@gmail.com"/>
    <s v="Carrera 21 No. 21-153 Local 101 CC Plaza Jardín"/>
    <x v="4"/>
    <s v="SANTA MARTA"/>
    <s v="cotización de medicamentos de monopolio"/>
    <n v="202124100103652"/>
    <d v="2021-01-21T00:00:00"/>
    <x v="0"/>
    <n v="202124110123651"/>
    <d v="2021-01-25T00:00:00"/>
    <s v="ENE"/>
    <n v="-4"/>
    <s v="AUTORIZADO"/>
    <m/>
    <s v="No. 3259"/>
    <d v="2018-10-03T00:00:00"/>
    <s v="Morfina HCl 0,03 Solución Oral_frascos X 30 mL c/u"/>
    <n v="10"/>
    <n v="10"/>
    <x v="0"/>
    <x v="1"/>
    <x v="1"/>
    <x v="1"/>
    <x v="47"/>
  </r>
  <r>
    <x v="39"/>
    <s v="ELVER RUIDIAZ TERRAZA"/>
    <s v="Director Técnico"/>
    <s v="SUPLYMEDICAL S.A.S"/>
    <s v="900397985-8"/>
    <s v="suplymedicalsas@gmail.com"/>
    <s v="Carrera 21 No. 21-153 Local 101 CC Plaza Jardín"/>
    <x v="4"/>
    <s v="SANTA MARTA"/>
    <s v="cotización de medicamentos de monopolio"/>
    <n v="202124100103652"/>
    <d v="2021-01-21T00:00:00"/>
    <x v="0"/>
    <n v="202124110123651"/>
    <d v="2021-01-25T00:00:00"/>
    <s v="ENE"/>
    <n v="-4"/>
    <s v="AUTORIZADO"/>
    <m/>
    <s v="No. 3259"/>
    <d v="2018-10-03T00:00:00"/>
    <s v="Morfina HCl 10 mg/mL Solución Inyectable ampolla por 1mL"/>
    <n v="10"/>
    <n v="1"/>
    <x v="0"/>
    <x v="0"/>
    <x v="0"/>
    <x v="0"/>
    <x v="11"/>
  </r>
  <r>
    <x v="40"/>
    <s v="ERICA JULIETH GOMEZ DIAZ"/>
    <s v="Gerente E.S.E"/>
    <s v="HOSPITAL RICARDO ACOSTA E.S.E"/>
    <s v="809004280-9"/>
    <s v="farmacia@hospitalpalocabildo.gov.co"/>
    <s v="Calle 5 No. 9-50"/>
    <x v="0"/>
    <s v="PALOCABILDO"/>
    <s v="COTIZACIÓN PARA EL MEDICAMENTO FENOBARBITAL"/>
    <n v="202124100105142"/>
    <d v="2021-01-21T00:00:00"/>
    <x v="0"/>
    <n v="202124110123671"/>
    <d v="2021-01-25T00:00:00"/>
    <s v="ENE"/>
    <n v="-4"/>
    <s v="AUTORIZADO"/>
    <m/>
    <s v="No. 3474"/>
    <d v="2019-11-01T00:00:00"/>
    <s v="Fenobarbital 100 mg Tableta_cajas X 30 unidades c/u"/>
    <n v="2500"/>
    <n v="83"/>
    <x v="5"/>
    <x v="7"/>
    <x v="4"/>
    <x v="2"/>
    <x v="48"/>
  </r>
  <r>
    <x v="41"/>
    <s v="JOHANNA ANDREA CHINCHILLA VARGAS"/>
    <s v="Regente de farmacia"/>
    <s v="EMCOSALUD"/>
    <s v="800006150-6"/>
    <s v="regente.emcosaludtolima@gmail.com"/>
    <s v="Calle 25 No. 4C-52"/>
    <x v="0"/>
    <s v="IBAGUE"/>
    <s v="Solicitud compra Directa Medicamento Monopolio del Estado"/>
    <n v="202124100125532"/>
    <d v="2021-01-26T00:00:00"/>
    <x v="0"/>
    <n v="202124110139711"/>
    <d v="2021-01-27T00:00:00"/>
    <s v="ENE"/>
    <n v="-1"/>
    <s v="AUTORIZADO"/>
    <m/>
    <s v="No. 2618"/>
    <d v="2019-09-04T00:00:00"/>
    <s v="Metilfenidato HCl 10 mg Comprimido_cajas X 30 unidades c/u"/>
    <n v="300"/>
    <n v="10"/>
    <x v="4"/>
    <x v="3"/>
    <x v="3"/>
    <x v="2"/>
    <x v="23"/>
  </r>
  <r>
    <x v="41"/>
    <s v="JOHANNA ANDREA CHINCHILLA VARGAS"/>
    <s v="Regente de farmacia"/>
    <s v="EMCOSALUD"/>
    <s v="800006150-6"/>
    <s v="regente.emcosaludtolima@gmail.com"/>
    <s v="Calle 25 No. 4C-53"/>
    <x v="0"/>
    <s v="IBAGUE"/>
    <s v="Solicitud compra Directa Medicamento Monopolio del Estado"/>
    <n v="202124100125532"/>
    <d v="2021-01-26T00:00:00"/>
    <x v="0"/>
    <n v="202124110139711"/>
    <d v="2021-01-27T00:00:00"/>
    <s v="ENE"/>
    <n v="-1"/>
    <s v="AUTORIZADO"/>
    <m/>
    <s v="No. 2618"/>
    <d v="2019-09-04T00:00:00"/>
    <s v="Fenobarbital 100 mg Tableta_cajas X 30 unidades c/u"/>
    <n v="3000"/>
    <n v="100"/>
    <x v="5"/>
    <x v="7"/>
    <x v="4"/>
    <x v="2"/>
    <x v="32"/>
  </r>
  <r>
    <x v="41"/>
    <s v="JOHANNA ANDREA CHINCHILLA VARGAS"/>
    <s v="Regente de farmacia"/>
    <s v="EMCOSALUD"/>
    <s v="800006150-6"/>
    <s v="regente.emcosaludtolima@gmail.com"/>
    <s v="Calle 25 No. 4C-54"/>
    <x v="0"/>
    <s v="IBAGUE"/>
    <s v="Solicitud compra Directa Medicamento Monopolio del Estado"/>
    <n v="202124100125532"/>
    <d v="2021-01-26T00:00:00"/>
    <x v="0"/>
    <n v="202124110139711"/>
    <d v="2021-01-27T00:00:00"/>
    <s v="ENE"/>
    <n v="-1"/>
    <s v="AUTORIZADO"/>
    <m/>
    <s v="No. 2618"/>
    <d v="2019-09-04T00:00:00"/>
    <s v="Hidromorfona HCl 2 mg/mL Solución Inyectable_cajas X 10 unidades c/u"/>
    <n v="120"/>
    <n v="12"/>
    <x v="1"/>
    <x v="2"/>
    <x v="0"/>
    <x v="0"/>
    <x v="49"/>
  </r>
  <r>
    <x v="41"/>
    <s v="JOHANNA ANDREA CHINCHILLA VARGAS"/>
    <s v="Regente de farmacia"/>
    <s v="EMCOSALUD"/>
    <s v="800006150-6"/>
    <s v="regente.emcosaludtolima@gmail.com"/>
    <s v="Calle 25 No. 4C-55"/>
    <x v="0"/>
    <s v="IBAGUE"/>
    <s v="Solicitud compra Directa Medicamento Monopolio del Estado"/>
    <n v="202124100125532"/>
    <d v="2021-01-26T00:00:00"/>
    <x v="0"/>
    <n v="202124110139711"/>
    <d v="2021-01-27T00:00:00"/>
    <s v="ENE"/>
    <n v="-1"/>
    <s v="AUTORIZADO"/>
    <m/>
    <s v="No. 2618"/>
    <d v="2019-09-04T00:00:00"/>
    <s v="Metadona HCl 10 mg Tableta_frascos X 20 unidades c/u"/>
    <n v="100"/>
    <n v="5"/>
    <x v="2"/>
    <x v="3"/>
    <x v="6"/>
    <x v="8"/>
    <x v="50"/>
  </r>
  <r>
    <x v="41"/>
    <s v="JOHANNA ANDREA CHINCHILLA VARGAS"/>
    <s v="Regente de farmacia"/>
    <s v="EMCOSALUD"/>
    <s v="800006150-6"/>
    <s v="regente.emcosaludtolima@gmail.com"/>
    <s v="Calle 25 No. 4C-56"/>
    <x v="0"/>
    <s v="IBAGUE"/>
    <s v="Solicitud compra Directa Medicamento Monopolio del Estado"/>
    <n v="202124100125532"/>
    <d v="2021-01-26T00:00:00"/>
    <x v="0"/>
    <n v="202124110139711"/>
    <d v="2021-01-27T00:00:00"/>
    <s v="ENE"/>
    <n v="-1"/>
    <s v="AUTORIZADO"/>
    <m/>
    <s v="No. 2618"/>
    <d v="2019-09-04T00:00:00"/>
    <s v="Morfina HCl 0,03 Solución Oral_frascos X 30 mL c/u"/>
    <n v="10"/>
    <n v="10"/>
    <x v="0"/>
    <x v="1"/>
    <x v="1"/>
    <x v="1"/>
    <x v="47"/>
  </r>
  <r>
    <x v="41"/>
    <s v="JOHANNA ANDREA CHINCHILLA VARGAS"/>
    <s v="Regente de farmacia"/>
    <s v="EMCOSALUD"/>
    <s v="800006150-6"/>
    <s v="regente.emcosaludtolima@gmail.com"/>
    <s v="Calle 25 No. 4C-57"/>
    <x v="0"/>
    <s v="IBAGUE"/>
    <s v="Solicitud compra Directa Medicamento Monopolio del Estado"/>
    <n v="202124100125532"/>
    <d v="2021-01-26T00:00:00"/>
    <x v="0"/>
    <n v="202124110139711"/>
    <d v="2021-01-27T00:00:00"/>
    <s v="ENE"/>
    <n v="-1"/>
    <s v="AUTORIZADO"/>
    <m/>
    <s v="No. 2618"/>
    <d v="2019-09-04T00:00:00"/>
    <s v="Primidona 250 mg Tableta_caja X 30 unidades c/u"/>
    <n v="600"/>
    <n v="20"/>
    <x v="7"/>
    <x v="10"/>
    <x v="4"/>
    <x v="2"/>
    <x v="7"/>
  </r>
  <r>
    <x v="42"/>
    <s v="DARLYNTON MIRANDA"/>
    <s v="Regente de farmacia"/>
    <s v="ETICOS SERRANO GOMEZ LTDA"/>
    <s v="892300678-2"/>
    <s v="farmacia10510@eticos.com"/>
    <s v="Calle 22 No. 2-07"/>
    <x v="4"/>
    <s v="SANTA MARTA"/>
    <s v="SOLICITUD COMPRA DIRECTA DE MEDICAMENTOS MONOPOLIO DEL ESTADO"/>
    <n v="202124100128742"/>
    <d v="2021-01-26T00:00:00"/>
    <x v="0"/>
    <n v="202124110139741"/>
    <d v="2021-01-27T00:00:00"/>
    <s v="ENE"/>
    <n v="-1"/>
    <s v="AUTORIZADO"/>
    <m/>
    <s v="No. 0616"/>
    <d v="2018-03-08T00:00:00"/>
    <s v="Metilfenidato HCl 10 mg Comprimido_cajas X 30 unidades c/u"/>
    <n v="300"/>
    <n v="10"/>
    <x v="4"/>
    <x v="3"/>
    <x v="3"/>
    <x v="2"/>
    <x v="23"/>
  </r>
  <r>
    <x v="42"/>
    <s v="DARLYNTON MIRANDA"/>
    <s v="Regente de farmacia"/>
    <s v="ETICOS SERRANO GOMEZ LTDA"/>
    <s v="892300678-2"/>
    <s v="farmacia10510@eticos.com"/>
    <s v="Calle 22 No. 2-08"/>
    <x v="4"/>
    <s v="SANTA MARTA"/>
    <s v="SOLICITUD COMPRA DIRECTA DE MEDICAMENTOS MONOPOLIO DEL ESTADO"/>
    <n v="202124100128742"/>
    <d v="2021-01-26T00:00:00"/>
    <x v="0"/>
    <n v="202124110139741"/>
    <d v="2021-01-27T00:00:00"/>
    <s v="ENE"/>
    <n v="-1"/>
    <s v="AUTORIZADO"/>
    <m/>
    <s v="No. 0616"/>
    <d v="2018-03-08T00:00:00"/>
    <s v="Morfina HCl 0,03 Solución Oral_frascos X 30 mL c/u"/>
    <n v="4"/>
    <n v="4"/>
    <x v="0"/>
    <x v="1"/>
    <x v="1"/>
    <x v="1"/>
    <x v="51"/>
  </r>
  <r>
    <x v="42"/>
    <s v="DARLYNTON MIRANDA"/>
    <s v="Regente de farmacia"/>
    <s v="ETICOS SERRANO GOMEZ LTDA"/>
    <s v="892300678-2"/>
    <s v="farmacia10510@eticos.com"/>
    <s v="Calle 22 No. 2-09"/>
    <x v="4"/>
    <s v="SANTA MARTA"/>
    <s v="SOLICITUD COMPRA DIRECTA DE MEDICAMENTOS MONOPOLIO DEL ESTADO"/>
    <n v="202124100128742"/>
    <d v="2021-01-26T00:00:00"/>
    <x v="0"/>
    <n v="202124110139741"/>
    <d v="2021-01-27T00:00:00"/>
    <s v="ENE"/>
    <n v="-1"/>
    <s v="AUTORIZADO"/>
    <m/>
    <s v="No. 0616"/>
    <d v="2018-03-08T00:00:00"/>
    <s v="Hidromorfona HCl 2,5 mg Tableta_cajas X 20 unidades c/u"/>
    <n v="180"/>
    <n v="9"/>
    <x v="1"/>
    <x v="9"/>
    <x v="4"/>
    <x v="4"/>
    <x v="52"/>
  </r>
  <r>
    <x v="43"/>
    <s v="SINDY OJEDA MUÑIZ"/>
    <s v="Director Técnico"/>
    <s v="CENTRO MÉDICO CRECER LTDA"/>
    <s v="806004548-6"/>
    <s v="sojeda@clinicacrecer.com"/>
    <s v="Avenida Pedro de Heredia, sector el prado No. 34-22"/>
    <x v="2"/>
    <s v="CARTAGENA"/>
    <s v="Autorizacion de venta MME"/>
    <n v="202124100121162"/>
    <d v="2021-01-25T00:00:00"/>
    <x v="0"/>
    <n v="202124110139751"/>
    <d v="2021-01-27T00:00:00"/>
    <s v="ENE"/>
    <n v="-2"/>
    <s v="AUTORIZADO"/>
    <m/>
    <s v="No. 613"/>
    <d v="2020-09-21T00:00:00"/>
    <s v="Morfina HCl 10 mg/mL Solución Inyectable ampolla por 1mL"/>
    <n v="100"/>
    <n v="10"/>
    <x v="0"/>
    <x v="0"/>
    <x v="0"/>
    <x v="0"/>
    <x v="10"/>
  </r>
  <r>
    <x v="43"/>
    <s v="SINDY OJEDA MUÑIZ"/>
    <s v="Director Técnico"/>
    <s v="CENTRO MÉDICO CRECER LTDA"/>
    <s v="806004548-6"/>
    <s v="sojeda@clinicacrecer.com"/>
    <s v="Avenida Pedro de Heredia, sector el prado No. 34-22"/>
    <x v="2"/>
    <s v="CARTAGENA"/>
    <s v="Autorizacion de venta MME"/>
    <n v="202124100121162"/>
    <d v="2021-01-25T00:00:00"/>
    <x v="0"/>
    <n v="202124110139751"/>
    <d v="2021-01-27T00:00:00"/>
    <s v="ENE"/>
    <n v="-2"/>
    <s v="AUTORIZADO"/>
    <m/>
    <s v="No. 613"/>
    <d v="2020-09-21T00:00:00"/>
    <s v="Fenobarbital Sódico 40 mg/mL Solución Inyectable_caja X 10 ampollas c/u"/>
    <n v="30"/>
    <n v="3"/>
    <x v="3"/>
    <x v="6"/>
    <x v="0"/>
    <x v="0"/>
    <x v="24"/>
  </r>
  <r>
    <x v="44"/>
    <s v="JORGE LUIS DAZA"/>
    <s v="Quimico Farmacéutico"/>
    <s v="E.S.E HOSPITAL DEPARTAMENTAL SAN ANTONIO "/>
    <s v="891180134-2"/>
    <s v="farmacia@hospitalpitalito.gov.co"/>
    <s v="Calle 3A Sur No. 1B- 45"/>
    <x v="7"/>
    <s v="PITALITO"/>
    <s v="Solicitud de compra directa"/>
    <n v="202124100140572"/>
    <d v="2021-01-27T00:00:00"/>
    <x v="0"/>
    <n v="202124110144611"/>
    <d v="2021-01-28T00:00:00"/>
    <s v="ENE"/>
    <n v="-1"/>
    <s v="AUTORIZADO"/>
    <m/>
    <s v="No. 1320"/>
    <d v="2019-06-18T00:00:00"/>
    <s v="Metadona HCl 10 mg Tableta_Cajas X 30 unidades c/u"/>
    <n v="200"/>
    <n v="6"/>
    <x v="2"/>
    <x v="3"/>
    <x v="2"/>
    <x v="2"/>
    <x v="53"/>
  </r>
  <r>
    <x v="45"/>
    <s v="HERMANA MABEL COVALEDA"/>
    <s v="Coordinadora de Farmacia"/>
    <s v="CLINICA MADRE BERNARDA COMUNIDAD DE LAS HERMANAS FRANCISCANAS MISIONERAS DE MARIA AUXILIADORA"/>
    <s v="860028947-1"/>
    <s v="compras@clinicamadrebernarda.com.co"/>
    <s v="Carrera 71 No. 31-395"/>
    <x v="2"/>
    <s v="CARTAGENA"/>
    <s v="Compra de Morfina"/>
    <n v="202124100133302"/>
    <d v="2021-01-27T00:00:00"/>
    <x v="0"/>
    <n v="202124110145251"/>
    <d v="2021-01-28T00:00:00"/>
    <s v="ENE"/>
    <n v="-1"/>
    <s v="AUTORIZADO"/>
    <m/>
    <s v="No. 474"/>
    <d v="2020-08-10T00:00:00"/>
    <s v="Fenobarbital Sódico 40 mg/mL Solución Inyectable_caja X 10 ampollas c/u"/>
    <n v="50"/>
    <n v="5"/>
    <x v="3"/>
    <x v="6"/>
    <x v="0"/>
    <x v="0"/>
    <x v="17"/>
  </r>
  <r>
    <x v="45"/>
    <s v="HERMANA MABEL COVALEDA"/>
    <s v="Coordinadora de Farmacia"/>
    <s v="CLINICA MADRE BERNARDA COMUNIDAD DE LAS HERMANAS FRANCISCANAS MISIONERAS DE MARIA AUXILIADORA"/>
    <s v="860028947-1"/>
    <s v="compras@clinicamadrebernarda.com.co"/>
    <s v="Carrera 71 No. 31-395"/>
    <x v="2"/>
    <s v="CARTAGENA"/>
    <s v="Compra de Morfina"/>
    <n v="202124100133302"/>
    <d v="2021-01-27T00:00:00"/>
    <x v="0"/>
    <n v="202124110145251"/>
    <d v="2021-01-28T00:00:00"/>
    <s v="ENE"/>
    <n v="-1"/>
    <s v="AUTORIZADO"/>
    <m/>
    <s v="No. 474"/>
    <d v="2020-08-10T00:00:00"/>
    <s v="Morfina HCl 10 mg/mL Solución Inyectable ampolla por 1mL"/>
    <n v="300"/>
    <n v="30"/>
    <x v="0"/>
    <x v="0"/>
    <x v="0"/>
    <x v="0"/>
    <x v="54"/>
  </r>
  <r>
    <x v="46"/>
    <s v="SARA MILENA RODIRGUEZ"/>
    <s v="Regente de farmacia"/>
    <s v="FUNDACIÓN CARDIOVASCULAR DE COLOMBIA"/>
    <s v="890212568-0"/>
    <s v="sararodriguez@fcv.org"/>
    <s v="Calle 155A No. 23-58"/>
    <x v="8"/>
    <s v="FLORIDABLANCA"/>
    <s v="Cotizacion"/>
    <n v="202124100136492"/>
    <d v="2021-01-27T00:00:00"/>
    <x v="0"/>
    <n v="202124110159001"/>
    <d v="2021-02-01T00:00:00"/>
    <s v="ENE"/>
    <n v="-5"/>
    <s v="AUTORIZADO"/>
    <m/>
    <s v="No. 16233"/>
    <d v="2018-10-08T00:00:00"/>
    <s v="Morfina HCl 10 mg/mL Solución Inyectable ampolla por 1mL"/>
    <n v="2000"/>
    <n v="200"/>
    <x v="0"/>
    <x v="0"/>
    <x v="0"/>
    <x v="0"/>
    <x v="55"/>
  </r>
  <r>
    <x v="47"/>
    <s v="MARTHA LUCIA DELGADO"/>
    <s v="Director Técnico"/>
    <s v="CLINICA ASOTRAUMA S.A.S"/>
    <s v="800209891-7"/>
    <s v="farmacia@asotrauma.com.co"/>
    <s v="Carrera 4D No. 32-34 B/Cádiz"/>
    <x v="0"/>
    <s v="IBAGUE"/>
    <s v="Solicitud de autorización compra de medicamentos de Control Especial"/>
    <n v="202124100137442"/>
    <d v="2021-01-27T00:00:00"/>
    <x v="0"/>
    <n v="202124110159031"/>
    <d v="2021-02-01T00:00:00"/>
    <s v="ENE"/>
    <n v="-5"/>
    <s v="AUTORIZADO"/>
    <m/>
    <s v="No. 2255"/>
    <d v="2018-07-11T00:00:00"/>
    <s v="Morfina HCl 10 mg/mL Solución Inyectable ampolla por 1mL"/>
    <n v="600"/>
    <n v="60"/>
    <x v="0"/>
    <x v="0"/>
    <x v="0"/>
    <x v="0"/>
    <x v="42"/>
  </r>
  <r>
    <x v="47"/>
    <s v="MARTHA LUCIA DELGADO"/>
    <s v="Director Técnico"/>
    <s v="CLINICA ASOTRAUMA S.A.S"/>
    <s v="800209891-7"/>
    <s v="farmacia@asotrauma.com.co"/>
    <s v="Carrera 4D No. 32-34 B/Cádiz"/>
    <x v="0"/>
    <s v="IBAGUE"/>
    <s v="Solicitud de autorización compra de medicamentos de Control Especial"/>
    <n v="202124100137442"/>
    <d v="2021-01-27T00:00:00"/>
    <x v="0"/>
    <n v="202124110159031"/>
    <d v="2021-02-01T00:00:00"/>
    <s v="ENE"/>
    <n v="-5"/>
    <s v="AUTORIZADO"/>
    <m/>
    <s v="No. 2255"/>
    <d v="2018-07-11T00:00:00"/>
    <s v="Meperidina HCl 100 mg/2mL Solución Inyectable_cajas X 10 unidades c/u"/>
    <n v="20"/>
    <n v="2"/>
    <x v="6"/>
    <x v="8"/>
    <x v="0"/>
    <x v="3"/>
    <x v="29"/>
  </r>
  <r>
    <x v="48"/>
    <s v="RAUL BELTRAN PORTELA"/>
    <s v="Quimico Farmacéutico"/>
    <s v="CLINICA PIEDECUESTA S.A"/>
    <s v="800090749-4"/>
    <s v="qfclinipiedecuesta@gmail.com"/>
    <s v="Carrea 11 No. 6-48"/>
    <x v="8"/>
    <s v="PIEDECUESTA"/>
    <s v="_x0009_SOLICITUD COTIZACIÓN MORFINA."/>
    <n v="202124100148272"/>
    <d v="2021-01-28T00:00:00"/>
    <x v="0"/>
    <n v="202124110159081"/>
    <d v="2021-02-01T00:00:00"/>
    <s v="ENE"/>
    <n v="-4"/>
    <s v="AUTORIZADO"/>
    <m/>
    <s v="No. 8328"/>
    <d v="2019-06-14T00:00:00"/>
    <s v="Morfina HCl 10 mg/mL Solución Inyectable ampolla por 1mL"/>
    <n v="1000"/>
    <n v="100"/>
    <x v="0"/>
    <x v="0"/>
    <x v="0"/>
    <x v="0"/>
    <x v="26"/>
  </r>
  <r>
    <x v="49"/>
    <s v="CINTHYA TATIANA SUAREZ SILVA"/>
    <s v="Jefe Servicio Farmacéutico"/>
    <s v="UNIDAD ONCOLOGICA SURCOLOMBIANA S.A.S"/>
    <s v="900335780-1"/>
    <s v="farmacia@unidadoncosurcolombiana.com"/>
    <s v="Calle 9 No. 13-24 "/>
    <x v="7"/>
    <s v="NEIVA"/>
    <s v="Solicitud de Cotización"/>
    <n v="202124100168962"/>
    <d v="2021-02-02T00:00:00"/>
    <x v="1"/>
    <n v="202124110166341"/>
    <d v="2021-02-02T00:00:00"/>
    <s v="FEB"/>
    <n v="0"/>
    <s v="AUTORIZADO"/>
    <m/>
    <s v="No. 715"/>
    <d v="2016-05-18T00:00:00"/>
    <s v="Morfina HCl 0,03 Solución Oral_frascos X 30 mL c/u"/>
    <n v="40"/>
    <n v="40"/>
    <x v="0"/>
    <x v="1"/>
    <x v="1"/>
    <x v="1"/>
    <x v="44"/>
  </r>
  <r>
    <x v="50"/>
    <s v="ELQUIN ALEXIS BEDOYA MONTES"/>
    <s v="Regente de farmacia"/>
    <s v="MEDLIFE S.A.S"/>
    <s v="804010795-6"/>
    <s v="dispensacionibaguemedlife@gmail.com"/>
    <s v="Carrera 4D No. 36-46/Cádiz"/>
    <x v="0"/>
    <s v="IBAGUE"/>
    <s v="COTIZACIÓN"/>
    <n v="202124100169492"/>
    <d v="2021-02-02T00:00:00"/>
    <x v="1"/>
    <n v="202124110166361"/>
    <d v="2021-02-02T00:00:00"/>
    <s v="FEB"/>
    <n v="0"/>
    <s v="AUTORIZADO"/>
    <m/>
    <s v="No. 2641"/>
    <d v="2020-12-21T00:00:00"/>
    <s v="Fenobarbital 100 mg Tableta_cajas X 30 unidades c/u"/>
    <n v="900"/>
    <n v="30"/>
    <x v="5"/>
    <x v="7"/>
    <x v="4"/>
    <x v="2"/>
    <x v="56"/>
  </r>
  <r>
    <x v="50"/>
    <s v="ELQUIN ALEXIS BEDOYA MONTES"/>
    <s v="Regente de farmacia"/>
    <s v="MEDLIFE S.A.S"/>
    <s v="804010795-6"/>
    <s v="dispensacionibaguemedlife@gmail.com"/>
    <s v="Carrera 4D No. 36-46/Cádiz"/>
    <x v="0"/>
    <s v="IBAGUE"/>
    <s v="COTIZACIÓN"/>
    <n v="202124100169492"/>
    <d v="2021-02-02T00:00:00"/>
    <x v="1"/>
    <n v="202124110166361"/>
    <d v="2021-02-02T00:00:00"/>
    <s v="FEB"/>
    <n v="0"/>
    <s v="AUTORIZADO"/>
    <m/>
    <s v="No. 2641"/>
    <d v="2020-12-21T00:00:00"/>
    <s v="Hidromorfona HCl 2 mg/mL Solución Inyectable_cajas X 10 unidades c/u"/>
    <n v="500"/>
    <n v="50"/>
    <x v="1"/>
    <x v="2"/>
    <x v="0"/>
    <x v="0"/>
    <x v="57"/>
  </r>
  <r>
    <x v="50"/>
    <s v="ELQUIN ALEXIS BEDOYA MONTES"/>
    <s v="Regente de farmacia"/>
    <s v="MEDLIFE S.A.S"/>
    <s v="804010795-6"/>
    <s v="dispensacionibaguemedlife@gmail.com"/>
    <s v="Carrera 4D No. 36-46/Cádiz"/>
    <x v="0"/>
    <s v="IBAGUE"/>
    <s v="COTIZACIÓN"/>
    <n v="202124100169492"/>
    <d v="2021-02-02T00:00:00"/>
    <x v="1"/>
    <n v="202124110166361"/>
    <d v="2021-02-02T00:00:00"/>
    <s v="FEB"/>
    <n v="0"/>
    <s v="AUTORIZADO"/>
    <m/>
    <s v="No. 2641"/>
    <d v="2020-12-21T00:00:00"/>
    <s v="Metilfenidato HCl 10 mg Comprimido_cajas X 30 unidades c/u"/>
    <n v="10800"/>
    <n v="360"/>
    <x v="4"/>
    <x v="3"/>
    <x v="3"/>
    <x v="2"/>
    <x v="58"/>
  </r>
  <r>
    <x v="50"/>
    <s v="ELQUIN ALEXIS BEDOYA MONTES"/>
    <s v="Regente de farmacia"/>
    <s v="MEDLIFE S.A.S"/>
    <s v="804010795-6"/>
    <s v="dispensacionibaguemedlife@gmail.com"/>
    <s v="Carrera 4D No. 36-46/Cádiz"/>
    <x v="0"/>
    <s v="IBAGUE"/>
    <s v="COTIZACIÓN"/>
    <n v="202124100169492"/>
    <d v="2021-02-02T00:00:00"/>
    <x v="1"/>
    <n v="202124110166361"/>
    <d v="2021-02-02T00:00:00"/>
    <s v="FEB"/>
    <n v="0"/>
    <s v="AUTORIZADO"/>
    <m/>
    <s v="No. 2641"/>
    <d v="2020-12-21T00:00:00"/>
    <s v="Morfina HCl 0,03 Solución Oral_frascos X 30 mL c/u"/>
    <n v="30"/>
    <n v="30"/>
    <x v="0"/>
    <x v="1"/>
    <x v="1"/>
    <x v="1"/>
    <x v="43"/>
  </r>
  <r>
    <x v="50"/>
    <s v="ELQUIN ALEXIS BEDOYA MONTES"/>
    <s v="Regente de farmacia"/>
    <s v="MEDLIFE S.A.S"/>
    <s v="804010795-6"/>
    <s v="dispensacionibaguemedlife@gmail.com"/>
    <s v="Carrera 4D No. 36-46/Cádiz"/>
    <x v="0"/>
    <s v="IBAGUE"/>
    <s v="COTIZACIÓN"/>
    <n v="202124100169492"/>
    <d v="2021-02-02T00:00:00"/>
    <x v="1"/>
    <n v="202124110166361"/>
    <d v="2021-02-02T00:00:00"/>
    <s v="FEB"/>
    <n v="0"/>
    <s v="AUTORIZADO"/>
    <m/>
    <s v="No. 2641"/>
    <d v="2020-12-21T00:00:00"/>
    <s v="Morfina HCl 10 mg/mL Solución Inyectable ampolla por 1mL"/>
    <n v="550"/>
    <n v="55"/>
    <x v="0"/>
    <x v="0"/>
    <x v="0"/>
    <x v="0"/>
    <x v="59"/>
  </r>
  <r>
    <x v="51"/>
    <s v="JACKELINE PARRADO MURCIA"/>
    <s v="Regente de farmacia"/>
    <s v="COORPORACION MI IPS LLANOS ORIENTALES"/>
    <s v="822006818-7"/>
    <s v="farmaciaipslospinos@miips.com.co"/>
    <s v="Carrera 40 No. 32-06"/>
    <x v="6"/>
    <s v="VILLAVICENCIO"/>
    <s v="COTIZACIÓN MONOPOLIO DEL ESTADO IPS LOS PINOS"/>
    <n v="202124100171982"/>
    <d v="2021-02-02T00:00:00"/>
    <x v="1"/>
    <n v="202124110166391"/>
    <d v="2021-02-02T00:00:00"/>
    <s v="FEB"/>
    <n v="0"/>
    <s v="AUTORIZADO"/>
    <m/>
    <s v="No. 0130"/>
    <d v="2016-03-10T00:00:00"/>
    <s v="Fenobarbital 100 mg Tableta_cajas X 30 unidades c/u"/>
    <n v="12000"/>
    <n v="400"/>
    <x v="5"/>
    <x v="7"/>
    <x v="4"/>
    <x v="2"/>
    <x v="60"/>
  </r>
  <r>
    <x v="51"/>
    <s v="JACKELINE PARRADO MURCIA"/>
    <s v="Regente de farmacia"/>
    <s v="COORPORACION MI IPS LLANOS ORIENTALES"/>
    <s v="822006818-7"/>
    <s v="farmaciaipslospinos@miips.com.co"/>
    <s v="Carrera 40 No. 32-06"/>
    <x v="6"/>
    <s v="VILLAVICENCIO"/>
    <s v="COTIZACIÓN MONOPOLIO DEL ESTADO IPS LOS PINOS"/>
    <n v="202124100171982"/>
    <d v="2021-02-02T00:00:00"/>
    <x v="1"/>
    <n v="202124110166391"/>
    <d v="2021-02-02T00:00:00"/>
    <s v="FEB"/>
    <n v="0"/>
    <s v="AUTORIZADO"/>
    <m/>
    <s v="No. 0130"/>
    <d v="2016-03-10T00:00:00"/>
    <s v="Morfina HCl 10 mg/mL Solución Inyectable ampolla por 1mL"/>
    <n v="1440"/>
    <n v="144"/>
    <x v="0"/>
    <x v="0"/>
    <x v="0"/>
    <x v="0"/>
    <x v="61"/>
  </r>
  <r>
    <x v="51"/>
    <s v="JACKELINE PARRADO MURCIA"/>
    <s v="Regente de farmacia"/>
    <s v="COORPORACION MI IPS LLANOS ORIENTALES"/>
    <s v="822006818-7"/>
    <s v="farmaciaipslospinos@miips.com.co"/>
    <s v="Carrera 40 No. 32-06"/>
    <x v="6"/>
    <s v="VILLAVICENCIO"/>
    <s v="COTIZACIÓN MONOPOLIO DEL ESTADO IPS LOS PINOS"/>
    <n v="202124100171982"/>
    <d v="2021-02-02T00:00:00"/>
    <x v="1"/>
    <n v="202124110166391"/>
    <d v="2021-02-02T00:00:00"/>
    <s v="FEB"/>
    <n v="0"/>
    <s v="AUTORIZADO"/>
    <m/>
    <s v="No. 0130"/>
    <d v="2016-03-10T00:00:00"/>
    <s v="Morfina HCl 0,03 Solución Oral_frascos X 30 mL c/u"/>
    <n v="200"/>
    <n v="200"/>
    <x v="0"/>
    <x v="1"/>
    <x v="1"/>
    <x v="1"/>
    <x v="62"/>
  </r>
  <r>
    <x v="51"/>
    <s v="JACKELINE PARRADO MURCIA"/>
    <s v="Regente de farmacia"/>
    <s v="COORPORACION MI IPS LLANOS ORIENTALES"/>
    <s v="822006818-7"/>
    <s v="farmaciaipslospinos@miips.com.co"/>
    <s v="Carrera 40 No. 32-06"/>
    <x v="6"/>
    <s v="VILLAVICENCIO"/>
    <s v="COTIZACIÓN MONOPOLIO DEL ESTADO IPS LOS PINOS"/>
    <n v="202124100171982"/>
    <d v="2021-02-02T00:00:00"/>
    <x v="1"/>
    <n v="202124110166391"/>
    <d v="2021-02-02T00:00:00"/>
    <s v="FEB"/>
    <n v="0"/>
    <s v="AUTORIZADO"/>
    <m/>
    <s v="No. 0130"/>
    <d v="2016-03-10T00:00:00"/>
    <s v="Metilfenidato HCl 10 mg Comprimido_cajas X 30 unidades c/u"/>
    <n v="300"/>
    <n v="10"/>
    <x v="4"/>
    <x v="3"/>
    <x v="3"/>
    <x v="2"/>
    <x v="23"/>
  </r>
  <r>
    <x v="52"/>
    <s v="GLORIA AMPARO HENAO VALENCIA"/>
    <s v="Regente de farmacia"/>
    <s v="HOSPITAL SAN VICENTE DE PAUL E.S.E"/>
    <s v="890700901-4"/>
    <s v="hsvpfarmacia74@gmail.com"/>
    <s v="Carrera 9 No. 2-42"/>
    <x v="0"/>
    <s v="FRESNO"/>
    <s v="COTIZACION MEDICAMENTOS DE CONTROL ESPECIAL HOSPITAL SAN VICENTE DE PAUL FRESNO TOLIMA"/>
    <n v="202124100170452"/>
    <d v="2021-02-02T00:00:00"/>
    <x v="1"/>
    <n v="202124110175551"/>
    <d v="2021-02-04T00:00:00"/>
    <s v="FEB"/>
    <n v="-2"/>
    <s v="AUTORIZADO"/>
    <m/>
    <s v="No. 22431"/>
    <d v="2017-08-23T00:00:00"/>
    <s v="Fenobarbital 100 mg Tableta_cajas X 30 unidades c/u"/>
    <n v="3000"/>
    <n v="100"/>
    <x v="5"/>
    <x v="7"/>
    <x v="4"/>
    <x v="2"/>
    <x v="32"/>
  </r>
  <r>
    <x v="52"/>
    <s v="GLORIA AMPARO HENAO VALENCIA"/>
    <s v="Regente de farmacia"/>
    <s v="HOSPITAL SAN VICENTE DE PAUL E.S.E"/>
    <s v="890700901-4"/>
    <s v="hsvpfarmacia74@gmail.com"/>
    <s v="Carrera 9 No. 2-42"/>
    <x v="0"/>
    <s v="FRESNO"/>
    <s v="COTIZACION MEDICAMENTOS DE CONTROL ESPECIAL HOSPITAL SAN VICENTE DE PAUL FRESNO TOLIMA"/>
    <n v="202124100170452"/>
    <d v="2021-02-02T00:00:00"/>
    <x v="1"/>
    <n v="202124110175551"/>
    <d v="2021-02-04T00:00:00"/>
    <s v="FEB"/>
    <n v="-2"/>
    <s v="AUTORIZADO"/>
    <m/>
    <s v="No. 22431"/>
    <d v="2017-08-23T00:00:00"/>
    <s v="Morfina HCl 10 mg/mL Solución Inyectable ampolla por 1mL"/>
    <n v="50"/>
    <n v="5"/>
    <x v="0"/>
    <x v="0"/>
    <x v="0"/>
    <x v="0"/>
    <x v="17"/>
  </r>
  <r>
    <x v="52"/>
    <s v="GLORIA AMPARO HENAO VALENCIA"/>
    <s v="Regente de farmacia"/>
    <s v="HOSPITAL SAN VICENTE DE PAUL E.S.E"/>
    <s v="890700901-4"/>
    <s v="hsvpfarmacia74@gmail.com"/>
    <s v="Carrera 9 No. 2-42"/>
    <x v="0"/>
    <s v="FRESNO"/>
    <s v="COTIZACION MEDICAMENTOS DE CONTROL ESPECIAL HOSPITAL SAN VICENTE DE PAUL FRESNO TOLIMA"/>
    <n v="202124100170452"/>
    <d v="2021-02-02T00:00:00"/>
    <x v="1"/>
    <n v="202124110175551"/>
    <d v="2021-02-04T00:00:00"/>
    <s v="FEB"/>
    <n v="-2"/>
    <s v="AUTORIZADO"/>
    <m/>
    <s v="No. 22431"/>
    <d v="2017-08-23T00:00:00"/>
    <s v="Morfina HCl 0,03 Solución Oral_frascos X 30 mL c/u"/>
    <n v="40"/>
    <n v="40"/>
    <x v="0"/>
    <x v="1"/>
    <x v="1"/>
    <x v="1"/>
    <x v="44"/>
  </r>
  <r>
    <x v="53"/>
    <s v="JORGE RICARDO LEON FRANCO"/>
    <s v="Director"/>
    <s v="FUNDACIÓN OFTALMOLOGICADE SANTANDER-CLINICA CARLOS ARDILA LULLE"/>
    <s v="890205361-4"/>
    <m/>
    <s v="SANTANDER"/>
    <x v="8"/>
    <s v="FLORIDABLANCA"/>
    <s v="COTIZACION FOSCAL"/>
    <n v="202124100171872"/>
    <d v="2021-02-02T00:00:00"/>
    <x v="1"/>
    <n v="202124110175621"/>
    <d v="2021-02-04T00:00:00"/>
    <s v="FEB"/>
    <n v="-2"/>
    <s v="AUTORIZADO"/>
    <m/>
    <s v="No. 18094"/>
    <d v="2017-11-22T00:00:00"/>
    <s v="Hidromorfona HCl 2 mg/mL Solución Inyectable_cajas X 10 unidades c/u"/>
    <n v="1000"/>
    <n v="100"/>
    <x v="1"/>
    <x v="2"/>
    <x v="0"/>
    <x v="0"/>
    <x v="26"/>
  </r>
  <r>
    <x v="54"/>
    <s v="JUAN PABLO OSORIO NIÑO"/>
    <s v="Director Técnico"/>
    <s v="CLINICA INTERNACIONAL DE ALTA TECNOLOGIA CLINALTEC S.A.S"/>
    <s v="900718172-6"/>
    <s v="directorfarmaceuticoclinaltec@gmail.com"/>
    <s v="Km 6 Picaleña vía Ibagué-Espinal"/>
    <x v="0"/>
    <s v="IBAGUE"/>
    <s v="_x000a_Asunto _x0009_Tramite de Autorización compra MCE - Clinaltec SAS"/>
    <n v="202124100175812"/>
    <d v="2021-02-02T00:00:00"/>
    <x v="1"/>
    <n v="202124110184981"/>
    <d v="2021-02-05T00:00:00"/>
    <s v="FEB"/>
    <n v="-3"/>
    <s v="AUTORIZADO"/>
    <m/>
    <s v="No. 2617"/>
    <d v="2019-09-04T00:00:00"/>
    <s v="Morfina HCl 10 mg/mL Solución Inyectable ampolla por 1mL"/>
    <n v="1000"/>
    <n v="100"/>
    <x v="0"/>
    <x v="0"/>
    <x v="0"/>
    <x v="0"/>
    <x v="26"/>
  </r>
  <r>
    <x v="54"/>
    <s v="JUAN PABLO OSORIO NIÑO"/>
    <s v="Director Técnico"/>
    <s v="CLINICA INTERNACIONAL DE ALTA TECNOLOGIA CLINALTEC S.A.S"/>
    <s v="900718172-6"/>
    <s v="directorfarmaceuticoclinaltec@gmail.com"/>
    <s v="Km 6 Picaleña vía Ibagué-Espinal"/>
    <x v="0"/>
    <s v="IBAGUE"/>
    <s v="_x000a_Asunto _x0009_Tramite de Autorización compra MCE - Clinaltec SAS"/>
    <n v="202124100175812"/>
    <d v="2021-02-02T00:00:00"/>
    <x v="1"/>
    <n v="202124110184981"/>
    <d v="2021-02-05T00:00:00"/>
    <s v="FEB"/>
    <n v="-3"/>
    <s v="AUTORIZADO"/>
    <m/>
    <s v="No. 2617"/>
    <d v="2019-09-04T00:00:00"/>
    <s v="Hidromorfona HCl 2 mg/mL Solución Inyectable_cajas X 10 unidades c/u"/>
    <n v="2000"/>
    <n v="200"/>
    <x v="1"/>
    <x v="2"/>
    <x v="0"/>
    <x v="0"/>
    <x v="55"/>
  </r>
  <r>
    <x v="55"/>
    <s v="EINAR ALBERTO CAICEDO"/>
    <s v="Director Técnico"/>
    <s v="CLINICA ZAYMA S.A.S"/>
    <s v="800074112-6"/>
    <s v="quimico.sfi@clinicazayma.org"/>
    <s v="Calle 28 No. 7 -11"/>
    <x v="1"/>
    <s v="MONTERIA"/>
    <s v="Solicitud y venta de MCE monopolio del estado"/>
    <n v="202124100179222"/>
    <d v="2021-02-03T00:00:00"/>
    <x v="1"/>
    <n v="202124110205641"/>
    <d v="2021-02-09T00:00:00"/>
    <s v="FEB"/>
    <n v="-6"/>
    <s v="AUTORIZADO"/>
    <m/>
    <s v="No.071"/>
    <d v="2018-06-05T00:00:00"/>
    <s v="Morfina HCl 10 mg/mL Solución Inyectable ampolla por 1mL"/>
    <n v="400"/>
    <n v="40"/>
    <x v="0"/>
    <x v="0"/>
    <x v="0"/>
    <x v="0"/>
    <x v="63"/>
  </r>
  <r>
    <x v="55"/>
    <s v="EINAR ALBERTO CAICEDO"/>
    <s v="Director Técnico"/>
    <s v="CLINICA ZAYMA S.A.S"/>
    <s v="800074112-6"/>
    <s v="quimico.sfi@clinicazayma.org"/>
    <s v="Calle 28 No. 7 -11"/>
    <x v="1"/>
    <s v="MONTERIA"/>
    <s v="Solicitud y venta de MCE monopolio del estado"/>
    <n v="202124100179222"/>
    <d v="2021-02-03T00:00:00"/>
    <x v="1"/>
    <n v="202124110205641"/>
    <d v="2021-02-09T00:00:00"/>
    <s v="FEB"/>
    <n v="-6"/>
    <s v="AUTORIZADO"/>
    <m/>
    <s v="No.071"/>
    <d v="2018-06-05T00:00:00"/>
    <s v="Meperidina HCl 100 mg/2mL Solución Inyectable_cajas X 10 unidades c/u"/>
    <n v="150"/>
    <n v="15"/>
    <x v="6"/>
    <x v="8"/>
    <x v="0"/>
    <x v="3"/>
    <x v="20"/>
  </r>
  <r>
    <x v="56"/>
    <s v="DUVAN ALEXANDER ESCARRAGA"/>
    <s v="Depto de Compras"/>
    <s v="DISTRIBUIDORA MEDICO QUIRURGICA DE COLOMBIA"/>
    <s v="1.110.454.068"/>
    <s v="compras@dmqcolombia.com"/>
    <s v="Avenida Ferrocarril No. 32 - 56 "/>
    <x v="0"/>
    <s v="IBAGUE"/>
    <s v="Solicitud de compra directa"/>
    <n v="202124100179602"/>
    <d v="2021-02-03T00:00:00"/>
    <x v="1"/>
    <n v="202124110205681"/>
    <d v="2021-02-09T00:00:00"/>
    <s v="FEB"/>
    <n v="-6"/>
    <s v="AUTORIZADO"/>
    <m/>
    <s v="No. 089"/>
    <d v="2020-02-20T00:00:00"/>
    <s v="Meperidina HCl 100 mg/2mL Solución Inyectable_cajas X 10 unidades c/u"/>
    <n v="500"/>
    <n v="50"/>
    <x v="6"/>
    <x v="8"/>
    <x v="0"/>
    <x v="3"/>
    <x v="4"/>
  </r>
  <r>
    <x v="57"/>
    <s v="INES BRITO SANCHEZ"/>
    <s v="Quimico Farmacéutico"/>
    <s v="PERFECT BODY MEDICAL CENTER LTDA"/>
    <s v="900223667-4"/>
    <s v="farmacia@perfectbody.com.co"/>
    <s v="Carrera 20 No. 15-110"/>
    <x v="4"/>
    <s v="SANTA MARTA"/>
    <s v="SOLICITUD COTIZACION DE MEDICAMENTOS DE CONTROL ESPECIAL PERFECT BODY MEDICAL CENTER LTDA"/>
    <n v="202124100186302"/>
    <d v="2021-02-04T00:00:00"/>
    <x v="1"/>
    <n v="202124110205981"/>
    <d v="2021-02-09T00:00:00"/>
    <s v="FEB"/>
    <n v="-5"/>
    <s v="AUTORIZADO"/>
    <m/>
    <s v="No. 1620"/>
    <d v="2019-06-04T00:00:00"/>
    <s v="Morfina HCl 10 mg/mL Solución Inyectable ampolla por 1mL"/>
    <n v="100"/>
    <n v="10"/>
    <x v="0"/>
    <x v="0"/>
    <x v="0"/>
    <x v="0"/>
    <x v="10"/>
  </r>
  <r>
    <x v="57"/>
    <s v="INES BRITO SANCHEZ"/>
    <s v="Quimico Farmacéutico"/>
    <s v="PERFECT BODY MEDICAL CENTER LTDA"/>
    <s v="900223667-4"/>
    <s v="farmacia@perfectbody.com.co"/>
    <s v="Carrera 20 No. 15-110"/>
    <x v="4"/>
    <s v="SANTA MARTA"/>
    <s v="SOLICITUD COTIZACION DE MEDICAMENTOS DE CONTROL ESPECIAL PERFECT BODY MEDICAL CENTER LTDA"/>
    <n v="202124100186302"/>
    <d v="2021-02-04T00:00:00"/>
    <x v="1"/>
    <n v="202124110205981"/>
    <d v="2021-02-09T00:00:00"/>
    <s v="FEB"/>
    <n v="-5"/>
    <s v="AUTORIZADO"/>
    <m/>
    <s v="No. 1620"/>
    <d v="2019-06-04T00:00:00"/>
    <s v="Meperidina HCl 100 mg/2mL Solución Inyectable_cajas X 10 unidades c/u"/>
    <n v="100"/>
    <n v="10"/>
    <x v="6"/>
    <x v="8"/>
    <x v="0"/>
    <x v="3"/>
    <x v="27"/>
  </r>
  <r>
    <x v="58"/>
    <s v="ZORAIDA CUBILLOS MORENO"/>
    <s v="Representante Legal"/>
    <s v="NUEVA CLINICA EL BARZAL S.A.S"/>
    <s v="900470909-1"/>
    <s v="farmacia@ncbsas.com"/>
    <s v="Carrera 37 No. 35-17"/>
    <x v="6"/>
    <s v="VILLAVICENCIO"/>
    <s v="SOLICITUD DE COMPRA MEDICAMENTOS MONOPOLIO DEL ESTADO"/>
    <n v="202124100189372"/>
    <d v="2021-02-04T00:00:00"/>
    <x v="1"/>
    <n v="202124110205991"/>
    <d v="2021-02-09T00:00:00"/>
    <s v="FEB"/>
    <n v="-5"/>
    <s v="AUTORIZADO"/>
    <m/>
    <s v="No. 277"/>
    <d v="2020-08-27T00:00:00"/>
    <s v="Meperidina HCl 100 mg/2mL Solución Inyectable_cajas X 10 unidades c/u"/>
    <n v="400"/>
    <n v="40"/>
    <x v="6"/>
    <x v="8"/>
    <x v="0"/>
    <x v="3"/>
    <x v="64"/>
  </r>
  <r>
    <x v="58"/>
    <s v="ZORAIDA CUBILLOS MORENO"/>
    <s v="Representante Legal"/>
    <s v="NUEVA CLINICA EL BARZAL S.A.S"/>
    <s v="900470909-1"/>
    <s v="farmacia@ncbsas.com"/>
    <s v="Carrera 37 No. 35-17"/>
    <x v="6"/>
    <s v="VILLAVICENCIO"/>
    <s v="SOLICITUD DE COMPRA MEDICAMENTOS MONOPOLIO DEL ESTADO"/>
    <n v="202124100189372"/>
    <d v="2021-02-04T00:00:00"/>
    <x v="1"/>
    <n v="202124110205991"/>
    <d v="2021-02-09T00:00:00"/>
    <s v="FEB"/>
    <n v="-5"/>
    <s v="AUTORIZADO"/>
    <m/>
    <s v="No. 277"/>
    <d v="2020-08-27T00:00:00"/>
    <s v="Morfina HCl 10 mg/mL Solución Inyectable ampolla por 1mL"/>
    <n v="800"/>
    <n v="80"/>
    <x v="0"/>
    <x v="0"/>
    <x v="0"/>
    <x v="0"/>
    <x v="65"/>
  </r>
  <r>
    <x v="59"/>
    <s v="YESENIA PUELLO PACHECO"/>
    <s v="Coordinadora de Compras"/>
    <s v="MEDIHELP SERVICES COLOMBIA"/>
    <s v="830066626-5"/>
    <s v="compras@clinicamedihelp.com"/>
    <s v="Carrera 6 No. 5-101"/>
    <x v="2"/>
    <s v="CARTAGENA"/>
    <s v="Solicitud compra de medicamentos de control"/>
    <n v="202124100190902"/>
    <d v="2021-02-04T00:00:00"/>
    <x v="1"/>
    <n v="202124110206011"/>
    <d v="2021-02-09T00:00:00"/>
    <s v="FEB"/>
    <n v="-5"/>
    <s v="AUTORIZADO"/>
    <m/>
    <s v="No. 1677"/>
    <d v="2016-12-06T00:00:00"/>
    <s v="Morfina HCl 10 mg/mL Solución Inyectable ampolla por 1mL"/>
    <n v="150"/>
    <n v="15"/>
    <x v="0"/>
    <x v="0"/>
    <x v="0"/>
    <x v="0"/>
    <x v="19"/>
  </r>
  <r>
    <x v="59"/>
    <s v="YESENIA PUELLO PACHECO"/>
    <s v="Coordinadora de Compras"/>
    <s v="MEDIHELP SERVICES COLOMBIA"/>
    <s v="830066626-5"/>
    <s v="compras@clinicamedihelp.com"/>
    <s v="Carrera 6 No. 5-101"/>
    <x v="2"/>
    <s v="CARTAGENA"/>
    <s v="Solicitud compra de medicamentos de control"/>
    <n v="202124100190902"/>
    <d v="2021-02-04T00:00:00"/>
    <x v="1"/>
    <n v="202124110206011"/>
    <d v="2021-02-09T00:00:00"/>
    <s v="FEB"/>
    <n v="-5"/>
    <s v="AUTORIZADO"/>
    <m/>
    <s v="No. 1677"/>
    <d v="2016-12-06T00:00:00"/>
    <s v="Hidromorfona HCl 2 mg/mL Solución Inyectable_cajas X 10 unidades c/u"/>
    <n v="50"/>
    <n v="5"/>
    <x v="1"/>
    <x v="2"/>
    <x v="0"/>
    <x v="0"/>
    <x v="17"/>
  </r>
  <r>
    <x v="60"/>
    <s v="OMAR MOLINA MENDEZ"/>
    <s v="Representante Legal"/>
    <s v="CLINICA MATERNO INFANTIL CASA DEL NIÑO S.A.S"/>
    <s v="812004935-5"/>
    <s v="coordinadordefarmacia@clinicacasadelnino.com"/>
    <s v="Calle 39 No. 06-15"/>
    <x v="1"/>
    <s v="MONTERIA"/>
    <s v="SOLICITUD DE COTIZACIÓN PARA COMPRA DE MEDICAMENTOS MONOPOLIO DEL ESTADO"/>
    <n v="202124100191212"/>
    <d v="2021-02-04T00:00:00"/>
    <x v="1"/>
    <n v="202124110206031"/>
    <d v="2021-02-09T00:00:00"/>
    <s v="FEB"/>
    <n v="-5"/>
    <s v="AUTORIZADO"/>
    <m/>
    <s v="No. 082"/>
    <d v="2018-06-12T00:00:00"/>
    <s v="Morfina HCl 10 mg/mL Solución Inyectable ampolla por 1mL"/>
    <n v="1000"/>
    <n v="100"/>
    <x v="0"/>
    <x v="0"/>
    <x v="0"/>
    <x v="0"/>
    <x v="26"/>
  </r>
  <r>
    <x v="61"/>
    <s v="LIRA MARGARITA TATIS CARABALLO"/>
    <s v="Quimico Farmacéutico"/>
    <s v="FUNDACION CENTRO COLOMBIANO DE EPILEPSIA Y ENFERMEDADES NEUROLOGICAS-JAIMA FANDILO FRANKY (FIRE)"/>
    <s v="900269029-3"/>
    <s v="_x0009_JEFEMOF@firecolombia.co"/>
    <s v="Calle 1 El Eden Barrio Ternera"/>
    <x v="2"/>
    <s v="CARTAGENA"/>
    <s v="SOLICITUD AUTORIZACIÓN COMPRA DIRECTA FEBRERO 4 DEL 2021"/>
    <n v="202124100192342"/>
    <d v="2021-02-04T00:00:00"/>
    <x v="1"/>
    <n v="202124110206101"/>
    <d v="2021-02-09T00:00:00"/>
    <s v="FEB"/>
    <n v="-5"/>
    <s v="AUTORIZADO"/>
    <m/>
    <s v="No. 962"/>
    <d v="2017-07-19T00:00:00"/>
    <s v="Primidona 250 mg Tableta_caja X 30 unidades c/u"/>
    <n v="360"/>
    <n v="12"/>
    <x v="7"/>
    <x v="10"/>
    <x v="4"/>
    <x v="2"/>
    <x v="66"/>
  </r>
  <r>
    <x v="62"/>
    <s v="SANTIAGO ZULUAGA CASTAÑO"/>
    <s v="Quimico Farmacéutico"/>
    <s v="CLINICA TOLIMA S.A."/>
    <s v="890703630-7"/>
    <s v="quimicofarmaceutico@clinicatolima.com"/>
    <s v="Carrera 1 No. 12-22"/>
    <x v="0"/>
    <s v="IBAGUE"/>
    <s v="AUTORIZACIÓN COMPRA MEDICAMENTOS MONOPOLIO DE ESTADO"/>
    <n v="202124100192662"/>
    <d v="2021-02-04T00:00:00"/>
    <x v="1"/>
    <n v="202124110206141"/>
    <d v="2021-02-09T00:00:00"/>
    <s v="FEB"/>
    <n v="-5"/>
    <s v="AUTORIZADO"/>
    <m/>
    <s v="No. 1992"/>
    <d v="2018-06-22T00:00:00"/>
    <s v="Fenobarbital 100 mg Tableta_cajas X 30 unidades c/u"/>
    <n v="30"/>
    <n v="1"/>
    <x v="5"/>
    <x v="7"/>
    <x v="4"/>
    <x v="2"/>
    <x v="8"/>
  </r>
  <r>
    <x v="62"/>
    <s v="SANTIAGO ZULUAGA CASTAÑO"/>
    <s v="Quimico Farmacéutico"/>
    <s v="CLINICA TOLIMA S.A."/>
    <s v="890703630-7"/>
    <s v="quimicofarmaceutico@clinicatolima.com"/>
    <s v="Carrera 1 No. 12-22"/>
    <x v="0"/>
    <s v="IBAGUE"/>
    <s v="AUTORIZACIÓN COMPRA MEDICAMENTOS MONOPOLIO DE ESTADO"/>
    <n v="202124100192662"/>
    <d v="2021-02-04T00:00:00"/>
    <x v="1"/>
    <n v="202124110206141"/>
    <d v="2021-02-09T00:00:00"/>
    <s v="FEB"/>
    <n v="-5"/>
    <s v="AUTORIZADO"/>
    <m/>
    <s v="No. 1992"/>
    <d v="2018-06-22T00:00:00"/>
    <s v="Fenobarbital Sódico 40 mg/mL Solución Inyectable_caja X 10 ampollas c/u"/>
    <n v="30"/>
    <n v="3"/>
    <x v="3"/>
    <x v="6"/>
    <x v="0"/>
    <x v="0"/>
    <x v="24"/>
  </r>
  <r>
    <x v="62"/>
    <s v="SANTIAGO ZULUAGA CASTAÑO"/>
    <s v="Quimico Farmacéutico"/>
    <s v="CLINICA TOLIMA S.A."/>
    <s v="890703630-7"/>
    <s v="quimicofarmaceutico@clinicatolima.com"/>
    <s v="Carrera 1 No. 12-22"/>
    <x v="0"/>
    <s v="IBAGUE"/>
    <s v="AUTORIZACIÓN COMPRA MEDICAMENTOS MONOPOLIO DE ESTADO"/>
    <n v="202124100192662"/>
    <d v="2021-02-04T00:00:00"/>
    <x v="1"/>
    <n v="202124110206141"/>
    <d v="2021-02-09T00:00:00"/>
    <s v="FEB"/>
    <n v="-5"/>
    <s v="AUTORIZADO"/>
    <m/>
    <s v="No. 1992"/>
    <d v="2018-06-22T00:00:00"/>
    <s v="Hidromorfona HCl 2 mg/mL Solución Inyectable_cajas X 10 unidades c/u"/>
    <n v="700"/>
    <n v="70"/>
    <x v="1"/>
    <x v="2"/>
    <x v="0"/>
    <x v="0"/>
    <x v="14"/>
  </r>
  <r>
    <x v="62"/>
    <s v="SANTIAGO ZULUAGA CASTAÑO"/>
    <s v="Quimico Farmacéutico"/>
    <s v="CLINICA TOLIMA S.A."/>
    <s v="890703630-7"/>
    <s v="quimicofarmaceutico@clinicatolima.com"/>
    <s v="Carrera 1 No. 12-22"/>
    <x v="0"/>
    <s v="IBAGUE"/>
    <s v="AUTORIZACIÓN COMPRA MEDICAMENTOS MONOPOLIO DE ESTADO"/>
    <n v="202124100192662"/>
    <d v="2021-02-04T00:00:00"/>
    <x v="1"/>
    <n v="202124110206141"/>
    <d v="2021-02-09T00:00:00"/>
    <s v="FEB"/>
    <n v="-5"/>
    <s v="AUTORIZADO"/>
    <m/>
    <s v="No. 1992"/>
    <d v="2018-06-22T00:00:00"/>
    <s v="Meperidina HCl 100 mg/2mL Solución Inyectable_cajas X 10 unidades c/u"/>
    <n v="60"/>
    <n v="6"/>
    <x v="6"/>
    <x v="8"/>
    <x v="0"/>
    <x v="3"/>
    <x v="67"/>
  </r>
  <r>
    <x v="62"/>
    <s v="SANTIAGO ZULUAGA CASTAÑO"/>
    <s v="Quimico Farmacéutico"/>
    <s v="CLINICA TOLIMA S.A."/>
    <s v="890703630-7"/>
    <s v="quimicofarmaceutico@clinicatolima.com"/>
    <s v="Carrera 1 No. 12-22"/>
    <x v="0"/>
    <s v="IBAGUE"/>
    <s v="AUTORIZACIÓN COMPRA MEDICAMENTOS MONOPOLIO DE ESTADO"/>
    <n v="202124100192662"/>
    <d v="2021-02-04T00:00:00"/>
    <x v="1"/>
    <n v="202124110206141"/>
    <d v="2021-02-09T00:00:00"/>
    <s v="FEB"/>
    <n v="-5"/>
    <s v="AUTORIZADO"/>
    <m/>
    <s v="No. 1992"/>
    <d v="2018-06-22T00:00:00"/>
    <s v="Morfina HCl 10 mg/mL Solución Inyectable ampolla por 1mL"/>
    <n v="2000"/>
    <n v="200"/>
    <x v="0"/>
    <x v="0"/>
    <x v="0"/>
    <x v="0"/>
    <x v="55"/>
  </r>
  <r>
    <x v="63"/>
    <s v="JOSÉ LUCAS RODRIGUEZ MORA"/>
    <s v="Director Técnico"/>
    <s v="SUMINISTROS Y DOTACIONES COLOMBIA S.A - S Y D COLOMBIA S.A"/>
    <s v="802000608-7"/>
    <s v="quimicobta@syd.com.co"/>
    <s v="Av. Calle 24 No. 95-12 Bodega 26 Parque Ind. Portos"/>
    <x v="9"/>
    <s v="BOGOTA, D.C."/>
    <s v="COMPRA MEDICAMENTOS MONOPOLIO DEL ESTADO"/>
    <n v="202124100198252"/>
    <d v="2021-02-05T00:00:00"/>
    <x v="1"/>
    <n v="202124110238651"/>
    <d v="2021-02-12T00:00:00"/>
    <s v="FEB"/>
    <n v="-7"/>
    <s v="NEGADO"/>
    <s v="El solicitante no presenta Resolución de inscripcion en el Departamento"/>
    <s v="NO DISPONIBLE"/>
    <s v="NO DISPONIBLE"/>
    <s v="Fenobarbital 100 mg Tableta_cajas X 30 unidades c/u"/>
    <n v="0"/>
    <n v="0"/>
    <x v="5"/>
    <x v="7"/>
    <x v="4"/>
    <x v="2"/>
    <x v="0"/>
  </r>
  <r>
    <x v="63"/>
    <s v="JOSÉ LUCAS RODRIGUEZ MORA"/>
    <s v="Director Técnico"/>
    <s v="SUMINISTROS Y DOTACIONES COLOMBIA S.A - S Y D COLOMBIA S.A"/>
    <s v="802000608-7"/>
    <s v="quimicobta@syd.com.co"/>
    <s v="Av. Calle 24 No. 95-12 Bodega 26 Parque Ind. Portos"/>
    <x v="9"/>
    <s v="BOGOTA, D.C."/>
    <s v="COMPRA MEDICAMENTOS MONOPOLIO DEL ESTADO"/>
    <n v="202124100198252"/>
    <d v="2021-02-05T00:00:00"/>
    <x v="1"/>
    <n v="202124110238651"/>
    <d v="2021-02-12T00:00:00"/>
    <s v="FEB"/>
    <n v="-7"/>
    <s v="NEGADO"/>
    <s v="El solicitante no presenta Resolución de inscripcion en el Departamento"/>
    <s v="NO DISPONIBLE"/>
    <s v="NO DISPONIBLE"/>
    <s v="Fenobarbital Sódico 40 mg/mL Solución Inyectable_caja X 10 ampollas c/u"/>
    <n v="0"/>
    <n v="0"/>
    <x v="3"/>
    <x v="6"/>
    <x v="0"/>
    <x v="0"/>
    <x v="0"/>
  </r>
  <r>
    <x v="63"/>
    <s v="JOSÉ LUCAS RODRIGUEZ MORA"/>
    <s v="Director Técnico"/>
    <s v="SUMINISTROS Y DOTACIONES COLOMBIA S.A - S Y D COLOMBIA S.A"/>
    <s v="802000608-7"/>
    <s v="quimicobta@syd.com.co"/>
    <s v="Av. Calle 24 No. 95-12 Bodega 26 Parque Ind. Portos"/>
    <x v="9"/>
    <s v="BOGOTA, D.C."/>
    <s v="COMPRA MEDICAMENTOS MONOPOLIO DEL ESTADO"/>
    <n v="202124100198252"/>
    <d v="2021-02-05T00:00:00"/>
    <x v="1"/>
    <n v="202124110238651"/>
    <d v="2021-02-12T00:00:00"/>
    <s v="FEB"/>
    <n v="-7"/>
    <s v="NEGADO"/>
    <s v="El solicitante no presenta Resolución de inscripcion en el Departamento"/>
    <s v="NO DISPONIBLE"/>
    <s v="NO DISPONIBLE"/>
    <s v="Fenobarbital Sódico 200 mg/mL Solución Inyectable_caja X 10 ampollas c/u"/>
    <n v="0"/>
    <n v="0"/>
    <x v="3"/>
    <x v="5"/>
    <x v="0"/>
    <x v="0"/>
    <x v="0"/>
  </r>
  <r>
    <x v="63"/>
    <s v="JOSÉ LUCAS RODRIGUEZ MORA"/>
    <s v="Director Técnico"/>
    <s v="SUMINISTROS Y DOTACIONES COLOMBIA S.A - S Y D COLOMBIA S.A"/>
    <s v="802000608-7"/>
    <s v="quimicobta@syd.com.co"/>
    <s v="Av. Calle 24 No. 95-12 Bodega 26 Parque Ind. Portos"/>
    <x v="9"/>
    <s v="BOGOTA, D.C."/>
    <s v="COMPRA MEDICAMENTOS MONOPOLIO DEL ESTADO"/>
    <n v="202124100198252"/>
    <d v="2021-02-05T00:00:00"/>
    <x v="1"/>
    <n v="202124110238651"/>
    <d v="2021-02-12T00:00:00"/>
    <s v="FEB"/>
    <n v="-7"/>
    <s v="NEGADO"/>
    <s v="El solicitante no presenta Resolución de inscripcion en el Departamento"/>
    <s v="NO DISPONIBLE"/>
    <s v="NO DISPONIBLE"/>
    <s v="Fenobarbital 0,4% Solución Oral_frascos X 120 mL c/u"/>
    <n v="0"/>
    <n v="0"/>
    <x v="5"/>
    <x v="11"/>
    <x v="1"/>
    <x v="6"/>
    <x v="0"/>
  </r>
  <r>
    <x v="63"/>
    <s v="JOSÉ LUCAS RODRIGUEZ MORA"/>
    <s v="Director Técnico"/>
    <s v="SUMINISTROS Y DOTACIONES COLOMBIA S.A - S Y D COLOMBIA S.A"/>
    <s v="802000608-7"/>
    <s v="quimicobta@syd.com.co"/>
    <s v="Av. Calle 24 No. 95-12 Bodega 26 Parque Ind. Portos"/>
    <x v="9"/>
    <s v="BOGOTA, D.C."/>
    <s v="COMPRA MEDICAMENTOS MONOPOLIO DEL ESTADO"/>
    <n v="202124100198252"/>
    <d v="2021-02-05T00:00:00"/>
    <x v="1"/>
    <n v="202124110238651"/>
    <d v="2021-02-12T00:00:00"/>
    <s v="FEB"/>
    <n v="-7"/>
    <s v="NEGADO"/>
    <s v="El solicitante no presenta Resolución de inscripcion en el Departamento"/>
    <s v="NO DISPONIBLE"/>
    <s v="NO DISPONIBLE"/>
    <s v="Meperidina HCl 100 mg/2mL Solución Inyectable_cajas X 10 unidades c/u"/>
    <n v="0"/>
    <n v="0"/>
    <x v="6"/>
    <x v="8"/>
    <x v="0"/>
    <x v="3"/>
    <x v="0"/>
  </r>
  <r>
    <x v="63"/>
    <s v="JOSÉ LUCAS RODRIGUEZ MORA"/>
    <s v="Director Técnico"/>
    <s v="SUMINISTROS Y DOTACIONES COLOMBIA S.A - S Y D COLOMBIA S.A"/>
    <s v="802000608-7"/>
    <s v="quimicobta@syd.com.co"/>
    <s v="Av. Calle 24 No. 95-12 Bodega 26 Parque Ind. Portos"/>
    <x v="9"/>
    <s v="BOGOTA, D.C."/>
    <s v="COMPRA MEDICAMENTOS MONOPOLIO DEL ESTADO"/>
    <n v="202124100198252"/>
    <d v="2021-02-05T00:00:00"/>
    <x v="1"/>
    <n v="202124110238651"/>
    <d v="2021-02-12T00:00:00"/>
    <s v="FEB"/>
    <n v="-7"/>
    <s v="NEGADO"/>
    <s v="El solicitante no presenta Resolución de inscripcion en el Departamento"/>
    <s v="NO DISPONIBLE"/>
    <s v="NO DISPONIBLE"/>
    <s v="Morfina HCl 10 mg/mL Solución Inyectable ampolla por 1mL"/>
    <n v="0"/>
    <n v="0"/>
    <x v="0"/>
    <x v="0"/>
    <x v="0"/>
    <x v="0"/>
    <x v="0"/>
  </r>
  <r>
    <x v="63"/>
    <s v="JOSÉ LUCAS RODRIGUEZ MORA"/>
    <s v="Director Técnico"/>
    <s v="SUMINISTROS Y DOTACIONES COLOMBIA S.A - S Y D COLOMBIA S.A"/>
    <s v="802000608-7"/>
    <s v="quimicobta@syd.com.co"/>
    <s v="Av. Calle 24 No. 95-12 Bodega 26 Parque Ind. Portos"/>
    <x v="9"/>
    <s v="BOGOTA, D.C."/>
    <s v="COMPRA MEDICAMENTOS MONOPOLIO DEL ESTADO"/>
    <n v="202124100198252"/>
    <d v="2021-02-05T00:00:00"/>
    <x v="1"/>
    <n v="202124110238651"/>
    <d v="2021-02-12T00:00:00"/>
    <s v="FEB"/>
    <n v="-7"/>
    <s v="NEGADO"/>
    <s v="El solicitante no presenta Resolución de inscripcion en el Departamento"/>
    <s v="NO DISPONIBLE"/>
    <s v="NO DISPONIBLE"/>
    <s v="Morfina HCl 0,03 Solución Oral_frascos X 30 mL c/u"/>
    <n v="0"/>
    <n v="0"/>
    <x v="0"/>
    <x v="1"/>
    <x v="1"/>
    <x v="1"/>
    <x v="0"/>
  </r>
  <r>
    <x v="64"/>
    <s v="JOSÉ FERNANDO CAÑIZALES RUBIO"/>
    <s v="Director Técnico"/>
    <s v="E.S.E HOSPITAL UNIVERSITARIO HERNANDO MONCALEANO PERDOMO"/>
    <s v="891180268-0"/>
    <s v="alexandra.mosquera@huhmp.gov.co"/>
    <s v="Calle 9 No. 15-25"/>
    <x v="7"/>
    <s v="NEIVA"/>
    <s v="SOLICITUD DE COTIZACIÒN DE MEDICAMENTOS MONOPOLIO DEL ESTADO"/>
    <n v="202124100201502"/>
    <d v="2021-02-05T00:00:00"/>
    <x v="1"/>
    <n v="202124110206151"/>
    <d v="2021-02-09T00:00:00"/>
    <s v="FEB"/>
    <n v="-4"/>
    <s v="AUTORIZADO"/>
    <m/>
    <s v="No. 483"/>
    <d v="2017-04-06T00:00:00"/>
    <s v="Metadona HCl 10 mg Tableta_Cajas X 30 unidades c/u"/>
    <n v="1500"/>
    <n v="50"/>
    <x v="2"/>
    <x v="3"/>
    <x v="2"/>
    <x v="2"/>
    <x v="68"/>
  </r>
  <r>
    <x v="64"/>
    <s v="JOSÉ FERNANDO CAÑIZALES RUBIO"/>
    <s v="Director Técnico"/>
    <s v="E.S.E HOSPITAL UNIVERSITARIO HERNANDO MONCALEANO PERDOMO"/>
    <s v="891180268-0"/>
    <s v="alexandra.mosquera@huhmp.gov.co"/>
    <s v="Calle 9 No. 15-25"/>
    <x v="7"/>
    <s v="NEIVA"/>
    <s v="SOLICITUD DE COTIZACIÒN DE MEDICAMENTOS MONOPOLIO DEL ESTADO"/>
    <n v="202124100201502"/>
    <d v="2021-02-05T00:00:00"/>
    <x v="1"/>
    <n v="202124110206151"/>
    <d v="2021-02-09T00:00:00"/>
    <s v="FEB"/>
    <n v="-4"/>
    <s v="AUTORIZADO"/>
    <m/>
    <s v="No. 483"/>
    <d v="2017-04-06T00:00:00"/>
    <s v="Fenobarbital 0,4% Solución Oral_frascos X 120 mL c/u"/>
    <n v="10"/>
    <n v="10"/>
    <x v="5"/>
    <x v="11"/>
    <x v="1"/>
    <x v="6"/>
    <x v="69"/>
  </r>
  <r>
    <x v="64"/>
    <s v="JOSÉ FERNANDO CAÑIZALES RUBIO"/>
    <s v="Director Técnico"/>
    <s v="E.S.E HOSPITAL UNIVERSITARIO HERNANDO MONCALEANO PERDOMO"/>
    <s v="891180268-0"/>
    <s v="alexandra.mosquera@huhmp.gov.co"/>
    <s v="Calle 9 No. 15-25"/>
    <x v="7"/>
    <s v="NEIVA"/>
    <s v="SOLICITUD DE COTIZACIÒN DE MEDICAMENTOS MONOPOLIO DEL ESTADO"/>
    <n v="202124100201502"/>
    <d v="2021-02-05T00:00:00"/>
    <x v="1"/>
    <n v="202124110206151"/>
    <d v="2021-02-09T00:00:00"/>
    <s v="FEB"/>
    <n v="-4"/>
    <s v="AUTORIZADO"/>
    <m/>
    <s v="No. 483"/>
    <d v="2017-04-06T00:00:00"/>
    <s v="Morfina HCl 10 mg/mL Solución Inyectable ampolla por 1mL"/>
    <n v="6000"/>
    <n v="600"/>
    <x v="0"/>
    <x v="0"/>
    <x v="0"/>
    <x v="0"/>
    <x v="70"/>
  </r>
  <r>
    <x v="65"/>
    <s v="LEIDY JOHANNNA COLORADO"/>
    <s v="Jefe compras"/>
    <s v="MEDICADIZ"/>
    <s v="NO DISPONIBLE"/>
    <s v="compras@medicadiz.com.co"/>
    <s v="Carrera 12 sur No. 93-21"/>
    <x v="0"/>
    <s v="IBAGUE"/>
    <s v="COTIZACION CLINICA MEDICADIZ"/>
    <n v="202124100203622"/>
    <d v="2021-02-05T00:00:00"/>
    <x v="1"/>
    <n v="202124110206231"/>
    <d v="2021-02-09T00:00:00"/>
    <s v="FEB"/>
    <n v="-4"/>
    <s v="NEGADO"/>
    <s v="El solicitante no presenta los documentos requeridos para la compra directa"/>
    <s v="NO DISPONIBLE"/>
    <s v="NO DISPONIBLE"/>
    <s v="Morfina HCl 10 mg/mL Solución Inyectable ampolla por 1mL"/>
    <n v="0"/>
    <n v="0"/>
    <x v="0"/>
    <x v="0"/>
    <x v="0"/>
    <x v="0"/>
    <x v="0"/>
  </r>
  <r>
    <x v="65"/>
    <s v="LEIDY JOHANNNA COLORADO"/>
    <s v="Jefe compras"/>
    <s v="MEDICADIZ"/>
    <s v="NO DISPONIBLE"/>
    <s v="compras@medicadiz.com.co"/>
    <s v="Carrera 12 sur No. 93-22"/>
    <x v="0"/>
    <s v="IBAGUE"/>
    <s v="COTIZACION CLINICA MEDICADIZ"/>
    <n v="202124100203622"/>
    <d v="2021-02-05T00:00:00"/>
    <x v="1"/>
    <n v="202124110206231"/>
    <d v="2021-02-09T00:00:00"/>
    <s v="FEB"/>
    <n v="-4"/>
    <s v="NEGADO"/>
    <s v="El solicitante no presenta los documentos requeridos para la compra directa"/>
    <s v="NO DISPONIBLE"/>
    <s v="NO DISPONIBLE"/>
    <s v="Hidromorfona HCl 2 mg/mL Solución Inyectable_cajas X 10 unidades c/u"/>
    <n v="0"/>
    <n v="0"/>
    <x v="1"/>
    <x v="2"/>
    <x v="0"/>
    <x v="0"/>
    <x v="0"/>
  </r>
  <r>
    <x v="66"/>
    <s v="ZAMIRA COGOLLO CORDERO"/>
    <s v="Quimico Farmacéutico"/>
    <s v="INSTITUTO MEDICO DE ALTA TECNOLOGIA S.A.S"/>
    <s v="901085352-0"/>
    <s v="suministros02@imatsas.com"/>
    <s v="Calle 72 No. 6A-87"/>
    <x v="1"/>
    <s v="MONTERIA"/>
    <s v="SOLICITUD DE COMPRA DE MEDICAMENTOS ZONA FRANCA IMAT SAS 08-02-2021"/>
    <n v="202124100212762"/>
    <d v="2021-02-08T00:00:00"/>
    <x v="1"/>
    <n v="202124110219001"/>
    <d v="2021-02-11T00:00:00"/>
    <s v="FEB"/>
    <n v="-3"/>
    <s v="AUTORIZADO"/>
    <m/>
    <s v="No. 670"/>
    <d v="2019-12-30T00:00:00"/>
    <s v="Morfina HCl 10 mg/mL Solución Inyectable ampolla por 1mL"/>
    <n v="500"/>
    <n v="50"/>
    <x v="0"/>
    <x v="0"/>
    <x v="0"/>
    <x v="0"/>
    <x v="57"/>
  </r>
  <r>
    <x v="66"/>
    <s v="ZAMIRA COGOLLO CORDERO"/>
    <s v="Quimico Farmacéutico"/>
    <s v="INSTITUTO MEDICO DE ALTA TECNOLOGIA S.A.S"/>
    <s v="901085352-0"/>
    <s v="suministros02@imatsas.com"/>
    <s v="Calle 72 No. 6A-87"/>
    <x v="1"/>
    <s v="MONTERIA"/>
    <s v="SOLICITUD DE COMPRA DE MEDICAMENTOS ZONA FRANCA IMAT SAS 08-02-2022"/>
    <n v="202124100212762"/>
    <d v="2021-02-08T00:00:00"/>
    <x v="1"/>
    <n v="202124110219001"/>
    <d v="2021-02-11T00:00:00"/>
    <s v="FEB"/>
    <n v="-3"/>
    <s v="AUTORIZADO"/>
    <m/>
    <s v="No. 670"/>
    <d v="2019-12-30T00:00:00"/>
    <s v="Hidromorfona HCl 2 mg/mL Solución Inyectable_cajas X 10 unidades c/u"/>
    <n v="200"/>
    <n v="20"/>
    <x v="1"/>
    <x v="2"/>
    <x v="0"/>
    <x v="0"/>
    <x v="18"/>
  </r>
  <r>
    <x v="66"/>
    <s v="ZAMIRA COGOLLO CORDERO"/>
    <s v="Quimico Farmacéutico"/>
    <s v="INSTITUTO MEDICO DE ALTA TECNOLOGIA S.A.S"/>
    <s v="901085352-0"/>
    <s v="suministros02@imatsas.com"/>
    <s v="Calle 72 No. 6A-87"/>
    <x v="1"/>
    <s v="MONTERIA"/>
    <s v="SOLICITUD DE COMPRA DE MEDICAMENTOS ZONA FRANCA IMAT SAS 08-02-2023"/>
    <n v="202124100212762"/>
    <d v="2021-02-08T00:00:00"/>
    <x v="1"/>
    <n v="202124110219001"/>
    <d v="2021-02-11T00:00:00"/>
    <s v="FEB"/>
    <n v="-3"/>
    <s v="AUTORIZADO"/>
    <m/>
    <s v="No. 670"/>
    <d v="2019-12-30T00:00:00"/>
    <s v="Metadona HCl 10 mg Tableta_Cajas X 30 unidades c/u"/>
    <n v="100"/>
    <n v="3"/>
    <x v="2"/>
    <x v="3"/>
    <x v="2"/>
    <x v="2"/>
    <x v="71"/>
  </r>
  <r>
    <x v="66"/>
    <s v="ZAMIRA COGOLLO CORDERO"/>
    <s v="Quimico Farmacéutico"/>
    <s v="INSTITUTO MEDICO DE ALTA TECNOLOGIA S.A.S"/>
    <s v="901085352-0"/>
    <s v="suministros02@imatsas.com"/>
    <s v="Calle 72 No. 6A-87"/>
    <x v="1"/>
    <s v="MONTERIA"/>
    <s v="SOLICITUD DE COMPRA DE MEDICAMENTOS ZONA FRANCA IMAT SAS 08-02-2024"/>
    <n v="202124100212762"/>
    <d v="2021-02-08T00:00:00"/>
    <x v="1"/>
    <n v="202124110219001"/>
    <d v="2021-02-11T00:00:00"/>
    <s v="FEB"/>
    <n v="-3"/>
    <s v="AUTORIZADO"/>
    <m/>
    <s v="No. 670"/>
    <d v="2019-12-30T00:00:00"/>
    <s v="Metadona HCl 40 mg Tableta_Cajas X 30 unidades c/u"/>
    <n v="100"/>
    <n v="3"/>
    <x v="2"/>
    <x v="4"/>
    <x v="2"/>
    <x v="2"/>
    <x v="71"/>
  </r>
  <r>
    <x v="66"/>
    <s v="ZAMIRA COGOLLO CORDERO"/>
    <s v="Quimico Farmacéutico"/>
    <s v="INSTITUTO MEDICO DE ALTA TECNOLOGIA S.A.S"/>
    <s v="901085352-0"/>
    <s v="suministros02@imatsas.com"/>
    <s v="Calle 72 No. 6A-87"/>
    <x v="1"/>
    <s v="MONTERIA"/>
    <s v="SOLICITUD DE COMPRA DE MEDICAMENTOS ZONA FRANCA IMAT SAS 08-02-2025"/>
    <n v="202124100212762"/>
    <d v="2021-02-08T00:00:00"/>
    <x v="1"/>
    <n v="202124110219001"/>
    <d v="2021-02-11T00:00:00"/>
    <s v="FEB"/>
    <n v="-3"/>
    <s v="AUTORIZADO"/>
    <m/>
    <s v="No. 670"/>
    <d v="2019-12-30T00:00:00"/>
    <s v="Hidromorfona HCl 2,5 mg Tableta_cajas X 20 unidades c/u"/>
    <n v="100"/>
    <n v="5"/>
    <x v="1"/>
    <x v="9"/>
    <x v="4"/>
    <x v="4"/>
    <x v="72"/>
  </r>
  <r>
    <x v="67"/>
    <s v="OVEIDA PARRA NOVOA"/>
    <s v="Gerente E.S.E"/>
    <s v="E.S.E HOSPITAL SAN JOSE DEL GUAVIARE"/>
    <s v="832001966-2"/>
    <s v="almacensuministros@esehospitalguaviare.gov.co"/>
    <s v="Calle 12 Carrera 20 esquina Barrio La Esperanza "/>
    <x v="10"/>
    <s v="SAN JOSE DEL GUAVIARE"/>
    <s v="AUTORIZACION COMPRA DIRECTA"/>
    <n v="202124100211922"/>
    <d v="2021-02-08T00:00:00"/>
    <x v="1"/>
    <n v="202124110238641"/>
    <d v="2021-02-12T00:00:00"/>
    <s v="FEB"/>
    <n v="-4"/>
    <s v="AUTORIZADO"/>
    <m/>
    <s v="No. 234"/>
    <d v="2020-04-21T00:00:00"/>
    <s v="Morfina HCl 10 mg/mL Solución Inyectable ampolla por 1mL"/>
    <n v="100"/>
    <n v="10"/>
    <x v="0"/>
    <x v="0"/>
    <x v="0"/>
    <x v="0"/>
    <x v="10"/>
  </r>
  <r>
    <x v="68"/>
    <s v="MELISSA GUZMÁN CARABALLO"/>
    <s v="Quimico Farmacéutico"/>
    <s v="HOSPITAL NAVAL DE CARTAGENA - ETICOS UT 2020"/>
    <s v="901381381-3"/>
    <s v="qffarmacia10505@eticos.com "/>
    <s v="Vía 40 No 71-124"/>
    <x v="2"/>
    <s v="CARTAGENA"/>
    <s v="AUTORIZACION COMPRA DIRECTA"/>
    <n v="202124100225502"/>
    <d v="2021-02-10T00:00:00"/>
    <x v="1"/>
    <n v="202124110238561"/>
    <d v="2021-02-12T00:00:00"/>
    <s v="FEB"/>
    <n v="-2"/>
    <s v="AUTORIZADO"/>
    <m/>
    <s v="No. 611"/>
    <d v="2020-09-21T00:00:00"/>
    <s v="Fenobarbital 100 mg Tableta_cajas X 30 unidades c/u"/>
    <n v="720"/>
    <n v="24"/>
    <x v="5"/>
    <x v="7"/>
    <x v="4"/>
    <x v="2"/>
    <x v="73"/>
  </r>
  <r>
    <x v="68"/>
    <s v="MELISSA GUZMÁN CARABALLO"/>
    <s v="Quimico Farmacéutico"/>
    <s v="HOSPITAL NAVAL DE CARTAGENA - ETICOS UT 2020"/>
    <s v="901381381-3"/>
    <s v="qffarmacia10505@eticos.com "/>
    <s v="Vía 40 No 71-124"/>
    <x v="2"/>
    <s v="CARTAGENA"/>
    <s v="AUTORIZACION COMPRA DIRECTA"/>
    <n v="202124100225502"/>
    <d v="2021-02-10T00:00:00"/>
    <x v="1"/>
    <n v="202124110238561"/>
    <d v="2021-02-12T00:00:00"/>
    <s v="FEB"/>
    <n v="-2"/>
    <s v="AUTORIZADO"/>
    <m/>
    <s v="No. 611"/>
    <d v="2020-09-21T00:00:00"/>
    <s v="Hidromorfona HCl 2,5 mg Tableta_cajas X 20 unidades c/u"/>
    <n v="540"/>
    <n v="27"/>
    <x v="1"/>
    <x v="9"/>
    <x v="4"/>
    <x v="4"/>
    <x v="74"/>
  </r>
  <r>
    <x v="68"/>
    <s v="MELISSA GUZMÁN CARABALLO"/>
    <s v="Quimico Farmacéutico"/>
    <s v="HOSPITAL NAVAL DE CARTAGENA - ETICOS UT 2020"/>
    <s v="901381381-3"/>
    <s v="qffarmacia10505@eticos.com "/>
    <s v="Vía 40 No 71-124"/>
    <x v="2"/>
    <s v="CARTAGENA"/>
    <s v="AUTORIZACION COMPRA DIRECTA"/>
    <n v="202124100225502"/>
    <d v="2021-02-10T00:00:00"/>
    <x v="1"/>
    <n v="202124110238561"/>
    <d v="2021-02-12T00:00:00"/>
    <s v="FEB"/>
    <n v="-2"/>
    <s v="AUTORIZADO"/>
    <m/>
    <s v="No. 611"/>
    <d v="2020-09-21T00:00:00"/>
    <s v="Metadona HCl 10 mg Tableta_Cajas X 30 unidades c/u"/>
    <n v="630"/>
    <n v="21"/>
    <x v="2"/>
    <x v="3"/>
    <x v="2"/>
    <x v="2"/>
    <x v="75"/>
  </r>
  <r>
    <x v="68"/>
    <s v="MELISSA GUZMÁN CARABALLO"/>
    <s v="Quimico Farmacéutico"/>
    <s v="HOSPITAL NAVAL DE CARTAGENA - ETICOS UT 2020"/>
    <s v="901381381-3"/>
    <s v="qffarmacia10505@eticos.com "/>
    <s v="Vía 40 No 71-124"/>
    <x v="2"/>
    <s v="CARTAGENA"/>
    <s v="AUTORIZACION COMPRA DIRECTA"/>
    <n v="202124100225502"/>
    <d v="2021-02-10T00:00:00"/>
    <x v="1"/>
    <n v="202124110238561"/>
    <d v="2021-02-12T00:00:00"/>
    <s v="FEB"/>
    <n v="-2"/>
    <s v="AUTORIZADO"/>
    <m/>
    <s v="No. 611"/>
    <d v="2020-09-21T00:00:00"/>
    <s v="Metilfenidato HCl 10 mg Comprimido_cajas X 30 unidades c/u"/>
    <n v="450"/>
    <n v="15"/>
    <x v="4"/>
    <x v="3"/>
    <x v="3"/>
    <x v="2"/>
    <x v="76"/>
  </r>
  <r>
    <x v="68"/>
    <s v="MELISSA GUZMÁN CARABALLO"/>
    <s v="Quimico Farmacéutico"/>
    <s v="HOSPITAL NAVAL DE CARTAGENA - ETICOS UT 2020"/>
    <s v="901381381-3"/>
    <s v="qffarmacia10505@eticos.com "/>
    <s v="Vía 40 No 71-124"/>
    <x v="2"/>
    <s v="CARTAGENA"/>
    <s v="AUTORIZACION COMPRA DIRECTA"/>
    <n v="202124100225502"/>
    <d v="2021-02-10T00:00:00"/>
    <x v="1"/>
    <n v="202124110238561"/>
    <d v="2021-02-12T00:00:00"/>
    <s v="FEB"/>
    <n v="-2"/>
    <s v="AUTORIZADO"/>
    <m/>
    <s v="No. 611"/>
    <d v="2020-09-21T00:00:00"/>
    <s v="Morfina HCl 0,03 Solución Oral_frascos X 30 mL c/u"/>
    <n v="3"/>
    <n v="3"/>
    <x v="0"/>
    <x v="1"/>
    <x v="1"/>
    <x v="1"/>
    <x v="28"/>
  </r>
  <r>
    <x v="69"/>
    <s v="MICHAEL GARCIA"/>
    <s v="Quimico Farmacéutico"/>
    <s v="SUMINISTROS Y DOTACIONES COLOMBIA S.A - S Y D COLOMBIA S.A"/>
    <s v="802000608-7"/>
    <s v="quimicobta@syd.com.co"/>
    <s v="Carrera 12 Calle 11A-53"/>
    <x v="11"/>
    <m/>
    <s v="AUTORIZACION COMPRA DIRECTA"/>
    <n v="202124100222612"/>
    <d v="2021-02-09T00:00:00"/>
    <x v="1"/>
    <n v="202124110238611"/>
    <d v="2021-02-12T00:00:00"/>
    <s v="FEB"/>
    <n v="-3"/>
    <s v="AUTORIZADO"/>
    <m/>
    <s v="No. 250"/>
    <d v="2017-05-18T00:00:00"/>
    <s v="Fenobarbital 0,4% Solución Oral_frascos X 120 mL c/u"/>
    <n v="20"/>
    <n v="20"/>
    <x v="5"/>
    <x v="11"/>
    <x v="1"/>
    <x v="6"/>
    <x v="77"/>
  </r>
  <r>
    <x v="69"/>
    <s v="MICHAEL GARCIA"/>
    <s v="Quimico Farmacéutico"/>
    <s v="SUMINISTROS Y DOTACIONES COLOMBIA S.A - S Y D COLOMBIA S.A"/>
    <s v="802000608-7"/>
    <s v="quimicobta@syd.com.co"/>
    <s v="Carrera 12 Calle 11A-53"/>
    <x v="11"/>
    <m/>
    <s v="AUTORIZACION COMPRA DIRECTA"/>
    <n v="202124100222612"/>
    <d v="2021-02-09T00:00:00"/>
    <x v="1"/>
    <n v="202124110238611"/>
    <d v="2021-02-12T00:00:00"/>
    <s v="FEB"/>
    <n v="-3"/>
    <s v="AUTORIZADO"/>
    <m/>
    <s v="No. 250"/>
    <d v="2017-05-18T00:00:00"/>
    <s v="Metilfenidato HCl 10 mg Comprimido_cajas X 30 unidades c/u"/>
    <n v="300"/>
    <n v="10"/>
    <x v="4"/>
    <x v="3"/>
    <x v="3"/>
    <x v="2"/>
    <x v="23"/>
  </r>
  <r>
    <x v="69"/>
    <s v="MICHAEL GARCIA"/>
    <s v="Quimico Farmacéutico"/>
    <s v="SUMINISTROS Y DOTACIONES COLOMBIA S.A - S Y D COLOMBIA S.A"/>
    <s v="802000608-7"/>
    <s v="quimicobta@syd.com.co"/>
    <s v="Carrera 12 Calle 11A-53"/>
    <x v="11"/>
    <m/>
    <s v="AUTORIZACION COMPRA DIRECTA"/>
    <n v="202124100222612"/>
    <d v="2021-02-09T00:00:00"/>
    <x v="1"/>
    <n v="202124110238611"/>
    <d v="2021-02-12T00:00:00"/>
    <s v="FEB"/>
    <n v="-3"/>
    <s v="AUTORIZADO"/>
    <m/>
    <s v="No. 250"/>
    <d v="2017-05-18T00:00:00"/>
    <s v="Morfina HCl 0,03 Solución Oral_frascos X 30 mL c/u"/>
    <n v="30"/>
    <n v="30"/>
    <x v="0"/>
    <x v="1"/>
    <x v="1"/>
    <x v="1"/>
    <x v="43"/>
  </r>
  <r>
    <x v="70"/>
    <s v="THAYRON GONZALES OROZCO"/>
    <s v="Director Tècnico"/>
    <s v="HOSPITAL UNIVERSITARIO SAN JOSE DE POPAYAN E.S.E"/>
    <s v="891580002-5"/>
    <s v="farmacia@hospitalsanjose.gov.co"/>
    <s v="Carrera 6 No. 10N-142"/>
    <x v="12"/>
    <s v="POPAYAN"/>
    <s v="AUTORIZACION COMPRA DIRECTA"/>
    <n v="202124100223072"/>
    <d v="2021-02-09T00:00:00"/>
    <x v="1"/>
    <n v="202124110243581"/>
    <d v="2021-02-12T00:00:00"/>
    <s v="FEB"/>
    <n v="-3"/>
    <s v="AUTORIZADO"/>
    <m/>
    <s v="No. 05733-05-2018"/>
    <d v="2018-06-20T00:00:00"/>
    <s v="Hidromorfona HCl 2 mg/mL Solución Inyectable_cajas X 10 unidades c/u"/>
    <n v="800"/>
    <n v="80"/>
    <x v="1"/>
    <x v="2"/>
    <x v="0"/>
    <x v="0"/>
    <x v="65"/>
  </r>
  <r>
    <x v="70"/>
    <s v="THAYRON GONZALES OROZCO"/>
    <s v="Director Tècnico"/>
    <s v="HOSPITAL UNIVERSITARIO SAN JOSE DE POPAYAN E.S.E"/>
    <s v="891580002-5"/>
    <s v="farmacia@hospitalsanjose.gov.co"/>
    <s v="Carrera 6 No. 10N-142"/>
    <x v="12"/>
    <s v="POPAYAN"/>
    <s v="AUTORIZACION COMPRA DIRECTA"/>
    <n v="202124100223072"/>
    <d v="2021-02-09T00:00:00"/>
    <x v="1"/>
    <n v="202124110243581"/>
    <d v="2021-02-12T00:00:00"/>
    <s v="FEB"/>
    <n v="-3"/>
    <s v="AUTORIZADO"/>
    <m/>
    <s v="No. 05733-05-2018"/>
    <d v="2018-06-20T00:00:00"/>
    <s v="Morfina HCl 10 mg/mL Solución Inyectable ampolla por 1mL"/>
    <n v="3000"/>
    <n v="300"/>
    <x v="0"/>
    <x v="0"/>
    <x v="0"/>
    <x v="0"/>
    <x v="78"/>
  </r>
  <r>
    <x v="71"/>
    <s v="SERVICIOS MEDICOS INTEGRALES DEL CARIBE SAS"/>
    <s v="NO DISPONIBLE"/>
    <s v="SERVICIOS MEDICOS INTEGRALES DEL CARIBE SAS"/>
    <s v="802018677-4"/>
    <s v="semedical.quimico@gmail.com"/>
    <s v="Calle 19 No. 17-46"/>
    <x v="3"/>
    <s v="BARRANQUILLA"/>
    <s v="AUTORIZACION COMPRA DIRECTA"/>
    <n v="202124100224482"/>
    <d v="2021-02-10T00:00:00"/>
    <x v="1"/>
    <n v="202124110238591"/>
    <d v="2021-02-12T00:00:00"/>
    <s v="FEB"/>
    <n v="-2"/>
    <s v="AUTORIZADO"/>
    <m/>
    <s v="No. 7129"/>
    <d v="2018-11-21T00:00:00"/>
    <s v="Metadona HCl 10 mg Tableta_Cajas X 30 unidades c/u"/>
    <n v="210"/>
    <n v="7"/>
    <x v="2"/>
    <x v="3"/>
    <x v="2"/>
    <x v="2"/>
    <x v="79"/>
  </r>
  <r>
    <x v="71"/>
    <s v="SERVICIOS MEDICOS INTEGRALES DEL CARIBE SAS"/>
    <s v="NO DISPONIBLE"/>
    <s v="SERVICIOS MEDICOS INTEGRALES DEL CARIBE SAS"/>
    <s v="802018677-4"/>
    <s v="semedical.quimico@gmail.com"/>
    <s v="Calle 19 No. 17-46"/>
    <x v="3"/>
    <s v="BARRANQUILLA"/>
    <s v="AUTORIZACION COMPRA DIRECTA"/>
    <n v="202124100224482"/>
    <d v="2021-02-10T00:00:00"/>
    <x v="1"/>
    <n v="202124110238591"/>
    <d v="2021-02-12T00:00:00"/>
    <s v="FEB"/>
    <n v="-2"/>
    <s v="AUTORIZADO"/>
    <m/>
    <s v="No. 7129"/>
    <d v="2018-11-21T00:00:00"/>
    <s v="Metadona HCl 40 mg Tableta_Cajas X 30 unidades c/u"/>
    <n v="300"/>
    <n v="10"/>
    <x v="2"/>
    <x v="4"/>
    <x v="2"/>
    <x v="2"/>
    <x v="23"/>
  </r>
  <r>
    <x v="71"/>
    <s v="SERVICIOS MEDICOS INTEGRALES DEL CARIBE SAS"/>
    <s v="NO DISPONIBLE"/>
    <s v="SERVICIOS MEDICOS INTEGRALES DEL CARIBE SAS"/>
    <s v="802018677-4"/>
    <s v="semedical.quimico@gmail.com"/>
    <s v="Calle 19 No. 17-46"/>
    <x v="3"/>
    <s v="BARRANQUILLA"/>
    <s v="AUTORIZACION COMPRA DIRECTA"/>
    <n v="202124100224482"/>
    <d v="2021-02-10T00:00:00"/>
    <x v="1"/>
    <n v="202124110238591"/>
    <d v="2021-02-12T00:00:00"/>
    <s v="FEB"/>
    <n v="-2"/>
    <s v="AUTORIZADO"/>
    <m/>
    <s v="No. 7129"/>
    <d v="2018-11-21T00:00:00"/>
    <s v="Metilfenidato HCl 10 mg Comprimido_cajas X 30 unidades c/u"/>
    <n v="3600"/>
    <n v="120"/>
    <x v="4"/>
    <x v="3"/>
    <x v="3"/>
    <x v="2"/>
    <x v="80"/>
  </r>
  <r>
    <x v="72"/>
    <s v="JACKELINE PARRADO MURCIA"/>
    <s v="Regente de farmacia"/>
    <s v="COORPORACION MI IPS LLANOS ORIENTALES"/>
    <s v="822006818-7"/>
    <s v="farmaciaipslospinos@miips.com.co"/>
    <s v="Calle 33b # 37-45 Barzal"/>
    <x v="6"/>
    <s v="VILLAVICENCIO"/>
    <s v="AUTORIZACION COMPRA DIRECTA"/>
    <n v="202124100229412"/>
    <d v="2021-02-10T00:00:00"/>
    <x v="1"/>
    <n v="202124110238541"/>
    <d v="2021-02-12T00:00:00"/>
    <s v="FEB"/>
    <n v="-2"/>
    <s v="AUTORIZADO"/>
    <m/>
    <s v="No. 0130"/>
    <d v="2016-03-10T00:00:00"/>
    <s v="Morfina HCl 10 mg/mL Solución Inyectable ampolla por 1mL"/>
    <n v="60"/>
    <n v="6"/>
    <x v="0"/>
    <x v="0"/>
    <x v="0"/>
    <x v="0"/>
    <x v="81"/>
  </r>
  <r>
    <x v="73"/>
    <s v="ADRIANA CHAVES GONZALEZ"/>
    <s v="Regente de farmacia"/>
    <s v="HOSPITAL LOS COMUNEROS"/>
    <s v="NO DISPONIBLE"/>
    <s v="asistentelogisticacomuneros@gmail.com"/>
    <s v="NO DISPONIBLE"/>
    <x v="8"/>
    <s v="BUCARAMANGA"/>
    <s v=" _x0009_COTIZACION HOSPITAL LOS COMUNEROS DE BUCARAMANGA"/>
    <n v="202124100193802"/>
    <d v="2021-02-04T00:00:00"/>
    <x v="1"/>
    <n v="202124110238691"/>
    <d v="2021-02-12T00:00:00"/>
    <s v="FEB"/>
    <n v="-8"/>
    <s v="NEGADO"/>
    <s v="El solicitante no presenta los documentos requeridos para la compra directa"/>
    <s v="NO DISPONIBLE"/>
    <s v="NO DISPONIBLE"/>
    <s v="Morfina HCl 10 mg/mL Solución Inyectable ampolla por 1mL"/>
    <n v="0"/>
    <n v="0"/>
    <x v="0"/>
    <x v="0"/>
    <x v="0"/>
    <x v="0"/>
    <x v="0"/>
  </r>
  <r>
    <x v="73"/>
    <s v="ADRIANA CHAVES GONZALEZ"/>
    <s v="Regente de farmacia"/>
    <s v="HOSPITAL LOS COMUNEROS"/>
    <s v="NO DISPONIBLE"/>
    <s v="asistentelogisticacomuneros@gmail.com"/>
    <s v="NO DISPONIBLE"/>
    <x v="8"/>
    <s v="BUCARAMANGA"/>
    <s v=" COTIZACION HOSPITAL LOS COMUNEROS DE BUCARAMANGA"/>
    <n v="202124100193802"/>
    <d v="2021-02-04T00:00:00"/>
    <x v="1"/>
    <n v="202124110238691"/>
    <d v="2021-02-12T00:00:00"/>
    <s v="FEB"/>
    <n v="-8"/>
    <s v="NEGADO"/>
    <s v="El solicitante no presenta los documentos requeridos para la compra directa"/>
    <s v="NO DISPONIBLE"/>
    <s v="NO DISPONIBLE"/>
    <s v="Hidromorfona HCl 2 mg/mL Solución Inyectable_cajas X 10 unidades c/u"/>
    <n v="0"/>
    <n v="0"/>
    <x v="1"/>
    <x v="2"/>
    <x v="0"/>
    <x v="0"/>
    <x v="0"/>
  </r>
  <r>
    <x v="74"/>
    <s v="NEFER ROMERO MARTINEZ"/>
    <s v="Director Tècnico"/>
    <s v="IPS MEDICAMENTOS &amp; EQUIPOS COLOMBIA SAS "/>
    <s v="802024817-3"/>
    <s v="farmaceutico.dt@myecolombia.com.co"/>
    <s v="CALLE 22 Nº 8 - 68 SANTA MARTA"/>
    <x v="4"/>
    <s v="SANTA MARTA"/>
    <s v="Solicitud de cotización para Compra Directa de Medicamentos Monopolio del Estado para IPS MEDICAMENTOS &amp; EQUIPOSCOLOMBIA SAS: CALLE 22 Nº 8 - 68 SANTA MARTA"/>
    <s v="202124100230922 _x0009_"/>
    <d v="2021-02-10T00:00:00"/>
    <x v="1"/>
    <n v="202124110238481"/>
    <d v="2021-02-12T00:00:00"/>
    <s v="FEB"/>
    <n v="-2"/>
    <s v="AUTORIZADO"/>
    <m/>
    <s v="No. 1149"/>
    <d v="2020-09-25T00:00:00"/>
    <s v="Fenobarbital 100 mg Tableta_cajas X 30 unidades c/u"/>
    <n v="6780"/>
    <n v="226"/>
    <x v="5"/>
    <x v="7"/>
    <x v="4"/>
    <x v="2"/>
    <x v="82"/>
  </r>
  <r>
    <x v="74"/>
    <s v="NEFER ROMERO MARTINEZ"/>
    <s v="Director Tècnico"/>
    <s v="IPS MEDICAMENTOS &amp; EQUIPOS COLOMBIA SAS "/>
    <s v="802024817-3"/>
    <s v="farmaceutico.dt@myecolombia.com.co"/>
    <s v="CALLE 22 Nº 8 - 68 SANTA MARTA"/>
    <x v="4"/>
    <s v="SANTA MARTA"/>
    <s v="Solicitud de cotización para Compra Directa de Medicamentos Monopolio del Estado para IPS MEDICAMENTOS &amp; EQUIPOSCOLOMBIA SAS: CALLE 22 Nº 8 - 68 SANTA MARTA"/>
    <s v="202124100230922 _x0009_"/>
    <d v="2021-02-10T00:00:00"/>
    <x v="1"/>
    <n v="202124110238481"/>
    <d v="2021-02-12T00:00:00"/>
    <s v="FEB"/>
    <n v="-2"/>
    <s v="AUTORIZADO"/>
    <m/>
    <s v="No. 1149"/>
    <d v="2020-09-25T00:00:00"/>
    <s v="Morfina HCl 0,03 Solución Oral_frascos X 30 mL c/u"/>
    <n v="4"/>
    <n v="4"/>
    <x v="0"/>
    <x v="1"/>
    <x v="1"/>
    <x v="1"/>
    <x v="51"/>
  </r>
  <r>
    <x v="75"/>
    <s v="VICTOR TEHERAN VERGARA"/>
    <s v="Coordinador Servicio Farmacèutico"/>
    <s v="CLINICA MONTERIA S.A"/>
    <s v="891001188-8"/>
    <s v="compras@clinicamonteria.com.co"/>
    <s v="Carrera 4 No 60-35"/>
    <x v="3"/>
    <s v="BARRANQUILLA"/>
    <s v="SOLICITUD DE COTIZACION DE MEDICAMENTOS DE CONTROL"/>
    <n v="202124100236072"/>
    <d v="2021-02-11T00:00:00"/>
    <x v="1"/>
    <n v="202124110238391"/>
    <d v="2021-02-12T00:00:00"/>
    <s v="FEB"/>
    <n v="-1"/>
    <s v="AUTORIZADO"/>
    <m/>
    <s v="No. 20170046"/>
    <d v="2017-09-27T00:00:00"/>
    <s v="Morfina HCl 10 mg/mL Solución Inyectable ampolla por 1mL"/>
    <n v="500"/>
    <n v="50"/>
    <x v="0"/>
    <x v="0"/>
    <x v="0"/>
    <x v="0"/>
    <x v="57"/>
  </r>
  <r>
    <x v="75"/>
    <s v="VICTOR TEHERAN VERGARA"/>
    <s v="Coordinador Servicio Farmacèutico"/>
    <s v="CLINICA MONTERIA S.A"/>
    <s v="891001188-8"/>
    <s v="compras@clinicamonteria.com.co"/>
    <s v="Carrera 4 No 60-35"/>
    <x v="3"/>
    <s v="BARRANQUILLA"/>
    <s v="SOLICITUD DE COTIZACION DE MEDICAMENTOS DE CONTROL"/>
    <n v="202124100236072"/>
    <d v="2021-02-11T00:00:00"/>
    <x v="1"/>
    <n v="202124110238391"/>
    <d v="2021-02-12T00:00:00"/>
    <s v="FEB"/>
    <n v="-1"/>
    <s v="AUTORIZADO"/>
    <m/>
    <s v="No. 20170046"/>
    <d v="2017-09-27T00:00:00"/>
    <s v="Meperidina HCl 100 mg/2mL Solución Inyectable_cajas X 10 unidades c/u"/>
    <n v="150"/>
    <n v="15"/>
    <x v="6"/>
    <x v="8"/>
    <x v="0"/>
    <x v="3"/>
    <x v="20"/>
  </r>
  <r>
    <x v="76"/>
    <s v="MONICA GUERRERO RENDON"/>
    <s v="Coordinadora U.F.A.T"/>
    <s v="E.S.E HOSPITAL JOSE MARIA HERNANDEZ"/>
    <s v="891200679-1"/>
    <s v="bnrojas1315@gmail.com"/>
    <s v="Calle 17 No 7-26"/>
    <x v="5"/>
    <s v="MOCOA"/>
    <s v=" _x0009_autorización para la compra de medicamento de control especial"/>
    <n v="202124100243472"/>
    <d v="2021-02-12T00:00:00"/>
    <x v="1"/>
    <n v="202124110238291"/>
    <d v="2021-02-12T00:00:00"/>
    <s v="FEB"/>
    <n v="0"/>
    <s v="AUTORIZADO"/>
    <m/>
    <s v="No. 357"/>
    <d v="2017-11-22T00:00:00"/>
    <s v="Morfina HCl 10 mg/mL Solución Inyectable ampolla por 1mL"/>
    <n v="100"/>
    <n v="10"/>
    <x v="0"/>
    <x v="0"/>
    <x v="0"/>
    <x v="0"/>
    <x v="10"/>
  </r>
  <r>
    <x v="77"/>
    <s v="MANUEL ALFONSO GONZALEZ CANTOR"/>
    <s v="Gerente"/>
    <s v="HOSPITAL SANJUAN DE DIOS E.S.E"/>
    <s v="890700666-8"/>
    <s v="farmacia@hsjd.gov.co"/>
    <s v="Calle 9 Avenida Centenario del municipio de Honda-Tolima"/>
    <x v="0"/>
    <s v="HONDA"/>
    <s v="Solicitud de venta de medicamentos Monopolio del Estado "/>
    <n v="202124100244552"/>
    <d v="2021-02-12T00:00:00"/>
    <x v="1"/>
    <n v="202124110238251"/>
    <d v="2021-02-12T00:00:00"/>
    <s v="FEB"/>
    <n v="0"/>
    <s v="AUTORIZADO"/>
    <m/>
    <s v="No. 2956"/>
    <d v="2019-09-26T00:00:00"/>
    <s v="Meperidina HCl 100 mg/2mL Solución Inyectable_cajas X 10 unidades c/u"/>
    <n v="200"/>
    <n v="20"/>
    <x v="6"/>
    <x v="8"/>
    <x v="0"/>
    <x v="3"/>
    <x v="31"/>
  </r>
  <r>
    <x v="77"/>
    <s v="MANUEL ALFONSO GONZALEZ CANTOR"/>
    <s v="Gerente"/>
    <s v="HOSPITAL SANJUAN DE DIOS E.S.E"/>
    <s v="890700666-8"/>
    <s v="farmacia@hsjd.gov.co"/>
    <s v="Calle 9 Avenida Centenario del municipio de Honda-Tolima"/>
    <x v="0"/>
    <s v="HONDA"/>
    <s v="Solicitud de venta de medicamentos Monopolio del Estado "/>
    <n v="202124100244552"/>
    <d v="2021-02-12T00:00:00"/>
    <x v="1"/>
    <n v="202124110238251"/>
    <d v="2021-02-12T00:00:00"/>
    <s v="FEB"/>
    <n v="0"/>
    <s v="AUTORIZADO"/>
    <m/>
    <s v="No. 2956"/>
    <d v="2019-09-26T00:00:00"/>
    <s v="Morfina HCl 10 mg/mL Solución Inyectable ampolla por 1mL"/>
    <n v="200"/>
    <n v="20"/>
    <x v="0"/>
    <x v="0"/>
    <x v="0"/>
    <x v="0"/>
    <x v="18"/>
  </r>
  <r>
    <x v="77"/>
    <s v="MANUEL ALFONSO GONZALEZ CANTOR"/>
    <s v="Gerente"/>
    <s v="HOSPITAL SANJUAN DE DIOS E.S.E"/>
    <s v="890700666-8"/>
    <s v="farmacia@hsjd.gov.co"/>
    <s v="Calle 9 Avenida Centenario del municipio de Honda-Tolima"/>
    <x v="0"/>
    <s v="HONDA"/>
    <s v="Solicitud de venta de medicamentos Monopolio del Estado "/>
    <n v="202124100244552"/>
    <d v="2021-02-12T00:00:00"/>
    <x v="1"/>
    <n v="202124110238251"/>
    <d v="2021-02-12T00:00:00"/>
    <s v="FEB"/>
    <n v="0"/>
    <s v="AUTORIZADO"/>
    <m/>
    <s v="No. 2956"/>
    <d v="2019-09-26T00:00:00"/>
    <s v="Hidromorfona HCl 2 mg/mL Solución Inyectable_cajas X 10 unidades c/u"/>
    <n v="100"/>
    <n v="10"/>
    <x v="1"/>
    <x v="2"/>
    <x v="0"/>
    <x v="0"/>
    <x v="10"/>
  </r>
  <r>
    <x v="78"/>
    <s v="FRANCISCO JAVIER GUERRERO MOLINA"/>
    <s v="Gerente"/>
    <s v="UNIDAD MATERNO INFANTIL DEL TOLIMA"/>
    <s v="900138815-4"/>
    <s v=" _x0009_gerencia@umit.com.co"/>
    <s v="Calle 44 No.4-62"/>
    <x v="0"/>
    <s v="IBAGUE"/>
    <s v="SOLICITUD DE AUTORIZACIÓN COMPRA DIRECTA UNIDAD MATERNO INFANTIL DEL TOLIMA"/>
    <n v="202124100254772"/>
    <d v="2021-02-15T00:00:00"/>
    <x v="1"/>
    <n v="202124110302021"/>
    <d v="2021-02-23T00:00:00"/>
    <s v="FEB"/>
    <n v="-8"/>
    <s v="AUTORIZADO"/>
    <m/>
    <s v="No. 2159"/>
    <d v="2019-07-18T00:00:00"/>
    <s v="Fenobarbital 0,4% Solución Oral_frascos X 120 mL c/u"/>
    <n v="5"/>
    <n v="5"/>
    <x v="5"/>
    <x v="11"/>
    <x v="1"/>
    <x v="6"/>
    <x v="16"/>
  </r>
  <r>
    <x v="79"/>
    <s v="CRISTINA ISABEL ROMERO SALINAS"/>
    <s v="Quimico Farmacéutico"/>
    <s v="CLINICA CARDIOVASCULAR DEL CARIBE S.A.S"/>
    <s v="800215019-5"/>
    <s v="compras@clinicacardiovasculardelcaribe.com"/>
    <s v="Carrera 9 No. 25-27"/>
    <x v="1"/>
    <s v="MONTERIA"/>
    <s v="solicitud para cotización y venta de medicamentos de control especial Clínica cardiovascular Montería"/>
    <n v="202124100258462"/>
    <d v="2021-02-15T00:00:00"/>
    <x v="1"/>
    <n v="202124110302081"/>
    <d v="2021-02-23T00:00:00"/>
    <s v="FEB"/>
    <n v="-8"/>
    <s v="AUTORIZADO"/>
    <m/>
    <s v="No. 20161036"/>
    <d v="2016-09-08T00:00:00"/>
    <s v="Morfina HCl 10 mg/mL Solución Inyectable ampolla por 1mL"/>
    <n v="60"/>
    <n v="6"/>
    <x v="0"/>
    <x v="0"/>
    <x v="0"/>
    <x v="0"/>
    <x v="81"/>
  </r>
  <r>
    <x v="80"/>
    <s v="JORGE ALBERTO MARRUGO"/>
    <s v="Representante Legal"/>
    <s v="PROFHARMA SALUD IPS S.A.S"/>
    <s v="900839714-7"/>
    <s v="farmacia@profharmasaludips.com"/>
    <s v="Carrera 6 # 22-13 centro"/>
    <x v="1"/>
    <s v="MONTERIA"/>
    <s v="solicitud de cotizacion profharmasalud ips"/>
    <n v="202124100267322"/>
    <d v="2021-02-16T00:00:00"/>
    <x v="1"/>
    <n v="202124110302411"/>
    <d v="2021-02-23T00:00:00"/>
    <s v="FEB"/>
    <n v="-7"/>
    <s v="AUTORIZADO"/>
    <m/>
    <s v="No. 039"/>
    <d v="2018-04-20T00:00:00"/>
    <s v="Morfina HCl 0,03 Solución Oral_frascos X 30 mL c/u"/>
    <n v="450"/>
    <n v="450"/>
    <x v="0"/>
    <x v="1"/>
    <x v="1"/>
    <x v="1"/>
    <x v="83"/>
  </r>
  <r>
    <x v="80"/>
    <s v="JORGE ALBERTO MARRUGO"/>
    <s v="Representante Legal"/>
    <s v="PROFHARMA SALUD IPS S.A.S"/>
    <s v="900839714-7"/>
    <s v="farmacia@profharmasaludips.com"/>
    <s v="Carrera 6 # 22-13 centro"/>
    <x v="1"/>
    <s v="MONTERIA"/>
    <s v="solicitud de cotizacion profharmasalud ips"/>
    <n v="202124100267322"/>
    <d v="2021-02-16T00:00:00"/>
    <x v="1"/>
    <n v="202124110302411"/>
    <d v="2021-02-23T00:00:00"/>
    <s v="FEB"/>
    <n v="-7"/>
    <s v="AUTORIZADO"/>
    <m/>
    <s v="No. 039"/>
    <d v="2018-04-20T00:00:00"/>
    <s v="Hidromorfona HCl 2,5 mg Tableta_cajas X 20 unidades c/u"/>
    <n v="1000"/>
    <n v="50"/>
    <x v="1"/>
    <x v="9"/>
    <x v="4"/>
    <x v="4"/>
    <x v="84"/>
  </r>
  <r>
    <x v="81"/>
    <s v="MARICELA TORRENEGRA B"/>
    <s v="Quimico Farmacéutico"/>
    <s v="MEDICADIZ S.A.S"/>
    <s v="800254132-6"/>
    <s v="compras@medicadiz.com.co"/>
    <s v="Carrera 12 Sur No 93-21 Via Aeropuerto Perales"/>
    <x v="0"/>
    <s v="IBAGUE"/>
    <s v="COTIZACION CLINICA MEDICADIZ"/>
    <n v="202124100270922"/>
    <d v="2021-02-16T00:00:00"/>
    <x v="1"/>
    <n v="202124110302451"/>
    <d v="2021-02-23T00:00:00"/>
    <s v="FEB"/>
    <n v="-7"/>
    <s v="AUTORIZADO"/>
    <s v="Se dio respuesta en el radicado  202142300277372 "/>
    <s v="No. 3238"/>
    <d v="2018-10-19T00:00:00"/>
    <s v="Morfina HCl 10 mg/mL Solución Inyectable ampolla por 1mL"/>
    <n v="400"/>
    <n v="40"/>
    <x v="0"/>
    <x v="0"/>
    <x v="0"/>
    <x v="0"/>
    <x v="63"/>
  </r>
  <r>
    <x v="81"/>
    <s v="MARICELA TORRENEGRA B"/>
    <s v="Quimico Farmacéutico"/>
    <s v="MEDICADIZ S.A.S"/>
    <s v="800254132-6"/>
    <s v="compras@medicadiz.com.co"/>
    <s v="Carrera 12 Sur No 93-21 Via Aeropuerto Perales"/>
    <x v="0"/>
    <s v="IBAGUE"/>
    <s v="COTIZACION CLINICA MEDICADIZ"/>
    <n v="202124100270922"/>
    <d v="2021-02-16T00:00:00"/>
    <x v="1"/>
    <n v="202124110302451"/>
    <d v="2021-02-23T00:00:00"/>
    <s v="FEB"/>
    <n v="-7"/>
    <s v="AUTORIZADO"/>
    <s v="Se dio respuesta en el radicado  202142300277372 "/>
    <s v="No. 3238"/>
    <d v="2018-10-19T00:00:00"/>
    <s v="Hidromorfona HCl 2 mg/mL Solución Inyectable_cajas X 10 unidades c/u"/>
    <n v="300"/>
    <n v="30"/>
    <x v="1"/>
    <x v="2"/>
    <x v="0"/>
    <x v="0"/>
    <x v="54"/>
  </r>
  <r>
    <x v="82"/>
    <s v="DIANA FIERRO"/>
    <s v="Regente de farmacia"/>
    <s v="CLINICA SANAR S.A.S"/>
    <s v="900273700-3"/>
    <s v="farmaceutico@clinicasanarsas.com"/>
    <s v="Calle33A No. 38-56"/>
    <x v="6"/>
    <s v="VILLAVICENCIO"/>
    <s v="SOLICITUD DE COMPRA MEDICAMENTOS DE CONTROL"/>
    <n v="202124100271042"/>
    <d v="2021-02-16T00:00:00"/>
    <x v="1"/>
    <n v="202124110302471"/>
    <d v="2021-02-23T00:00:00"/>
    <s v="FEB"/>
    <n v="-7"/>
    <s v="AUTORIZADO"/>
    <m/>
    <s v="No. 605"/>
    <d v="2020-12-28T00:00:00"/>
    <s v="Morfina HCl 10 mg/mL Solución Inyectable ampolla por 1mL"/>
    <n v="120"/>
    <n v="12"/>
    <x v="0"/>
    <x v="0"/>
    <x v="0"/>
    <x v="0"/>
    <x v="49"/>
  </r>
  <r>
    <x v="82"/>
    <s v="DIANA FIERRO"/>
    <s v="Regente de farmacia"/>
    <s v="CLINICA SANAR S.A.S"/>
    <s v="900273700-3"/>
    <s v="farmaceutico@clinicasanarsas.com"/>
    <s v="Calle33A No. 38-56"/>
    <x v="6"/>
    <s v="VILLAVICENCIO"/>
    <s v="SOLICITUD DE COMPRA MEDICAMENTOS DE CONTROL"/>
    <n v="202124100271042"/>
    <d v="2021-02-16T00:00:00"/>
    <x v="1"/>
    <n v="202124110302471"/>
    <d v="2021-02-23T00:00:00"/>
    <s v="FEB"/>
    <n v="-7"/>
    <s v="AUTORIZADO"/>
    <m/>
    <s v="No. 605"/>
    <d v="2020-12-28T00:00:00"/>
    <s v="Meperidina HCl 100 mg/2mL Solución Inyectable_cajas X 10 unidades c/u"/>
    <n v="120"/>
    <n v="12"/>
    <x v="6"/>
    <x v="8"/>
    <x v="0"/>
    <x v="3"/>
    <x v="85"/>
  </r>
  <r>
    <x v="82"/>
    <s v="DIANA FIERRO"/>
    <s v="Regente de farmacia"/>
    <s v="CLINICA SANAR S.A.S"/>
    <s v="900273700-3"/>
    <s v="farmaceutico@clinicasanarsas.com"/>
    <s v="Calle33A No. 38-56"/>
    <x v="6"/>
    <s v="VILLAVICENCIO"/>
    <s v="SOLICITUD DE COMPRA MEDICAMENTOS DE CONTROL"/>
    <n v="202124100271042"/>
    <d v="2021-02-16T00:00:00"/>
    <x v="1"/>
    <n v="202124110302471"/>
    <d v="2021-02-23T00:00:00"/>
    <s v="FEB"/>
    <n v="-7"/>
    <s v="NEGADO"/>
    <s v="EL FNE CUENTA CON BAJA DISPONIBILIDAD EN SU INVENTARIO"/>
    <s v="No. 605"/>
    <d v="2020-12-28T00:00:00"/>
    <s v="Fenobarbital Sódico 200 mg/mL Solución Inyectable_caja X 10 ampollas c/u"/>
    <n v="0"/>
    <n v="0"/>
    <x v="3"/>
    <x v="5"/>
    <x v="0"/>
    <x v="0"/>
    <x v="0"/>
  </r>
  <r>
    <x v="83"/>
    <s v="FRANCISCO MORAN ALVAREZ"/>
    <s v="Director"/>
    <s v="FUNDACION POLICLINICA DE CIENAGA"/>
    <s v="800201726-3"/>
    <s v="compras.policlinica@hotmail.com"/>
    <s v="CALLE 8 # 11-39"/>
    <x v="4"/>
    <s v="CIENAGA"/>
    <s v="DOCUMENTACION FUNDACION POLICLINICA CIENAGA"/>
    <n v="202124100273362"/>
    <d v="2021-02-17T00:00:00"/>
    <x v="1"/>
    <n v="202124110302481"/>
    <d v="2021-02-23T00:00:00"/>
    <s v="FEB"/>
    <n v="-6"/>
    <s v="AUTORIZADO"/>
    <m/>
    <s v="No. 1396"/>
    <d v="2018-05-10T00:00:00"/>
    <s v="Fenobarbital 100 mg Tableta_cajas X 30 unidades c/u"/>
    <n v="630"/>
    <n v="21"/>
    <x v="5"/>
    <x v="7"/>
    <x v="4"/>
    <x v="2"/>
    <x v="75"/>
  </r>
  <r>
    <x v="83"/>
    <s v="FRANCISCO MORAN ALVAREZ"/>
    <s v="Director"/>
    <s v="FUNDACION POLICLINICA DE CIENAGA"/>
    <s v="800201726-3"/>
    <s v="compras.policlinica@hotmail.com"/>
    <s v="CALLE 8 # 11-39"/>
    <x v="4"/>
    <s v="CIENAGA"/>
    <s v="DOCUMENTACION FUNDACION POLICLINICA CIENAGA"/>
    <n v="202124100273362"/>
    <d v="2021-02-17T00:00:00"/>
    <x v="1"/>
    <n v="202124110302481"/>
    <d v="2021-02-23T00:00:00"/>
    <s v="FEB"/>
    <n v="-6"/>
    <s v="NEGADO"/>
    <s v="EL FNE CUENTA CON BAJA DISPONIBILIDAD EN SU INVENTARIO"/>
    <s v="No. 1396"/>
    <d v="2018-05-11T00:00:00"/>
    <s v="Fenobarbital Sódico 200 mg/mL Solución Inyectable_caja X 10 ampollas c/u"/>
    <n v="0"/>
    <n v="0"/>
    <x v="3"/>
    <x v="5"/>
    <x v="0"/>
    <x v="0"/>
    <x v="0"/>
  </r>
  <r>
    <x v="83"/>
    <s v="FRANCISCO MORAN ALVAREZ"/>
    <s v="Director"/>
    <s v="FUNDACION POLICLINICA DE CIENAGA"/>
    <s v="800201726-3"/>
    <s v="compras.policlinica@hotmail.com"/>
    <s v="CALLE 8 # 11-39"/>
    <x v="4"/>
    <s v="CIENAGA"/>
    <s v="DOCUMENTACION FUNDACION POLICLINICA CIENAGA"/>
    <n v="202124100273362"/>
    <d v="2021-02-17T00:00:00"/>
    <x v="1"/>
    <n v="202124110302481"/>
    <d v="2021-02-23T00:00:00"/>
    <s v="FEB"/>
    <n v="-6"/>
    <s v="AUTORIZADO"/>
    <m/>
    <s v="No. 1396"/>
    <d v="2018-05-12T00:00:00"/>
    <s v="Fenobarbital Sódico 40 mg/mL Solución Inyectable_caja X 10 ampollas c/u"/>
    <n v="420"/>
    <n v="42"/>
    <x v="3"/>
    <x v="6"/>
    <x v="0"/>
    <x v="0"/>
    <x v="86"/>
  </r>
  <r>
    <x v="83"/>
    <s v="FRANCISCO MORAN ALVAREZ"/>
    <s v="Director"/>
    <s v="FUNDACION POLICLINICA DE CIENAGA"/>
    <s v="800201726-3"/>
    <s v="compras.policlinica@hotmail.com"/>
    <s v="CALLE 8 # 11-39"/>
    <x v="4"/>
    <s v="CIENAGA"/>
    <s v="DOCUMENTACION FUNDACION POLICLINICA CIENAGA"/>
    <n v="202124100273362"/>
    <d v="2021-02-17T00:00:00"/>
    <x v="1"/>
    <n v="202124110302481"/>
    <d v="2021-02-23T00:00:00"/>
    <s v="FEB"/>
    <n v="-6"/>
    <s v="AUTORIZADO"/>
    <m/>
    <s v="No. 1396"/>
    <d v="2018-05-13T00:00:00"/>
    <s v="Meperidina HCl 100 mg/2mL Solución Inyectable_cajas X 10 unidades c/u"/>
    <n v="130"/>
    <n v="13"/>
    <x v="6"/>
    <x v="8"/>
    <x v="0"/>
    <x v="3"/>
    <x v="87"/>
  </r>
  <r>
    <x v="83"/>
    <s v="FRANCISCO MORAN ALVAREZ"/>
    <s v="Director"/>
    <s v="FUNDACION POLICLINICA DE CIENAGA"/>
    <s v="800201726-3"/>
    <s v="compras.policlinica@hotmail.com"/>
    <s v="CALLE 8 # 11-39"/>
    <x v="4"/>
    <s v="CIENAGA"/>
    <s v="DOCUMENTACION FUNDACION POLICLINICA CIENAGA"/>
    <n v="202124100273362"/>
    <d v="2021-02-17T00:00:00"/>
    <x v="1"/>
    <n v="202124110302481"/>
    <d v="2021-02-23T00:00:00"/>
    <s v="FEB"/>
    <n v="-6"/>
    <s v="AUTORIZADO"/>
    <m/>
    <s v="No. 1396"/>
    <d v="2018-05-14T00:00:00"/>
    <s v="Morfina HCl 10 mg/mL Solución Inyectable ampolla por 1mL"/>
    <n v="350"/>
    <n v="35"/>
    <x v="0"/>
    <x v="0"/>
    <x v="0"/>
    <x v="0"/>
    <x v="88"/>
  </r>
  <r>
    <x v="84"/>
    <s v="JORGE ENRIQUE BOTERO URIBE"/>
    <s v="Regente de farmacia"/>
    <s v="E.S.E HOSPITAL RAMON MARIA ARANA"/>
    <s v="809001159-1"/>
    <s v=" _x0009_hosmurillofarmacia@gmail.com"/>
    <s v="Calle 5 No 7-29"/>
    <x v="0"/>
    <s v="MURILLO"/>
    <s v=" solicitud medicamentos d control especial-"/>
    <n v="202124100274922"/>
    <d v="2021-02-17T00:00:00"/>
    <x v="1"/>
    <n v="202124110302521"/>
    <d v="2021-02-23T00:00:00"/>
    <s v="FEB"/>
    <n v="-6"/>
    <s v="AUTORIZADO"/>
    <m/>
    <s v="No. 380"/>
    <d v="2019-02-25T00:00:00"/>
    <s v="Fenobarbital 100 mg Tableta_cajas X 30 unidades c/u"/>
    <n v="600"/>
    <n v="20"/>
    <x v="5"/>
    <x v="7"/>
    <x v="4"/>
    <x v="2"/>
    <x v="7"/>
  </r>
  <r>
    <x v="85"/>
    <s v="ADRIANA YEPEZ TERRILL"/>
    <s v="Director Técnico"/>
    <s v="CLINICA BLAS DE LEZO S.A"/>
    <s v="890400693-1"/>
    <s v="coordfarmaciadt@clinicablasdelezo.com.co"/>
    <s v="TRANSVERSAL 54 N°47-57"/>
    <x v="2"/>
    <s v="CARTAGENA"/>
    <s v="Solicitud de Medicamentos"/>
    <n v="202124100276142"/>
    <d v="2021-02-17T00:00:00"/>
    <x v="1"/>
    <n v="202124110302571"/>
    <d v="2021-02-23T00:00:00"/>
    <s v="FEB"/>
    <n v="-6"/>
    <s v="AUTORIZADO"/>
    <m/>
    <s v="No. 545"/>
    <d v="2019-04-23T00:00:00"/>
    <s v="Morfina HCl 10 mg/mL Solución Inyectable ampolla por 1mL"/>
    <n v="200"/>
    <n v="20"/>
    <x v="0"/>
    <x v="0"/>
    <x v="0"/>
    <x v="0"/>
    <x v="18"/>
  </r>
  <r>
    <x v="85"/>
    <s v="ADRIANA YEPEZ TERRILL"/>
    <s v="Director Técnico"/>
    <s v="CLINICA BLAS DE LEZO S.A"/>
    <s v="890400693-1"/>
    <s v="coordfarmaciadt@clinicablasdelezo.com.co"/>
    <s v="TRANSVERSAL 54 N°47-57"/>
    <x v="2"/>
    <s v="CARTAGENA"/>
    <s v="Solicitud de Medicamentos"/>
    <n v="202124100276142"/>
    <d v="2021-02-17T00:00:00"/>
    <x v="1"/>
    <n v="202124110302571"/>
    <d v="2021-02-23T00:00:00"/>
    <s v="FEB"/>
    <n v="-6"/>
    <s v="AUTORIZADO"/>
    <m/>
    <s v="No. 545"/>
    <d v="2019-04-23T00:00:00"/>
    <s v="Hidromorfona HCl 2,5 mg Tableta_cajas X 20 unidades c/u"/>
    <n v="40"/>
    <n v="2"/>
    <x v="1"/>
    <x v="9"/>
    <x v="4"/>
    <x v="4"/>
    <x v="89"/>
  </r>
  <r>
    <x v="85"/>
    <s v="ADRIANA YEPEZ TERRILL"/>
    <s v="Director Técnico"/>
    <s v="CLINICA BLAS DE LEZO S.A"/>
    <s v="890400693-1"/>
    <s v="coordfarmaciadt@clinicablasdelezo.com.co"/>
    <s v="TRANSVERSAL 54 N°47-57"/>
    <x v="2"/>
    <s v="CARTAGENA"/>
    <s v="Solicitud de Medicamentos"/>
    <n v="202124100276142"/>
    <d v="2021-02-17T00:00:00"/>
    <x v="1"/>
    <n v="202124110302571"/>
    <d v="2021-02-23T00:00:00"/>
    <s v="FEB"/>
    <n v="-6"/>
    <s v="AUTORIZADO"/>
    <m/>
    <s v="No. 545"/>
    <d v="2019-04-23T00:00:00"/>
    <s v="Metadona HCl 10 mg Tableta_Cajas X 30 unidades c/u"/>
    <n v="90"/>
    <n v="3"/>
    <x v="2"/>
    <x v="3"/>
    <x v="2"/>
    <x v="2"/>
    <x v="71"/>
  </r>
  <r>
    <x v="86"/>
    <s v="LEET ANTONIO MARQUEZ ESCORCIA"/>
    <s v="Quimico Farmacéutico"/>
    <s v="CLINICA GENERAL DEL NORTE S.A."/>
    <s v="800102768-5"/>
    <s v="quimicopesmag@clinicageneraldelnorte.com"/>
    <s v="Avenida Libertador No. 13-12"/>
    <x v="4"/>
    <s v="SANTA MARTA"/>
    <s v="COMPRA DIRECTA CLINICA GENERAL DEL NORTE SANTA MARTA"/>
    <n v="202124100281432"/>
    <d v="2021-02-18T00:00:00"/>
    <x v="1"/>
    <n v="202124110302611"/>
    <d v="2021-02-23T00:00:00"/>
    <s v="FEB"/>
    <n v="-5"/>
    <s v="AUTORIZADO"/>
    <m/>
    <s v="No. 3792"/>
    <d v="2019-10-29T00:00:00"/>
    <s v="Morfina HCl 0,03 Solución Oral_frascos X 30 mL c/u"/>
    <n v="3"/>
    <n v="3"/>
    <x v="0"/>
    <x v="1"/>
    <x v="1"/>
    <x v="1"/>
    <x v="28"/>
  </r>
  <r>
    <x v="86"/>
    <s v="LEET ANTONIO MARQUEZ ESCORCIA"/>
    <s v="Quimico Farmacéutico"/>
    <s v="CLINICA GENERAL DEL NORTE S.A."/>
    <s v="800102768-5"/>
    <s v="quimicopesmag@clinicageneraldelnorte.com"/>
    <s v="Avenida Libertador No. 13-12"/>
    <x v="4"/>
    <s v="SANTA MARTA"/>
    <s v="COMPRA DIRECTA CLINICA GENERAL DEL NORTE SANTA MARTA"/>
    <n v="202124100281432"/>
    <d v="2021-02-18T00:00:00"/>
    <x v="1"/>
    <n v="202124110302611"/>
    <d v="2021-02-23T00:00:00"/>
    <s v="FEB"/>
    <n v="-5"/>
    <s v="AUTORIZADO"/>
    <m/>
    <s v="No. 3792"/>
    <d v="2019-10-29T00:00:00"/>
    <s v="Metilfenidato HCl 10 mg Comprimido_cajas X 30 unidades c/u"/>
    <n v="60"/>
    <n v="2"/>
    <x v="4"/>
    <x v="3"/>
    <x v="3"/>
    <x v="2"/>
    <x v="90"/>
  </r>
  <r>
    <x v="86"/>
    <s v="LEET ANTONIO MARQUEZ ESCORCIA"/>
    <s v="Quimico Farmacéutico"/>
    <s v="CLINICA GENERAL DEL NORTE S.A."/>
    <s v="800102768-5"/>
    <s v="quimicopesmag@clinicageneraldelnorte.com"/>
    <s v="Avenida Libertador No. 13-12"/>
    <x v="4"/>
    <s v="SANTA MARTA"/>
    <s v="COMPRA DIRECTA CLINICA GENERAL DEL NORTE SANTA MARTA"/>
    <n v="202124100281432"/>
    <d v="2021-02-18T00:00:00"/>
    <x v="1"/>
    <n v="202124110302611"/>
    <d v="2021-02-23T00:00:00"/>
    <s v="FEB"/>
    <n v="-5"/>
    <s v="AUTORIZADO"/>
    <m/>
    <s v="No. 3792"/>
    <d v="2019-10-29T00:00:00"/>
    <s v="Fenobarbital 100 mg Tableta_cajas X 30 unidades c/u"/>
    <n v="600"/>
    <n v="20"/>
    <x v="5"/>
    <x v="7"/>
    <x v="4"/>
    <x v="2"/>
    <x v="7"/>
  </r>
  <r>
    <x v="87"/>
    <s v="IVAN GUILLERMO GIRALDO"/>
    <s v="Gerente"/>
    <s v="IPS MEDICINA INTENSIVA DEL TOLIMA S.A"/>
    <s v="809011517-8"/>
    <s v="farmacia@ucihonda.com.co"/>
    <s v="Calle 9 No 22A-193"/>
    <x v="0"/>
    <s v="HONDA"/>
    <s v="Solicitud de compra de medicamentos Monopolio del Estado"/>
    <n v="202124100281512"/>
    <d v="2021-02-18T00:00:00"/>
    <x v="1"/>
    <n v="202124110302631"/>
    <d v="2021-02-23T00:00:00"/>
    <s v="FEB"/>
    <n v="-5"/>
    <s v="AUTORIZADO"/>
    <m/>
    <s v="No. 052"/>
    <d v="2019-01-22T00:00:00"/>
    <s v="Meperidina HCl 100 mg/2mL Solución Inyectable_cajas X 10 unidades c/u"/>
    <n v="100"/>
    <n v="10"/>
    <x v="6"/>
    <x v="8"/>
    <x v="0"/>
    <x v="3"/>
    <x v="27"/>
  </r>
  <r>
    <x v="87"/>
    <s v="IVAN GUILLERMO GIRALDO"/>
    <s v="Gerente"/>
    <s v="IPS MEDICINA INTENSIVA DEL TOLIMA S.A"/>
    <s v="809011517-8"/>
    <s v="farmacia@ucihonda.com.co"/>
    <s v="Calle 9 No 22A-193"/>
    <x v="0"/>
    <s v="HONDA"/>
    <s v="Solicitud de compra de medicamentos Monopolio del Estado"/>
    <n v="202124100281512"/>
    <d v="2021-02-18T00:00:00"/>
    <x v="1"/>
    <n v="202124110302631"/>
    <d v="2021-02-23T00:00:00"/>
    <s v="FEB"/>
    <n v="-5"/>
    <s v="AUTORIZADO"/>
    <m/>
    <s v="No. 052"/>
    <d v="2019-01-22T00:00:00"/>
    <s v="Morfina HCl 10 mg/mL Solución Inyectable ampolla por 1mL"/>
    <n v="200"/>
    <n v="20"/>
    <x v="0"/>
    <x v="0"/>
    <x v="0"/>
    <x v="0"/>
    <x v="18"/>
  </r>
  <r>
    <x v="87"/>
    <s v="IVAN GUILLERMO GIRALDO"/>
    <s v="Gerente"/>
    <s v="IPS MEDICINA INTENSIVA DEL TOLIMA S.A"/>
    <s v="809011517-8"/>
    <s v="farmacia@ucihonda.com.co"/>
    <s v="Calle 9 No 22A-193"/>
    <x v="0"/>
    <s v="HONDA"/>
    <s v="Solicitud de compra de medicamentos Monopolio del Estado"/>
    <n v="202124100281512"/>
    <d v="2021-02-18T00:00:00"/>
    <x v="1"/>
    <n v="202124110302631"/>
    <d v="2021-02-23T00:00:00"/>
    <s v="FEB"/>
    <n v="-5"/>
    <s v="AUTORIZADO"/>
    <m/>
    <s v="No. 052"/>
    <d v="2019-01-22T00:00:00"/>
    <s v="Hidromorfona HCl 2 mg/mL Solución Inyectable_cajas X 10 unidades c/u"/>
    <n v="100"/>
    <n v="10"/>
    <x v="1"/>
    <x v="2"/>
    <x v="0"/>
    <x v="0"/>
    <x v="10"/>
  </r>
  <r>
    <x v="87"/>
    <s v="IVAN GUILLERMO GIRALDO"/>
    <s v="Gerente"/>
    <s v="IPS MEDICINA INTENSIVA DEL TOLIMA S.A"/>
    <s v="809011517-8"/>
    <s v="farmacia@ucihonda.com.co"/>
    <s v="Calle 9 No 22A-193"/>
    <x v="0"/>
    <s v="HONDA"/>
    <s v="Solicitud de compra de medicamentos Monopolio del Estado"/>
    <n v="202124100281512"/>
    <d v="2021-02-18T00:00:00"/>
    <x v="1"/>
    <n v="202124110302631"/>
    <d v="2021-02-23T00:00:00"/>
    <s v="FEB"/>
    <n v="-5"/>
    <s v="AUTORIZADO"/>
    <m/>
    <s v="No. 052"/>
    <d v="2019-01-22T00:00:00"/>
    <s v="Metadona HCl 40 mg Tableta_Cajas X 30 unidades c/u"/>
    <n v="30"/>
    <n v="1"/>
    <x v="2"/>
    <x v="4"/>
    <x v="2"/>
    <x v="2"/>
    <x v="8"/>
  </r>
  <r>
    <x v="88"/>
    <s v="SURLAY DEL CARMEN REYES CACERES"/>
    <s v="Director Técnico"/>
    <s v="HOSPITAL MILITAR REGIONAL DE BARRANQUILLA PDF BARRANQUILLA BATALLON ASPC No. 2 CACIQUE ALONSO XEQUE.ÉTICOS U.T2020"/>
    <s v="830039670-5"/>
    <s v="qffarmacia10501@eticos.com"/>
    <s v="Calle 30 Km 3 Base Aérea"/>
    <x v="3"/>
    <s v="MALAMBO"/>
    <s v="Solicitud Autorización compra medicamentos de control especial"/>
    <n v="202124100282482"/>
    <d v="2021-02-18T00:00:00"/>
    <x v="1"/>
    <n v="202124110302651"/>
    <d v="2021-02-23T00:00:00"/>
    <s v="FEB"/>
    <n v="-5"/>
    <s v="AUTORIZADO"/>
    <s v="Se anula la autorización toda vez que el usuario solicita una nueva cotizacion ya que el NIT no es el correcto"/>
    <s v="No. 1943"/>
    <d v="2020-07-17T00:00:00"/>
    <s v="Morfina HCl 0,03 Solución Oral_frascos X 30 mL c/u"/>
    <n v="12"/>
    <n v="12"/>
    <x v="0"/>
    <x v="1"/>
    <x v="1"/>
    <x v="1"/>
    <x v="91"/>
  </r>
  <r>
    <x v="89"/>
    <s v="ALEXANDER RAMOS"/>
    <s v="TRF COORDINADOR"/>
    <s v="LOGIFARMA"/>
    <s v="900073223-3"/>
    <s v="coordinadormagdalena@logifarma.co"/>
    <s v="Carrera 5 No. 26-35 local 107"/>
    <x v="4"/>
    <s v="MAGDALENA"/>
    <s v="COTIZACION PARA LOGIFARMA MAGDALENA"/>
    <n v="202124100282592"/>
    <d v="2021-02-18T00:00:00"/>
    <x v="1"/>
    <n v="202124110302711"/>
    <d v="2021-02-23T00:00:00"/>
    <s v="FEB"/>
    <n v="-5"/>
    <s v="NEGADO"/>
    <s v="El solicitante no presentó los documentos necesarios para la autorizacion"/>
    <s v="NO DISPONIBLE"/>
    <s v="NO DISPONIBLE"/>
    <s v="Fenobarbital 0,4% Solución Oral_frascos X 120 mL c/u"/>
    <n v="0"/>
    <n v="0"/>
    <x v="5"/>
    <x v="11"/>
    <x v="1"/>
    <x v="6"/>
    <x v="0"/>
  </r>
  <r>
    <x v="89"/>
    <s v="ALEXANDER RAMOS"/>
    <s v="TRF COORDINADOR"/>
    <s v="LOGIFARMA"/>
    <s v="900073223-3"/>
    <s v="coordinadormagdalena@logifarma.co"/>
    <s v="Carrera 5 No. 26-35 local 107"/>
    <x v="4"/>
    <s v="MAGDALENA"/>
    <s v="COTIZACION PARA LOGIFARMA MAGDALENA"/>
    <n v="202124100282592"/>
    <d v="2021-02-18T00:00:00"/>
    <x v="1"/>
    <n v="202124110302711"/>
    <d v="2021-02-23T00:00:00"/>
    <s v="FEB"/>
    <n v="-5"/>
    <s v="NEGADO"/>
    <s v="El solicitante no presentó los documentos necesarios para la autorizacion"/>
    <s v="NO DISPONIBLE"/>
    <s v="NO DISPONIBLE"/>
    <s v="Fenobarbital 100 mg Tableta_cajas X 30 unidades c/u"/>
    <n v="0"/>
    <n v="0"/>
    <x v="5"/>
    <x v="7"/>
    <x v="4"/>
    <x v="2"/>
    <x v="0"/>
  </r>
  <r>
    <x v="89"/>
    <s v="ALEXANDER RAMOS"/>
    <s v="TRF COORDINADOR"/>
    <s v="LOGIFARMA"/>
    <s v="900073223-3"/>
    <s v="coordinadormagdalena@logifarma.co"/>
    <s v="Carrera 5 No. 26-35 local 107"/>
    <x v="4"/>
    <s v="MAGDALENA"/>
    <s v="COTIZACION PARA LOGIFARMA MAGDALENA"/>
    <n v="202124100282592"/>
    <d v="2021-02-18T00:00:00"/>
    <x v="1"/>
    <n v="202124110302711"/>
    <d v="2021-02-23T00:00:00"/>
    <s v="FEB"/>
    <n v="-5"/>
    <s v="NEGADO"/>
    <s v="El solicitante no presentó los documentos necesarios para la autorizacion"/>
    <s v="NO DISPONIBLE"/>
    <s v="NO DISPONIBLE"/>
    <s v="Fenobarbital 50 mg Tableta_cajas X 30 unidades c/u"/>
    <n v="0"/>
    <n v="0"/>
    <x v="5"/>
    <x v="12"/>
    <x v="4"/>
    <x v="2"/>
    <x v="0"/>
  </r>
  <r>
    <x v="90"/>
    <s v="JOCIMAR DAVID POLO ESCORCIA"/>
    <s v="Director Técnico"/>
    <s v="CLINICA DE LA MUJER S.A"/>
    <s v="819.000.364-7"/>
    <s v="quimicofarmaceutico@clinicadelamujersa.com.co"/>
    <s v="calle 22 No. 21-16 "/>
    <x v="4"/>
    <s v="MAGDALENA"/>
    <s v="Cotización de Medicamentos Control Especial -Monopolio del Estado. _x000a_"/>
    <n v="202124100283632"/>
    <d v="2021-02-18T00:00:00"/>
    <x v="1"/>
    <n v="202124110302761"/>
    <d v="2021-02-23T00:00:00"/>
    <s v="FEB"/>
    <n v="-5"/>
    <s v="NEGADO"/>
    <s v="El solicitante no presentó los documentos necesarios para la autorizacion"/>
    <s v="NO DISPONIBLE"/>
    <s v="NO DISPONIBLE"/>
    <s v="Fenobarbital Sódico 40 mg/mL Solución Inyectable_caja X 10 ampollas c/u"/>
    <n v="0"/>
    <n v="0"/>
    <x v="3"/>
    <x v="6"/>
    <x v="0"/>
    <x v="0"/>
    <x v="0"/>
  </r>
  <r>
    <x v="90"/>
    <s v="JOCIMAR DAVID POLO ESCORCIA"/>
    <s v="Director Técnico"/>
    <s v="CLINICA DE LA MUJER S.A"/>
    <s v="819.000.364-7"/>
    <s v="quimicofarmaceutico@clinicadelamujersa.com.co"/>
    <s v="calle 22 No. 21-17"/>
    <x v="4"/>
    <s v="MAGDALENA"/>
    <s v="Cotización de Medicamentos Control Especial -Monopolio del Estado. _x000a_"/>
    <n v="202124100283632"/>
    <d v="2021-02-18T00:00:00"/>
    <x v="1"/>
    <n v="202124110302761"/>
    <d v="2021-02-23T00:00:00"/>
    <s v="FEB"/>
    <n v="-5"/>
    <s v="NEGADO"/>
    <s v="El solicitante no presentó los documentos necesarios para la autorizacion"/>
    <s v="NO DISPONIBLE"/>
    <s v="NO DISPONIBLE"/>
    <s v="Meperidina HCl 100 mg/2mL Solución Inyectable_cajas X 10 unidades c/u"/>
    <n v="0"/>
    <n v="0"/>
    <x v="6"/>
    <x v="8"/>
    <x v="0"/>
    <x v="3"/>
    <x v="0"/>
  </r>
  <r>
    <x v="90"/>
    <s v="JOCIMAR DAVID POLO ESCORCIA"/>
    <s v="Director Técnico"/>
    <s v="CLINICA DE LA MUJER S.A"/>
    <s v="819.000.364-7"/>
    <s v="quimicofarmaceutico@clinicadelamujersa.com.co"/>
    <s v="calle 22 No. 21-18"/>
    <x v="4"/>
    <s v="MAGDALENA"/>
    <s v="Cotización de Medicamentos Control Especial -Monopolio del Estado. _x000a_"/>
    <n v="202124100283632"/>
    <d v="2021-02-18T00:00:00"/>
    <x v="1"/>
    <n v="202124110302761"/>
    <d v="2021-02-23T00:00:00"/>
    <s v="FEB"/>
    <n v="-5"/>
    <s v="NEGADO"/>
    <s v="El solicitante no presentó los documentos necesarios para la autorizacion"/>
    <s v="NO DISPONIBLE"/>
    <s v="NO DISPONIBLE"/>
    <s v="Morfina HCl 10 mg/mL Solución Inyectable ampolla por 1mL"/>
    <n v="0"/>
    <n v="0"/>
    <x v="0"/>
    <x v="0"/>
    <x v="0"/>
    <x v="0"/>
    <x v="0"/>
  </r>
  <r>
    <x v="91"/>
    <s v="SILVIA ANDREA TRISTANCHO VILLAMIZAR"/>
    <s v="Director Técnico"/>
    <s v="FUNDACION CARDIOVASCULAR DE COLOMBIA"/>
    <s v="890212568-0"/>
    <s v="silviatristancho@fcv.org"/>
    <s v="Calle 155A No. 23-58"/>
    <x v="8"/>
    <s v="FLORIDABLANCA"/>
    <s v="solicitud de autorización de compra directa"/>
    <n v="202124100285742"/>
    <d v="2021-02-18T00:00:00"/>
    <x v="1"/>
    <n v="202124110302791"/>
    <d v="2021-02-23T00:00:00"/>
    <s v="FEB"/>
    <n v="-5"/>
    <s v="AUTORIZADO"/>
    <m/>
    <s v="No. 16233"/>
    <d v="2018-10-08T00:00:00"/>
    <s v="Morfina HCl 10 mg/mL Solución Inyectable ampolla por 1mL"/>
    <n v="3000"/>
    <n v="300"/>
    <x v="0"/>
    <x v="0"/>
    <x v="0"/>
    <x v="0"/>
    <x v="78"/>
  </r>
  <r>
    <x v="92"/>
    <s v="ERIKA JANNET LONDOÑO URIBE"/>
    <s v="Representante Legal"/>
    <s v="LOS COMUNEROS HOSPITAL UNIVERSITARIO DE BUCARAMANGA S.A."/>
    <s v="900240018-6"/>
    <s v="adriana.chaves@loscomuneroshub.com"/>
    <s v="Carrera 27 No. 30-15"/>
    <x v="8"/>
    <s v="BUCARAMANGA"/>
    <s v="solicitar cotización de controlados"/>
    <n v="202124100285762"/>
    <d v="2021-02-18T00:00:00"/>
    <x v="1"/>
    <n v="202124110302901"/>
    <d v="2021-02-23T00:00:00"/>
    <s v="FEB"/>
    <n v="-5"/>
    <s v="AUTORIZADO"/>
    <m/>
    <s v="No. 5531"/>
    <d v="2019-04-26T00:00:00"/>
    <s v="Morfina HCl 10 mg/mL Solución Inyectable ampolla por 1mL"/>
    <n v="3100"/>
    <n v="310"/>
    <x v="0"/>
    <x v="0"/>
    <x v="0"/>
    <x v="0"/>
    <x v="92"/>
  </r>
  <r>
    <x v="92"/>
    <s v="ERIKA JANNET LONDOÑO URIBE"/>
    <s v="Representante Legal"/>
    <s v="LOS COMUNEROS HOSPITAL UNIVERSITARIO DE BUCARAMANGA S.A."/>
    <s v="900240018-6"/>
    <s v="adriana.chaves@loscomuneroshub.com"/>
    <s v="Carrera 27 No. 30-15"/>
    <x v="8"/>
    <s v="BUCARAMANGA"/>
    <s v="solicitar cotización de controlados"/>
    <n v="202124100285762"/>
    <d v="2021-02-18T00:00:00"/>
    <x v="1"/>
    <n v="202124110302901"/>
    <d v="2021-02-23T00:00:00"/>
    <s v="FEB"/>
    <n v="-5"/>
    <s v="AUTORIZADO"/>
    <m/>
    <s v="No. 5531"/>
    <d v="2019-04-26T00:00:00"/>
    <s v="Hidromorfona HCl 2 mg/mL Solución Inyectable_cajas X 10 unidades c/u"/>
    <n v="1300"/>
    <n v="130"/>
    <x v="1"/>
    <x v="2"/>
    <x v="0"/>
    <x v="0"/>
    <x v="93"/>
  </r>
  <r>
    <x v="92"/>
    <s v="ERIKA JANNET LONDOÑO URIBE"/>
    <s v="Representante Legal"/>
    <s v="LOS COMUNEROS HOSPITAL UNIVERSITARIO DE BUCARAMANGA S.A."/>
    <s v="900240018-6"/>
    <s v="adriana.chaves@loscomuneroshub.com"/>
    <s v="Carrera 27 No. 30-15"/>
    <x v="8"/>
    <s v="BUCARAMANGA"/>
    <s v="solicitar cotización de controlados"/>
    <n v="202124100285762"/>
    <d v="2021-02-18T00:00:00"/>
    <x v="1"/>
    <n v="202124110302901"/>
    <d v="2021-02-23T00:00:00"/>
    <s v="FEB"/>
    <n v="-5"/>
    <s v="AUTORIZADO"/>
    <m/>
    <s v="No. 5531"/>
    <d v="2019-04-26T00:00:00"/>
    <s v="Metadona HCl 10 mg Tableta_Cajas X 30 unidades c/u"/>
    <n v="720"/>
    <n v="24"/>
    <x v="2"/>
    <x v="3"/>
    <x v="2"/>
    <x v="2"/>
    <x v="73"/>
  </r>
  <r>
    <x v="93"/>
    <s v="YAMITH PRECIADO BONILLA"/>
    <s v="Director Técnico"/>
    <s v="MESSER COLOMBIA S.A"/>
    <s v="860005114-4"/>
    <s v="yamith.preciado@messer-co.com"/>
    <s v="Carrera 49C No. 80-148"/>
    <x v="3"/>
    <s v="BARRANQUILLA"/>
    <s v="SOLICITUD AUTORIZACION COMPRA DE FENOBARBITAL SOLUCION ORAL 120 ML"/>
    <n v="202124100287952"/>
    <d v="2021-02-18T00:00:00"/>
    <x v="1"/>
    <n v="202124110302941"/>
    <d v="2021-02-23T00:00:00"/>
    <s v="FEB"/>
    <n v="-5"/>
    <s v="AUTORIZADO"/>
    <m/>
    <s v="No. 4001"/>
    <d v="2020-12-21T00:00:00"/>
    <s v="Fenobarbital 0,4% Solución Oral_frascos X 120 mL c/u"/>
    <n v="18"/>
    <n v="18"/>
    <x v="5"/>
    <x v="11"/>
    <x v="1"/>
    <x v="6"/>
    <x v="37"/>
  </r>
  <r>
    <x v="94"/>
    <s v="LILIANA MARIA ARBOLEDA ARANGO"/>
    <s v="Gerente General"/>
    <s v="SERVICIOS DE SALUD IPS SURAMERICANA S.A."/>
    <s v="811007832-5"/>
    <s v="jquintana@sura.com.co"/>
    <s v="Calle 25 No 45-106"/>
    <x v="13"/>
    <s v="MEDELLIN"/>
    <s v="Autorización compra directa Fondo Nacional de Estupefacientes"/>
    <n v="202124100291412"/>
    <d v="2021-02-19T00:00:00"/>
    <x v="1"/>
    <n v="202124110337281"/>
    <d v="2021-03-01T00:00:00"/>
    <s v="FEB"/>
    <n v="-10"/>
    <s v="AUTORIZADO"/>
    <m/>
    <s v="No. 2018060232778"/>
    <d v="2018-07-19T00:00:00"/>
    <s v="Hidromorfona HCl 2 mg/mL Solución Inyectable_cajas X 10 unidades c/u"/>
    <n v="3000"/>
    <n v="300"/>
    <x v="1"/>
    <x v="2"/>
    <x v="0"/>
    <x v="0"/>
    <x v="78"/>
  </r>
  <r>
    <x v="94"/>
    <s v="LILIANA MARIA ARBOLEDA ARANGO"/>
    <s v="Gerente General"/>
    <s v="SERVICIOS DE SALUD IPS SURAMERICANA S.A."/>
    <s v="811007832-5"/>
    <s v="jquintana@sura.com.co"/>
    <s v="Calle 25 No 45-106"/>
    <x v="13"/>
    <s v="MEDELLIN"/>
    <s v="Autorización compra directa Fondo Nacional de Estupefacientes"/>
    <n v="202124100291412"/>
    <d v="2021-02-19T00:00:00"/>
    <x v="1"/>
    <n v="202124110337281"/>
    <d v="2021-03-01T00:00:00"/>
    <s v="FEB"/>
    <n v="-10"/>
    <s v="AUTORIZADO"/>
    <m/>
    <s v="No. 2018060232778"/>
    <d v="2018-07-19T00:00:00"/>
    <s v="Morfina HCl 10 mg/mL Solución Inyectable ampolla por 1mL"/>
    <n v="3000"/>
    <n v="300"/>
    <x v="0"/>
    <x v="0"/>
    <x v="0"/>
    <x v="0"/>
    <x v="78"/>
  </r>
  <r>
    <x v="94"/>
    <s v="LILIANA MARIA ARBOLEDA ARANGO"/>
    <s v="Gerente General"/>
    <s v="SERVICIOS DE SALUD IPS SURAMERICANA S.A."/>
    <s v="811007832-5"/>
    <s v="jquintana@sura.com.co"/>
    <s v="Calle 25 No 45-106"/>
    <x v="13"/>
    <s v="MEDELLIN"/>
    <s v="Autorización compra directa Fondo Nacional de Estupefacientes"/>
    <n v="202124100291412"/>
    <d v="2021-02-19T00:00:00"/>
    <x v="1"/>
    <n v="202124110337281"/>
    <d v="2021-03-01T00:00:00"/>
    <s v="FEB"/>
    <n v="-10"/>
    <s v="AUTORIZADO"/>
    <m/>
    <s v="No. 2018060232778"/>
    <d v="2018-07-19T00:00:00"/>
    <s v="Morfina HCl 0,03 Solución Oral_frascos X 30 mL c/u"/>
    <n v="180"/>
    <n v="180"/>
    <x v="0"/>
    <x v="1"/>
    <x v="1"/>
    <x v="1"/>
    <x v="94"/>
  </r>
  <r>
    <x v="95"/>
    <s v="VICTOR ADRIAN RAMIREZ BERRIO"/>
    <s v="Quimico Farmacéutico"/>
    <s v="ETICOS SERRANO GOMEZ LTDA"/>
    <s v="8922300678-7"/>
    <s v="v.adrian.ramirez@gmail.com"/>
    <s v="Km7 Via puerto lopez, vereda Apiay"/>
    <x v="6"/>
    <s v="VILLAVICENCIO"/>
    <s v="Cotización Medicamento Monopolio - Traslado"/>
    <n v="202124100292862"/>
    <d v="2021-02-19T00:00:00"/>
    <x v="1"/>
    <n v="202124110302991"/>
    <d v="2021-02-23T00:00:00"/>
    <s v="FEB"/>
    <n v="-4"/>
    <s v="AUTORIZADO"/>
    <m/>
    <s v="No. 278"/>
    <d v="2020-08-27T00:00:00"/>
    <s v="Primidona 250 mg Tableta_caja X 30 unidades c/u"/>
    <n v="180"/>
    <n v="6"/>
    <x v="7"/>
    <x v="10"/>
    <x v="4"/>
    <x v="2"/>
    <x v="53"/>
  </r>
  <r>
    <x v="95"/>
    <s v="VICTOR ADRIAN RAMIREZ BERRIO"/>
    <s v="Quimico Farmacéutico"/>
    <s v="ETICOS SERRANO GOMEZ LTDA"/>
    <s v="8922300678-7"/>
    <s v="v.adrian.ramirez@gmail.com"/>
    <s v="Km7 Via puerto lopez, vereda Apiay"/>
    <x v="6"/>
    <s v="VILLAVICENCIO"/>
    <s v="Cotización Medicamento Monopolio - Traslado"/>
    <n v="202124100292862"/>
    <d v="2021-02-19T00:00:00"/>
    <x v="1"/>
    <n v="202124110302991"/>
    <d v="2021-02-23T00:00:00"/>
    <s v="FEB"/>
    <n v="-4"/>
    <s v="AUTORIZADO"/>
    <m/>
    <s v="No. 278"/>
    <d v="2020-08-27T00:00:00"/>
    <s v="Hidromorfona HCl 2,5 mg Tableta_cajas X 20 unidades c/u"/>
    <n v="800"/>
    <n v="40"/>
    <x v="1"/>
    <x v="9"/>
    <x v="4"/>
    <x v="4"/>
    <x v="95"/>
  </r>
  <r>
    <x v="95"/>
    <s v="VICTOR ADRIAN RAMIREZ BERRIO"/>
    <s v="Quimico Farmacéutico"/>
    <s v="ETICOS SERRANO GOMEZ LTDA"/>
    <s v="8922300678-7"/>
    <s v="v.adrian.ramirez@gmail.com"/>
    <s v="Km7 Via puerto lopez, vereda Apiay"/>
    <x v="6"/>
    <s v="VILLAVICENCIO"/>
    <s v="Cotización Medicamento Monopolio - Traslado"/>
    <n v="202124100292862"/>
    <d v="2021-02-19T00:00:00"/>
    <x v="1"/>
    <n v="202124110302991"/>
    <d v="2021-02-23T00:00:00"/>
    <s v="FEB"/>
    <n v="-4"/>
    <s v="AUTORIZADO"/>
    <m/>
    <s v="No. 278"/>
    <d v="2020-08-27T00:00:00"/>
    <s v="Fenobarbital 100 mg Tableta_cajas X 30 unidades c/u"/>
    <n v="600"/>
    <n v="20"/>
    <x v="5"/>
    <x v="7"/>
    <x v="4"/>
    <x v="2"/>
    <x v="7"/>
  </r>
  <r>
    <x v="95"/>
    <s v="VICTOR ADRIAN RAMIREZ BERRIO"/>
    <s v="Quimico Farmacéutico"/>
    <s v="ETICOS SERRANO GOMEZ LTDA"/>
    <s v="8922300678-7"/>
    <s v="v.adrian.ramirez@gmail.com"/>
    <s v="Km7 Via puerto lopez, vereda Apiay"/>
    <x v="6"/>
    <s v="VILLAVICENCIO"/>
    <s v="Cotización Medicamento Monopolio - Traslado"/>
    <n v="202124100292862"/>
    <d v="2021-02-19T00:00:00"/>
    <x v="1"/>
    <n v="202124110302991"/>
    <d v="2021-02-23T00:00:00"/>
    <s v="FEB"/>
    <n v="-4"/>
    <s v="AUTORIZADO"/>
    <m/>
    <s v="No. 278"/>
    <d v="2020-08-27T00:00:00"/>
    <s v="Morfina HCl 0,03 Solución Oral_frascos X 30 mL c/u"/>
    <n v="12"/>
    <n v="12"/>
    <x v="0"/>
    <x v="1"/>
    <x v="1"/>
    <x v="1"/>
    <x v="91"/>
  </r>
  <r>
    <x v="95"/>
    <s v="VICTOR ADRIAN RAMIREZ BERRIO"/>
    <s v="Quimico Farmacéutico"/>
    <s v="ETICOS SERRANO GOMEZ LTDA"/>
    <s v="8922300678-7"/>
    <s v="v.adrian.ramirez@gmail.com"/>
    <s v="Km7 Via puerto lopez, vereda Apiay"/>
    <x v="6"/>
    <s v="VILLAVICENCIO"/>
    <s v="Cotización Medicamento Monopolio - Traslado"/>
    <n v="202124100292862"/>
    <d v="2021-02-19T00:00:00"/>
    <x v="1"/>
    <n v="202124110302991"/>
    <d v="2021-02-23T00:00:00"/>
    <s v="FEB"/>
    <n v="-4"/>
    <s v="AUTORIZADO"/>
    <m/>
    <s v="No. 278"/>
    <d v="2020-08-27T00:00:00"/>
    <s v="Metadona HCl 10 mg Tableta_Cajas X 30 unidades c/u"/>
    <n v="240"/>
    <n v="8"/>
    <x v="2"/>
    <x v="3"/>
    <x v="2"/>
    <x v="2"/>
    <x v="96"/>
  </r>
  <r>
    <x v="96"/>
    <s v="JOHN  JAIMA ZAPATA FERIA"/>
    <s v="Quimico Farmacéutico"/>
    <s v="SUMINISTROS Y DOTACIONES COLOMBIA S.A - S Y D COLOMBIA S.A"/>
    <s v="802000608-7"/>
    <s v="johnjaimezapata01@gmail.com"/>
    <s v="Calle 15 No 7-95"/>
    <x v="14"/>
    <s v="YOPAL"/>
    <s v="Cotización de MCE Monopolio"/>
    <n v="202124100293612"/>
    <d v="2021-02-19T00:00:00"/>
    <x v="1"/>
    <n v="202124110303001"/>
    <d v="2021-02-23T00:00:00"/>
    <s v="FEB"/>
    <n v="-4"/>
    <s v="AUTORIZADO"/>
    <m/>
    <s v="No. 028"/>
    <d v="2021-01-27T00:00:00"/>
    <s v="Fenobarbital 0,4% Solución Oral_frascos X 120 mL c/u"/>
    <n v="10"/>
    <n v="10"/>
    <x v="5"/>
    <x v="11"/>
    <x v="1"/>
    <x v="6"/>
    <x v="69"/>
  </r>
  <r>
    <x v="96"/>
    <s v="JOHN  JAIMA ZAPATA FERIA"/>
    <s v="Quimico Farmacéutico"/>
    <s v="SUMINISTROS Y DOTACIONES COLOMBIA S.A - S Y D COLOMBIA S.A"/>
    <s v="802000608-7"/>
    <s v="johnjaimezapata01@gmail.com"/>
    <s v="Calle 15 No 7-95"/>
    <x v="14"/>
    <s v="YOPAL"/>
    <s v="Cotización de MCE Monopolio"/>
    <n v="202124100293612"/>
    <d v="2021-02-19T00:00:00"/>
    <x v="1"/>
    <n v="202124110303001"/>
    <d v="2021-02-23T00:00:00"/>
    <s v="FEB"/>
    <n v="-4"/>
    <s v="NEGADO"/>
    <s v="EL FNE CUENTA CON BAJA DISPONIBILIDAD EN SU INVENTARIO"/>
    <s v="No. 028"/>
    <d v="2021-01-27T00:00:00"/>
    <s v="Fenobarbital Sódico 200 mg/mL Solución Inyectable_caja X 10 ampollas c/u"/>
    <n v="0"/>
    <n v="0"/>
    <x v="3"/>
    <x v="5"/>
    <x v="0"/>
    <x v="0"/>
    <x v="0"/>
  </r>
  <r>
    <x v="96"/>
    <s v="JOHN  JAIMA ZAPATA FERIA"/>
    <s v="Quimico Farmacéutico"/>
    <s v="SUMINISTROS Y DOTACIONES COLOMBIA S.A - S Y D COLOMBIA S.A"/>
    <s v="802000608-7"/>
    <s v="johnjaimezapata01@gmail.com"/>
    <s v="Calle 15 No 7-95"/>
    <x v="14"/>
    <s v="YOPAL"/>
    <s v="Cotización de MCE Monopolio"/>
    <n v="202124100293612"/>
    <d v="2021-02-19T00:00:00"/>
    <x v="1"/>
    <n v="202124110303001"/>
    <d v="2021-02-23T00:00:00"/>
    <s v="FEB"/>
    <n v="-4"/>
    <s v="AUTORIZADO"/>
    <m/>
    <s v="No. 028"/>
    <d v="2021-01-27T00:00:00"/>
    <s v="Hidromorfona HCl 2 mg/mL Solución Inyectable_cajas X 10 unidades c/u"/>
    <n v="800"/>
    <n v="80"/>
    <x v="1"/>
    <x v="2"/>
    <x v="0"/>
    <x v="0"/>
    <x v="65"/>
  </r>
  <r>
    <x v="96"/>
    <s v="JOHN  JAIMA ZAPATA FERIA"/>
    <s v="Quimico Farmacéutico"/>
    <s v="SUMINISTROS Y DOTACIONES COLOMBIA S.A - S Y D COLOMBIA S.A"/>
    <s v="802000608-7"/>
    <s v="johnjaimezapata01@gmail.com"/>
    <s v="Calle 15 No 7-95"/>
    <x v="14"/>
    <s v="YOPAL"/>
    <s v="Cotización de MCE Monopolio"/>
    <n v="202124100293612"/>
    <d v="2021-02-19T00:00:00"/>
    <x v="1"/>
    <n v="202124110303001"/>
    <d v="2021-02-23T00:00:00"/>
    <s v="FEB"/>
    <n v="-4"/>
    <s v="AUTORIZADO"/>
    <m/>
    <s v="No. 028"/>
    <d v="2021-01-27T00:00:00"/>
    <s v="Morfina HCl 0,03 Solución Oral_frascos X 30 mL c/u"/>
    <n v="25"/>
    <n v="25"/>
    <x v="0"/>
    <x v="1"/>
    <x v="1"/>
    <x v="1"/>
    <x v="97"/>
  </r>
  <r>
    <x v="96"/>
    <s v="JOHN  JAIMA ZAPATA FERIA"/>
    <s v="Quimico Farmacéutico"/>
    <s v="SUMINISTROS Y DOTACIONES COLOMBIA S.A - S Y D COLOMBIA S.A"/>
    <s v="802000608-7"/>
    <s v="johnjaimezapata01@gmail.com"/>
    <s v="Calle 15 No 7-95"/>
    <x v="14"/>
    <s v="YOPAL"/>
    <s v="Cotización de MCE Monopolio"/>
    <n v="202124100293612"/>
    <d v="2021-02-19T00:00:00"/>
    <x v="1"/>
    <n v="202124110303001"/>
    <d v="2021-02-23T00:00:00"/>
    <s v="FEB"/>
    <n v="-4"/>
    <s v="AUTORIZADO"/>
    <m/>
    <s v="No. 028"/>
    <d v="2021-01-27T00:00:00"/>
    <s v="Morfina HCl 10 mg/mL Solución Inyectable ampolla por 1mL"/>
    <n v="2000"/>
    <n v="200"/>
    <x v="0"/>
    <x v="0"/>
    <x v="0"/>
    <x v="0"/>
    <x v="55"/>
  </r>
  <r>
    <x v="97"/>
    <s v="RONALD FUENTES JIMENEZ"/>
    <s v="Quimico Farmacéutico"/>
    <s v="ESTABLECIMIENTO DE SANIDAD MILITAR 1034 ESCUELA NAVAL DE SUBOFICIALES ARC BARRANQUILLA -ÉTICOS U.T. 2020 -ÉTICOS U.T. 2020"/>
    <s v="830.039.670-5"/>
    <s v="qffarmacia10502@eticos.com"/>
    <s v="Calle 30 Km 3 Base Aérea"/>
    <x v="3"/>
    <s v="MALAMBO"/>
    <s v="Solicitud compra medicamento METILFENIDATO 10 mg TABLETA"/>
    <n v="202124100254852"/>
    <d v="2021-02-15T00:00:00"/>
    <x v="1"/>
    <n v="202124110337351"/>
    <d v="2021-03-01T00:00:00"/>
    <s v="FEB"/>
    <n v="-14"/>
    <s v="AUTORIZADO"/>
    <m/>
    <s v="No. 1944"/>
    <d v="2020-07-17T00:00:00"/>
    <s v="Metilfenidato HCl 10 mg Comprimido_cajas X 30 unidades c/u"/>
    <n v="600"/>
    <n v="20"/>
    <x v="4"/>
    <x v="3"/>
    <x v="3"/>
    <x v="2"/>
    <x v="7"/>
  </r>
  <r>
    <x v="98"/>
    <s v="CELMIRA HERRERA MONTEJO"/>
    <s v="Director Técnico"/>
    <s v="DROGERÍA MARCAZSALUD RC SAS"/>
    <s v="900.928.565-8"/>
    <s v="luis.ratia@marcazsalud.com.co"/>
    <s v="Calle 19 No 23 - 14"/>
    <x v="14"/>
    <s v="YOPAL"/>
    <s v="Solicitud de compra de medicamentos Monopolio del Estado"/>
    <n v="202124100306592"/>
    <d v="2021-02-22T00:00:00"/>
    <x v="1"/>
    <n v="202124110337391"/>
    <d v="2021-03-01T00:00:00"/>
    <s v="FEB"/>
    <n v="-7"/>
    <s v="AUTORIZADO"/>
    <s v="Se asocia al Radicado No. 202124100306762 del 22/02/2021"/>
    <s v="No. 026"/>
    <d v="2021-01-27T00:00:00"/>
    <s v="Hidromorfona HCl 2,5 mg Tableta_cajas X 20 unidades c/u"/>
    <n v="200"/>
    <n v="10"/>
    <x v="1"/>
    <x v="9"/>
    <x v="4"/>
    <x v="4"/>
    <x v="98"/>
  </r>
  <r>
    <x v="98"/>
    <s v="CELMIRA HERRERA MONTEJO"/>
    <s v="Director Técnico"/>
    <s v="DROGERÍA MARCAZSALUD RC SAS"/>
    <s v="900.928.565-8"/>
    <s v="luis.ratia@marcazsalud.com.co"/>
    <s v="Calle 19 No 23 - 14"/>
    <x v="14"/>
    <s v="YOPAL"/>
    <s v="Solicitud de compra de medicamentos Monopolio del Estado"/>
    <n v="202124100306592"/>
    <d v="2021-02-22T00:00:00"/>
    <x v="1"/>
    <n v="202124110337391"/>
    <d v="2021-03-01T00:00:00"/>
    <s v="FEB"/>
    <n v="-7"/>
    <s v="AUTORIZADO"/>
    <s v="Se asocia al Radicado No. 202124100306762 del 22/02/2021"/>
    <s v="No. 026"/>
    <d v="2021-01-27T00:00:00"/>
    <s v="Morfina HCl 0,03 Solución Oral_frascos X 30 mL c/u"/>
    <n v="50"/>
    <n v="50"/>
    <x v="0"/>
    <x v="1"/>
    <x v="1"/>
    <x v="1"/>
    <x v="99"/>
  </r>
  <r>
    <x v="98"/>
    <s v="CELMIRA HERRERA MONTEJO"/>
    <s v="Director Técnico"/>
    <s v="DROGERÍA MARCAZSALUD RC SAS"/>
    <s v="900.928.565-8"/>
    <s v="luis.ratia@marcazsalud.com.co"/>
    <s v="Calle 19 No 23 - 14"/>
    <x v="14"/>
    <s v="YOPAL"/>
    <s v="Solicitud de compra de medicamentos Monopolio del Estado"/>
    <n v="202124100306592"/>
    <d v="2021-02-22T00:00:00"/>
    <x v="1"/>
    <n v="202124110337391"/>
    <d v="2021-03-01T00:00:00"/>
    <s v="FEB"/>
    <n v="-7"/>
    <s v="AUTORIZADO"/>
    <s v="Se asocia al Radicado No. 202124100306762 del 22/02/2021"/>
    <s v="No. 026"/>
    <d v="2021-01-27T00:00:00"/>
    <s v="Fenobarbital 0,4% Solución Oral_frascos X 120 mL c/u"/>
    <n v="15"/>
    <n v="15"/>
    <x v="5"/>
    <x v="11"/>
    <x v="1"/>
    <x v="6"/>
    <x v="100"/>
  </r>
  <r>
    <x v="98"/>
    <s v="CELMIRA HERRERA MONTEJO"/>
    <s v="Director Técnico"/>
    <s v="DROGERÍA MARCAZSALUD RC SAS"/>
    <s v="900.928.565-8"/>
    <s v="luis.ratia@marcazsalud.com.co"/>
    <s v="Calle 19 No 23 - 14"/>
    <x v="14"/>
    <s v="YOPAL"/>
    <s v="Solicitud de compra de medicamentos Monopolio del Estado"/>
    <n v="202124100306592"/>
    <d v="2021-02-22T00:00:00"/>
    <x v="1"/>
    <n v="202124110337391"/>
    <d v="2021-03-01T00:00:00"/>
    <s v="FEB"/>
    <n v="-7"/>
    <s v="AUTORIZADO"/>
    <s v="Se asocia al Radicado No. 202124100306762 del 22/02/2021"/>
    <s v="No. 026"/>
    <d v="2021-01-27T00:00:00"/>
    <s v="Fenobarbital 50 mg Tableta_cajas X 30 unidades c/u"/>
    <n v="480"/>
    <n v="16"/>
    <x v="5"/>
    <x v="12"/>
    <x v="4"/>
    <x v="2"/>
    <x v="101"/>
  </r>
  <r>
    <x v="98"/>
    <s v="CELMIRA HERRERA MONTEJO"/>
    <s v="Director Técnico"/>
    <s v="DROGERÍA MARCAZSALUD RC SAS"/>
    <s v="900.928.565-8"/>
    <s v="luis.ratia@marcazsalud.com.co"/>
    <s v="Calle 19 No 23 - 14"/>
    <x v="14"/>
    <s v="YOPAL"/>
    <s v="Solicitud de compra de medicamentos Monopolio del Estado"/>
    <n v="202124100306592"/>
    <d v="2021-02-22T00:00:00"/>
    <x v="1"/>
    <n v="202124110337391"/>
    <d v="2021-03-01T00:00:00"/>
    <s v="FEB"/>
    <n v="-7"/>
    <s v="AUTORIZADO"/>
    <s v="Se asocia al Radicado No. 202124100306762 del 22/02/2021"/>
    <s v="No. 026"/>
    <d v="2021-01-27T00:00:00"/>
    <s v="Metilfenidato HCl 10 mg Comprimido_cajas X 30 unidades c/u"/>
    <n v="30"/>
    <n v="1"/>
    <x v="4"/>
    <x v="3"/>
    <x v="3"/>
    <x v="2"/>
    <x v="8"/>
  </r>
  <r>
    <x v="98"/>
    <s v="CELMIRA HERRERA MONTEJO"/>
    <s v="Director Técnico"/>
    <s v="DROGERÍA MARCAZSALUD RC SAS"/>
    <s v="900.928.565-8"/>
    <s v="luis.ratia@marcazsalud.com.co"/>
    <s v="Calle 19 No 23 - 14"/>
    <x v="14"/>
    <s v="YOPAL"/>
    <s v="Solicitud de compra de medicamentos Monopolio del Estado"/>
    <n v="202124100306592"/>
    <d v="2021-02-22T00:00:00"/>
    <x v="1"/>
    <n v="202124110337391"/>
    <d v="2021-03-01T00:00:00"/>
    <s v="FEB"/>
    <n v="-7"/>
    <s v="AUTORIZADO"/>
    <s v="Se asocia al Radicado No. 202124100306762 del 22/02/2021"/>
    <s v="No. 026"/>
    <d v="2021-01-27T00:00:00"/>
    <s v="Metadona HCl 10 mg Tableta_Cajas X 30 unidades c/u"/>
    <n v="60"/>
    <n v="2"/>
    <x v="2"/>
    <x v="3"/>
    <x v="2"/>
    <x v="2"/>
    <x v="90"/>
  </r>
  <r>
    <x v="99"/>
    <s v="SHIRLEY PAOLA JIMENEZ SARMIENTO"/>
    <s v="Coordinador del Servicio Farmacéutico"/>
    <s v="E.S.E HOSPITAL UNIVERSITARIO JULIO MÉNDEZ BARRENECHE "/>
    <s v="891.780.185-2"/>
    <s v="quimicotroconis@syd.com.co"/>
    <s v=" Carrera 14 # 23-42 "/>
    <x v="4"/>
    <s v="SANTA MARTA"/>
    <s v="Solicitud de compra de medicamentos Monopolio del Estado"/>
    <n v="202124100306882"/>
    <d v="2021-02-22T00:00:00"/>
    <x v="1"/>
    <n v="202124110337501"/>
    <d v="2021-03-01T00:00:00"/>
    <s v="FEB"/>
    <n v="-7"/>
    <s v="AUTORIZADO"/>
    <m/>
    <s v="No. 1609"/>
    <d v="2020-12-09T00:00:00"/>
    <s v="Meperidina HCl 100 mg/2mL Solución Inyectable_cajas X 10 unidades c/u"/>
    <n v="50"/>
    <n v="5"/>
    <x v="6"/>
    <x v="8"/>
    <x v="0"/>
    <x v="3"/>
    <x v="9"/>
  </r>
  <r>
    <x v="99"/>
    <s v="SHIRLEY PAOLA JIMENEZ SARMIENTO"/>
    <s v="Coordinador del Servicio Farmacéutico"/>
    <s v="E.S.E HOSPITAL UNIVERSITARIO JULIO MÉNDEZ BARRENECHE "/>
    <s v="891.780.185-2"/>
    <s v="quimicotroconis@syd.com.co"/>
    <s v=" Carrera 14 # 23-42 "/>
    <x v="4"/>
    <s v="SANTA MARTA"/>
    <s v="Solicitud de compra de medicamentos Monopolio del Estado"/>
    <n v="202124100306882"/>
    <d v="2021-02-22T00:00:00"/>
    <x v="1"/>
    <n v="202124110337501"/>
    <d v="2021-03-01T00:00:00"/>
    <s v="FEB"/>
    <n v="-7"/>
    <s v="AUTORIZADO"/>
    <m/>
    <s v="No. 1609"/>
    <d v="2020-12-09T00:00:00"/>
    <s v="Morfina HCl 10 mg/mL Solución Inyectable ampolla por 1mL"/>
    <n v="500"/>
    <n v="50"/>
    <x v="0"/>
    <x v="0"/>
    <x v="0"/>
    <x v="0"/>
    <x v="57"/>
  </r>
  <r>
    <x v="99"/>
    <s v="SHIRLEY PAOLA JIMENEZ SARMIENTO"/>
    <s v="Coordinador del Servicio Farmacéutico"/>
    <s v="E.S.E HOSPITAL UNIVERSITARIO JULIO MÉNDEZ BARRENECHE "/>
    <s v="891.780.185-2"/>
    <s v="quimicotroconis@syd.com.co"/>
    <s v=" Carrera 14 # 23-42 "/>
    <x v="4"/>
    <s v="SANTA MARTA"/>
    <s v="Solicitud de compra de medicamentos Monopolio del Estado"/>
    <n v="202124100306882"/>
    <d v="2021-02-22T00:00:00"/>
    <x v="1"/>
    <n v="202124110337501"/>
    <d v="2021-03-01T00:00:00"/>
    <s v="FEB"/>
    <n v="-7"/>
    <s v="AUTORIZADO"/>
    <m/>
    <s v="No. 1609"/>
    <d v="2020-12-09T00:00:00"/>
    <s v="Fenobarbital Sódico 40 mg/mL Solución Inyectable_caja X 10 ampollas c/u"/>
    <n v="300"/>
    <n v="30"/>
    <x v="3"/>
    <x v="6"/>
    <x v="0"/>
    <x v="0"/>
    <x v="54"/>
  </r>
  <r>
    <x v="99"/>
    <s v="SHIRLEY PAOLA JIMENEZ SARMIENTO"/>
    <s v="Coordinador del Servicio Farmacéutico"/>
    <s v="E.S.E HOSPITAL UNIVERSITARIO JULIO MÉNDEZ BARRENECHE "/>
    <s v="891.780.185-2"/>
    <s v="quimicotroconis@syd.com.co"/>
    <s v=" Carrera 14 # 23-42 "/>
    <x v="4"/>
    <s v="SANTA MARTA"/>
    <s v="Solicitud de compra de medicamentos Monopolio del Estado"/>
    <n v="202124100306882"/>
    <d v="2021-02-22T00:00:00"/>
    <x v="1"/>
    <n v="202124110337501"/>
    <d v="2021-03-01T00:00:00"/>
    <s v="FEB"/>
    <n v="-7"/>
    <s v="NEGADO"/>
    <s v="EL FNE CUENTA CON BAJA DISPONIBILIDAD EN SU INVENTARIO"/>
    <s v="No. 1609"/>
    <d v="2020-12-09T00:00:00"/>
    <s v="Fenobarbital Sódico 200 mg/mL Solución Inyectable_caja X 10 ampollas c/u"/>
    <n v="0"/>
    <n v="0"/>
    <x v="3"/>
    <x v="5"/>
    <x v="0"/>
    <x v="0"/>
    <x v="0"/>
  </r>
  <r>
    <x v="99"/>
    <s v="SHIRLEY PAOLA JIMENEZ SARMIENTO"/>
    <s v="Coordinador del Servicio Farmacéutico"/>
    <s v="E.S.E HOSPITAL UNIVERSITARIO JULIO MÉNDEZ BARRENECHE "/>
    <s v="891.780.185-2"/>
    <s v="quimicotroconis@syd.com.co"/>
    <s v=" Carrera 14 # 23-42 "/>
    <x v="4"/>
    <s v="SANTA MARTA"/>
    <s v="Solicitud de compra de medicamentos Monopolio del Estado"/>
    <n v="202124100306882"/>
    <d v="2021-02-22T00:00:00"/>
    <x v="1"/>
    <n v="202124110337501"/>
    <d v="2021-03-01T00:00:00"/>
    <s v="FEB"/>
    <n v="-7"/>
    <s v="AUTORIZADO"/>
    <m/>
    <s v="No. 1609"/>
    <d v="2020-12-09T00:00:00"/>
    <s v="Fenobarbital 100 mg Tableta_cajas X 30 unidades c/u"/>
    <n v="180"/>
    <n v="6"/>
    <x v="5"/>
    <x v="7"/>
    <x v="4"/>
    <x v="2"/>
    <x v="53"/>
  </r>
  <r>
    <x v="100"/>
    <s v="ERIKA JANNET LONDOÑO URIBE"/>
    <s v="Representante Legal"/>
    <s v="LOS COMUNEROS HOSPITAL UNIVERSITARIO DE BUCARAMANGA S.A."/>
    <s v="900.240.018-6"/>
    <s v="adriana.chaves@loscomuneroshub.com"/>
    <s v="Carrera 27 No. 30-15"/>
    <x v="8"/>
    <s v="BUCARAMANGA"/>
    <s v="Solicitud de compra de medicamentos Monopolio del Estado"/>
    <n v="202124100309912"/>
    <d v="2021-02-23T00:00:00"/>
    <x v="1"/>
    <n v="202124110337601"/>
    <d v="2021-03-01T00:00:00"/>
    <s v="FEB"/>
    <n v="-6"/>
    <s v="NEGADO"/>
    <s v="EL FRE CUENTA CON EL MEDICAMENTO EN PRESENTACIÓN DE 5 ML"/>
    <s v="No. 5531"/>
    <d v="2019-04-26T00:00:00"/>
    <s v="Morfina HCl 10 mg/mL Solución Inyectable ampolla por 1mL"/>
    <n v="0"/>
    <n v="0"/>
    <x v="0"/>
    <x v="0"/>
    <x v="0"/>
    <x v="0"/>
    <x v="0"/>
  </r>
  <r>
    <x v="100"/>
    <s v="ERIKA JANNET LONDOÑO URIBE"/>
    <s v="Representante Legal"/>
    <s v="LOS COMUNEROS HOSPITAL UNIVERSITARIO DE BUCARAMANGA S.A."/>
    <s v="900.240.018-6"/>
    <s v="adriana.chaves@loscomuneroshub.com"/>
    <s v="Carrera 27 No. 30-15"/>
    <x v="8"/>
    <s v="BUCARAMANGA"/>
    <s v="Solicitud de compra de medicamentos Monopolio del Estado"/>
    <n v="202124100309912"/>
    <d v="2021-02-23T00:00:00"/>
    <x v="1"/>
    <n v="202124110337601"/>
    <d v="2021-03-01T00:00:00"/>
    <s v="FEB"/>
    <n v="-6"/>
    <s v="AUTORIZADO"/>
    <m/>
    <s v="No. 5531"/>
    <d v="2019-04-26T00:00:00"/>
    <s v="Hidromorfona HCl 2 mg/mL Solución Inyectable_cajas X 10 unidades c/u"/>
    <n v="1300"/>
    <n v="130"/>
    <x v="1"/>
    <x v="2"/>
    <x v="0"/>
    <x v="0"/>
    <x v="93"/>
  </r>
  <r>
    <x v="100"/>
    <s v="ERIKA JANNET LONDOÑO URIBE"/>
    <s v="Representante Legal"/>
    <s v="LOS COMUNEROS HOSPITAL UNIVERSITARIO DE BUCARAMANGA S.A."/>
    <s v="900.240.018-6"/>
    <s v="adriana.chaves@loscomuneroshub.com"/>
    <s v="Carrera 27 No. 30-15"/>
    <x v="8"/>
    <s v="BUCARAMANGA"/>
    <s v="Solicitud de compra de medicamentos Monopolio del Estado"/>
    <n v="202124100309912"/>
    <d v="2021-02-23T00:00:00"/>
    <x v="1"/>
    <n v="202124110337601"/>
    <d v="2021-03-01T00:00:00"/>
    <s v="FEB"/>
    <n v="-6"/>
    <s v="NEGADO"/>
    <s v="EL FRE CUENTA CON EL MEDICAMENTO"/>
    <s v="No. 5531"/>
    <d v="2019-04-26T00:00:00"/>
    <s v="Metadona HCl 10 mg Tableta_Cajas X 30 unidades c/u"/>
    <n v="0"/>
    <n v="0"/>
    <x v="2"/>
    <x v="3"/>
    <x v="2"/>
    <x v="2"/>
    <x v="0"/>
  </r>
  <r>
    <x v="101"/>
    <s v="JOHN JAIME ZAPATA FERIA"/>
    <s v="Director Técnico"/>
    <s v="SUMINISTROS Y DOTACIONES DE COLOMBIA S.A"/>
    <s v="802.000.608-7"/>
    <s v="johnjaimezapata01@gmail.com"/>
    <s v="Calle 15 No 7-95"/>
    <x v="14"/>
    <s v="YOPAL"/>
    <s v="Solicitud de compra de medicamentos Monopolio del Estado"/>
    <n v="202124100310202"/>
    <d v="2021-02-23T00:00:00"/>
    <x v="1"/>
    <n v="202124110337791"/>
    <d v="2021-03-01T00:00:00"/>
    <s v="FEB"/>
    <n v="-6"/>
    <s v="AUTORIZADO"/>
    <m/>
    <s v="No. 28"/>
    <d v="2021-01-27T00:00:00"/>
    <s v="Fenobarbital 0,4% Solución Oral_frascos X 120 mL c/u"/>
    <n v="10"/>
    <n v="10"/>
    <x v="5"/>
    <x v="11"/>
    <x v="1"/>
    <x v="6"/>
    <x v="69"/>
  </r>
  <r>
    <x v="101"/>
    <s v="JOHN JAIME ZAPATA FERIA"/>
    <s v="Director Técnico"/>
    <s v="SUMINISTROS Y DOTACIONES DE COLOMBIA S.A"/>
    <s v="802.000.608-7"/>
    <s v="johnjaimezapata01@gmail.com"/>
    <s v="Calle 15 No 7-95"/>
    <x v="14"/>
    <s v="YOPAL"/>
    <s v="Solicitud de compra de medicamentos Monopolio del Estado"/>
    <n v="202124100310202"/>
    <d v="2021-02-23T00:00:00"/>
    <x v="1"/>
    <n v="202124110337791"/>
    <d v="2021-03-01T00:00:00"/>
    <s v="FEB"/>
    <n v="-6"/>
    <s v="NEGADO"/>
    <s v="EL FNE CUENTA CON BAJA DISPONIBILIDAD EN SU INVENTARIO"/>
    <s v="No. 28"/>
    <d v="2021-01-27T00:00:00"/>
    <s v="Fenobarbital Sódico 200 mg/mL Solución Inyectable_caja X 10 ampollas c/u"/>
    <n v="0"/>
    <n v="0"/>
    <x v="3"/>
    <x v="5"/>
    <x v="0"/>
    <x v="0"/>
    <x v="0"/>
  </r>
  <r>
    <x v="101"/>
    <s v="JOHN JAIME ZAPATA FERIA"/>
    <s v="Director Técnico"/>
    <s v="SUMINISTROS Y DOTACIONES DE COLOMBIA S.A"/>
    <s v="802.000.608-7"/>
    <s v="johnjaimezapata01@gmail.com"/>
    <s v="Calle 15 No 7-95"/>
    <x v="14"/>
    <s v="YOPAL"/>
    <s v="Solicitud de compra de medicamentos Monopolio del Estado"/>
    <n v="202124100310202"/>
    <d v="2021-02-23T00:00:00"/>
    <x v="1"/>
    <n v="202124110337791"/>
    <d v="2021-03-01T00:00:00"/>
    <s v="FEB"/>
    <n v="-6"/>
    <s v="AUTORIZADO"/>
    <m/>
    <s v="No. 28"/>
    <d v="2021-01-27T00:00:00"/>
    <s v="Hidromorfona HCl 2 mg/mL Solución Inyectable_cajas X 10 unidades c/u"/>
    <n v="800"/>
    <n v="80"/>
    <x v="1"/>
    <x v="2"/>
    <x v="0"/>
    <x v="0"/>
    <x v="65"/>
  </r>
  <r>
    <x v="101"/>
    <s v="JOHN JAIME ZAPATA FERIA"/>
    <s v="Director Técnico"/>
    <s v="SUMINISTROS Y DOTACIONES DE COLOMBIA S.A"/>
    <s v="802.000.608-7"/>
    <s v="johnjaimezapata01@gmail.com"/>
    <s v="Calle 15 No 7-95"/>
    <x v="14"/>
    <s v="YOPAL"/>
    <s v="Solicitud de compra de medicamentos Monopolio del Estado"/>
    <n v="202124100310202"/>
    <d v="2021-02-23T00:00:00"/>
    <x v="1"/>
    <n v="202124110337791"/>
    <d v="2021-03-01T00:00:00"/>
    <s v="FEB"/>
    <n v="-6"/>
    <s v="AUTORIZADO"/>
    <m/>
    <s v="No. 28"/>
    <d v="2021-01-27T00:00:00"/>
    <s v="Morfina HCl 0,03 Solución Oral_frascos X 30 mL c/u"/>
    <n v="25"/>
    <n v="25"/>
    <x v="0"/>
    <x v="1"/>
    <x v="1"/>
    <x v="1"/>
    <x v="97"/>
  </r>
  <r>
    <x v="101"/>
    <s v="JOHN JAIME ZAPATA FERIA"/>
    <s v="Director Técnico"/>
    <s v="SUMINISTROS Y DOTACIONES DE COLOMBIA S.A"/>
    <s v="802.000.608-7"/>
    <s v="johnjaimezapata01@gmail.com"/>
    <s v="Calle 15 No 7-95"/>
    <x v="14"/>
    <s v="YOPAL"/>
    <s v="Solicitud de compra de medicamentos Monopolio del Estado"/>
    <n v="202124100310202"/>
    <d v="2021-02-23T00:00:00"/>
    <x v="1"/>
    <n v="202124110337791"/>
    <d v="2021-03-01T00:00:00"/>
    <s v="FEB"/>
    <n v="-6"/>
    <s v="AUTORIZADO"/>
    <m/>
    <s v="No. 28"/>
    <d v="2021-01-27T00:00:00"/>
    <s v="Morfina HCl 10 mg/mL Solución Inyectable ampolla por 1mL"/>
    <n v="2000"/>
    <n v="200"/>
    <x v="0"/>
    <x v="0"/>
    <x v="0"/>
    <x v="0"/>
    <x v="55"/>
  </r>
  <r>
    <x v="102"/>
    <s v="RENE VANEGAS POLO"/>
    <s v="Director Técnico"/>
    <s v="PREVENCION Y SALUD INTEGRAL PARA LA FAMILIA S.A.S"/>
    <s v="819.003.863-4"/>
    <s v="quimico@previsalud.co"/>
    <s v="Calle 7 No 17-05"/>
    <x v="4"/>
    <s v="EL BANCO"/>
    <s v="Solicitud de compra de medicamentos Monopolio del Estado"/>
    <n v="202124100310702"/>
    <d v="2021-02-23T00:00:00"/>
    <x v="1"/>
    <n v="202124110337861"/>
    <d v="2021-03-01T00:00:00"/>
    <s v="FEB"/>
    <n v="-6"/>
    <s v="NEGADO"/>
    <s v="EL FNE CUENTA CON BAJA DISPONIBILIDAD EN SU INVENTARIO"/>
    <s v="No. 818"/>
    <d v="2020-06-19T00:00:00"/>
    <s v="Fenobarbital Sódico 200 mg/mL Solución Inyectable_caja X 10 ampollas c/u"/>
    <n v="0"/>
    <n v="0"/>
    <x v="3"/>
    <x v="5"/>
    <x v="0"/>
    <x v="0"/>
    <x v="0"/>
  </r>
  <r>
    <x v="102"/>
    <s v="RENE VANEGAS POLO"/>
    <s v="Director Técnico"/>
    <s v="PREVENCION Y SALUD INTEGRAL PARA LA FAMILIA S.A.S"/>
    <s v="819.003.863-4"/>
    <s v="quimico@previsalud.co"/>
    <s v="Calle 7 No 17-05"/>
    <x v="4"/>
    <s v="EL BANCO"/>
    <s v="Solicitud de compra de medicamentos Monopolio del Estado"/>
    <n v="202124100310702"/>
    <d v="2021-02-23T00:00:00"/>
    <x v="1"/>
    <n v="202124110337861"/>
    <d v="2021-03-01T00:00:00"/>
    <s v="FEB"/>
    <n v="-6"/>
    <s v="AUTORIZADO"/>
    <m/>
    <s v="No. 818"/>
    <d v="2020-06-19T00:00:00"/>
    <s v="Morfina HCl 10 mg/mL Solución Inyectable ampolla por 1mL"/>
    <n v="500"/>
    <n v="50"/>
    <x v="0"/>
    <x v="0"/>
    <x v="0"/>
    <x v="0"/>
    <x v="57"/>
  </r>
  <r>
    <x v="102"/>
    <s v="RENE VANEGAS POLO"/>
    <s v="Director Técnico"/>
    <s v="PREVENCION Y SALUD INTEGRAL PARA LA FAMILIA S.A.S"/>
    <s v="819.003.863-4"/>
    <s v="quimico@previsalud.co"/>
    <s v="Calle 7 No 17-05"/>
    <x v="4"/>
    <s v="EL BANCO"/>
    <s v="Solicitud de compra de medicamentos Monopolio del Estado"/>
    <n v="202124100310702"/>
    <d v="2021-02-23T00:00:00"/>
    <x v="1"/>
    <n v="202124110337861"/>
    <d v="2021-03-01T00:00:00"/>
    <s v="FEB"/>
    <n v="-6"/>
    <s v="AUTORIZADO"/>
    <m/>
    <s v="No. 818"/>
    <d v="2020-06-19T00:00:00"/>
    <s v="Fenobarbital Sódico 40 mg/mL Solución Inyectable_caja X 10 ampollas c/u"/>
    <n v="500"/>
    <n v="50"/>
    <x v="3"/>
    <x v="6"/>
    <x v="0"/>
    <x v="0"/>
    <x v="57"/>
  </r>
  <r>
    <x v="102"/>
    <s v="RENE VANEGAS POLO"/>
    <s v="Director Técnico"/>
    <s v="PREVENCION Y SALUD INTEGRAL PARA LA FAMILIA S.A.S"/>
    <s v="819.003.863-4"/>
    <s v="quimico@previsalud.co"/>
    <s v="Calle 7 No 17-05"/>
    <x v="4"/>
    <s v="EL BANCO"/>
    <s v="Solicitud de compra de medicamentos Monopolio del Estado"/>
    <n v="202124100310702"/>
    <d v="2021-02-23T00:00:00"/>
    <x v="1"/>
    <n v="202124110337861"/>
    <d v="2021-03-01T00:00:00"/>
    <s v="FEB"/>
    <n v="-6"/>
    <s v="AUTORIZADO"/>
    <m/>
    <s v="No. 818"/>
    <d v="2020-06-19T00:00:00"/>
    <s v="Meperidina HCl 100 mg/2mL Solución Inyectable_cajas X 10 unidades c/u"/>
    <n v="500"/>
    <n v="50"/>
    <x v="6"/>
    <x v="8"/>
    <x v="0"/>
    <x v="3"/>
    <x v="4"/>
  </r>
  <r>
    <x v="103"/>
    <s v="ASTRID DIAZ VERGARA"/>
    <s v="Director Técnico"/>
    <s v="NUEVAEPS S.A - ETICOS SERRANO GOMEZ LTDA LA ECONOMIA DROGUERIA DISPENSARIO No. 676"/>
    <s v="900156264-2"/>
    <s v="dispensario676@drogaslaeconomia.com"/>
    <s v="Calle 45 No. 18-111"/>
    <x v="3"/>
    <s v="BARRANQUILLA"/>
    <s v=" AUTORIZACION COMPRA DE MEDICAMENTOS DISP.676 ETICOS"/>
    <n v="202124100311802"/>
    <d v="2021-02-23T00:00:00"/>
    <x v="1"/>
    <n v="202124110391621"/>
    <d v="2021-03-09T00:00:00"/>
    <s v="FEB"/>
    <n v="-14"/>
    <s v="AUTORIZADO"/>
    <m/>
    <s v="No. 2999"/>
    <d v="2019-05-28T00:00:00"/>
    <s v="Metadona HCl 10 mg Tableta_Cajas X 30 unidades c/u"/>
    <n v="600"/>
    <n v="20"/>
    <x v="2"/>
    <x v="3"/>
    <x v="2"/>
    <x v="2"/>
    <x v="7"/>
  </r>
  <r>
    <x v="104"/>
    <s v="MELBA CONSTANZA NIVIA RUIZ"/>
    <s v="Area de Compras"/>
    <s v="HOSPITAL FEDERICO LLERAS ACOSTA DE IBAGUE TOLIMA ESE"/>
    <s v="NO DISPONIBLE"/>
    <s v="pe.compras@hflleras.gov.co"/>
    <s v="Calle 33 N°4 A-50 B/La Francia"/>
    <x v="0"/>
    <s v="IBAGUE"/>
    <s v="Solicitud cotización Medicamentos Monopolio del Estado"/>
    <n v="202124100317322"/>
    <d v="2021-02-24T00:00:00"/>
    <x v="1"/>
    <n v="202124110391641"/>
    <d v="2021-03-09T00:00:00"/>
    <s v="FEB"/>
    <n v="-13"/>
    <s v="NEGADO"/>
    <s v="El solicitante no allego los documentos necesarios para la autorizacion de compra directa"/>
    <s v="NO DISPONIBLE"/>
    <s v="NO DISPONIBLE"/>
    <s v="Fenobarbital 100 mg Tableta_cajas X 30 unidades c/u"/>
    <n v="0"/>
    <n v="0"/>
    <x v="5"/>
    <x v="7"/>
    <x v="4"/>
    <x v="2"/>
    <x v="0"/>
  </r>
  <r>
    <x v="104"/>
    <s v="MELBA CONSTANZA NIVIA RUIZ"/>
    <s v="Area de Compras"/>
    <s v="HOSPITAL FEDERICO LLERAS ACOSTA DE IBAGUE TOLIMA ESE"/>
    <s v="NO DISPONIBLE"/>
    <s v="pe.compras@hflleras.gov.co"/>
    <s v="Calle 33 N°4 A-50 B/La Francia"/>
    <x v="0"/>
    <s v="IBAGUE"/>
    <s v="Solicitud cotización Medicamentos Monopolio del Estado"/>
    <n v="202124100317322"/>
    <d v="2021-02-24T00:00:00"/>
    <x v="1"/>
    <n v="202124110391641"/>
    <d v="2021-03-09T00:00:00"/>
    <s v="FEB"/>
    <n v="-13"/>
    <s v="NEGADO"/>
    <s v="El solicitante no allego los documentos necesarios para la autorizacion de compra directa"/>
    <s v="NO DISPONIBLE"/>
    <s v="NO DISPONIBLE"/>
    <s v="Meperidina HCl 100 mg/2mL Solución Inyectable_cajas X 10 unidades c/u"/>
    <n v="0"/>
    <n v="0"/>
    <x v="6"/>
    <x v="8"/>
    <x v="0"/>
    <x v="3"/>
    <x v="0"/>
  </r>
  <r>
    <x v="104"/>
    <s v="MELBA CONSTANZA NIVIA RUIZ"/>
    <s v="Area de Compras"/>
    <s v="HOSPITAL FEDERICO LLERAS ACOSTA DE IBAGUE TOLIMA ESE"/>
    <s v="NO DISPONIBLE"/>
    <s v="pe.compras@hflleras.gov.co"/>
    <s v="Calle 33 N°4 A-50 B/La Francia"/>
    <x v="0"/>
    <s v="IBAGUE"/>
    <s v="Solicitud cotización Medicamentos Monopolio del Estado"/>
    <n v="202124100317322"/>
    <d v="2021-02-24T00:00:00"/>
    <x v="1"/>
    <n v="202124110391641"/>
    <d v="2021-03-09T00:00:00"/>
    <s v="FEB"/>
    <n v="-13"/>
    <s v="NEGADO"/>
    <s v="El solicitante no allego los documentos necesarios para la autorizacion de compra directa"/>
    <s v="NO DISPONIBLE"/>
    <s v="NO DISPONIBLE"/>
    <s v="Morfina HCl 10 mg/mL Solución Inyectable ampolla por 1mL"/>
    <n v="0"/>
    <n v="0"/>
    <x v="0"/>
    <x v="0"/>
    <x v="0"/>
    <x v="0"/>
    <x v="0"/>
  </r>
  <r>
    <x v="104"/>
    <s v="MELBA CONSTANZA NIVIA RUIZ"/>
    <s v="Area de Compras"/>
    <s v="HOSPITAL FEDERICO LLERAS ACOSTA DE IBAGUE TOLIMA ESE"/>
    <s v="NO DISPONIBLE"/>
    <s v="pe.compras@hflleras.gov.co"/>
    <s v="Calle 33 N°4 A-50 B/La Francia"/>
    <x v="0"/>
    <s v="IBAGUE"/>
    <s v="Solicitud cotización Medicamentos Monopolio del Estado"/>
    <n v="202124100317322"/>
    <d v="2021-02-24T00:00:00"/>
    <x v="1"/>
    <n v="202124110391641"/>
    <d v="2021-03-09T00:00:00"/>
    <s v="FEB"/>
    <n v="-13"/>
    <s v="NEGADO"/>
    <s v="El solicitante no allego los documentos necesarios para la autorizacion de compra directa"/>
    <s v="NO DISPONIBLE"/>
    <s v="NO DISPONIBLE"/>
    <s v="Hidromorfona HCl 2 mg/mL Solución Inyectable_cajas X 10 unidades c/u"/>
    <n v="0"/>
    <n v="0"/>
    <x v="1"/>
    <x v="2"/>
    <x v="0"/>
    <x v="0"/>
    <x v="0"/>
  </r>
  <r>
    <x v="105"/>
    <s v="ELQUIN ALEXIS BEDOYA MONTES"/>
    <s v="Regente de farmacia"/>
    <s v="MEDLIFE S.A.S"/>
    <s v="804010795-6"/>
    <s v="dispensacionibaguemedlife@gmail.com"/>
    <s v="Carrera 4D No. 36-46/Cádiz"/>
    <x v="0"/>
    <s v="IBAGUE"/>
    <s v="COTIZACIÓN"/>
    <n v="202124100318322"/>
    <d v="2021-02-24T00:00:00"/>
    <x v="1"/>
    <n v="202124110391661"/>
    <d v="2021-03-09T00:00:00"/>
    <s v="FEB"/>
    <n v="-13"/>
    <s v="AUTORIZADO"/>
    <m/>
    <s v="No. 2641"/>
    <d v="2020-12-21T00:00:00"/>
    <s v="Fenobarbital 100 mg Tableta_cajas X 30 unidades c/u"/>
    <n v="150"/>
    <n v="5"/>
    <x v="5"/>
    <x v="7"/>
    <x v="4"/>
    <x v="2"/>
    <x v="2"/>
  </r>
  <r>
    <x v="105"/>
    <s v="ELQUIN ALEXIS BEDOYA MONTES"/>
    <s v="Regente de farmacia"/>
    <s v="MEDLIFE S.A.S"/>
    <s v="804010795-6"/>
    <s v="dispensacionibaguemedlife@gmail.com"/>
    <s v="Carrera 4D No. 36-46/Cádiz"/>
    <x v="0"/>
    <s v="IBAGUE"/>
    <s v="COTIZACIÓN"/>
    <n v="202124100318322"/>
    <d v="2021-02-24T00:00:00"/>
    <x v="1"/>
    <n v="202124110391661"/>
    <d v="2021-03-09T00:00:00"/>
    <s v="FEB"/>
    <n v="-13"/>
    <s v="AUTORIZADO"/>
    <m/>
    <s v="No. 2641"/>
    <d v="2020-12-21T00:00:00"/>
    <s v="Hidromorfona HCl 2,5 mg Tableta_cajas X 20 unidades c/u"/>
    <n v="180"/>
    <n v="9"/>
    <x v="1"/>
    <x v="9"/>
    <x v="4"/>
    <x v="4"/>
    <x v="52"/>
  </r>
  <r>
    <x v="106"/>
    <s v="JOSE LUCAS RODRIGUEZ MORA"/>
    <s v="Director Técnico"/>
    <s v="HOSPITAL DEPARTAMENTAL DE VILLAVICENCIO"/>
    <s v="892000501-5"/>
    <s v="andrelu93@hotmail.com"/>
    <s v="Calle 37A No 28-53 Barrio Barzal"/>
    <x v="6"/>
    <s v="VILLAVICENCIO"/>
    <s v="COMPRA MEDICAMENTOS MONOPOLIO DEL ESTADO HDV"/>
    <n v="202124100328272"/>
    <d v="2021-02-25T00:00:00"/>
    <x v="1"/>
    <n v="202124110394121"/>
    <d v="2021-03-10T00:00:00"/>
    <s v="FEB"/>
    <n v="-13"/>
    <s v="AUTORIZADO"/>
    <m/>
    <s v="No. 1896"/>
    <d v="2016-11-03T00:00:00"/>
    <s v="Fenobarbital 100 mg Tableta_cajas X 30 unidades c/u"/>
    <n v="2100"/>
    <n v="70"/>
    <x v="5"/>
    <x v="7"/>
    <x v="4"/>
    <x v="2"/>
    <x v="102"/>
  </r>
  <r>
    <x v="106"/>
    <s v="JOSE LUCAS RODRIGUEZ MORA"/>
    <s v="Director Técnico"/>
    <s v="HOSPITAL DEPARTAMENTAL DE VILLAVICENCIO"/>
    <s v="892000501-5"/>
    <s v="andrelu93@hotmail.com"/>
    <s v="Calle 37A No 28-53 Barrio Barzal"/>
    <x v="6"/>
    <s v="VILLAVICENCIO"/>
    <s v="COMPRA MEDICAMENTOS MONOPOLIO DEL ESTADO HDV"/>
    <n v="202124100328272"/>
    <d v="2021-02-25T00:00:00"/>
    <x v="1"/>
    <n v="202124110394121"/>
    <d v="2021-03-10T00:00:00"/>
    <s v="FEB"/>
    <n v="-13"/>
    <s v="AUTORIZADO"/>
    <m/>
    <s v="No. 1896"/>
    <d v="2016-11-03T00:00:00"/>
    <s v="Fenobarbital Sódico 40 mg/mL Solución Inyectable_caja X 10 ampollas c/u"/>
    <n v="800"/>
    <n v="80"/>
    <x v="3"/>
    <x v="6"/>
    <x v="0"/>
    <x v="0"/>
    <x v="65"/>
  </r>
  <r>
    <x v="106"/>
    <s v="JOSE LUCAS RODRIGUEZ MORA"/>
    <s v="Director Técnico"/>
    <s v="HOSPITAL DEPARTAMENTAL DE VILLAVICENCIO"/>
    <s v="892000501-5"/>
    <s v="andrelu93@hotmail.com"/>
    <s v="Calle 37A No 28-53 Barrio Barzal"/>
    <x v="6"/>
    <s v="VILLAVICENCIO"/>
    <s v="COMPRA MEDICAMENTOS MONOPOLIO DEL ESTADO HDV"/>
    <n v="202124100328272"/>
    <d v="2021-02-25T00:00:00"/>
    <x v="1"/>
    <n v="202124110394121"/>
    <d v="2021-03-10T00:00:00"/>
    <s v="FEB"/>
    <n v="-13"/>
    <s v="NEGADO"/>
    <s v="EL FNE CUENTA CON BAJA DISPONIBILIDAD EN SU INVENTARIO"/>
    <s v="No. 1896"/>
    <d v="2016-11-03T00:00:00"/>
    <s v="Fenobarbital Sódico 200 mg/mL Solución Inyectable_caja X 10 ampollas c/u"/>
    <n v="0"/>
    <n v="0"/>
    <x v="3"/>
    <x v="5"/>
    <x v="0"/>
    <x v="0"/>
    <x v="0"/>
  </r>
  <r>
    <x v="106"/>
    <s v="JOSE LUCAS RODRIGUEZ MORA"/>
    <s v="Director Técnico"/>
    <s v="HOSPITAL DEPARTAMENTAL DE VILLAVICENCIO"/>
    <s v="892000501-5"/>
    <s v="andrelu93@hotmail.com"/>
    <s v="Calle 37A No 28-53 Barrio Barzal"/>
    <x v="6"/>
    <s v="VILLAVICENCIO"/>
    <s v="COMPRA MEDICAMENTOS MONOPOLIO DEL ESTADO HDV"/>
    <n v="202124100328272"/>
    <d v="2021-02-25T00:00:00"/>
    <x v="1"/>
    <n v="202124110394121"/>
    <d v="2021-03-10T00:00:00"/>
    <s v="FEB"/>
    <n v="-13"/>
    <s v="AUTORIZADO"/>
    <m/>
    <s v="No. 1896"/>
    <d v="2016-11-03T00:00:00"/>
    <s v="Fenobarbital 0,4% Solución Oral_frascos X 120 mL c/u"/>
    <n v="80"/>
    <n v="80"/>
    <x v="5"/>
    <x v="11"/>
    <x v="1"/>
    <x v="6"/>
    <x v="103"/>
  </r>
  <r>
    <x v="106"/>
    <s v="JOSE LUCAS RODRIGUEZ MORA"/>
    <s v="Director Técnico"/>
    <s v="HOSPITAL DEPARTAMENTAL DE VILLAVICENCIO"/>
    <s v="892000501-5"/>
    <s v="andrelu93@hotmail.com"/>
    <s v="Calle 37A No 28-53 Barrio Barzal"/>
    <x v="6"/>
    <s v="VILLAVICENCIO"/>
    <s v="COMPRA MEDICAMENTOS MONOPOLIO DEL ESTADO HDV"/>
    <n v="202124100328272"/>
    <d v="2021-02-25T00:00:00"/>
    <x v="1"/>
    <n v="202124110394121"/>
    <d v="2021-03-10T00:00:00"/>
    <s v="FEB"/>
    <n v="-13"/>
    <s v="AUTORIZADO"/>
    <m/>
    <s v="No. 1896"/>
    <d v="2016-11-03T00:00:00"/>
    <s v="Meperidina HCl 100 mg/2mL Solución Inyectable_cajas X 10 unidades c/u"/>
    <n v="1200"/>
    <n v="120"/>
    <x v="6"/>
    <x v="8"/>
    <x v="0"/>
    <x v="3"/>
    <x v="104"/>
  </r>
  <r>
    <x v="106"/>
    <s v="JOSE LUCAS RODRIGUEZ MORA"/>
    <s v="Director Técnico"/>
    <s v="HOSPITAL DEPARTAMENTAL DE VILLAVICENCIO"/>
    <s v="892000501-5"/>
    <s v="andrelu93@hotmail.com"/>
    <s v="Calle 37A No 28-53 Barrio Barzal"/>
    <x v="6"/>
    <s v="VILLAVICENCIO"/>
    <s v="COMPRA MEDICAMENTOS MONOPOLIO DEL ESTADO HDV"/>
    <n v="202124100328272"/>
    <d v="2021-02-25T00:00:00"/>
    <x v="1"/>
    <n v="202124110394121"/>
    <d v="2021-03-10T00:00:00"/>
    <s v="FEB"/>
    <n v="-13"/>
    <s v="AUTORIZADO"/>
    <m/>
    <s v="No. 1896"/>
    <d v="2016-11-03T00:00:00"/>
    <s v="Morfina HCl 10 mg/mL Solución Inyectable ampolla por 1mL"/>
    <n v="3000"/>
    <n v="300"/>
    <x v="0"/>
    <x v="0"/>
    <x v="0"/>
    <x v="0"/>
    <x v="78"/>
  </r>
  <r>
    <x v="106"/>
    <s v="JOSE LUCAS RODRIGUEZ MORA"/>
    <s v="Director Técnico"/>
    <s v="HOSPITAL DEPARTAMENTAL DE VILLAVICENCIO"/>
    <s v="892000501-5"/>
    <s v="andrelu93@hotmail.com"/>
    <s v="Calle 37A No 28-53 Barrio Barzal"/>
    <x v="6"/>
    <s v="VILLAVICENCIO"/>
    <s v="COMPRA MEDICAMENTOS MONOPOLIO DEL ESTADO HDV"/>
    <n v="202124100328272"/>
    <d v="2021-02-25T00:00:00"/>
    <x v="1"/>
    <n v="202124110394121"/>
    <d v="2021-03-10T00:00:00"/>
    <s v="FEB"/>
    <n v="-13"/>
    <s v="AUTORIZADO"/>
    <m/>
    <s v="No. 1896"/>
    <d v="2016-11-03T00:00:00"/>
    <s v="Morfina HCl 0,03 Solución Oral_frascos X 30 mL c/u"/>
    <n v="10"/>
    <n v="10"/>
    <x v="0"/>
    <x v="1"/>
    <x v="1"/>
    <x v="1"/>
    <x v="47"/>
  </r>
  <r>
    <x v="107"/>
    <s v="VICTOR ADRIAN RAMIREZ BERRIO"/>
    <s v="Quimico Farmacéutico"/>
    <s v="COMANDO GENERAL DE LAS FUERZAS MILITARES &quot;DIREQCIQN GENERAL DE SANIDAD MILITAR&quot;. "/>
    <s v="830039670-5"/>
    <s v="v.adrian.ramirez@gmail.com"/>
    <s v="Kilometro 7 via Puerto Lopez/Meta, Vereda Apiay"/>
    <x v="6"/>
    <s v="VILLAVICENCIO"/>
    <s v="Cotización Medicamento Monopolio - Traslado"/>
    <n v="202124100343592"/>
    <d v="2021-02-26T00:00:00"/>
    <x v="1"/>
    <n v="202124110394131"/>
    <d v="2021-03-10T00:00:00"/>
    <s v="FEB"/>
    <n v="-12"/>
    <s v="NEGADO"/>
    <s v="El FNE NO CUENTA CON ESTE MEDICAMENTO EN SU PORTAFOLIO"/>
    <s v="No. 278"/>
    <d v="2020-08-27T00:00:00"/>
    <s v="Hidromorfona HCl 5 mg Tableta_cajas X 30 unidades c/u"/>
    <n v="0"/>
    <n v="0"/>
    <x v="1"/>
    <x v="13"/>
    <x v="5"/>
    <x v="7"/>
    <x v="0"/>
  </r>
  <r>
    <x v="108"/>
    <s v="JULIA KATRIN RHENALS BERROCAL"/>
    <s v="Coordinadora Zonal"/>
    <s v="LOGIFARMA S.A.S"/>
    <s v="900073223-3"/>
    <s v="coordinadorcordoba@logifarma.co"/>
    <s v="Carrera 7 No. 25-27"/>
    <x v="1"/>
    <s v="MONTERIA"/>
    <s v="Solicitud autorización de compra medicamentos Monopolio del Estado Logifarma Montería.pdf Al Fondo Nacional De Estupefacientes"/>
    <n v="202124100343802"/>
    <d v="2021-02-26T00:00:00"/>
    <x v="1"/>
    <n v="202124110394141"/>
    <d v="2021-03-10T00:00:00"/>
    <s v="FEB"/>
    <n v="-12"/>
    <s v="AUTORIZADO"/>
    <m/>
    <s v="No. 142"/>
    <d v="2020-09-01T00:00:00"/>
    <s v="Morfina HCl 0,03 Solución Oral_frascos X 30 mL c/u"/>
    <n v="15"/>
    <n v="15"/>
    <x v="0"/>
    <x v="1"/>
    <x v="1"/>
    <x v="1"/>
    <x v="105"/>
  </r>
  <r>
    <x v="108"/>
    <s v="JULIA KATRIN RHENALS BERROCAL"/>
    <s v="Coordinadora Zonal"/>
    <s v="LOGIFARMA S.A.S"/>
    <s v="900073223-3"/>
    <s v="coordinadorcordoba@logifarma.co"/>
    <s v="Carrera 7 No. 25-27"/>
    <x v="1"/>
    <s v="MONTERIA"/>
    <s v="Solicitud autorización de compra medicamentos Monopolio del Estado Logifarma Montería.pdf Al Fondo Nacional De Estupefacientes"/>
    <n v="202124100343802"/>
    <d v="2021-02-26T00:00:00"/>
    <x v="1"/>
    <n v="202124110394141"/>
    <d v="2021-03-10T00:00:00"/>
    <s v="FEB"/>
    <n v="-12"/>
    <s v="AUTORIZADO"/>
    <m/>
    <s v="No. 143"/>
    <d v="2020-09-01T00:00:00"/>
    <s v="Fenobarbital 0,4% Solución Oral_frascos X 120 mL c/u"/>
    <n v="5"/>
    <n v="5"/>
    <x v="5"/>
    <x v="11"/>
    <x v="1"/>
    <x v="6"/>
    <x v="16"/>
  </r>
  <r>
    <x v="108"/>
    <s v="JULIA KATRIN RHENALS BERROCAL"/>
    <s v="Coordinadora Zonal"/>
    <s v="LOGIFARMA S.A.S"/>
    <s v="900073223-3"/>
    <s v="coordinadorcordoba@logifarma.co"/>
    <s v="Carrera 7 No. 25-27"/>
    <x v="1"/>
    <s v="MONTERIA"/>
    <s v="Solicitud autorización de compra medicamentos Monopolio del Estado Logifarma Montería.pdf Al Fondo Nacional De Estupefacientes"/>
    <n v="202124100343802"/>
    <d v="2021-02-26T00:00:00"/>
    <x v="1"/>
    <n v="202124110394141"/>
    <d v="2021-03-10T00:00:00"/>
    <s v="FEB"/>
    <n v="-12"/>
    <s v="AUTORIZADO"/>
    <m/>
    <s v="No. 144"/>
    <d v="2020-09-01T00:00:00"/>
    <s v="Metilfenidato HCl 10 mg Comprimido_cajas X 30 unidades c/u"/>
    <n v="60"/>
    <n v="2"/>
    <x v="4"/>
    <x v="3"/>
    <x v="3"/>
    <x v="2"/>
    <x v="90"/>
  </r>
  <r>
    <x v="109"/>
    <s v="SEMEDICAL"/>
    <s v="NO DISPONIBLE"/>
    <s v="SEMEDICAL"/>
    <s v="802018677-4"/>
    <s v="semedical.quimico@gmail.com"/>
    <s v="NO DISPONIBLE"/>
    <x v="3"/>
    <s v="BARRANQUILLA"/>
    <s v="CERTIFICADO PORA LA COMPRA M.C.E ANTE FNE "/>
    <n v="202124100344352"/>
    <d v="2021-02-26T00:00:00"/>
    <x v="1"/>
    <n v="202124110394151"/>
    <d v="2021-03-10T00:00:00"/>
    <s v="FEB"/>
    <n v="-12"/>
    <s v="NEGADO"/>
    <s v="El solicitante no allego los documentos necesarios para la autorizacion de compra directa"/>
    <s v="NO DISPONIBLE"/>
    <s v="NO DISPONIBLE"/>
    <s v="Fenobarbital 100 mg Tableta_cajas X 30 unidades c/u"/>
    <n v="0"/>
    <n v="0"/>
    <x v="5"/>
    <x v="7"/>
    <x v="4"/>
    <x v="2"/>
    <x v="0"/>
  </r>
  <r>
    <x v="109"/>
    <s v="SEMEDICAL"/>
    <s v="NO DISPONIBLE"/>
    <s v="SEMEDICAL"/>
    <s v="802018677-4"/>
    <s v="semedical.quimico@gmail.com"/>
    <s v="NO DISPONIBLE"/>
    <x v="3"/>
    <s v="BARRANQUILLA"/>
    <s v="CERTIFICADO PORA LA COMPRA M.C.E ANTE FNE "/>
    <n v="202124100344352"/>
    <d v="2021-02-26T00:00:00"/>
    <x v="1"/>
    <n v="202124110394151"/>
    <d v="2021-03-10T00:00:00"/>
    <s v="FEB"/>
    <n v="-12"/>
    <s v="NEGADO"/>
    <s v="El solicitante no allego los documentos necesarios para la autorizacion de compra directa"/>
    <s v="NO DISPONIBLE"/>
    <s v="NO DISPONIBLE"/>
    <s v="Hidromorfona HCl 2,5 mg Tableta_cajas X 20 unidades c/u"/>
    <n v="0"/>
    <n v="0"/>
    <x v="1"/>
    <x v="9"/>
    <x v="4"/>
    <x v="4"/>
    <x v="0"/>
  </r>
  <r>
    <x v="109"/>
    <s v="SEMEDICAL"/>
    <s v="NO DISPONIBLE"/>
    <s v="SEMEDICAL"/>
    <s v="802018677-4"/>
    <s v="semedical.quimico@gmail.com"/>
    <s v="NO DISPONIBLE"/>
    <x v="3"/>
    <s v="BARRANQUILLA"/>
    <s v="CERTIFICADO PORA LA COMPRA M.C.E ANTE FNE "/>
    <n v="202124100344352"/>
    <d v="2021-02-26T00:00:00"/>
    <x v="1"/>
    <n v="202124110394151"/>
    <d v="2021-03-10T00:00:00"/>
    <s v="FEB"/>
    <n v="-12"/>
    <s v="NEGADO"/>
    <s v="El solicitante no allego los documentos necesarios para la autorizacion de compra directa"/>
    <s v="NO DISPONIBLE"/>
    <s v="NO DISPONIBLE"/>
    <s v="Morfina HCl 0,03 Solución Oral_frascos X 30 mL c/u"/>
    <n v="0"/>
    <n v="0"/>
    <x v="0"/>
    <x v="1"/>
    <x v="1"/>
    <x v="1"/>
    <x v="0"/>
  </r>
  <r>
    <x v="110"/>
    <s v="UBEIMAR RAMÍREZ"/>
    <s v="Director Técnico"/>
    <s v="COODESTOL"/>
    <s v="800250023-3"/>
    <s v="compras5@coodestol.com.co"/>
    <s v="Calle 19 No. 7-109 Barrio Interlaken"/>
    <x v="0"/>
    <s v="IBAGUE"/>
    <s v="SOLICITUD AUTORIZACIÓN COMPRA DIRECTA DE MEDICAMENTOS MONOPOLIO DE ESTADO"/>
    <n v="202124100349452"/>
    <d v="2021-03-01T00:00:00"/>
    <x v="2"/>
    <n v="202124110394161"/>
    <d v="2021-03-10T00:00:00"/>
    <s v="MAR"/>
    <n v="-9"/>
    <s v="AUTORIZADO"/>
    <m/>
    <s v="No. 1160"/>
    <d v="2018-04-16T00:00:00"/>
    <s v="Fenobarbital 100 mg Tableta_cajas X 30 unidades c/u"/>
    <n v="9000"/>
    <n v="300"/>
    <x v="5"/>
    <x v="7"/>
    <x v="4"/>
    <x v="2"/>
    <x v="3"/>
  </r>
  <r>
    <x v="110"/>
    <s v="UBEIMAR RAMÍREZ"/>
    <s v="Director Técnico"/>
    <s v="COODESTOL"/>
    <s v="800250023-3"/>
    <s v="compras5@coodestol.com.co"/>
    <s v="Calle 19 No. 7-109 Barrio Interlaken"/>
    <x v="0"/>
    <s v="IBAGUE"/>
    <s v="SOLICITUD AUTORIZACIÓN COMPRA DIRECTA DE MEDICAMENTOS MONOPOLIO DE ESTADO"/>
    <n v="202124100349452"/>
    <d v="2021-03-01T00:00:00"/>
    <x v="2"/>
    <n v="202124110394161"/>
    <d v="2021-03-10T00:00:00"/>
    <s v="MAR"/>
    <n v="-9"/>
    <s v="AUTORIZADO"/>
    <m/>
    <s v="No. 1160"/>
    <d v="2018-04-16T00:00:00"/>
    <s v="Meperidina HCl 100 mg/2mL Solución Inyectable_cajas X 10 unidades c/u"/>
    <n v="500"/>
    <n v="50"/>
    <x v="6"/>
    <x v="8"/>
    <x v="0"/>
    <x v="3"/>
    <x v="4"/>
  </r>
  <r>
    <x v="110"/>
    <s v="UBEIMAR RAMÍREZ"/>
    <s v="Director Técnico"/>
    <s v="COODESTOL"/>
    <s v="800250023-3"/>
    <s v="compras5@coodestol.com.co"/>
    <s v="Calle 19 No. 7-109 Barrio Interlaken"/>
    <x v="0"/>
    <s v="IBAGUE"/>
    <s v="SOLICITUD AUTORIZACIÓN COMPRA DIRECTA DE MEDICAMENTOS MONOPOLIO DE ESTADO"/>
    <n v="202124100349452"/>
    <d v="2021-03-01T00:00:00"/>
    <x v="2"/>
    <n v="202124110394161"/>
    <d v="2021-03-10T00:00:00"/>
    <s v="MAR"/>
    <n v="-9"/>
    <s v="NEGADO"/>
    <s v="EL FNE CUENTA CON BAJA DISPONIBILIDAD EN SU INVENTARIO"/>
    <s v="No. 1160"/>
    <d v="2018-04-16T00:00:00"/>
    <s v="Fenobarbital Sódico 200 mg/mL Solución Inyectable_caja X 10 ampollas c/u"/>
    <n v="0"/>
    <n v="0"/>
    <x v="3"/>
    <x v="5"/>
    <x v="0"/>
    <x v="0"/>
    <x v="0"/>
  </r>
  <r>
    <x v="110"/>
    <s v="UBEIMAR RAMÍREZ"/>
    <s v="Director Técnico"/>
    <s v="COODESTOL"/>
    <s v="800250023-3"/>
    <s v="compras5@coodestol.com.co"/>
    <s v="Calle 19 No. 7-109 Barrio Interlaken"/>
    <x v="0"/>
    <s v="IBAGUE"/>
    <s v="SOLICITUD AUTORIZACIÓN COMPRA DIRECTA DE MEDICAMENTOS MONOPOLIO DE ESTADO"/>
    <n v="202124100349452"/>
    <d v="2021-03-01T00:00:00"/>
    <x v="2"/>
    <n v="202124110394161"/>
    <d v="2021-03-10T00:00:00"/>
    <s v="MAR"/>
    <n v="-9"/>
    <s v="AUTORIZADO"/>
    <m/>
    <s v="No. 1160"/>
    <d v="2018-04-16T00:00:00"/>
    <s v="Morfina HCl 10 mg/mL Solución Inyectable ampolla por 1mL"/>
    <n v="700"/>
    <n v="70"/>
    <x v="0"/>
    <x v="0"/>
    <x v="0"/>
    <x v="0"/>
    <x v="14"/>
  </r>
  <r>
    <x v="110"/>
    <s v="UBEIMAR RAMÍREZ"/>
    <s v="Director Técnico"/>
    <s v="COODESTOL"/>
    <s v="800250023-3"/>
    <s v="compras5@coodestol.com.co"/>
    <s v="Calle 19 No. 7-109 Barrio Interlaken"/>
    <x v="0"/>
    <s v="IBAGUE"/>
    <s v="SOLICITUD AUTORIZACIÓN COMPRA DIRECTA DE MEDICAMENTOS MONOPOLIO DE ESTADO"/>
    <n v="202124100349452"/>
    <d v="2021-03-01T00:00:00"/>
    <x v="2"/>
    <n v="202124110394161"/>
    <d v="2021-03-10T00:00:00"/>
    <s v="MAR"/>
    <n v="-9"/>
    <s v="AUTORIZADO"/>
    <m/>
    <s v="No. 1160"/>
    <d v="2018-04-16T00:00:00"/>
    <s v="Morfina HCl 0,03 Solución Oral_frascos X 30 mL c/u"/>
    <n v="5"/>
    <n v="5"/>
    <x v="0"/>
    <x v="1"/>
    <x v="1"/>
    <x v="1"/>
    <x v="6"/>
  </r>
  <r>
    <x v="111"/>
    <s v="DARLYNTON MIRANDA"/>
    <s v="Regente de farmacia"/>
    <s v="ETICOS SERRANO GOMEZ LTDA"/>
    <s v="892300678-2"/>
    <s v="dispensario686@drogaslaeconomia.com"/>
    <s v="Carrera 32 No 16-13 local 6"/>
    <x v="4"/>
    <s v="SANTA MARTA"/>
    <s v="COMPRA DE MEDICAMENTOS PARA EL FONDO NACIONAL DE ESTUPEFACIENTES"/>
    <n v="202124100350272"/>
    <d v="2021-03-01T00:00:00"/>
    <x v="2"/>
    <n v="202124110394171"/>
    <d v="2021-03-10T00:00:00"/>
    <s v="MAR"/>
    <n v="-9"/>
    <s v="AUTORIZADO"/>
    <m/>
    <s v="No. 616"/>
    <d v="2018-03-08T00:00:00"/>
    <s v="Fenobarbital 100 mg Tableta_cajas X 30 unidades c/u"/>
    <n v="1500"/>
    <n v="50"/>
    <x v="5"/>
    <x v="7"/>
    <x v="4"/>
    <x v="2"/>
    <x v="68"/>
  </r>
  <r>
    <x v="111"/>
    <s v="DARLYNTON MIRANDA"/>
    <s v="Regente de farmacia"/>
    <s v="ETICOS SERRANO GOMEZ LTDA"/>
    <s v="892300678-2"/>
    <s v="dispensario686@drogaslaeconomia.com"/>
    <s v="Carrera 32 No 16-13 local 6"/>
    <x v="4"/>
    <s v="SANTA MARTA"/>
    <s v="COMPRA DE MEDICAMENTOS PARA EL FONDO NACIONAL DE ESTUPEFACIENTES"/>
    <n v="202124100350272"/>
    <d v="2021-03-01T00:00:00"/>
    <x v="2"/>
    <n v="202124110394171"/>
    <d v="2021-03-10T00:00:00"/>
    <s v="MAR"/>
    <n v="-9"/>
    <s v="AUTORIZADO"/>
    <m/>
    <s v="No. 616"/>
    <d v="2018-03-08T00:00:00"/>
    <s v="Hidromorfona HCl 2,5 mg Tableta_cajas X 20 unidades c/u"/>
    <n v="400"/>
    <n v="20"/>
    <x v="1"/>
    <x v="9"/>
    <x v="4"/>
    <x v="4"/>
    <x v="46"/>
  </r>
  <r>
    <x v="111"/>
    <s v="DARLYNTON MIRANDA"/>
    <s v="Regente de farmacia"/>
    <s v="ETICOS SERRANO GOMEZ LTDA"/>
    <s v="892300678-2"/>
    <s v="dispensario686@drogaslaeconomia.com"/>
    <s v="Carrera 32 No 16-13 local 6"/>
    <x v="4"/>
    <s v="SANTA MARTA"/>
    <s v="COMPRA DE MEDICAMENTOS PARA EL FONDO NACIONAL DE ESTUPEFACIENTES"/>
    <n v="202124100350272"/>
    <d v="2021-03-01T00:00:00"/>
    <x v="2"/>
    <n v="202124110394171"/>
    <d v="2021-03-10T00:00:00"/>
    <s v="MAR"/>
    <n v="-9"/>
    <s v="AUTORIZADO"/>
    <m/>
    <s v="No. 616"/>
    <d v="2018-03-08T00:00:00"/>
    <s v="Morfina HCl 0,03 Solución Oral_frascos X 30 mL c/u"/>
    <n v="8"/>
    <n v="8"/>
    <x v="0"/>
    <x v="1"/>
    <x v="1"/>
    <x v="1"/>
    <x v="106"/>
  </r>
  <r>
    <x v="112"/>
    <s v="ORLANDO RAFAEL HURTADO PATERNINA"/>
    <s v="Quimico Farmacéutico"/>
    <s v="ETICOS SERRANO GOMEZ LTDA"/>
    <s v="892300678-7"/>
    <s v="dispensario684@drogaslaeconomia.com"/>
    <s v="Carrera 33 No. 29-106"/>
    <x v="2"/>
    <s v="CARTAGENA"/>
    <s v="COMPRA DE MEDICAMENTO"/>
    <n v="202124100350832"/>
    <d v="2021-03-01T00:00:00"/>
    <x v="2"/>
    <n v="202124110394191"/>
    <d v="2021-03-10T00:00:00"/>
    <s v="MAR"/>
    <n v="-9"/>
    <s v="NEGADO"/>
    <s v="La razón social de la resolución no coincide con la del RUT allegado"/>
    <s v="No. 363"/>
    <d v="2019-04-02T00:00:00"/>
    <s v="Fenobarbital 100 mg Tableta_cajas X 30 unidades c/u"/>
    <n v="0"/>
    <n v="0"/>
    <x v="5"/>
    <x v="7"/>
    <x v="4"/>
    <x v="2"/>
    <x v="0"/>
  </r>
  <r>
    <x v="112"/>
    <s v="ORLANDO RAFAEL HURTADO PATERNINA"/>
    <s v="Quimico Farmacéutico"/>
    <s v="ETICOS SERRANO GOMEZ LTDA"/>
    <s v="892300678-7"/>
    <s v="dispensario684@drogaslaeconomia.com"/>
    <s v="Carrera 33 No. 29-106"/>
    <x v="2"/>
    <s v="CARTAGENA"/>
    <s v="COMPRA DE MEDICAMENTO"/>
    <n v="202124100350832"/>
    <d v="2021-03-01T00:00:00"/>
    <x v="2"/>
    <n v="202124110394191"/>
    <d v="2021-03-10T00:00:00"/>
    <s v="MAR"/>
    <n v="-9"/>
    <s v="NEGADO"/>
    <s v="La razón social de la resolución no coincide con la del RUT allegado"/>
    <s v="No. 363"/>
    <d v="2019-04-02T00:00:00"/>
    <s v="Metilfenidato HCl 10 mg Comprimido_cajas X 30 unidades c/u"/>
    <n v="0"/>
    <n v="0"/>
    <x v="4"/>
    <x v="3"/>
    <x v="3"/>
    <x v="2"/>
    <x v="0"/>
  </r>
  <r>
    <x v="113"/>
    <s v="CARMEN CLARO"/>
    <s v="Director Técnico"/>
    <s v="CLINICA SANTA GRACIA DUMIAN MEDICAL S.A.S"/>
    <s v="805027743-1"/>
    <s v="direcciontecfarmacia.santagracia@dumianmedical.net"/>
    <s v="Calle 14 No 15N-46"/>
    <x v="12"/>
    <s v="POPAYAN"/>
    <s v="Solicitud de Cotización de medicamento de control de especial"/>
    <n v="202124100354652"/>
    <d v="2021-03-01T00:00:00"/>
    <x v="2"/>
    <n v="202124110394201"/>
    <d v="2021-03-10T00:00:00"/>
    <s v="MAR"/>
    <n v="-9"/>
    <s v="AUTORIZADO"/>
    <m/>
    <s v="No. 08888-08-2019"/>
    <d v="2019-08-13T00:00:00"/>
    <s v="Morfina HCl 10 mg/mL Solución Inyectable ampolla por 1mL"/>
    <n v="500"/>
    <n v="50"/>
    <x v="0"/>
    <x v="0"/>
    <x v="0"/>
    <x v="0"/>
    <x v="57"/>
  </r>
  <r>
    <x v="113"/>
    <s v="CARMEN CLARO"/>
    <s v="Director Técnico"/>
    <s v="CLINICA SANTA GRACIA DUMIAN MEDICAL S.A.S"/>
    <s v="805027743-1"/>
    <s v="direcciontecfarmacia.santagracia@dumianmedical.net"/>
    <s v="Calle 14 No 15N-46"/>
    <x v="12"/>
    <s v="POPAYAN"/>
    <s v="Solicitud de Cotización de medicamento de control de especial"/>
    <n v="202124100354652"/>
    <d v="2021-03-01T00:00:00"/>
    <x v="2"/>
    <n v="202124110394201"/>
    <d v="2021-03-10T00:00:00"/>
    <s v="MAR"/>
    <n v="-9"/>
    <s v="AUTORIZADO"/>
    <m/>
    <s v="No. 08888-08-2019"/>
    <d v="2019-08-13T00:00:00"/>
    <s v="Meperidina HCl 100 mg/2mL Solución Inyectable_cajas X 10 unidades c/u"/>
    <n v="100"/>
    <n v="10"/>
    <x v="6"/>
    <x v="8"/>
    <x v="0"/>
    <x v="3"/>
    <x v="27"/>
  </r>
  <r>
    <x v="114"/>
    <s v="ZAMIRA COGOLLO CORDERO"/>
    <s v="Quimico Farmacéutico"/>
    <s v="INSTITUTO MEDICO DE ALTA TECNOLOGIA S.A.S"/>
    <s v="901085352-0"/>
    <s v="suministros02@imatsas.com"/>
    <s v="Calle 72 número 6A - 87"/>
    <x v="1"/>
    <s v="MONTERIA"/>
    <s v="SOLICITUD COMPRA DE MEDICAMENTOS 01-03-2021 ZONA FRANCA IMAT SAS"/>
    <n v="202124100355182"/>
    <d v="2021-03-01T00:00:00"/>
    <x v="2"/>
    <n v="202124110394221"/>
    <d v="2021-03-10T00:00:00"/>
    <s v="MAR"/>
    <n v="-9"/>
    <s v="AUTORIZADO"/>
    <m/>
    <s v="No. 0670"/>
    <d v="2019-12-30T00:00:00"/>
    <s v="Morfina HCl 10 mg/mL Solución Inyectable ampolla por 1mL"/>
    <n v="1500"/>
    <n v="150"/>
    <x v="0"/>
    <x v="0"/>
    <x v="0"/>
    <x v="0"/>
    <x v="107"/>
  </r>
  <r>
    <x v="114"/>
    <s v="ZAMIRA COGOLLO CORDERO"/>
    <s v="Quimico Farmacéutico"/>
    <s v="INSTITUTO MEDICO DE ALTA TECNOLOGIA S.A.S"/>
    <s v="901085352-0"/>
    <s v="suministros02@imatsas.com"/>
    <s v="Calle 72 número 6A - 87"/>
    <x v="1"/>
    <s v="MONTERIA"/>
    <s v="SOLICITUD COMPRA DE MEDICAMENTOS 01-03-2021 ZONA FRANCA IMAT SAS"/>
    <n v="202124100355182"/>
    <d v="2021-03-01T00:00:00"/>
    <x v="2"/>
    <n v="202124110394221"/>
    <d v="2021-03-10T00:00:00"/>
    <s v="MAR"/>
    <n v="-9"/>
    <s v="NEGADO"/>
    <s v="MEDICAMENTO EN CUARENTENA POR HALLAZGO DE CALIDAD"/>
    <s v="No. 0670"/>
    <d v="2019-12-30T00:00:00"/>
    <s v="Hidromorfona HCl 2 mg/mL Solución Inyectable_cajas X 10 unidades c/u"/>
    <n v="0"/>
    <n v="0"/>
    <x v="1"/>
    <x v="2"/>
    <x v="0"/>
    <x v="0"/>
    <x v="0"/>
  </r>
  <r>
    <x v="115"/>
    <s v="EVEDISA"/>
    <s v="NO DISPONIBLE"/>
    <s v="EVEDISA"/>
    <s v="NO DISPONIBLE"/>
    <s v=" dtl1@evedisa.com.co"/>
    <s v=" dtl1@evedisa.com.co"/>
    <x v="15"/>
    <m/>
    <s v="cotización medicamentos controlados"/>
    <n v="202124100317152"/>
    <d v="2021-02-24T00:00:00"/>
    <x v="1"/>
    <n v="202124110431771"/>
    <d v="2021-03-10T00:00:00"/>
    <s v="FEB"/>
    <n v="-14"/>
    <s v="NEGADO"/>
    <s v="NO ALLEGARON DOCUMENTOS (RUT)"/>
    <s v="No.912"/>
    <d v="2019-04-16T00:00:00"/>
    <s v="Morfina HCl 10 mg/mL Solución Inyectable ampolla por 1mL"/>
    <n v="0"/>
    <n v="0"/>
    <x v="0"/>
    <x v="0"/>
    <x v="0"/>
    <x v="0"/>
    <x v="0"/>
  </r>
  <r>
    <x v="116"/>
    <s v="MARIA CAROLINA SUAREZ ANDRADE"/>
    <s v="Representante Legal"/>
    <s v="CLINICA MEDILASER S.A."/>
    <s v="813001952-0"/>
    <s v="CYULISAH@medilaser.com.co"/>
    <s v="Carrera 7 No. 11-65"/>
    <x v="7"/>
    <s v="NEIVA"/>
    <s v="Solicitud de cotización para compra de medicamentos de control especial monopolio del estado"/>
    <n v="202124100376362"/>
    <d v="2021-03-04T00:00:00"/>
    <x v="2"/>
    <n v="202124110431751"/>
    <d v="2021-03-16T00:00:00"/>
    <s v="MAR"/>
    <n v="-12"/>
    <s v="AUTORIZADO"/>
    <m/>
    <s v="No. 1429"/>
    <d v="2017-08-11T00:00:00"/>
    <s v="Fenobarbital 0,4% Solución Oral_frascos X 120 mL c/u"/>
    <n v="2"/>
    <n v="2"/>
    <x v="5"/>
    <x v="11"/>
    <x v="1"/>
    <x v="6"/>
    <x v="108"/>
  </r>
  <r>
    <x v="116"/>
    <s v="MARIA CAROLINA SUAREZ ANDRADE"/>
    <s v="Representante Legal"/>
    <s v="CLINICA MEDILASER S.A."/>
    <s v="813001952-0"/>
    <s v="CYULISAH@medilaser.com.co"/>
    <s v="Carrera 7 No. 11-65"/>
    <x v="7"/>
    <s v="NEIVA"/>
    <s v="Solicitud de cotización para compra de medicamentos de control especial monopolio del estado"/>
    <n v="202124100376362"/>
    <d v="2021-03-04T00:00:00"/>
    <x v="2"/>
    <n v="202124110431751"/>
    <d v="2021-03-16T00:00:00"/>
    <s v="MAR"/>
    <n v="-12"/>
    <s v="AUTORIZADO"/>
    <m/>
    <s v="No. 1429"/>
    <d v="2017-08-11T00:00:00"/>
    <s v="Fenobarbital 100 mg Tableta_cajas X 30 unidades c/u"/>
    <n v="900"/>
    <n v="30"/>
    <x v="5"/>
    <x v="7"/>
    <x v="4"/>
    <x v="2"/>
    <x v="56"/>
  </r>
  <r>
    <x v="116"/>
    <s v="MARIA CAROLINA SUAREZ ANDRADE"/>
    <s v="Representante Legal"/>
    <s v="CLINICA MEDILASER S.A."/>
    <s v="813001952-0"/>
    <s v="CYULISAH@medilaser.com.co"/>
    <s v="Carrera 7 No. 11-65"/>
    <x v="7"/>
    <s v="NEIVA"/>
    <s v="Solicitud de cotización para compra de medicamentos de control especial monopolio del estado"/>
    <n v="202124100376362"/>
    <d v="2021-03-04T00:00:00"/>
    <x v="2"/>
    <n v="202124110431751"/>
    <d v="2021-03-16T00:00:00"/>
    <s v="MAR"/>
    <n v="-12"/>
    <s v="AUTORIZADO"/>
    <m/>
    <s v="No. 1429"/>
    <d v="2017-08-11T00:00:00"/>
    <s v="Fenobarbital Sódico 40 mg/mL Solución Inyectable_caja X 10 ampollas c/u"/>
    <n v="100"/>
    <n v="10"/>
    <x v="3"/>
    <x v="6"/>
    <x v="0"/>
    <x v="0"/>
    <x v="10"/>
  </r>
  <r>
    <x v="116"/>
    <s v="MARIA CAROLINA SUAREZ ANDRADE"/>
    <s v="Representante Legal"/>
    <s v="CLINICA MEDILASER S.A."/>
    <s v="813001952-0"/>
    <s v="CYULISAH@medilaser.com.co"/>
    <s v="Carrera 7 No. 11-65"/>
    <x v="7"/>
    <s v="NEIVA"/>
    <s v="Solicitud de cotización para compra de medicamentos de control especial monopolio del estado"/>
    <n v="202124100376362"/>
    <d v="2021-03-04T00:00:00"/>
    <x v="2"/>
    <n v="202124110431751"/>
    <d v="2021-03-16T00:00:00"/>
    <s v="MAR"/>
    <n v="-12"/>
    <s v="NEGADO"/>
    <s v="EL FNE CUENTA CON BAJA DISPONIBILIDAD EN SU INVENTARIO"/>
    <s v="No. 1429"/>
    <d v="2017-08-11T00:00:00"/>
    <s v="Fenobarbital Sódico 200 mg/mL Solución Inyectable_caja X 10 ampollas c/u"/>
    <n v="0"/>
    <n v="0"/>
    <x v="3"/>
    <x v="5"/>
    <x v="0"/>
    <x v="0"/>
    <x v="0"/>
  </r>
  <r>
    <x v="116"/>
    <s v="MARIA CAROLINA SUAREZ ANDRADE"/>
    <s v="Representante Legal"/>
    <s v="CLINICA MEDILASER S.A."/>
    <s v="813001952-0"/>
    <s v="CYULISAH@medilaser.com.co"/>
    <s v="Carrera 7 No. 11-65"/>
    <x v="7"/>
    <s v="NEIVA"/>
    <s v="Solicitud de cotización para compra de medicamentos de control especial monopolio del estado"/>
    <n v="202124100376362"/>
    <d v="2021-03-04T00:00:00"/>
    <x v="2"/>
    <n v="202124110431751"/>
    <d v="2021-03-16T00:00:00"/>
    <s v="MAR"/>
    <n v="-12"/>
    <s v="NEGADO"/>
    <s v="MEDICAMENTO EN CUARENTENA POR HALLAZGO DE CALIDAD"/>
    <s v="No. 1429"/>
    <d v="2017-08-11T00:00:00"/>
    <s v="Hidromorfona HCl 2 mg/mL Solución Inyectable_cajas X 10 unidades c/u"/>
    <n v="0"/>
    <n v="0"/>
    <x v="1"/>
    <x v="2"/>
    <x v="0"/>
    <x v="0"/>
    <x v="0"/>
  </r>
  <r>
    <x v="116"/>
    <s v="MARIA CAROLINA SUAREZ ANDRADE"/>
    <s v="Representante Legal"/>
    <s v="CLINICA MEDILASER S.A."/>
    <s v="813001952-0"/>
    <s v="CYULISAH@medilaser.com.co"/>
    <s v="Carrera 7 No. 11-65"/>
    <x v="7"/>
    <s v="NEIVA"/>
    <s v="Solicitud de cotización para compra de medicamentos de control especial monopolio del estado"/>
    <n v="202124100376362"/>
    <d v="2021-03-04T00:00:00"/>
    <x v="2"/>
    <n v="202124110431751"/>
    <d v="2021-03-16T00:00:00"/>
    <s v="MAR"/>
    <n v="-12"/>
    <s v="AUTORIZADO"/>
    <m/>
    <s v="No. 1429"/>
    <d v="2017-08-11T00:00:00"/>
    <s v="Meperidina HCl 100 mg/2mL Solución Inyectable_cajas X 10 unidades c/u"/>
    <n v="100"/>
    <n v="10"/>
    <x v="6"/>
    <x v="8"/>
    <x v="0"/>
    <x v="3"/>
    <x v="27"/>
  </r>
  <r>
    <x v="116"/>
    <s v="MARIA CAROLINA SUAREZ ANDRADE"/>
    <s v="Representante Legal"/>
    <s v="CLINICA MEDILASER S.A."/>
    <s v="813001952-0"/>
    <s v="CYULISAH@medilaser.com.co"/>
    <s v="Carrera 7 No. 11-65"/>
    <x v="7"/>
    <s v="NEIVA"/>
    <s v="Solicitud de cotización para compra de medicamentos de control especial monopolio del estado"/>
    <n v="202124100376362"/>
    <d v="2021-03-04T00:00:00"/>
    <x v="2"/>
    <n v="202124110431751"/>
    <d v="2021-03-16T00:00:00"/>
    <s v="MAR"/>
    <n v="-12"/>
    <s v="AUTORIZADO"/>
    <m/>
    <s v="No. 1429"/>
    <d v="2017-08-11T00:00:00"/>
    <s v="Metadona HCl 10 mg Tableta_Cajas X 30 unidades c/u"/>
    <n v="600"/>
    <n v="20"/>
    <x v="2"/>
    <x v="3"/>
    <x v="2"/>
    <x v="2"/>
    <x v="7"/>
  </r>
  <r>
    <x v="116"/>
    <s v="MARIA CAROLINA SUAREZ ANDRADE"/>
    <s v="Representante Legal"/>
    <s v="CLINICA MEDILASER S.A."/>
    <s v="813001952-0"/>
    <s v="CYULISAH@medilaser.com.co"/>
    <s v="Carrera 7 No. 11-65"/>
    <x v="7"/>
    <s v="NEIVA"/>
    <s v="Solicitud de cotización para compra de medicamentos de control especial monopolio del estado"/>
    <n v="202124100376362"/>
    <d v="2021-03-04T00:00:00"/>
    <x v="2"/>
    <n v="202124110431751"/>
    <d v="2021-03-16T00:00:00"/>
    <s v="MAR"/>
    <n v="-12"/>
    <s v="AUTORIZADO"/>
    <m/>
    <s v="No. 1429"/>
    <d v="2017-08-11T00:00:00"/>
    <s v="Morfina HCl 0,03 Solución Oral_frascos X 30 mL c/u"/>
    <n v="1"/>
    <n v="1"/>
    <x v="0"/>
    <x v="1"/>
    <x v="1"/>
    <x v="1"/>
    <x v="109"/>
  </r>
  <r>
    <x v="117"/>
    <s v="ALEXANDER RAMOS"/>
    <s v="TRF COORDINADOR"/>
    <s v="LOGIFARMA"/>
    <s v="900073223-3"/>
    <s v="coordinadormagdalena@logifarma.co"/>
    <s v="Carrera 5 No. 26-35 local 107"/>
    <x v="4"/>
    <s v="SANTA MARTA"/>
    <s v="COTIZACION PARA LOGIFARMA MAGDALENA"/>
    <n v="202124100379152"/>
    <d v="2021-03-04T00:00:00"/>
    <x v="2"/>
    <n v="202124110431781"/>
    <d v="2021-03-16T00:00:00"/>
    <s v="MAR"/>
    <n v="-12"/>
    <s v="NEGADO"/>
    <s v="EL USUARIO NO ALLEGO LOS DOCUMENTOS NECESARIOS PARA LA AUTORIZACICON"/>
    <s v="NO DISPONIBLE"/>
    <s v="NO DISPONIBLE"/>
    <s v="Fenobarbital 0,4% Solución Oral_frascos X 120 mL c/u"/>
    <n v="0"/>
    <n v="0"/>
    <x v="5"/>
    <x v="11"/>
    <x v="1"/>
    <x v="6"/>
    <x v="0"/>
  </r>
  <r>
    <x v="117"/>
    <s v="ALEXANDER RAMOS"/>
    <s v="TRF COORDINADOR"/>
    <s v="LOGIFARMA"/>
    <s v="900073223-3"/>
    <s v="coordinadormagdalena@logifarma.co"/>
    <s v="Carrera 5 No. 26-35 local 107"/>
    <x v="4"/>
    <s v="SANTA MARTA"/>
    <s v="COTIZACION PARA LOGIFARMA MAGDALENA"/>
    <n v="202124100379152"/>
    <d v="2021-03-04T00:00:00"/>
    <x v="2"/>
    <n v="202124110431781"/>
    <d v="2021-03-16T00:00:00"/>
    <s v="MAR"/>
    <n v="-12"/>
    <s v="NEGADO"/>
    <s v="EL USUARIO NO ALLEGO LOS DOCUMENTOS NECESARIOS PARA LA AUTORIZACICON"/>
    <s v="NO DISPONIBLE"/>
    <s v="NO DISPONIBLE"/>
    <s v="Fenobarbital 100 mg Tableta_cajas X 30 unidades c/u"/>
    <n v="0"/>
    <n v="0"/>
    <x v="5"/>
    <x v="7"/>
    <x v="4"/>
    <x v="2"/>
    <x v="0"/>
  </r>
  <r>
    <x v="117"/>
    <s v="ALEXANDER RAMOS"/>
    <s v="TRF COORDINADOR"/>
    <s v="LOGIFARMA"/>
    <s v="900073223-3"/>
    <s v="coordinadormagdalena@logifarma.co"/>
    <s v="Carrera 5 No. 26-35 local 107"/>
    <x v="4"/>
    <s v="SANTA MARTA"/>
    <s v="COTIZACION PARA LOGIFARMA MAGDALENA"/>
    <n v="202124100379152"/>
    <d v="2021-03-04T00:00:00"/>
    <x v="2"/>
    <n v="202124110431781"/>
    <d v="2021-03-16T00:00:00"/>
    <s v="MAR"/>
    <n v="-12"/>
    <s v="NEGADO"/>
    <s v="EL USUARIO NO ALLEGO LOS DOCUMENTOS NECESARIOS PARA LA AUTORIZACICON"/>
    <s v="NO DISPONIBLE"/>
    <s v="NO DISPONIBLE"/>
    <s v="Fenobarbital 50 mg Tableta_cajas X 30 unidades c/u"/>
    <n v="0"/>
    <n v="0"/>
    <x v="5"/>
    <x v="12"/>
    <x v="4"/>
    <x v="2"/>
    <x v="0"/>
  </r>
  <r>
    <x v="118"/>
    <s v="ERNESTO ESTRADA DEAVILA"/>
    <s v="Representante Legal"/>
    <s v="IPS CUIDADO SEGURO EN CASA S.A."/>
    <s v="900980728-1"/>
    <s v="vgarcia@cuidadoseguro.com.co"/>
    <s v="Carrera 63 a No. 30-19"/>
    <x v="2"/>
    <s v="CARTAGENA"/>
    <s v="AUTORIZACIÓN COMPRA DIRECTA DE MEDICAMENTOS"/>
    <n v="202124100380772"/>
    <d v="2021-03-04T00:00:00"/>
    <x v="2"/>
    <n v="202124110431791"/>
    <d v="2021-03-16T00:00:00"/>
    <s v="MAR"/>
    <n v="-12"/>
    <s v="NEGADO"/>
    <s v="EL USUARIO NO ALLEGO LOS DOCUMENTOS NECESARIOS PARA LA AUTORIZACICON"/>
    <s v="NO DISPONIBLE"/>
    <s v="NO DISPONIBLE"/>
    <s v="Morfina HCl 10 mg/mL Solución Inyectable ampolla por 1mL"/>
    <n v="0"/>
    <n v="0"/>
    <x v="0"/>
    <x v="0"/>
    <x v="0"/>
    <x v="0"/>
    <x v="0"/>
  </r>
  <r>
    <x v="118"/>
    <s v="ERNESTO ESTRADA DEAVILA"/>
    <s v="Representante Legal"/>
    <s v="IPS CUIDADO SEGURO EN CASA S.A."/>
    <s v="900980728-1"/>
    <s v="vgarcia@cuidadoseguro.com.co"/>
    <s v="Carrera 63 a No. 30-19"/>
    <x v="2"/>
    <s v="CARTAGENA"/>
    <s v="AUTORIZACIÓN COMPRA DIRECTA DE MEDICAMENTOS"/>
    <n v="202124100380772"/>
    <d v="2021-03-04T00:00:00"/>
    <x v="2"/>
    <n v="202124110431791"/>
    <d v="2021-03-16T00:00:00"/>
    <s v="MAR"/>
    <n v="-12"/>
    <s v="NEGADO"/>
    <s v="EL USUARIO NO ALLEGO LOS DOCUMENTOS NECESARIOS PARA LA AUTORIZACICON"/>
    <s v="NO DISPONIBLE"/>
    <s v="NO DISPONIBLE"/>
    <s v="Morfina HCl 0,03 Solución Oral_frascos X 30 mL c/u"/>
    <n v="0"/>
    <n v="0"/>
    <x v="0"/>
    <x v="1"/>
    <x v="1"/>
    <x v="1"/>
    <x v="0"/>
  </r>
  <r>
    <x v="118"/>
    <s v="ERNESTO ESTRADA DEAVILA"/>
    <s v="Representante Legal"/>
    <s v="IPS CUIDADO SEGURO EN CASA S.A."/>
    <s v="900980728-1"/>
    <s v="vgarcia@cuidadoseguro.com.co"/>
    <s v="Carrera 63 a No. 30-19"/>
    <x v="2"/>
    <s v="CARTAGENA"/>
    <s v="AUTORIZACIÓN COMPRA DIRECTA DE MEDICAMENTOS"/>
    <n v="202124100380772"/>
    <d v="2021-03-04T00:00:00"/>
    <x v="2"/>
    <n v="202124110431791"/>
    <d v="2021-03-16T00:00:00"/>
    <s v="MAR"/>
    <n v="-12"/>
    <s v="NEGADO"/>
    <s v="EL USUARIO NO ALLEGO LOS DOCUMENTOS NECESARIOS PARA LA AUTORIZACICON"/>
    <s v="NO DISPONIBLE"/>
    <s v="NO DISPONIBLE"/>
    <s v="Hidromorfona HCl 2 mg/mL Solución Inyectable_cajas X 10 unidades c/u"/>
    <n v="0"/>
    <n v="0"/>
    <x v="1"/>
    <x v="2"/>
    <x v="0"/>
    <x v="0"/>
    <x v="0"/>
  </r>
  <r>
    <x v="119"/>
    <s v="GUSTAVO ADOLFO VILLA TARRIBA"/>
    <s v="Director Técnico"/>
    <s v="CENTRO HOSPITALARIO SERENA DEL MAR S.A."/>
    <s v="NO DISPONIBLE"/>
    <s v="mariaeu_6@yahoo.com"/>
    <s v="Km 8 Viaal Mar"/>
    <x v="2"/>
    <s v="CARTAGENA"/>
    <s v="Autorizacion venta Medicamentos monopolio del estado"/>
    <n v="202124100402492"/>
    <d v="2021-03-08T00:00:00"/>
    <x v="2"/>
    <n v="202124110431801"/>
    <d v="2021-03-16T00:00:00"/>
    <s v="MAR"/>
    <n v="-8"/>
    <s v="NEGADO"/>
    <s v="EL USUARIO NO ALLEGO LOS DOCUMENTOS NECESARIOS PARA LA AUTORIZACICON"/>
    <s v="NO DISPONIBLE"/>
    <s v="NO DISPONIBLE"/>
    <s v="Hidromorfona HCl 2 mg/mL Solución Inyectable_cajas X 10 unidades c/u"/>
    <n v="0"/>
    <n v="0"/>
    <x v="1"/>
    <x v="2"/>
    <x v="0"/>
    <x v="0"/>
    <x v="0"/>
  </r>
  <r>
    <x v="119"/>
    <s v="GUSTAVO ADOLFO VILLA TARRIBA"/>
    <s v="Director Técnico"/>
    <s v="CENTRO HOSPITALARIO SERENA DEL MAR S.A."/>
    <s v="NO DISPONIBLE"/>
    <s v="mariaeu_6@yahoo.com"/>
    <s v="Km 8 Viaal Mar"/>
    <x v="2"/>
    <s v="CARTAGENA"/>
    <s v="Autorizacion venta Medicamentos monopolio del estado"/>
    <n v="202124100402492"/>
    <d v="2021-03-08T00:00:00"/>
    <x v="2"/>
    <n v="202124110431801"/>
    <d v="2021-03-16T00:00:00"/>
    <s v="MAR"/>
    <n v="-8"/>
    <s v="NEGADO"/>
    <s v="EL USUARIO NO ALLEGO LOS DOCUMENTOS NECESARIOS PARA LA AUTORIZACICON"/>
    <s v="NO DISPONIBLE"/>
    <s v="NO DISPONIBLE"/>
    <s v="Morfina HCl 10 mg/mL Solución Inyectable ampolla por 1mL"/>
    <n v="0"/>
    <n v="0"/>
    <x v="0"/>
    <x v="0"/>
    <x v="0"/>
    <x v="0"/>
    <x v="0"/>
  </r>
  <r>
    <x v="119"/>
    <s v="GUSTAVO ADOLFO VILLA TARRIBA"/>
    <s v="Director Técnico"/>
    <s v="CENTRO HOSPITALARIO SERENA DEL MAR S.A."/>
    <s v="NO DISPONIBLE"/>
    <s v="mariaeu_6@yahoo.com"/>
    <s v="Km 8 Viaal Mar"/>
    <x v="2"/>
    <s v="CARTAGENA"/>
    <s v="Autorizacion venta Medicamentos monopolio del estado"/>
    <n v="202124100402492"/>
    <d v="2021-03-08T00:00:00"/>
    <x v="2"/>
    <n v="202124110431801"/>
    <d v="2021-03-16T00:00:00"/>
    <s v="MAR"/>
    <n v="-8"/>
    <s v="NEGADO"/>
    <s v="EL USUARIO NO ALLEGO LOS DOCUMENTOS NECESARIOS PARA LA AUTORIZACICON"/>
    <s v="NO DISPONIBLE"/>
    <s v="NO DISPONIBLE"/>
    <s v="Fenobarbital Sódico 40 mg/mL Solución Inyectable_caja X 10 ampollas c/u"/>
    <n v="0"/>
    <n v="0"/>
    <x v="3"/>
    <x v="6"/>
    <x v="0"/>
    <x v="0"/>
    <x v="0"/>
  </r>
  <r>
    <x v="119"/>
    <s v="GUSTAVO ADOLFO VILLA TARRIBA"/>
    <s v="Director Técnico"/>
    <s v="CENTRO HOSPITALARIO SERENA DEL MAR S.A."/>
    <s v="NO DISPONIBLE"/>
    <s v="mariaeu_6@yahoo.com"/>
    <s v="Km 8 Viaal Mar"/>
    <x v="2"/>
    <s v="CARTAGENA"/>
    <s v="Autorizacion venta Medicamentos monopolio del estado"/>
    <n v="202124100402492"/>
    <d v="2021-03-08T00:00:00"/>
    <x v="2"/>
    <n v="202124110431801"/>
    <d v="2021-03-16T00:00:00"/>
    <s v="MAR"/>
    <n v="-8"/>
    <s v="NEGADO"/>
    <s v="EL USUARIO NO ALLEGO LOS DOCUMENTOS NECESARIOS PARA LA AUTORIZACICON"/>
    <s v="NO DISPONIBLE"/>
    <s v="NO DISPONIBLE"/>
    <s v="Fenobarbital 100 mg Tableta_cajas X 30 unidades c/u"/>
    <n v="0"/>
    <n v="0"/>
    <x v="5"/>
    <x v="7"/>
    <x v="4"/>
    <x v="2"/>
    <x v="0"/>
  </r>
  <r>
    <x v="120"/>
    <s v="SURLAY DEL CARMEN REYES CACERES"/>
    <s v="Director Técnico"/>
    <s v="ETICOS UT 2020"/>
    <s v="901381381-3"/>
    <s v="qffarmacia10501@eticos.com"/>
    <s v="Via 40 No 71-124"/>
    <x v="3"/>
    <s v="BARRANQUILLA"/>
    <s v="COTIZACION MEDICAMENTOS MONOPOLIOS DEL ESTADO"/>
    <n v="202124100331602"/>
    <d v="2021-02-25T00:00:00"/>
    <x v="1"/>
    <n v="202124110443891"/>
    <d v="2021-03-18T00:00:00"/>
    <s v="FEB"/>
    <n v="-21"/>
    <s v="AUTORIZADO"/>
    <m/>
    <s v="No. 1943"/>
    <d v="2020-07-17T00:00:00"/>
    <s v="Metilfenidato HCl 10 mg Comprimido_cajas X 30 unidades c/u"/>
    <n v="300"/>
    <n v="10"/>
    <x v="4"/>
    <x v="3"/>
    <x v="3"/>
    <x v="2"/>
    <x v="23"/>
  </r>
  <r>
    <x v="120"/>
    <s v="SURLAY DEL CARMEN REYES CACERES"/>
    <s v="Director Técnico"/>
    <s v="ETICOS UT 2020"/>
    <s v="901381381-3"/>
    <s v="qffarmacia10501@eticos.com"/>
    <s v="Via 40 No 71-124"/>
    <x v="3"/>
    <s v="BARRANQUILLA"/>
    <s v="COTIZACION MEDICAMENTOS MONOPOLIOS DEL ESTADO"/>
    <n v="202124100331602"/>
    <d v="2021-02-25T00:00:00"/>
    <x v="1"/>
    <n v="202124110443891"/>
    <d v="2021-03-18T00:00:00"/>
    <s v="FEB"/>
    <n v="-21"/>
    <s v="AUTORIZADO"/>
    <s v="Esta autorizacion reemplaza la solicitud 89 autorizacion con radicado No 202124110302651"/>
    <s v="No. 1943"/>
    <d v="2020-07-17T00:00:00"/>
    <s v="Morfina HCl 0,03 Solución Oral_frascos X 30 mL c/u"/>
    <n v="12"/>
    <n v="12"/>
    <x v="0"/>
    <x v="1"/>
    <x v="1"/>
    <x v="1"/>
    <x v="91"/>
  </r>
  <r>
    <x v="121"/>
    <s v="MARIA TERESA FLECHAS ANTOLINEZ"/>
    <s v="Director Técnico"/>
    <s v="CLINICA UROS S.A.S"/>
    <s v="813011577-4"/>
    <s v="Quimicofarmaceutico@clinicauros.com"/>
    <s v="Carrera 6 No 16-35"/>
    <x v="7"/>
    <s v="NEIVA"/>
    <s v="Solicitud cotizacion"/>
    <n v="202124100406512"/>
    <d v="2021-03-09T00:00:00"/>
    <x v="2"/>
    <n v="202124110443971"/>
    <d v="2021-03-18T00:00:00"/>
    <s v="MAR"/>
    <n v="-9"/>
    <s v="AUTORIZADO"/>
    <m/>
    <s v="No. 2985"/>
    <d v="2019-11-29T00:00:00"/>
    <s v="Morfina HCl 10 mg/mL Solución Inyectable ampolla por 1mL"/>
    <n v="600"/>
    <n v="60"/>
    <x v="0"/>
    <x v="0"/>
    <x v="0"/>
    <x v="0"/>
    <x v="42"/>
  </r>
  <r>
    <x v="121"/>
    <s v="MARIA TERESA FLECHAS ANTOLINEZ"/>
    <s v="Director Técnico"/>
    <s v="CLINICA UROS S.A.S"/>
    <s v="813011577-4"/>
    <s v="Quimicofarmaceutico@clinicauros.com"/>
    <s v="Carrera 6 No 16-35"/>
    <x v="7"/>
    <s v="NEIVA"/>
    <s v="Solicitud cotizacion"/>
    <n v="202124100406512"/>
    <d v="2021-03-09T00:00:00"/>
    <x v="2"/>
    <n v="202124110443971"/>
    <d v="2021-03-18T00:00:00"/>
    <s v="MAR"/>
    <n v="-9"/>
    <s v="AUTORIZADO"/>
    <m/>
    <s v="No. 2985"/>
    <d v="2019-11-29T00:00:00"/>
    <s v="Metadona HCl 10 mg Tableta_Cajas X 30 unidades c/u"/>
    <n v="60"/>
    <n v="2"/>
    <x v="2"/>
    <x v="3"/>
    <x v="2"/>
    <x v="2"/>
    <x v="90"/>
  </r>
  <r>
    <x v="122"/>
    <s v="DINA ESTHER PEÑALOZA DIAZ"/>
    <s v="Quimico Farmacéutico"/>
    <s v="ASOCIACION DE PRESTADORES DE SERVICIOS Y SUMINISTROS DE SALUD-ASSALUD"/>
    <s v="804011768-1"/>
    <s v="dina.penaloza@assalud.com"/>
    <s v="Calle 70 No. 41-63 Piso 2B"/>
    <x v="3"/>
    <s v="BARRANQUILLA"/>
    <s v="SOLICITUD COMPRA FENOBARBITAL ASSALUD MAGDALENA_1"/>
    <n v="202124100411512"/>
    <d v="2021-03-09T00:00:00"/>
    <x v="2"/>
    <n v="202124110443991"/>
    <d v="2021-03-18T00:00:00"/>
    <s v="MAR"/>
    <n v="-9"/>
    <s v="AUTORIZADO"/>
    <m/>
    <s v="No. 4087"/>
    <d v="2019-11-18T00:00:00"/>
    <s v="Fenobarbital 100 mg Tableta_cajas X 30 unidades c/u"/>
    <n v="2400"/>
    <n v="80"/>
    <x v="5"/>
    <x v="7"/>
    <x v="4"/>
    <x v="2"/>
    <x v="34"/>
  </r>
  <r>
    <x v="123"/>
    <s v="DINA ESTHER PEÑALOZA DIAZ"/>
    <s v="Quimico Farmacéutico"/>
    <s v="ASOCIACION DE PRESTADORES DE SERVICIOS Y SUMINISTROS DE SALUD-ASSALUD"/>
    <s v="804011768-1"/>
    <s v="dina.penaloza@assalud.com"/>
    <s v="Calle 70 No. 41-63 Piso 2B"/>
    <x v="3"/>
    <s v="BARRANQUILLA"/>
    <s v="SOLICITUD COMPRA FENOBARBITAL ASSALUD MAGDALENA_2"/>
    <n v="202124100411512"/>
    <d v="2021-03-09T00:00:00"/>
    <x v="2"/>
    <n v="202124110444011"/>
    <d v="2021-03-18T00:00:00"/>
    <s v="MAR"/>
    <n v="-9"/>
    <s v="AUTORIZADO"/>
    <m/>
    <s v="No. 4088"/>
    <d v="2019-11-18T00:00:00"/>
    <s v="Fenobarbital 100 mg Tableta_cajas X 30 unidades c/u"/>
    <n v="2400"/>
    <n v="80"/>
    <x v="5"/>
    <x v="7"/>
    <x v="4"/>
    <x v="2"/>
    <x v="34"/>
  </r>
  <r>
    <x v="124"/>
    <s v="DINA ESTHER PEÑALOZA DIAZ"/>
    <s v="Quimico Farmacéutico"/>
    <s v="ASOCIACION DE PRESTADORES DE SERVICIOS Y SUMINISTROS DE SALUD-ASSALUD"/>
    <s v="804011768-1"/>
    <s v="dina.penaloza@assalud.com"/>
    <s v="Calle 70 No. 41-63 Piso 2B"/>
    <x v="3"/>
    <s v="BARRANQUILLA"/>
    <s v="SOLICITUD COMPRA FENOBARBITAL ASSALUD MAGDALENA_3"/>
    <n v="202124100411512"/>
    <d v="2021-03-09T00:00:00"/>
    <x v="2"/>
    <n v="202124110444021"/>
    <d v="2021-03-18T00:00:00"/>
    <s v="MAR"/>
    <n v="-9"/>
    <s v="AUTORIZADO"/>
    <m/>
    <s v="No. 0816"/>
    <d v="2020-06-19T00:00:00"/>
    <s v="Fenobarbital 100 mg Tableta_cajas X 30 unidades c/u"/>
    <n v="300"/>
    <n v="10"/>
    <x v="5"/>
    <x v="7"/>
    <x v="4"/>
    <x v="2"/>
    <x v="23"/>
  </r>
  <r>
    <x v="124"/>
    <s v="DINA ESTHER PEÑALOZA DIAZ"/>
    <s v="Quimico Farmacéutico"/>
    <s v="ASOCIACION DE PRESTADORES DE SERVICIOS Y SUMINISTROS DE SALUD-ASSALUD"/>
    <s v="804011768-1"/>
    <s v="dina.penaloza@assalud.com"/>
    <s v="Calle 70 No. 41-63 Piso 2B"/>
    <x v="3"/>
    <s v="BARRANQUILLA"/>
    <s v="SOLICITUD COMPRA FENOBARBITAL ASSALUD MAGDALENA_4"/>
    <n v="202124100411512"/>
    <d v="2021-03-09T00:00:00"/>
    <x v="2"/>
    <n v="202124110444021"/>
    <d v="2021-03-18T00:00:00"/>
    <s v="MAR"/>
    <n v="-9"/>
    <s v="AUTORIZADO"/>
    <m/>
    <s v="No. 0816"/>
    <d v="2020-06-19T00:00:00"/>
    <s v="Fenobarbital 50 mg Tableta_cajas X 30 unidades c/u"/>
    <n v="120"/>
    <n v="4"/>
    <x v="5"/>
    <x v="12"/>
    <x v="4"/>
    <x v="2"/>
    <x v="110"/>
  </r>
  <r>
    <x v="125"/>
    <s v="DINA ESTHER PEÑALOZA DIAZ"/>
    <s v="Quimico Farmacéutico"/>
    <s v="ASOCIACION DE PRESTADORES DE SERVICIOS Y SUMINISTROS DE SALUD-ASSALUD"/>
    <s v="804011768-1"/>
    <s v="dina.penaloza@assalud.com"/>
    <s v="Calle 70 No. 41-63 Piso 2B"/>
    <x v="4"/>
    <s v="PLATO"/>
    <s v="SOLICITUD COMPRA FENOBARBITAL ASSALUD MAGDALENA_2"/>
    <n v="202124100411532"/>
    <d v="2021-03-09T00:00:00"/>
    <x v="2"/>
    <n v="202124110444041"/>
    <d v="2021-03-18T00:00:00"/>
    <s v="MAR"/>
    <n v="-9"/>
    <s v="AUTORIZADO"/>
    <m/>
    <s v="No. 4086"/>
    <d v="2019-11-18T00:00:00"/>
    <s v="Fenobarbital 100 mg Tableta_cajas X 30 unidades c/u"/>
    <n v="1200"/>
    <n v="40"/>
    <x v="5"/>
    <x v="7"/>
    <x v="4"/>
    <x v="2"/>
    <x v="33"/>
  </r>
  <r>
    <x v="125"/>
    <s v="DINA ESTHER PEÑALOZA DIAZ"/>
    <s v="Quimico Farmacéutico"/>
    <s v="ASOCIACION DE PRESTADORES DE SERVICIOS Y SUMINISTROS DE SALUD-ASSALUD"/>
    <s v="804011768-1"/>
    <s v="dina.penaloza@assalud.com"/>
    <s v="Calle 70 No. 41-63 Piso 2B"/>
    <x v="4"/>
    <s v="PLATO"/>
    <s v="SOLICITUD COMPRA FENOBARBITAL ASSALUD MAGDALENA_2"/>
    <n v="202124100411532"/>
    <d v="2021-03-09T00:00:00"/>
    <x v="2"/>
    <n v="202124110444041"/>
    <d v="2021-03-18T00:00:00"/>
    <s v="MAR"/>
    <n v="-9"/>
    <s v="AUTORIZADO"/>
    <m/>
    <s v="No. 4086"/>
    <d v="2019-11-18T00:00:00"/>
    <s v="Fenobarbital 50 mg Tableta_cajas X 30 unidades c/u"/>
    <n v="120"/>
    <n v="4"/>
    <x v="5"/>
    <x v="12"/>
    <x v="4"/>
    <x v="2"/>
    <x v="110"/>
  </r>
  <r>
    <x v="126"/>
    <s v="DINA ESTHER PEÑALOZA DIAZ"/>
    <s v="Quimico Farmacéutico"/>
    <s v="ASOCIACION DE PRESTADORES DE SERVICIOS Y SUMINISTROS DE SALUD-ASSALUD"/>
    <s v="804011768-1"/>
    <s v="dina.penaloza@assalud.com"/>
    <s v="Calle 70 No. 41-63 Piso 2B"/>
    <x v="4"/>
    <s v="SANTA MARTA"/>
    <s v="SOLICITUD COMPRA FENOBARBITAL ASSALUD MAGDALENA_2"/>
    <n v="202124100411532"/>
    <d v="2021-03-09T00:00:00"/>
    <x v="2"/>
    <n v="202124110444061"/>
    <d v="2021-03-18T00:00:00"/>
    <s v="MAR"/>
    <n v="-9"/>
    <s v="AUTORIZADO"/>
    <m/>
    <s v="No. 4080"/>
    <d v="2019-11-18T00:00:00"/>
    <s v="Fenobarbital 100 mg Tableta_cajas X 30 unidades c/u"/>
    <n v="1500"/>
    <n v="50"/>
    <x v="5"/>
    <x v="7"/>
    <x v="4"/>
    <x v="2"/>
    <x v="68"/>
  </r>
  <r>
    <x v="127"/>
    <s v="HOLMES HOLGUIN TUMAY"/>
    <s v="Regente de farmacia"/>
    <s v="JERSALUD"/>
    <s v="NO DISPONIBLE"/>
    <s v="Farmacia.Villavicencio@jersalud.com"/>
    <s v="NO DISPONIBLE"/>
    <x v="6"/>
    <s v="VILLAVICENCIO"/>
    <s v="Solicitud de compra"/>
    <n v="202124100417072"/>
    <d v="2021-03-10T00:00:00"/>
    <x v="2"/>
    <n v="202124110444121"/>
    <d v="2021-03-18T00:00:00"/>
    <s v="MAR"/>
    <n v="-8"/>
    <s v="NEGADO"/>
    <s v="El solicitante no presenta los documentos requeridos para la compra directa"/>
    <s v="NO DISPONIBLE"/>
    <s v="NO DISPONIBLE"/>
    <s v="Fenobarbital 100 mg Tableta_cajas X 30 unidades c/u"/>
    <n v="0"/>
    <n v="0"/>
    <x v="5"/>
    <x v="7"/>
    <x v="4"/>
    <x v="2"/>
    <x v="0"/>
  </r>
  <r>
    <x v="127"/>
    <s v="HOLMES HOLGUIN TUMAY"/>
    <s v="Regente de farmacia"/>
    <s v="JERSALUD"/>
    <s v="NO DISPONIBLE"/>
    <s v="Farmacia.Villavicencio@jersalud.com"/>
    <s v="NO DISPONIBLE"/>
    <x v="6"/>
    <s v="VILLAVICENCIO"/>
    <s v="Solicitud de compra"/>
    <n v="202124100417072"/>
    <d v="2021-03-10T00:00:00"/>
    <x v="2"/>
    <n v="202124110444121"/>
    <d v="2021-03-18T00:00:00"/>
    <s v="MAR"/>
    <n v="-8"/>
    <s v="NEGADO"/>
    <s v="El solicitante no presenta los documentos requeridos para la compra directa"/>
    <s v="NO DISPONIBLE"/>
    <s v="NO DISPONIBLE"/>
    <s v="Fenobarbital 50 mg Tableta_cajas X 30 unidades c/u"/>
    <n v="0"/>
    <n v="0"/>
    <x v="5"/>
    <x v="12"/>
    <x v="4"/>
    <x v="2"/>
    <x v="0"/>
  </r>
  <r>
    <x v="127"/>
    <s v="HOLMES HOLGUIN TUMAY"/>
    <s v="Regente de farmacia"/>
    <s v="JERSALUD"/>
    <s v="NO DISPONIBLE"/>
    <s v="Farmacia.Villavicencio@jersalud.com"/>
    <s v="NO DISPONIBLE"/>
    <x v="6"/>
    <s v="VILLAVICENCIO"/>
    <s v="Solicitud de compra"/>
    <n v="202124100417072"/>
    <d v="2021-03-10T00:00:00"/>
    <x v="2"/>
    <n v="202124110444121"/>
    <d v="2021-03-18T00:00:00"/>
    <s v="MAR"/>
    <n v="-8"/>
    <s v="NEGADO"/>
    <s v="El solicitante no presenta los documentos requeridos para la compra directa"/>
    <s v="NO DISPONIBLE"/>
    <s v="NO DISPONIBLE"/>
    <s v="Hidromorfona HCl 2,5 mg Tableta_cajas X 20 unidades c/u"/>
    <n v="0"/>
    <n v="0"/>
    <x v="1"/>
    <x v="9"/>
    <x v="4"/>
    <x v="4"/>
    <x v="0"/>
  </r>
  <r>
    <x v="128"/>
    <s v="LUISA FERNANDA FOLLECO NIÑO"/>
    <s v="Encargada del Dispensario"/>
    <s v="DROGUERIA EVEDISA TULUA 01"/>
    <s v="891409291-7"/>
    <s v="dtl1@evedisa.com.co"/>
    <s v="Calle 26No. 34-19"/>
    <x v="15"/>
    <m/>
    <s v="cotización de medicamentos"/>
    <n v="202124100419922"/>
    <d v="2021-03-10T00:00:00"/>
    <x v="2"/>
    <n v="202124110479661"/>
    <d v="2021-03-25T00:00:00"/>
    <s v="MAR"/>
    <n v="-15"/>
    <s v="AUTORIZADO"/>
    <m/>
    <s v="No. 0912"/>
    <d v="2019-05-16T00:00:00"/>
    <s v="Morfina HCl 0,03 Solución Oral_frascos X 30 mL c/u"/>
    <n v="10"/>
    <n v="10"/>
    <x v="0"/>
    <x v="1"/>
    <x v="1"/>
    <x v="1"/>
    <x v="47"/>
  </r>
  <r>
    <x v="129"/>
    <s v="CARMEN DE LA HOZ HOYER"/>
    <s v="Quimico Farmacéutico"/>
    <s v="CENTRO TERAPEUTICO REENCONTRARSE S.A.S"/>
    <s v="900438572-7"/>
    <s v="farmacia@ips-reencontrarse.com"/>
    <s v="Carrera 45 No. 84-197"/>
    <x v="3"/>
    <s v="BARRANQUILLA"/>
    <s v="Solicitud de compra de Methadona tabletas 40 y 10 mg"/>
    <n v="202124100426352"/>
    <d v="2021-03-11T00:00:00"/>
    <x v="2"/>
    <n v="202124110444181"/>
    <d v="2021-03-18T00:00:00"/>
    <s v="MAR"/>
    <n v="-7"/>
    <s v="AUTORIZADO"/>
    <m/>
    <s v="No. 7138"/>
    <d v="2017-12-05T00:00:00"/>
    <s v="Metadona HCl 10 mg Tableta_Cajas X 30 unidades c/u"/>
    <n v="240"/>
    <n v="8"/>
    <x v="2"/>
    <x v="3"/>
    <x v="2"/>
    <x v="2"/>
    <x v="96"/>
  </r>
  <r>
    <x v="129"/>
    <s v="CARMEN DE LA HOZ HOYER"/>
    <s v="Quimico Farmacéutico"/>
    <s v="CENTRO TERAPEUTICO REENCONTRARSE S.A.S"/>
    <s v="900438572-7"/>
    <s v="farmacia@ips-reencontrarse.com"/>
    <s v="Carrera 45 No. 84-197"/>
    <x v="3"/>
    <s v="BARRANQUILLA"/>
    <s v="Solicitud de compra de Methadona tabletas 40 y 10 mg"/>
    <n v="202124100426352"/>
    <d v="2021-03-11T00:00:00"/>
    <x v="2"/>
    <n v="202124110444181"/>
    <d v="2021-03-18T00:00:00"/>
    <s v="MAR"/>
    <n v="-7"/>
    <s v="AUTORIZADO"/>
    <m/>
    <s v="No. 7138"/>
    <d v="2017-12-05T00:00:00"/>
    <s v="Metadona HCl 40 mg Tableta_Cajas X 30 unidades c/u"/>
    <n v="300"/>
    <n v="10"/>
    <x v="2"/>
    <x v="4"/>
    <x v="2"/>
    <x v="2"/>
    <x v="23"/>
  </r>
  <r>
    <x v="130"/>
    <s v="JOSÉ FERNANDO CAÑIZALES RUBIO"/>
    <s v="Director Técnico"/>
    <s v="ESE HOSPITAL UNIVERSITARIO HERNANDO MONCALEANO PERDOMO"/>
    <s v="891180268-0"/>
    <s v="alexandra.mosquera@huhmp.gov.co"/>
    <s v="Calle 9 Nº15-25 "/>
    <x v="7"/>
    <s v="NEIVA"/>
    <s v="RSOLICITUD DE COTIZACIÒN DE MEDICAMENTOS MONOPOLIO DEL ESTADO"/>
    <n v="202124100420612"/>
    <d v="2021-03-10T00:00:00"/>
    <x v="2"/>
    <n v="202124110444231"/>
    <d v="2021-03-18T00:00:00"/>
    <s v="MAR"/>
    <n v="-8"/>
    <s v="NEGADO"/>
    <s v="EL FNE CUENTA CON BAJA DISPONIBILIDAD EN SU INVENTARIO"/>
    <s v="No. 483"/>
    <d v="2017-04-06T00:00:00"/>
    <s v="Fenobarbital Sódico 200 mg/mL Solución Inyectable_caja X 10 ampollas c/u"/>
    <n v="0"/>
    <n v="0"/>
    <x v="3"/>
    <x v="5"/>
    <x v="0"/>
    <x v="0"/>
    <x v="0"/>
  </r>
  <r>
    <x v="130"/>
    <s v="JOSÉ FERNANDO CAÑIZALES RUBIO"/>
    <s v="Director Técnico"/>
    <s v="ESE HOSPITAL UNIVERSITARIO HERNANDO MONCALEANO PERDOMO"/>
    <s v="891180268-0"/>
    <s v="alexandra.mosquera@huhmp.gov.co"/>
    <s v="Calle 9 Nº15-25 "/>
    <x v="7"/>
    <s v="NEIVA"/>
    <s v="RSOLICITUD DE COTIZACIÒN DE MEDICAMENTOS MONOPOLIO DEL ESTADO"/>
    <n v="202124100420612"/>
    <d v="2021-03-10T00:00:00"/>
    <x v="2"/>
    <n v="202124110444231"/>
    <d v="2021-03-18T00:00:00"/>
    <s v="MAR"/>
    <n v="-8"/>
    <s v="AUTORIZADO"/>
    <m/>
    <s v="No. 483"/>
    <d v="2017-04-06T00:00:00"/>
    <s v="Morfina HCl 0,03 Solución Oral_frascos X 30 mL c/u"/>
    <n v="10"/>
    <n v="10"/>
    <x v="0"/>
    <x v="1"/>
    <x v="1"/>
    <x v="1"/>
    <x v="47"/>
  </r>
  <r>
    <x v="130"/>
    <s v="JOSÉ FERNANDO CAÑIZALES RUBIO"/>
    <s v="Director Técnico"/>
    <s v="ESE HOSPITAL UNIVERSITARIO HERNANDO MONCALEANO PERDOMO"/>
    <s v="891180268-0"/>
    <s v="alexandra.mosquera@huhmp.gov.co"/>
    <s v="Calle 9 Nº15-25 "/>
    <x v="7"/>
    <s v="NEIVA"/>
    <s v="RSOLICITUD DE COTIZACIÒN DE MEDICAMENTOS MONOPOLIO DEL ESTADO"/>
    <n v="202124100420612"/>
    <d v="2021-03-10T00:00:00"/>
    <x v="2"/>
    <n v="202124110444231"/>
    <d v="2021-03-18T00:00:00"/>
    <s v="MAR"/>
    <n v="-8"/>
    <s v="AUTORIZADO"/>
    <m/>
    <s v="No. 483"/>
    <d v="2017-04-06T00:00:00"/>
    <s v="Fenobarbital 100 mg Tableta_cajas X 30 unidades c/u"/>
    <n v="90"/>
    <n v="3"/>
    <x v="5"/>
    <x v="7"/>
    <x v="4"/>
    <x v="2"/>
    <x v="71"/>
  </r>
  <r>
    <x v="130"/>
    <s v="JOSÉ FERNANDO CAÑIZALES RUBIO"/>
    <s v="Director Técnico"/>
    <s v="ESE HOSPITAL UNIVERSITARIO HERNANDO MONCALEANO PERDOMO"/>
    <s v="891180268-0"/>
    <s v="alexandra.mosquera@huhmp.gov.co"/>
    <s v="Calle 9 Nº15-25 "/>
    <x v="7"/>
    <s v="NEIVA"/>
    <s v="RSOLICITUD DE COTIZACIÒN DE MEDICAMENTOS MONOPOLIO DEL ESTADO"/>
    <n v="202124100420612"/>
    <d v="2021-03-10T00:00:00"/>
    <x v="2"/>
    <n v="202124110444231"/>
    <d v="2021-03-18T00:00:00"/>
    <s v="MAR"/>
    <n v="-8"/>
    <s v="AUTORIZADO"/>
    <m/>
    <s v="No. 483"/>
    <d v="2017-04-06T00:00:00"/>
    <s v="Meperidina HCl 100 mg/2mL Solución Inyectable_cajas X 10 unidades c/u"/>
    <n v="200"/>
    <n v="20"/>
    <x v="6"/>
    <x v="8"/>
    <x v="0"/>
    <x v="3"/>
    <x v="31"/>
  </r>
  <r>
    <x v="131"/>
    <s v="YONATHAN MIRANDA"/>
    <s v="Quimico Farmacéutico"/>
    <s v="CLINICA GENERAL DEL NORTE S.A."/>
    <s v="890102768-5"/>
    <s v="quimicopesbol@clinicageneraldelnorte.com"/>
    <s v="NO DISPONIBLE"/>
    <x v="2"/>
    <m/>
    <s v="SOLICITUD DE VENTA DE MEDICAMENTOS MONOPOLIO DEL ESTADO"/>
    <n v="202124100425072"/>
    <d v="2021-03-11T00:00:00"/>
    <x v="2"/>
    <n v="202124110455101"/>
    <d v="2021-03-19T00:00:00"/>
    <s v="MAR"/>
    <n v="-8"/>
    <s v="NEGADO"/>
    <s v="El solicitante no allego los documentos necesarios para la autorizacion de compra directa"/>
    <s v="NO DISPONIBLE"/>
    <s v="NO DISPONIBLE"/>
    <s v="Fenobarbital 100 mg Tableta_cajas X 30 unidades c/u"/>
    <n v="0"/>
    <n v="0"/>
    <x v="5"/>
    <x v="7"/>
    <x v="4"/>
    <x v="2"/>
    <x v="0"/>
  </r>
  <r>
    <x v="131"/>
    <s v="YONATHAN MIRANDA"/>
    <s v="Quimico Farmacéutico"/>
    <s v="CLINICA GENERAL DEL NORTE S.A."/>
    <s v="890102768-5"/>
    <s v="quimicopesbol@clinicageneraldelnorte.com"/>
    <s v="NO DISPONIBLE"/>
    <x v="2"/>
    <m/>
    <s v="SOLICITUD DE VENTA DE MEDICAMENTOS MONOPOLIO DEL ESTADO"/>
    <n v="202124100425072"/>
    <d v="2021-03-11T00:00:00"/>
    <x v="2"/>
    <n v="202124110455101"/>
    <d v="2021-03-19T00:00:00"/>
    <s v="MAR"/>
    <n v="-8"/>
    <s v="NEGADO"/>
    <s v="El solicitante no allego los documentos necesarios para la autorizacion de compra directa"/>
    <s v="NO DISPONIBLE"/>
    <s v="NO DISPONIBLE"/>
    <s v="Metilfenidato HCl 10 mg Comprimido_cajas X 30 unidades c/u"/>
    <n v="0"/>
    <n v="0"/>
    <x v="4"/>
    <x v="3"/>
    <x v="3"/>
    <x v="2"/>
    <x v="0"/>
  </r>
  <r>
    <x v="132"/>
    <s v="ELQUIN ALEXIS BEDOYA MONTES"/>
    <s v="Regente de farmacia"/>
    <s v="MEDLIFE S.A.S"/>
    <s v="804010795-6"/>
    <s v="dispensacionibaguemedlife@gmail.com"/>
    <s v="Carrera 4D No. 36-46/Cádiz"/>
    <x v="0"/>
    <s v="IBAGUE"/>
    <s v="COTIZACION MCEME"/>
    <n v="202124100435602"/>
    <d v="2021-03-12T00:00:00"/>
    <x v="2"/>
    <n v="202124110455161"/>
    <d v="2021-03-19T00:00:00"/>
    <s v="MAR"/>
    <n v="-7"/>
    <s v="AUTORIZADO"/>
    <m/>
    <s v="No. 2641"/>
    <d v="2020-12-21T00:00:00"/>
    <s v="Fenobarbital 100 mg Tableta_cajas X 30 unidades c/u"/>
    <n v="1200"/>
    <n v="40"/>
    <x v="5"/>
    <x v="7"/>
    <x v="4"/>
    <x v="2"/>
    <x v="33"/>
  </r>
  <r>
    <x v="132"/>
    <s v="ELQUIN ALEXIS BEDOYA MONTES"/>
    <s v="Regente de farmacia"/>
    <s v="MEDLIFE S.A.S"/>
    <s v="804010795-6"/>
    <s v="dispensacionibaguemedlife@gmail.com"/>
    <s v="Carrera 4D No. 36-46/Cádiz"/>
    <x v="0"/>
    <s v="IBAGUE"/>
    <s v="COTIZACION MCEME"/>
    <n v="202124100435602"/>
    <d v="2021-03-12T00:00:00"/>
    <x v="2"/>
    <n v="202124110455161"/>
    <d v="2021-03-19T00:00:00"/>
    <s v="MAR"/>
    <n v="-7"/>
    <s v="AUTORIZADO"/>
    <m/>
    <s v="No. 2641"/>
    <d v="2020-12-21T00:00:00"/>
    <s v="Hidromorfona HCl 2,5 mg Tableta_cajas X 20 unidades c/u"/>
    <n v="180"/>
    <n v="9"/>
    <x v="1"/>
    <x v="9"/>
    <x v="4"/>
    <x v="4"/>
    <x v="52"/>
  </r>
  <r>
    <x v="132"/>
    <s v="ELQUIN ALEXIS BEDOYA MONTES"/>
    <s v="Regente de farmacia"/>
    <s v="MEDLIFE S.A.S"/>
    <s v="804010795-6"/>
    <s v="dispensacionibaguemedlife@gmail.com"/>
    <s v="Carrera 4D No. 36-46/Cádiz"/>
    <x v="0"/>
    <s v="IBAGUE"/>
    <s v="COTIZACION MCEME"/>
    <n v="202124100435602"/>
    <d v="2021-03-12T00:00:00"/>
    <x v="2"/>
    <n v="202124110455161"/>
    <d v="2021-03-19T00:00:00"/>
    <s v="MAR"/>
    <n v="-7"/>
    <s v="AUTORIZADO"/>
    <m/>
    <s v="No. 2641"/>
    <d v="2020-12-21T00:00:00"/>
    <s v="Metilfenidato HCl 10 mg Comprimido_cajas X 30 unidades c/u"/>
    <n v="600"/>
    <n v="20"/>
    <x v="4"/>
    <x v="3"/>
    <x v="3"/>
    <x v="2"/>
    <x v="7"/>
  </r>
  <r>
    <x v="132"/>
    <s v="ELQUIN ALEXIS BEDOYA MONTES"/>
    <s v="Regente de farmacia"/>
    <s v="MEDLIFE S.A.S"/>
    <s v="804010795-6"/>
    <s v="dispensacionibaguemedlife@gmail.com"/>
    <s v="Carrera 4D No. 36-46/Cádiz"/>
    <x v="0"/>
    <s v="IBAGUE"/>
    <s v="COTIZACION MCEME"/>
    <n v="202124100435602"/>
    <d v="2021-03-12T00:00:00"/>
    <x v="2"/>
    <n v="202124110455161"/>
    <d v="2021-03-19T00:00:00"/>
    <s v="MAR"/>
    <n v="-7"/>
    <s v="AUTORIZADO"/>
    <m/>
    <s v="No. 2641"/>
    <d v="2020-12-21T00:00:00"/>
    <s v="Morfina HCl 0,03 Solución Oral_frascos X 30 mL c/u"/>
    <n v="10"/>
    <n v="10"/>
    <x v="0"/>
    <x v="1"/>
    <x v="1"/>
    <x v="1"/>
    <x v="47"/>
  </r>
  <r>
    <x v="133"/>
    <s v="ORLANDO RAFAEL HURTADO PATERNINA"/>
    <s v="Quimico Farmacéutico"/>
    <s v="DROGERÍAS LA ECONOMIA 684"/>
    <s v="892300678-7"/>
    <s v="dispensario684@drogaslaeconomia.com"/>
    <s v="Carrera 33 No. 29-106"/>
    <x v="2"/>
    <s v="CARTAGENA"/>
    <s v="COMPRA DE MEDICAMENTO"/>
    <n v="202124100439462"/>
    <d v="2021-03-12T00:00:00"/>
    <x v="2"/>
    <n v="202124110455241"/>
    <d v="2021-03-19T00:00:00"/>
    <s v="MAR"/>
    <n v="-7"/>
    <s v="AUTORIZADO"/>
    <m/>
    <s v="No. 363"/>
    <d v="2019-04-02T00:00:00"/>
    <s v="Metilfenidato HCl 10 mg Comprimido_cajas X 30 unidades c/u"/>
    <n v="180"/>
    <n v="6"/>
    <x v="4"/>
    <x v="3"/>
    <x v="3"/>
    <x v="2"/>
    <x v="53"/>
  </r>
  <r>
    <x v="133"/>
    <s v="ORLANDO RAFAEL HURTADO PATERNINA"/>
    <s v="Quimico Farmacéutico"/>
    <s v="DROGERÍAS LA ECONOMIA 684"/>
    <s v="892300678-7"/>
    <s v="dispensario684@drogaslaeconomia.com"/>
    <s v="Carrera 33 No. 29-106"/>
    <x v="2"/>
    <s v="CARTAGENA"/>
    <s v="COMPRA DE MEDICAMENTO"/>
    <n v="202124100439462"/>
    <d v="2021-03-12T00:00:00"/>
    <x v="2"/>
    <n v="202124110455241"/>
    <d v="2021-03-19T00:00:00"/>
    <s v="MAR"/>
    <n v="-7"/>
    <s v="AUTORIZADO"/>
    <m/>
    <s v="No. 363"/>
    <d v="2019-04-02T00:00:00"/>
    <s v="Fenobarbital 100 mg Tableta_cajas X 30 unidades c/u"/>
    <n v="600"/>
    <n v="20"/>
    <x v="5"/>
    <x v="7"/>
    <x v="4"/>
    <x v="2"/>
    <x v="7"/>
  </r>
  <r>
    <x v="133"/>
    <s v="ORLANDO RAFAEL HURTADO PATERNINA"/>
    <s v="Quimico Farmacéutico"/>
    <s v="DROGERÍAS LA ECONOMIA 684"/>
    <s v="892300678-7"/>
    <s v="dispensario684@drogaslaeconomia.com"/>
    <s v="Carrera 33 No. 29-106"/>
    <x v="2"/>
    <s v="CARTAGENA"/>
    <s v="COMPRA DE MEDICAMENTO"/>
    <n v="202124100439462"/>
    <d v="2021-03-12T00:00:00"/>
    <x v="2"/>
    <n v="202124110455241"/>
    <d v="2021-03-19T00:00:00"/>
    <s v="MAR"/>
    <n v="-7"/>
    <s v="AUTORIZADO"/>
    <m/>
    <s v="No. 363"/>
    <d v="2019-04-02T00:00:00"/>
    <s v="Morfina HCl 0,03 Solución Oral_frascos X 30 mL c/u"/>
    <n v="5"/>
    <n v="5"/>
    <x v="0"/>
    <x v="1"/>
    <x v="1"/>
    <x v="1"/>
    <x v="6"/>
  </r>
  <r>
    <x v="134"/>
    <s v="YESICA MARISOL SUAREZ SOTELO"/>
    <s v="Supervisor de Zona Tolima"/>
    <s v="DISFARMA"/>
    <s v="900580962-2"/>
    <s v="_x0009_yesica.suarez@disfarma.com.co"/>
    <s v="AV AMBALA N 33 - 36 SAN SIMON PARTE BAJA"/>
    <x v="0"/>
    <s v="IBAGUE"/>
    <s v="COTIZACIÓN MEDICAMENTOS MONOPOLIO ZONA TOLIMA MARZO 2021"/>
    <n v="202124100439952"/>
    <d v="2021-03-12T00:00:00"/>
    <x v="2"/>
    <n v="202124110455371"/>
    <d v="2021-03-19T00:00:00"/>
    <s v="MAR"/>
    <n v="-7"/>
    <s v="AUTORIZADO"/>
    <m/>
    <s v="No. 1212"/>
    <d v="2019-05-07T00:00:00"/>
    <s v="Fenobarbital 10 mg Tableta_cajas X 30 unidades c/u"/>
    <n v="150"/>
    <n v="5"/>
    <x v="5"/>
    <x v="3"/>
    <x v="4"/>
    <x v="2"/>
    <x v="2"/>
  </r>
  <r>
    <x v="134"/>
    <s v="YESICA MARISOL SUAREZ SOTELO"/>
    <s v="Supervisor de Zona Tolima"/>
    <s v="DISFARMA"/>
    <s v="900580962-2"/>
    <s v="_x0009_yesica.suarez@disfarma.com.co"/>
    <s v="AV AMBALA N 33 - 36 SAN SIMON PARTE BAJA"/>
    <x v="0"/>
    <s v="IBAGUE"/>
    <s v="COTIZACIÓN MEDICAMENTOS MONOPOLIO ZONA TOLIMA MARZO 2021"/>
    <n v="202124100439952"/>
    <d v="2021-03-12T00:00:00"/>
    <x v="2"/>
    <n v="202124110455371"/>
    <d v="2021-03-19T00:00:00"/>
    <s v="MAR"/>
    <n v="-7"/>
    <s v="AUTORIZADO"/>
    <m/>
    <s v="No. 1212"/>
    <d v="2019-05-07T00:00:00"/>
    <s v="Fenobarbital 100 mg Tableta_cajas X 30 unidades c/u"/>
    <n v="13350"/>
    <n v="445"/>
    <x v="5"/>
    <x v="7"/>
    <x v="4"/>
    <x v="2"/>
    <x v="111"/>
  </r>
  <r>
    <x v="134"/>
    <s v="YESICA MARISOL SUAREZ SOTELO"/>
    <s v="Supervisor de Zona Tolima"/>
    <s v="DISFARMA"/>
    <s v="900580962-2"/>
    <s v="_x0009_yesica.suarez@disfarma.com.co"/>
    <s v="AV AMBALA N 33 - 36 SAN SIMON PARTE BAJA"/>
    <x v="0"/>
    <s v="IBAGUE"/>
    <s v="COTIZACIÓN MEDICAMENTOS MONOPOLIO ZONA TOLIMA MARZO 2021"/>
    <n v="202124100439952"/>
    <d v="2021-03-12T00:00:00"/>
    <x v="2"/>
    <n v="202124110455371"/>
    <d v="2021-03-19T00:00:00"/>
    <s v="MAR"/>
    <n v="-7"/>
    <s v="NEGADO"/>
    <s v="El medicamento solicitado se encuentra en cuarentena por hallazgos de claidad"/>
    <s v="No. 1212"/>
    <d v="2019-05-07T00:00:00"/>
    <s v="Hidromorfona HCl 2 mg/mL Solución Inyectable_cajas X 10 unidades c/u"/>
    <n v="0"/>
    <n v="0"/>
    <x v="1"/>
    <x v="2"/>
    <x v="0"/>
    <x v="0"/>
    <x v="0"/>
  </r>
  <r>
    <x v="134"/>
    <s v="YESICA MARISOL SUAREZ SOTELO"/>
    <s v="Supervisor de Zona Tolima"/>
    <s v="DISFARMA"/>
    <s v="900580962-2"/>
    <s v="_x0009_yesica.suarez@disfarma.com.co"/>
    <s v="AV AMBALA N 33 - 36 SAN SIMON PARTE BAJA"/>
    <x v="0"/>
    <s v="IBAGUE"/>
    <s v="COTIZACIÓN MEDICAMENTOS MONOPOLIO ZONA TOLIMA MARZO 2021"/>
    <n v="202124100439952"/>
    <d v="2021-03-12T00:00:00"/>
    <x v="2"/>
    <n v="202124110455371"/>
    <d v="2021-03-19T00:00:00"/>
    <s v="MAR"/>
    <n v="-7"/>
    <s v="AUTORIZADO"/>
    <m/>
    <s v="No. 1212"/>
    <d v="2019-05-07T00:00:00"/>
    <s v="Morfina HCl 0,03 Solución Oral_frascos X 30 mL c/u"/>
    <n v="10"/>
    <n v="10"/>
    <x v="0"/>
    <x v="1"/>
    <x v="1"/>
    <x v="1"/>
    <x v="47"/>
  </r>
  <r>
    <x v="134"/>
    <s v="YESICA MARISOL SUAREZ SOTELO"/>
    <s v="Supervisor de Zona Tolima"/>
    <s v="DISFARMA"/>
    <s v="900580962-2"/>
    <s v="_x0009_yesica.suarez@disfarma.com.co"/>
    <s v="AV AMBALA N 33 - 36 SAN SIMON PARTE BAJA"/>
    <x v="0"/>
    <s v="IBAGUE"/>
    <s v="COTIZACIÓN MEDICAMENTOS MONOPOLIO ZONA TOLIMA MARZO 2021"/>
    <n v="202124100439952"/>
    <d v="2021-03-12T00:00:00"/>
    <x v="2"/>
    <n v="202124110455371"/>
    <d v="2021-03-19T00:00:00"/>
    <s v="MAR"/>
    <n v="-7"/>
    <s v="AUTORIZADO"/>
    <m/>
    <s v="No. 1212"/>
    <d v="2019-05-07T00:00:00"/>
    <s v="Primidona 250 mg Tableta_caja X 30 unidades c/u"/>
    <n v="240"/>
    <n v="8"/>
    <x v="7"/>
    <x v="10"/>
    <x v="4"/>
    <x v="2"/>
    <x v="96"/>
  </r>
  <r>
    <x v="134"/>
    <s v="YESICA MARISOL SUAREZ SOTELO"/>
    <s v="Supervisor de Zona Tolima"/>
    <s v="DISFARMA"/>
    <s v="900580962-2"/>
    <s v="_x0009_yesica.suarez@disfarma.com.co"/>
    <s v="AV AMBALA N 33 - 36 SAN SIMON PARTE BAJA"/>
    <x v="0"/>
    <s v="IBAGUE"/>
    <s v="COTIZACIÓN MEDICAMENTOS MONOPOLIO ZONA TOLIMA MARZO 2021"/>
    <n v="202124100439952"/>
    <d v="2021-03-12T00:00:00"/>
    <x v="2"/>
    <n v="202124110455371"/>
    <d v="2021-03-19T00:00:00"/>
    <s v="MAR"/>
    <n v="-7"/>
    <s v="AUTORIZADO"/>
    <m/>
    <s v="No. 1212"/>
    <d v="2019-05-07T00:00:00"/>
    <s v="Metilfenidato HCl 10 mg Comprimido_cajas X 30 unidades c/u"/>
    <n v="240"/>
    <n v="8"/>
    <x v="4"/>
    <x v="3"/>
    <x v="3"/>
    <x v="2"/>
    <x v="96"/>
  </r>
  <r>
    <x v="135"/>
    <s v="YAMITH PRECIADO BONILLA"/>
    <s v="Director Técnico"/>
    <s v="MESSER COLOMBIA S.A"/>
    <s v="860005114-4"/>
    <s v="yamith.preciado@messer-co.com"/>
    <s v="Carrera 49C No. 80-148"/>
    <x v="3"/>
    <s v="BARRANQUILLA"/>
    <s v="Autorización compra Fenobarbital solución oral 120 ml"/>
    <n v="202124100444302"/>
    <d v="2021-03-15T00:00:00"/>
    <x v="2"/>
    <n v="202124110455401"/>
    <d v="2021-03-19T00:00:00"/>
    <s v="MAR"/>
    <n v="-4"/>
    <s v="AUTORIZADO"/>
    <m/>
    <s v="No. 4001"/>
    <d v="2020-12-21T00:00:00"/>
    <s v="Fenobarbital 0,4% Solución Oral_frascos X 120 mL c/u"/>
    <n v="16"/>
    <n v="16"/>
    <x v="5"/>
    <x v="11"/>
    <x v="1"/>
    <x v="6"/>
    <x v="112"/>
  </r>
  <r>
    <x v="136"/>
    <s v="HOLMES HOLGUIN TUMAY"/>
    <s v="Director Técnico"/>
    <s v="JERSALUD S.A.S"/>
    <s v="900622551-0"/>
    <s v=" Coord.FarmaciaMeta@jersalud.com"/>
    <s v="Avenida 40 carrera 40 No 30-26"/>
    <x v="6"/>
    <s v="VILLAVICENCIO"/>
    <s v="COTIZACION Y AUTORIZACION PARA COMPRA MEDICAMENTOS CONTROL FNE"/>
    <n v="202124100446682"/>
    <d v="2021-03-15T00:00:00"/>
    <x v="2"/>
    <n v="202124110455441"/>
    <d v="2021-03-19T00:00:00"/>
    <s v="MAR"/>
    <n v="-4"/>
    <s v="AUTORIZADO"/>
    <m/>
    <s v="No. 610"/>
    <d v="2021-01-15T00:00:00"/>
    <s v="Fenobarbital 10 mg Tableta_cajas X 30 unidades c/u"/>
    <n v="150"/>
    <n v="5"/>
    <x v="5"/>
    <x v="3"/>
    <x v="4"/>
    <x v="2"/>
    <x v="2"/>
  </r>
  <r>
    <x v="136"/>
    <s v="HOLMES HOLGUIN TUMAY"/>
    <s v="Director Técnico"/>
    <s v="JERSALUD S.A.S"/>
    <s v="900622551-0"/>
    <s v=" Coord.FarmaciaMeta@jersalud.com"/>
    <s v="Avenida 40 carrera 40 No 30-26"/>
    <x v="6"/>
    <s v="VILLAVICENCIO"/>
    <s v="COTIZACION Y AUTORIZACION PARA COMPRA MEDICAMENTOS CONTROL FNE"/>
    <n v="202124100446682"/>
    <d v="2021-03-15T00:00:00"/>
    <x v="2"/>
    <n v="202124110455441"/>
    <d v="2021-03-19T00:00:00"/>
    <s v="MAR"/>
    <n v="-4"/>
    <s v="AUTORIZADO"/>
    <m/>
    <s v="No. 610"/>
    <d v="2021-01-15T00:00:00"/>
    <s v="Fenobarbital 50 mg Tableta_cajas X 30 unidades c/u"/>
    <n v="300"/>
    <n v="10"/>
    <x v="5"/>
    <x v="12"/>
    <x v="4"/>
    <x v="2"/>
    <x v="23"/>
  </r>
  <r>
    <x v="136"/>
    <s v="HOLMES HOLGUIN TUMAY"/>
    <s v="Director Técnico"/>
    <s v="JERSALUD S.A.S"/>
    <s v="900622551-0"/>
    <s v=" Coord.FarmaciaMeta@jersalud.com"/>
    <s v="Avenida 40 carrera 40 No 30-26"/>
    <x v="6"/>
    <s v="VILLAVICENCIO"/>
    <s v="COTIZACION Y AUTORIZACION PARA COMPRA MEDICAMENTOS CONTROL FNE"/>
    <n v="202124100446682"/>
    <d v="2021-03-15T00:00:00"/>
    <x v="2"/>
    <n v="202124110455441"/>
    <d v="2021-03-19T00:00:00"/>
    <s v="MAR"/>
    <n v="-4"/>
    <s v="AUTORIZADO"/>
    <m/>
    <s v="No. 610"/>
    <d v="2021-01-15T00:00:00"/>
    <s v="Fenobarbital 100 mg Tableta_cajas X 30 unidades c/u"/>
    <n v="300"/>
    <n v="10"/>
    <x v="5"/>
    <x v="7"/>
    <x v="4"/>
    <x v="2"/>
    <x v="23"/>
  </r>
  <r>
    <x v="136"/>
    <s v="HOLMES HOLGUIN TUMAY"/>
    <s v="Director Técnico"/>
    <s v="JERSALUD S.A.S"/>
    <s v="900622551-0"/>
    <s v=" Coord.FarmaciaMeta@jersalud.com"/>
    <s v="Avenida 40 carrera 40 No 30-26"/>
    <x v="6"/>
    <s v="VILLAVICENCIO"/>
    <s v="COTIZACION Y AUTORIZACION PARA COMPRA MEDICAMENTOS CONTROL FNE"/>
    <n v="202124100446682"/>
    <d v="2021-03-15T00:00:00"/>
    <x v="2"/>
    <n v="202124110455441"/>
    <d v="2021-03-19T00:00:00"/>
    <s v="MAR"/>
    <n v="-4"/>
    <s v="AUTORIZADO"/>
    <m/>
    <s v="No. 610"/>
    <d v="2021-01-15T00:00:00"/>
    <s v="Hidromorfona HCl 2,5 mg Tableta_cajas X 20 unidades c/u"/>
    <n v="720"/>
    <n v="36"/>
    <x v="1"/>
    <x v="9"/>
    <x v="4"/>
    <x v="4"/>
    <x v="113"/>
  </r>
  <r>
    <x v="136"/>
    <s v="HOLMES HOLGUIN TUMAY"/>
    <s v="Director Técnico"/>
    <s v="JERSALUD S.A.S"/>
    <s v="900622551-0"/>
    <s v=" Coord.FarmaciaMeta@jersalud.com"/>
    <s v="Avenida 40 carrera 40 No 30-26"/>
    <x v="6"/>
    <s v="VILLAVICENCIO"/>
    <s v="COTIZACION Y AUTORIZACION PARA COMPRA MEDICAMENTOS CONTROL FNE"/>
    <n v="202124100446682"/>
    <d v="2021-03-15T00:00:00"/>
    <x v="2"/>
    <n v="202124110455441"/>
    <d v="2021-03-19T00:00:00"/>
    <s v="MAR"/>
    <n v="-4"/>
    <s v="NEGADO"/>
    <s v="El medicamento no se encuentra en el portafolio del FNE"/>
    <s v="No. 610"/>
    <d v="2021-01-15T00:00:00"/>
    <s v="Hidromorfona HCl 5 mg Tableta_cajas X 30 unidades c/u"/>
    <n v="0"/>
    <n v="0"/>
    <x v="1"/>
    <x v="13"/>
    <x v="5"/>
    <x v="7"/>
    <x v="0"/>
  </r>
  <r>
    <x v="137"/>
    <s v="LORENA MARIA LOZANO"/>
    <s v="Director Técnico"/>
    <s v="EMPRESA LOCAL DEL ESTADO HOSPITAL LOCAL DE SAN MARTIN DE LOS LLANOS"/>
    <s v="892000458-6"/>
    <s v="lmlozanot@gmail.com"/>
    <s v="Calle 4 No 7-34"/>
    <x v="6"/>
    <s v="VILLAVICENCIO"/>
    <s v="Solicitud de Compra de Medicamentos Monopolio del estado Hospital Local San Martín Meta"/>
    <n v="202124100454572"/>
    <d v="2021-03-16T00:00:00"/>
    <x v="2"/>
    <n v="202124110455481"/>
    <d v="2021-03-19T00:00:00"/>
    <s v="MAR"/>
    <n v="-3"/>
    <s v="AUTORIZADO"/>
    <m/>
    <s v="No. 588"/>
    <d v="2018-06-07T00:00:00"/>
    <s v="Meperidina HCl 100 mg/2mL Solución Inyectable_cajas X 10 unidades c/u"/>
    <n v="60"/>
    <n v="6"/>
    <x v="6"/>
    <x v="8"/>
    <x v="0"/>
    <x v="3"/>
    <x v="67"/>
  </r>
  <r>
    <x v="137"/>
    <s v="LORENA MARIA LOZANO"/>
    <s v="Director Técnico"/>
    <s v="EMPRESA LOCAL DEL ESTADO HOSPITAL LOCAL DE SAN MARTIN DE LOS LLANOS"/>
    <s v="892000458-6"/>
    <s v="lmlozanot@gmail.com"/>
    <s v="Calle 4 No 7-34"/>
    <x v="6"/>
    <s v="VILLAVICENCIO"/>
    <s v="Solicitud de Compra de Medicamentos Monopolio del estado Hospital Local San Martín Meta"/>
    <n v="202124100454572"/>
    <d v="2021-03-16T00:00:00"/>
    <x v="2"/>
    <n v="202124110455481"/>
    <d v="2021-03-19T00:00:00"/>
    <s v="MAR"/>
    <n v="-3"/>
    <s v="AUTORIZADO"/>
    <m/>
    <s v="No. 588"/>
    <d v="2018-06-07T00:00:00"/>
    <s v="Fenobarbital 100 mg Tableta_cajas X 30 unidades c/u"/>
    <n v="30"/>
    <n v="1"/>
    <x v="5"/>
    <x v="7"/>
    <x v="4"/>
    <x v="2"/>
    <x v="8"/>
  </r>
  <r>
    <x v="137"/>
    <s v="LORENA MARIA LOZANO"/>
    <s v="Director Técnico"/>
    <s v="EMPRESA LOCAL DEL ESTADO HOSPITAL LOCAL DE SAN MARTIN DE LOS LLANOS"/>
    <s v="892000458-6"/>
    <s v="lmlozanot@gmail.com"/>
    <s v="Calle 4 No 7-34"/>
    <x v="6"/>
    <s v="VILLAVICENCIO"/>
    <s v="Solicitud de Compra de Medicamentos Monopolio del estado Hospital Local San Martín Meta"/>
    <n v="202124100454572"/>
    <d v="2021-03-16T00:00:00"/>
    <x v="2"/>
    <n v="202124110455481"/>
    <d v="2021-03-19T00:00:00"/>
    <s v="MAR"/>
    <n v="-3"/>
    <s v="AUTORIZADO"/>
    <m/>
    <s v="No. 588"/>
    <d v="2018-06-07T00:00:00"/>
    <s v="Morfina HCl 10 mg/mL Solución Inyectable ampolla por 1mL"/>
    <n v="10"/>
    <n v="1"/>
    <x v="0"/>
    <x v="0"/>
    <x v="0"/>
    <x v="0"/>
    <x v="11"/>
  </r>
  <r>
    <x v="138"/>
    <s v="LIRA MARGARITA TATIS CARABALLO"/>
    <s v="Quimico Farmacéutico"/>
    <s v="FUNDACION CENTRO COLOMBIANO DE EPILEPSIA Y ENFERMEDADES NEUROLOGICAS-JAIMA FANDILO FRANKY (FIRE)"/>
    <s v="900269029-3"/>
    <s v="_x0009_JEFEMOF@firecolombia.co"/>
    <s v="Calle 1 El Eden Barrio Ternera"/>
    <x v="2"/>
    <s v="CARTAGENA"/>
    <s v="SOLICITUD AUTORIZACIÓN COMPRA DIRECTA MARZO 16 DEL 2021"/>
    <n v="202124100461272"/>
    <d v="2021-03-16T00:00:00"/>
    <x v="2"/>
    <n v="202124110455531"/>
    <d v="2021-03-19T00:00:00"/>
    <s v="MAR"/>
    <n v="-3"/>
    <s v="AUTORIZADO"/>
    <m/>
    <s v="No. 962"/>
    <d v="2017-07-19T00:00:00"/>
    <s v="Fenobarbital 100 mg Tableta_cajas X 30 unidades c/u"/>
    <n v="30000"/>
    <n v="1000"/>
    <x v="5"/>
    <x v="7"/>
    <x v="4"/>
    <x v="2"/>
    <x v="114"/>
  </r>
  <r>
    <x v="139"/>
    <s v="LIRA MARGARITA TATIS CARABALLO"/>
    <s v="Quimico Farmacéutico"/>
    <s v="FUNDACION CENTRO COLOMBIANO DE EPILEPSIA Y ENFERMEDADES NEUROLOGICAS-JAIMA FANDILO FRANKY (FIRE)"/>
    <s v="900269029-4"/>
    <s v="_x0009_JEFEMOF@firecolombia.co"/>
    <s v="Calle 1 El Eden Barrio Ternera"/>
    <x v="2"/>
    <s v="CARTAGENA"/>
    <s v="SOLICITUD AUTORIZACIÓN COMPRA DIRECTA MARZO 16 DEL 2021 RITALINA 10MG"/>
    <n v="202124100461652"/>
    <d v="2021-03-16T00:00:00"/>
    <x v="2"/>
    <n v="202124110455541"/>
    <d v="2021-03-19T00:00:00"/>
    <s v="MAR"/>
    <n v="-3"/>
    <s v="AUTORIZADO"/>
    <m/>
    <s v="No. 962"/>
    <d v="2017-07-19T00:00:00"/>
    <s v="Metilfenidato HCl 10 mg Comprimido_cajas X 30 unidades c/u"/>
    <n v="3000"/>
    <n v="100"/>
    <x v="4"/>
    <x v="3"/>
    <x v="3"/>
    <x v="2"/>
    <x v="32"/>
  </r>
  <r>
    <x v="140"/>
    <s v="ERNESTO ESTRADA DEAVILA"/>
    <s v="Representante Legal"/>
    <s v="IPS CUIDADO SEGURO EN CASA S.A."/>
    <s v="900980728-1"/>
    <s v="vgarcia@cuidadoseguro.com.co"/>
    <s v="Carrera 63 a No. 30-19"/>
    <x v="2"/>
    <s v="CARTAGENA"/>
    <s v="AUTORIZACIÓN COMPRA DIRECTA DE MEDICAMENTOS MONOPOLIO DEL ESTADO"/>
    <n v="202124100480392"/>
    <d v="2021-03-18T00:00:00"/>
    <x v="2"/>
    <n v="202124110455581"/>
    <d v="2021-03-19T00:00:00"/>
    <s v="MAR"/>
    <n v="-1"/>
    <s v="AUTORIZADO"/>
    <m/>
    <s v="No. 1062"/>
    <d v="2018-06-24T00:00:00"/>
    <s v="Morfina HCl 10 mg/mL Solución Inyectable ampolla por 1mL"/>
    <n v="100"/>
    <n v="10"/>
    <x v="0"/>
    <x v="0"/>
    <x v="0"/>
    <x v="0"/>
    <x v="10"/>
  </r>
  <r>
    <x v="140"/>
    <s v="ERNESTO ESTRADA DEAVILA"/>
    <s v="Representante Legal"/>
    <s v="IPS CUIDADO SEGURO EN CASA S.A."/>
    <s v="900980728-1"/>
    <s v="vgarcia@cuidadoseguro.com.co"/>
    <s v="Carrera 63 a No. 30-19"/>
    <x v="2"/>
    <s v="CARTAGENA"/>
    <s v="AUTORIZACIÓN COMPRA DIRECTA DE MEDICAMENTOS MONOPOLIO DEL ESTADO"/>
    <n v="202124100480392"/>
    <d v="2021-03-18T00:00:00"/>
    <x v="2"/>
    <n v="202124110455581"/>
    <d v="2021-03-19T00:00:00"/>
    <s v="MAR"/>
    <n v="-1"/>
    <s v="AUTORIZADO"/>
    <m/>
    <s v="No. 1062"/>
    <d v="2018-06-24T00:00:00"/>
    <s v="Morfina HCl 0,03 Solución Oral_frascos X 30 mL c/u"/>
    <n v="10"/>
    <n v="10"/>
    <x v="0"/>
    <x v="1"/>
    <x v="1"/>
    <x v="1"/>
    <x v="47"/>
  </r>
  <r>
    <x v="140"/>
    <s v="ERNESTO ESTRADA DEAVILA"/>
    <s v="Representante Legal"/>
    <s v="IPS CUIDADO SEGURO EN CASA S.A."/>
    <s v="900980728-1"/>
    <s v="vgarcia@cuidadoseguro.com.co"/>
    <s v="Carrera 63 a No. 30-19"/>
    <x v="2"/>
    <s v="CARTAGENA"/>
    <s v="AUTORIZACIÓN COMPRA DIRECTA DE MEDICAMENTOS MONOPOLIO DEL ESTADO"/>
    <n v="202124100480392"/>
    <d v="2021-03-18T00:00:00"/>
    <x v="2"/>
    <n v="202124110455581"/>
    <d v="2021-03-19T00:00:00"/>
    <s v="MAR"/>
    <n v="-1"/>
    <s v="NEGADO"/>
    <s v="EL MEDICAMENTO SE ENCUENTRA EN CUARENTENA POR HALLAZGO DE CALIDAD"/>
    <s v="No. 1062"/>
    <d v="2018-06-24T00:00:00"/>
    <s v="Hidromorfona HCl 2 mg/mL Solución Inyectable_cajas X 10 unidades c/u"/>
    <n v="0"/>
    <n v="0"/>
    <x v="1"/>
    <x v="2"/>
    <x v="0"/>
    <x v="0"/>
    <x v="0"/>
  </r>
  <r>
    <x v="141"/>
    <s v="JUDY FERNANDEZ"/>
    <s v="Director Técnico"/>
    <s v="CRITICAL CARE GROUP UT"/>
    <s v="NO DISPONIBLE"/>
    <s v="farmacia.critical@gmail.com"/>
    <s v="NO DISPONIBLE"/>
    <x v="0"/>
    <s v="ESPINAL"/>
    <s v="Solicitud de medicamentos"/>
    <n v="202124100483272"/>
    <d v="2021-03-19T00:00:00"/>
    <x v="2"/>
    <n v="202124110479711"/>
    <d v="2021-03-25T00:00:00"/>
    <s v="MAR"/>
    <n v="-6"/>
    <s v="NEGADO"/>
    <s v="El solicitante no allego los documentos necesarios para la autorizacion de compra directa"/>
    <s v="NO DISPONIBLE"/>
    <s v="NO DISPONIBLE"/>
    <s v="Fenobarbital Sódico 40 mg/mL Solución Inyectable_caja X 10 ampollas c/u"/>
    <n v="0"/>
    <n v="0"/>
    <x v="3"/>
    <x v="6"/>
    <x v="0"/>
    <x v="0"/>
    <x v="0"/>
  </r>
  <r>
    <x v="141"/>
    <s v="JUDY FERNANDEZ"/>
    <s v="Director Técnico"/>
    <s v="CRITICAL CARE GROUP UT"/>
    <s v="NO DISPONIBLE"/>
    <s v="farmacia.critical@gmail.com"/>
    <s v="NO DISPONIBLE"/>
    <x v="0"/>
    <s v="ESPINAL"/>
    <s v="Solicitud de medicamentos"/>
    <n v="202124100483272"/>
    <d v="2021-03-19T00:00:00"/>
    <x v="2"/>
    <n v="202124110479711"/>
    <d v="2021-03-25T00:00:00"/>
    <s v="MAR"/>
    <n v="-6"/>
    <s v="NEGADO"/>
    <s v="El solicitante no allego los documentos necesarios para la autorizacion de compra directa"/>
    <s v="NO DISPONIBLE"/>
    <s v="NO DISPONIBLE"/>
    <s v="Morfina HCl 10 mg/mL Solución Inyectable ampolla por 1mL"/>
    <n v="0"/>
    <n v="0"/>
    <x v="0"/>
    <x v="0"/>
    <x v="0"/>
    <x v="0"/>
    <x v="0"/>
  </r>
  <r>
    <x v="142"/>
    <s v="MELBA CONSTANZA NIVIA RUIZ"/>
    <s v="Area de Compras"/>
    <s v="HOSPITAL FEDERICO LLERAS ACOSTA DE IBAGUE TOLIMA ESE"/>
    <s v="NO DISPONIBLE"/>
    <s v="pe.compras@hflleras.gov.co"/>
    <s v="Calle 33 N°4 A-50 B/La Francia"/>
    <x v="0"/>
    <s v="IBAGUE"/>
    <s v="Solicitud cotización Medicamentos Monopolio del Estado"/>
    <n v="202124100489282"/>
    <d v="2021-03-19T00:00:00"/>
    <x v="2"/>
    <n v="202124110479751"/>
    <d v="2021-03-25T00:00:00"/>
    <s v="MAR"/>
    <n v="-6"/>
    <s v="NEGADO"/>
    <s v="El solicitante no allego los documentos necesarios para la autorizacion de compra directa"/>
    <s v="NO DISPONIBLE"/>
    <s v="NO DISPONIBLE"/>
    <s v="Morfina HCl 10 mg/mL Solución Inyectable ampolla por 1mL"/>
    <n v="0"/>
    <n v="0"/>
    <x v="0"/>
    <x v="0"/>
    <x v="0"/>
    <x v="0"/>
    <x v="0"/>
  </r>
  <r>
    <x v="143"/>
    <s v="GUSTAVO ADOLFO VILLA TARRIBA"/>
    <s v="Director Técnico"/>
    <s v="CENTRO HOSPITALARIO SERENA DEL MAR S.A."/>
    <s v="900482242-8"/>
    <s v="rosa.caviedes@chsm.com"/>
    <s v="Km 8 Viaal Mar"/>
    <x v="2"/>
    <s v="CARTAGENA"/>
    <s v="Solicitud de autorización de compra de medicamentos monopolio del estado y compra de recetarios oficiales"/>
    <n v="202124100489932"/>
    <d v="2021-03-19T00:00:00"/>
    <x v="2"/>
    <n v="202124110479791"/>
    <d v="2021-03-25T00:00:00"/>
    <s v="MAR"/>
    <n v="-6"/>
    <s v="NEGADO"/>
    <s v="EL MEDICAMENTO SE ENCUENTRA EN CUARENTENA POR HALLAZGO DE CALIDAD"/>
    <s v="No 018"/>
    <d v="2021-02-08T00:00:00"/>
    <s v="Hidromorfona HCl 2 mg/mL Solución Inyectable_cajas X 10 unidades c/u"/>
    <n v="0"/>
    <n v="0"/>
    <x v="1"/>
    <x v="2"/>
    <x v="0"/>
    <x v="0"/>
    <x v="0"/>
  </r>
  <r>
    <x v="143"/>
    <s v="GUSTAVO ADOLFO VILLA TARRIBA"/>
    <s v="Director Técnico"/>
    <s v="CENTRO HOSPITALARIO SERENA DEL MAR S.A."/>
    <s v="900482242-8"/>
    <s v="rosa.caviedes@chsm.com"/>
    <s v="Km 8 Viaal Mar"/>
    <x v="2"/>
    <s v="CARTAGENA"/>
    <s v="Solicitud de autorización de compra de medicamentos monopolio del estado y compra de recetarios oficiales"/>
    <n v="202124100489932"/>
    <d v="2021-03-19T00:00:00"/>
    <x v="2"/>
    <n v="202124110479791"/>
    <d v="2021-03-25T00:00:00"/>
    <s v="MAR"/>
    <n v="-6"/>
    <s v="AUTORIZADO"/>
    <m/>
    <s v="No 018"/>
    <d v="2021-02-08T00:00:00"/>
    <s v="Morfina HCl 10 mg/mL Solución Inyectable ampolla por 1mL"/>
    <n v="300"/>
    <n v="30"/>
    <x v="0"/>
    <x v="0"/>
    <x v="0"/>
    <x v="0"/>
    <x v="54"/>
  </r>
  <r>
    <x v="143"/>
    <s v="GUSTAVO ADOLFO VILLA TARRIBA"/>
    <s v="Director Técnico"/>
    <s v="CENTRO HOSPITALARIO SERENA DEL MAR S.A."/>
    <s v="900482242-8"/>
    <s v="rosa.caviedes@chsm.com"/>
    <s v="Km 8 Viaal Mar"/>
    <x v="2"/>
    <s v="CARTAGENA"/>
    <s v="Solicitud de autorización de compra de medicamentos monopolio del estado y compra de recetarios oficiales"/>
    <n v="202124100489932"/>
    <d v="2021-03-19T00:00:00"/>
    <x v="2"/>
    <n v="202124110479791"/>
    <d v="2021-03-25T00:00:00"/>
    <s v="MAR"/>
    <n v="-6"/>
    <s v="AUTORIZADO"/>
    <m/>
    <s v="No 018"/>
    <d v="2021-02-08T00:00:00"/>
    <s v="Fenobarbital Sódico 40 mg/mL Solución Inyectable_caja X 10 ampollas c/u"/>
    <n v="50"/>
    <n v="5"/>
    <x v="3"/>
    <x v="6"/>
    <x v="0"/>
    <x v="0"/>
    <x v="17"/>
  </r>
  <r>
    <x v="143"/>
    <s v="GUSTAVO ADOLFO VILLA TARRIBA"/>
    <s v="Director Técnico"/>
    <s v="CENTRO HOSPITALARIO SERENA DEL MAR S.A."/>
    <s v="900482242-8"/>
    <s v="rosa.caviedes@chsm.com"/>
    <s v="Km 8 Viaal Mar"/>
    <x v="2"/>
    <s v="CARTAGENA"/>
    <s v="Solicitud de autorización de compra de medicamentos monopolio del estado y compra de recetarios oficiales"/>
    <n v="202124100489932"/>
    <d v="2021-03-19T00:00:00"/>
    <x v="2"/>
    <n v="202124110479791"/>
    <d v="2021-03-25T00:00:00"/>
    <s v="MAR"/>
    <n v="-6"/>
    <s v="AUTORIZADO"/>
    <m/>
    <s v="No 018"/>
    <d v="2021-02-08T00:00:00"/>
    <s v="Fenobarbital 100 mg Tableta_cajas X 30 unidades c/u"/>
    <n v="60"/>
    <n v="2"/>
    <x v="5"/>
    <x v="7"/>
    <x v="4"/>
    <x v="2"/>
    <x v="90"/>
  </r>
  <r>
    <x v="144"/>
    <s v="ALICIA ESTHER FERIA RUIZ"/>
    <s v="Regente de farmacia"/>
    <s v="LA ECONOMIA DROGUERIA 688"/>
    <s v="892300678-7"/>
    <s v="dispensario574@drogaslaeconomia.com"/>
    <s v="Carrera 3 N°29-43  "/>
    <x v="1"/>
    <s v="MONTERIA"/>
    <s v="solicitud compra metadona urgente"/>
    <n v="202124100503422"/>
    <d v="2021-03-23T00:00:00"/>
    <x v="2"/>
    <n v="202124110499891"/>
    <d v="2021-03-30T00:00:00"/>
    <s v="MAR"/>
    <n v="-7"/>
    <s v="AUTORIZADO"/>
    <m/>
    <s v="No. 162"/>
    <d v="2019-06-07T00:00:00"/>
    <s v="Metadona HCl 10 mg Tableta_Cajas X 30 unidades c/u"/>
    <n v="120"/>
    <n v="4"/>
    <x v="2"/>
    <x v="3"/>
    <x v="2"/>
    <x v="2"/>
    <x v="110"/>
  </r>
  <r>
    <x v="145"/>
    <s v="VANESSA PITALUA TOVAR"/>
    <s v="Quimico Farmacéutico"/>
    <s v="AMRITZAR S.A"/>
    <s v="900025914-1"/>
    <s v="van.tovar@hotmail.com"/>
    <s v="Carrera 14 No. 22-24"/>
    <x v="1"/>
    <s v="MONTERIA"/>
    <s v="SOLICITUD DE COMPRA DE MEDICAMENTOS MONOPOLIO DEL ESTADO"/>
    <n v="202124100516302"/>
    <d v="2021-03-25T00:00:00"/>
    <x v="2"/>
    <n v="202124110499951"/>
    <d v="2021-03-30T00:00:00"/>
    <s v="MAR"/>
    <n v="-5"/>
    <s v="AUTORIZADO"/>
    <m/>
    <s v="No. 1897"/>
    <d v="2020-12-21T00:00:00"/>
    <s v="Morfina HCl 10 mg/mL Solución Inyectable ampolla por 1mL"/>
    <n v="800"/>
    <n v="80"/>
    <x v="0"/>
    <x v="0"/>
    <x v="0"/>
    <x v="0"/>
    <x v="65"/>
  </r>
  <r>
    <x v="145"/>
    <s v="VANESSA PITALUA TOVAR"/>
    <s v="Quimico Farmacéutico"/>
    <s v="AMRITZAR S.A"/>
    <s v="900025914-1"/>
    <s v="van.tovar@hotmail.com"/>
    <s v="Carrera 14 No. 22-24"/>
    <x v="1"/>
    <s v="MONTERIA"/>
    <s v="SOLICITUD DE COMPRA DE MEDICAMENTOS MONOPOLIO DEL ESTADO"/>
    <n v="202124100516302"/>
    <d v="2021-03-25T00:00:00"/>
    <x v="2"/>
    <n v="202124110499951"/>
    <d v="2021-03-30T00:00:00"/>
    <s v="MAR"/>
    <n v="-5"/>
    <s v="AUTORIZADO"/>
    <m/>
    <s v="No. 1897"/>
    <d v="2020-12-21T00:00:00"/>
    <s v="Fenobarbital 0,4% Solución Oral_frascos X 120 mL c/u"/>
    <n v="4"/>
    <n v="4"/>
    <x v="5"/>
    <x v="11"/>
    <x v="1"/>
    <x v="6"/>
    <x v="115"/>
  </r>
  <r>
    <x v="146"/>
    <s v="LEET ANTONIO MARQUEZ ESCORCIA"/>
    <s v="Quimico Farmacéutico"/>
    <s v="CLINICA GENERAL DE CIENAGA S.A.S"/>
    <s v="819000413-1"/>
    <s v="quimicocienaga@clinicageneraldelnorte.com"/>
    <s v="Carrera 18B No. 18A-15"/>
    <x v="4"/>
    <s v="CIENAGA"/>
    <s v="SOLICITUD COMPRA DIRECTA"/>
    <n v="202124100522242"/>
    <d v="2021-03-25T00:00:00"/>
    <x v="2"/>
    <n v="202124110499971"/>
    <d v="2021-03-30T00:00:00"/>
    <s v="MAR"/>
    <n v="-5"/>
    <s v="AUTORIZADO"/>
    <m/>
    <s v="No. 4005"/>
    <d v="2019-11-13T00:00:00"/>
    <s v="Morfina HCl 0,03 Solución Oral_frascos X 30 mL c/u"/>
    <n v="3"/>
    <n v="3"/>
    <x v="0"/>
    <x v="1"/>
    <x v="1"/>
    <x v="1"/>
    <x v="28"/>
  </r>
  <r>
    <x v="146"/>
    <s v="LEET ANTONIO MARQUEZ ESCORCIA"/>
    <s v="Quimico Farmacéutico"/>
    <s v="CLINICA GENERAL DE CIENAGA S.A.S"/>
    <s v="819000413-1"/>
    <s v="quimicocienaga@clinicageneraldelnorte.com"/>
    <s v="Carrera 18B No. 18A-15"/>
    <x v="4"/>
    <s v="CIENAGA"/>
    <s v="SOLICITUD COMPRA DIRECTA"/>
    <n v="202124100522242"/>
    <d v="2021-03-25T00:00:00"/>
    <x v="2"/>
    <n v="202124110499971"/>
    <d v="2021-03-30T00:00:00"/>
    <s v="MAR"/>
    <n v="-5"/>
    <s v="AUTORIZADO"/>
    <m/>
    <s v="No. 4005"/>
    <d v="2019-11-13T00:00:00"/>
    <s v="Fenobarbital 100 mg Tableta_cajas X 30 unidades c/u"/>
    <n v="300"/>
    <n v="10"/>
    <x v="5"/>
    <x v="7"/>
    <x v="4"/>
    <x v="2"/>
    <x v="23"/>
  </r>
  <r>
    <x v="147"/>
    <s v="JHON MONTES"/>
    <s v="Coordinador del Servicio Farmacéutico"/>
    <s v="CLINICA CENTRAL O.H.L"/>
    <s v="900082202-7"/>
    <s v="william_meza@clinicacentral.com.co"/>
    <s v="Carrera 6  30-36"/>
    <x v="1"/>
    <s v="MONTERIA"/>
    <s v="solicitud de cotizacion de medicamentos de control especial"/>
    <n v="202124100529962"/>
    <d v="2021-03-26T00:00:00"/>
    <x v="2"/>
    <n v="202124110500041"/>
    <d v="2021-03-30T00:00:00"/>
    <s v="MAR"/>
    <n v="-4"/>
    <s v="AUTORIZADO"/>
    <m/>
    <s v="No. 20180001"/>
    <d v="2018-01-23T00:00:00"/>
    <s v="Morfina HCl 10 mg/mL Solución Inyectable ampolla por 1mL"/>
    <n v="800"/>
    <n v="80"/>
    <x v="0"/>
    <x v="0"/>
    <x v="0"/>
    <x v="0"/>
    <x v="65"/>
  </r>
  <r>
    <x v="147"/>
    <s v="JHON MONTES"/>
    <s v="Coordinador del Servicio Farmacéutico"/>
    <s v="CLINICA CENTRAL O.H.L"/>
    <s v="900082202-7"/>
    <s v="william_meza@clinicacentral.com.co"/>
    <s v="Carrera 6  30-37"/>
    <x v="1"/>
    <s v="MONTERIA"/>
    <s v="solicitud de cotizacion de medicamentos de control especial"/>
    <n v="202124100529962"/>
    <d v="2021-03-26T00:00:00"/>
    <x v="2"/>
    <n v="202124110500041"/>
    <d v="2021-03-30T00:00:00"/>
    <s v="MAR"/>
    <n v="-4"/>
    <s v="AUTORIZADO"/>
    <m/>
    <s v="No. 20180001"/>
    <d v="2018-01-23T00:00:00"/>
    <s v="Meperidina HCl 100 mg/2mL Solución Inyectable_cajas X 10 unidades c/u"/>
    <n v="800"/>
    <n v="80"/>
    <x v="6"/>
    <x v="8"/>
    <x v="0"/>
    <x v="3"/>
    <x v="116"/>
  </r>
  <r>
    <x v="147"/>
    <s v="JHON MONTES"/>
    <s v="Coordinador del Servicio Farmacéutico"/>
    <s v="CLINICA CENTRAL O.H.L"/>
    <s v="900082202-7"/>
    <s v="william_meza@clinicacentral.com.co"/>
    <s v="Carrera 6  30-38"/>
    <x v="1"/>
    <s v="MONTERIA"/>
    <s v="solicitud de cotizacion de medicamentos de control especial"/>
    <n v="202124100529962"/>
    <d v="2021-03-26T00:00:00"/>
    <x v="2"/>
    <n v="202124110500041"/>
    <d v="2021-03-30T00:00:00"/>
    <s v="MAR"/>
    <n v="-4"/>
    <s v="AUTORIZADO"/>
    <m/>
    <s v="No. 20180001"/>
    <d v="2018-01-23T00:00:00"/>
    <s v="Fenobarbital Sódico 200 mg/mL Solución Inyectable_caja X 10 ampollas c/u"/>
    <n v="500"/>
    <n v="50"/>
    <x v="3"/>
    <x v="5"/>
    <x v="0"/>
    <x v="0"/>
    <x v="57"/>
  </r>
  <r>
    <x v="148"/>
    <s v="RAMIRO FLORES SALAS"/>
    <s v="Director Técnico"/>
    <s v="SIKUANY S.A.S"/>
    <s v="NO DISPONIBLE"/>
    <s v="sikuanyltda@gmail.com"/>
    <s v="Calle 33 A No.38-41 Barzal Alto"/>
    <x v="6"/>
    <s v="VILLAVICENCIO"/>
    <s v="COTIZACION MEDICAMENTOS PARA COMPRA"/>
    <n v="202124100537792"/>
    <d v="2021-03-29T00:00:00"/>
    <x v="2"/>
    <n v="202124110526231"/>
    <d v="2021-04-07T00:00:00"/>
    <s v="MAR"/>
    <n v="-9"/>
    <s v="NEGADO"/>
    <s v="El solicitante no allego los documentos necesarios para la autorizacion de compra directa"/>
    <s v="NO DISPONIBLE"/>
    <s v="NO DISPONIBLE"/>
    <s v="Fenobarbital 0,4% Solución Oral_frascos X 120 mL c/u"/>
    <n v="0"/>
    <n v="0"/>
    <x v="5"/>
    <x v="11"/>
    <x v="1"/>
    <x v="6"/>
    <x v="0"/>
  </r>
  <r>
    <x v="148"/>
    <s v="RAMIRO FLORES SALAS"/>
    <s v="Director Técnico"/>
    <s v="SIKUANY S.A.S"/>
    <s v="NO DISPONIBLE"/>
    <s v="sikuanyltda@gmail.com"/>
    <s v="Calle 33 A No.38-41 Barzal Alto"/>
    <x v="6"/>
    <s v="VILLAVICENCIO"/>
    <s v="COTIZACION MEDICAMENTOS PARA COMPRA"/>
    <n v="202124100537792"/>
    <d v="2021-03-29T00:00:00"/>
    <x v="2"/>
    <n v="202124110526231"/>
    <d v="2021-04-07T00:00:00"/>
    <s v="MAR"/>
    <n v="-9"/>
    <s v="NEGADO"/>
    <s v="El solicitante no allego los documentos necesarios para la autorizacion de compra directa"/>
    <s v="NO DISPONIBLE"/>
    <s v="NO DISPONIBLE"/>
    <s v="Fenobarbital 10 mg Tableta_cajas X 30 unidades c/u"/>
    <n v="0"/>
    <n v="0"/>
    <x v="5"/>
    <x v="3"/>
    <x v="4"/>
    <x v="2"/>
    <x v="0"/>
  </r>
  <r>
    <x v="148"/>
    <s v="RAMIRO FLORES SALAS"/>
    <s v="Director Técnico"/>
    <s v="SIKUANY S.A.S"/>
    <s v="NO DISPONIBLE"/>
    <s v="sikuanyltda@gmail.com"/>
    <s v="Calle 33 A No.38-41 Barzal Alto"/>
    <x v="6"/>
    <s v="VILLAVICENCIO"/>
    <s v="COTIZACION MEDICAMENTOS PARA COMPRA"/>
    <n v="202124100537792"/>
    <d v="2021-03-29T00:00:00"/>
    <x v="2"/>
    <n v="202124110526231"/>
    <d v="2021-04-07T00:00:00"/>
    <s v="MAR"/>
    <n v="-9"/>
    <s v="NEGADO"/>
    <s v="El solicitante no allego los documentos necesarios para la autorizacion de compra directa"/>
    <s v="NO DISPONIBLE"/>
    <s v="NO DISPONIBLE"/>
    <s v="Fenobarbital 100 mg Tableta_cajas X 30 unidades c/u"/>
    <n v="0"/>
    <n v="0"/>
    <x v="5"/>
    <x v="7"/>
    <x v="4"/>
    <x v="2"/>
    <x v="0"/>
  </r>
  <r>
    <x v="148"/>
    <s v="RAMIRO FLORES SALAS"/>
    <s v="Director Técnico"/>
    <s v="SIKUANY S.A.S"/>
    <s v="NO DISPONIBLE"/>
    <s v="sikuanyltda@gmail.com"/>
    <s v="Calle 33 A No.38-41 Barzal Alto"/>
    <x v="6"/>
    <s v="VILLAVICENCIO"/>
    <s v="COTIZACION MEDICAMENTOS PARA COMPRA"/>
    <n v="202124100537792"/>
    <d v="2021-03-29T00:00:00"/>
    <x v="2"/>
    <n v="202124110526231"/>
    <d v="2021-04-07T00:00:00"/>
    <s v="MAR"/>
    <n v="-9"/>
    <s v="NEGADO"/>
    <s v="El solicitante no allego los documentos necesarios para la autorizacion de compra directa"/>
    <s v="NO DISPONIBLE"/>
    <s v="NO DISPONIBLE"/>
    <s v="Fenobarbital 50 mg Tableta_cajas X 30 unidades c/u"/>
    <n v="0"/>
    <n v="0"/>
    <x v="5"/>
    <x v="12"/>
    <x v="4"/>
    <x v="2"/>
    <x v="0"/>
  </r>
  <r>
    <x v="148"/>
    <s v="RAMIRO FLORES SALAS"/>
    <s v="Director Técnico"/>
    <s v="SIKUANY S.A.S"/>
    <s v="NO DISPONIBLE"/>
    <s v="sikuanyltda@gmail.com"/>
    <s v="Calle 33 A No.38-41 Barzal Alto"/>
    <x v="6"/>
    <s v="VILLAVICENCIO"/>
    <s v="COTIZACION MEDICAMENTOS PARA COMPRA"/>
    <n v="202124100537792"/>
    <d v="2021-03-29T00:00:00"/>
    <x v="2"/>
    <n v="202124110526231"/>
    <d v="2021-04-07T00:00:00"/>
    <s v="MAR"/>
    <n v="-9"/>
    <s v="NEGADO"/>
    <s v="El solicitante no allego los documentos necesarios para la autorizacion de compra directa"/>
    <s v="NO DISPONIBLE"/>
    <s v="NO DISPONIBLE"/>
    <s v="Hidromorfona HCl 2,5 mg Tableta_cajas X 20 unidades c/u"/>
    <n v="0"/>
    <n v="0"/>
    <x v="1"/>
    <x v="9"/>
    <x v="4"/>
    <x v="4"/>
    <x v="0"/>
  </r>
  <r>
    <x v="148"/>
    <s v="RAMIRO FLORES SALAS"/>
    <s v="Director Técnico"/>
    <s v="SIKUANY S.A.S"/>
    <s v="NO DISPONIBLE"/>
    <s v="sikuanyltda@gmail.com"/>
    <s v="Calle 33 A No.38-41 Barzal Alto"/>
    <x v="6"/>
    <s v="VILLAVICENCIO"/>
    <s v="COTIZACION MEDICAMENTOS PARA COMPRA"/>
    <n v="202124100537792"/>
    <d v="2021-03-29T00:00:00"/>
    <x v="2"/>
    <n v="202124110526231"/>
    <d v="2021-04-07T00:00:00"/>
    <s v="MAR"/>
    <n v="-9"/>
    <s v="NEGADO"/>
    <s v="El solicitante no allego los documentos necesarios para la autorizacion de compra directa"/>
    <s v="NO DISPONIBLE"/>
    <s v="NO DISPONIBLE"/>
    <s v="Metadona HCl 10 mg Tableta_frascos X 20 unidades c/u"/>
    <n v="0"/>
    <n v="0"/>
    <x v="2"/>
    <x v="3"/>
    <x v="6"/>
    <x v="8"/>
    <x v="0"/>
  </r>
  <r>
    <x v="148"/>
    <s v="RAMIRO FLORES SALAS"/>
    <s v="Director Técnico"/>
    <s v="SIKUANY S.A.S"/>
    <s v="NO DISPONIBLE"/>
    <s v="sikuanyltda@gmail.com"/>
    <s v="Calle 33 A No.38-41 Barzal Alto"/>
    <x v="6"/>
    <s v="VILLAVICENCIO"/>
    <s v="COTIZACION MEDICAMENTOS PARA COMPRA"/>
    <n v="202124100537792"/>
    <d v="2021-03-29T00:00:00"/>
    <x v="2"/>
    <n v="202124110526231"/>
    <d v="2021-04-07T00:00:00"/>
    <s v="MAR"/>
    <n v="-9"/>
    <s v="NEGADO"/>
    <s v="El solicitante no allego los documentos necesarios para la autorizacion de compra directa"/>
    <s v="NO DISPONIBLE"/>
    <s v="NO DISPONIBLE"/>
    <s v="Morfina HCl 0,03 Solución Oral_frascos X 30 mL c/u"/>
    <n v="0"/>
    <n v="0"/>
    <x v="0"/>
    <x v="1"/>
    <x v="1"/>
    <x v="1"/>
    <x v="0"/>
  </r>
  <r>
    <x v="149"/>
    <s v="MELISSA GUZMÁN CARABALLO"/>
    <s v="Quimico Farmacéutico"/>
    <s v="ETICOS UT 2020"/>
    <s v="901381381-3"/>
    <s v="qffarmacia10505@eticos.com "/>
    <s v="Vía 40 No 71-124"/>
    <x v="2"/>
    <s v="CARTAGENA"/>
    <s v="SOLICITUD AUTORIZACION COMPRA DE MEDICAMENTOS"/>
    <n v="202124100537942"/>
    <d v="2021-03-29T00:00:00"/>
    <x v="2"/>
    <n v="202124110526791"/>
    <d v="2021-04-07T00:00:00"/>
    <s v="MAR"/>
    <n v="-9"/>
    <s v="AUTORIZADO"/>
    <m/>
    <s v="No. 611"/>
    <d v="2020-09-21T00:00:00"/>
    <s v="Morfina HCl 10 mg/mL Solución Inyectable ampolla por 1mL"/>
    <n v="50"/>
    <n v="5"/>
    <x v="0"/>
    <x v="0"/>
    <x v="0"/>
    <x v="0"/>
    <x v="17"/>
  </r>
  <r>
    <x v="149"/>
    <s v="MELISSA GUZMÁN CARABALLO"/>
    <s v="Quimico Farmacéutico"/>
    <s v="ETICOS UT 2020"/>
    <s v="901381381-3"/>
    <s v="qffarmacia10505@eticos.com "/>
    <s v="Vía 40 No 71-124"/>
    <x v="2"/>
    <s v="CARTAGENA"/>
    <s v="SOLICITUD AUTORIZACION COMPRA DE MEDICAMENTOS"/>
    <n v="202124100537942"/>
    <d v="2021-03-29T00:00:00"/>
    <x v="2"/>
    <n v="202124110526791"/>
    <d v="2021-04-07T00:00:00"/>
    <s v="MAR"/>
    <n v="-9"/>
    <s v="AUTORIZADO"/>
    <m/>
    <s v="No. 611"/>
    <d v="2020-09-21T00:00:00"/>
    <s v="Meperidina HCl 100 mg/2mL Solución Inyectable_cajas X 10 unidades c/u"/>
    <n v="100"/>
    <n v="10"/>
    <x v="6"/>
    <x v="8"/>
    <x v="0"/>
    <x v="3"/>
    <x v="27"/>
  </r>
  <r>
    <x v="149"/>
    <s v="MELISSA GUZMÁN CARABALLO"/>
    <s v="Quimico Farmacéutico"/>
    <s v="ETICOS UT 2020"/>
    <s v="901381381-3"/>
    <s v="qffarmacia10505@eticos.com "/>
    <s v="Vía 40 No 71-124"/>
    <x v="2"/>
    <s v="CARTAGENA"/>
    <s v="SOLICITUD AUTORIZACION COMPRA DE MEDICAMENTOS"/>
    <n v="202124100537942"/>
    <d v="2021-03-29T00:00:00"/>
    <x v="2"/>
    <n v="202124110526791"/>
    <d v="2021-04-07T00:00:00"/>
    <s v="MAR"/>
    <n v="-9"/>
    <s v="AUTORIZADO"/>
    <m/>
    <s v="No. 611"/>
    <d v="2020-09-21T00:00:00"/>
    <s v="Metadona HCl 10 mg Tableta_Cajas X 30 unidades c/u"/>
    <n v="90"/>
    <n v="3"/>
    <x v="2"/>
    <x v="3"/>
    <x v="2"/>
    <x v="2"/>
    <x v="71"/>
  </r>
  <r>
    <x v="149"/>
    <s v="MELISSA GUZMÁN CARABALLO"/>
    <s v="Quimico Farmacéutico"/>
    <s v="ETICOS UT 2020"/>
    <s v="901381381-3"/>
    <s v="qffarmacia10505@eticos.com "/>
    <s v="Vía 40 No 71-124"/>
    <x v="2"/>
    <s v="CARTAGENA"/>
    <s v="SOLICITUD AUTORIZACION COMPRA DE MEDICAMENTOS"/>
    <n v="202124100537942"/>
    <d v="2021-03-29T00:00:00"/>
    <x v="2"/>
    <n v="202124110526791"/>
    <d v="2021-04-07T00:00:00"/>
    <s v="MAR"/>
    <n v="-9"/>
    <s v="AUTORIZADO"/>
    <m/>
    <s v="No. 611"/>
    <d v="2020-09-21T00:00:00"/>
    <s v="Fenobarbital 100 mg Tableta_cajas X 30 unidades c/u"/>
    <n v="1440"/>
    <n v="48"/>
    <x v="5"/>
    <x v="7"/>
    <x v="4"/>
    <x v="2"/>
    <x v="117"/>
  </r>
  <r>
    <x v="149"/>
    <s v="MELISSA GUZMÁN CARABALLO"/>
    <s v="Quimico Farmacéutico"/>
    <s v="ETICOS UT 2020"/>
    <s v="901381381-3"/>
    <s v="qffarmacia10505@eticos.com "/>
    <s v="Vía 40 No 71-124"/>
    <x v="2"/>
    <s v="CARTAGENA"/>
    <s v="SOLICITUD AUTORIZACION COMPRA DE MEDICAMENTOS"/>
    <n v="202124100537942"/>
    <d v="2021-03-29T00:00:00"/>
    <x v="2"/>
    <n v="202124110526791"/>
    <d v="2021-04-07T00:00:00"/>
    <s v="MAR"/>
    <n v="-9"/>
    <s v="AUTORIZADO"/>
    <m/>
    <s v="No. 611"/>
    <d v="2020-09-21T00:00:00"/>
    <s v="Metilfenidato HCl 10 mg Comprimido_cajas X 30 unidades c/u"/>
    <n v="300"/>
    <n v="10"/>
    <x v="4"/>
    <x v="3"/>
    <x v="3"/>
    <x v="2"/>
    <x v="23"/>
  </r>
  <r>
    <x v="149"/>
    <s v="MELISSA GUZMÁN CARABALLO"/>
    <s v="Quimico Farmacéutico"/>
    <s v="ETICOS UT 2020"/>
    <s v="901381381-3"/>
    <s v="qffarmacia10505@eticos.com "/>
    <s v="Vía 40 No 71-124"/>
    <x v="2"/>
    <s v="CARTAGENA"/>
    <s v="SOLICITUD AUTORIZACION COMPRA DE MEDICAMENTOS"/>
    <n v="202124100537942"/>
    <d v="2021-03-29T00:00:00"/>
    <x v="2"/>
    <n v="202124110526791"/>
    <d v="2021-04-07T00:00:00"/>
    <s v="MAR"/>
    <n v="-9"/>
    <s v="AUTORIZADO"/>
    <m/>
    <s v="No. 611"/>
    <d v="2020-09-21T00:00:00"/>
    <s v="Hidromorfona HCl 2,5 mg Tableta_cajas X 20 unidades c/u"/>
    <n v="360"/>
    <n v="18"/>
    <x v="1"/>
    <x v="9"/>
    <x v="4"/>
    <x v="4"/>
    <x v="118"/>
  </r>
  <r>
    <x v="150"/>
    <s v="YONATHAN MIRANDA"/>
    <s v="Quimico Farmacéutico"/>
    <s v="CLINICA GENERAL DEL NORTE S.A."/>
    <s v="890102768-5"/>
    <s v="quimicopesbol@clinicageneraldelnorte.com"/>
    <s v="Avenida Pedro de Heredia Calle 30B No. 63-43"/>
    <x v="2"/>
    <s v="CARTAGENA"/>
    <s v="SOLICITUD DE VENTA DE MEDICAMENTOS MONOPOLIO DEL ESTADO"/>
    <n v="202124100544082"/>
    <d v="2021-03-30T00:00:00"/>
    <x v="2"/>
    <n v="202124110526811"/>
    <d v="2021-04-07T00:00:00"/>
    <s v="MAR"/>
    <n v="-8"/>
    <s v="AUTORIZADO"/>
    <m/>
    <s v="No. 968"/>
    <d v="2016-07-29T00:00:00"/>
    <s v="Metilfenidato HCl 10 mg Comprimido_cajas X 30 unidades c/u"/>
    <n v="90"/>
    <n v="3"/>
    <x v="4"/>
    <x v="3"/>
    <x v="3"/>
    <x v="2"/>
    <x v="71"/>
  </r>
  <r>
    <x v="150"/>
    <s v="YONATHAN MIRANDA"/>
    <s v="Quimico Farmacéutico"/>
    <s v="CLINICA GENERAL DEL NORTE S.A."/>
    <s v="890102768-5"/>
    <s v="quimicopesbol@clinicageneraldelnorte.com"/>
    <s v="Avenida Pedro de Heredia Calle 30B No. 63-43"/>
    <x v="2"/>
    <s v="CARTAGENA"/>
    <s v="SOLICITUD DE VENTA DE MEDICAMENTOS MONOPOLIO DEL ESTADO"/>
    <n v="202124100544082"/>
    <d v="2021-03-30T00:00:00"/>
    <x v="2"/>
    <n v="202124110526811"/>
    <d v="2021-04-07T00:00:00"/>
    <s v="MAR"/>
    <n v="-8"/>
    <s v="AUTORIZADO"/>
    <m/>
    <s v="No. 968"/>
    <d v="2016-07-29T00:00:00"/>
    <s v="Fenobarbital 100 mg Tableta_cajas X 30 unidades c/u"/>
    <n v="900"/>
    <n v="30"/>
    <x v="5"/>
    <x v="7"/>
    <x v="4"/>
    <x v="2"/>
    <x v="56"/>
  </r>
  <r>
    <x v="151"/>
    <s v="EDITH ISABEL MOLINA"/>
    <s v="Pharmacy Lider"/>
    <s v="MESSER COLOMBIA S.A"/>
    <s v="860005114-4"/>
    <s v="edith.isabel.molina@messer-co.com"/>
    <s v="Avenida Santander No 41 -92"/>
    <x v="2"/>
    <s v="CARTAGENA"/>
    <s v="Solicito autorización para la compra directa del siguiente medicamento"/>
    <n v="202124100544442"/>
    <d v="2021-03-30T00:00:00"/>
    <x v="2"/>
    <n v="202124110526821"/>
    <d v="2021-04-07T00:00:00"/>
    <s v="MAR"/>
    <n v="-8"/>
    <s v="AUTORIZADO"/>
    <m/>
    <s v="No. 620"/>
    <d v="2020-09-21T00:00:00"/>
    <s v="Fenobarbital 100 mg Tableta_cajas X 30 unidades c/u"/>
    <n v="1140"/>
    <n v="38"/>
    <x v="5"/>
    <x v="7"/>
    <x v="4"/>
    <x v="2"/>
    <x v="119"/>
  </r>
  <r>
    <x v="152"/>
    <s v="LUIS ALBERTO FRANCO"/>
    <s v="Representante Legal"/>
    <s v="SERVICIOS MEDICOS INTEGRALES DE SALUD -SERVIMEDICOS"/>
    <s v="800162035-4"/>
    <s v="farmaservimedicos@gmail.com"/>
    <s v="Calle 32 # 40a-40 Barrio Barzal Alto"/>
    <x v="6"/>
    <s v="VILLAVICENCIO"/>
    <s v="Solicitud Autorización Compra Medicamentos Monopolio del Estado"/>
    <n v="202124100546982"/>
    <d v="2021-03-30T00:00:00"/>
    <x v="2"/>
    <n v="202124110527021"/>
    <d v="2021-04-07T00:00:00"/>
    <s v="MAR"/>
    <n v="-8"/>
    <s v="AUTORIZADO"/>
    <m/>
    <s v="No. 005"/>
    <d v="2020-01-14T00:00:00"/>
    <s v="Meperidina HCl 100 mg/2mL Solución Inyectable_cajas X 10 unidades c/u"/>
    <n v="1100"/>
    <n v="110"/>
    <x v="6"/>
    <x v="8"/>
    <x v="0"/>
    <x v="3"/>
    <x v="120"/>
  </r>
  <r>
    <x v="152"/>
    <s v="LUIS ALBERTO FRANCO"/>
    <s v="Representante Legal"/>
    <s v="SERVICIOS MEDICOS INTEGRALES DE SALUD -SERVIMEDICOS"/>
    <s v="800162035-4"/>
    <s v="farmaservimedicos@gmail.com"/>
    <s v="Calle 32 # 40a-40 Barrio Barzal Alto"/>
    <x v="6"/>
    <s v="VILLAVICENCIO"/>
    <s v="Solicitud Autorización Compra Medicamentos Monopolio del Estado"/>
    <n v="202124100546982"/>
    <d v="2021-03-30T00:00:00"/>
    <x v="2"/>
    <n v="202124110527021"/>
    <d v="2021-04-07T00:00:00"/>
    <s v="MAR"/>
    <n v="-8"/>
    <s v="AUTORIZADO"/>
    <m/>
    <s v="No. 005"/>
    <d v="2020-01-14T00:00:00"/>
    <s v="Morfina HCl 10 mg/mL Solución Inyectable ampolla por 1mL"/>
    <n v="300"/>
    <n v="30"/>
    <x v="0"/>
    <x v="0"/>
    <x v="0"/>
    <x v="0"/>
    <x v="54"/>
  </r>
  <r>
    <x v="152"/>
    <s v="LUIS ALBERTO FRANCO"/>
    <s v="Representante Legal"/>
    <s v="SERVICIOS MEDICOS INTEGRALES DE SALUD -SERVIMEDICOS"/>
    <s v="800162035-4"/>
    <s v="farmaservimedicos@gmail.com"/>
    <s v="Calle 32 # 40a-40 Barrio Barzal Alto"/>
    <x v="6"/>
    <s v="VILLAVICENCIO"/>
    <s v="Solicitud Autorización Compra Medicamentos Monopolio del Estado"/>
    <n v="202124100546982"/>
    <d v="2021-03-30T00:00:00"/>
    <x v="2"/>
    <n v="202124110527021"/>
    <d v="2021-04-07T00:00:00"/>
    <s v="MAR"/>
    <n v="-8"/>
    <s v="AUTORIZADO"/>
    <m/>
    <s v="No. 005"/>
    <d v="2020-01-14T00:00:00"/>
    <s v="Fenobarbital 0,4% Solución Oral_frascos X 120 mL c/u"/>
    <n v="3"/>
    <n v="3"/>
    <x v="5"/>
    <x v="11"/>
    <x v="1"/>
    <x v="6"/>
    <x v="121"/>
  </r>
  <r>
    <x v="153"/>
    <s v="MAYRA GONZÁLES REYES"/>
    <s v="Quimico Farmacéutico"/>
    <s v="UNIDAD DE CUIDADOS INTENSIVOS NEONATAL DEL BAJO SINU"/>
    <s v="900054563-1"/>
    <s v="farmaciaucinbs@gmail.com"/>
    <s v="NO DISPONIBLE"/>
    <x v="1"/>
    <s v="LORICA"/>
    <s v="cotización de medicamento de control especial"/>
    <n v="202124100550362"/>
    <d v="2021-03-31T00:00:00"/>
    <x v="2"/>
    <n v="202124110527111"/>
    <d v="2021-04-07T00:00:00"/>
    <s v="MAR"/>
    <n v="-7"/>
    <s v="NEGADO"/>
    <s v="El solicitante no allego los documentos necesarios para la autorizacion de compra directa"/>
    <s v="NO DISPONIBLE"/>
    <s v="NO DISPONIBLE"/>
    <s v="Morfina HCl 10 mg/mL Solución Inyectable ampolla por 1mL"/>
    <n v="0"/>
    <n v="0"/>
    <x v="0"/>
    <x v="0"/>
    <x v="0"/>
    <x v="0"/>
    <x v="0"/>
  </r>
  <r>
    <x v="154"/>
    <s v="ADRIANA YEPEZ TERRILL"/>
    <s v="Coord. Dirección Técnica"/>
    <s v="CLINICA BLAS DE LEZO S.A"/>
    <s v="890400693-1"/>
    <s v="coordfarmaciadt@clinicablasdelezo.com.co"/>
    <s v="Carrera Bosque No. 47-57"/>
    <x v="2"/>
    <s v="CARTAGENA"/>
    <s v="Solicitud de Medicamentos. CBL Cartagena"/>
    <n v="202124100557572"/>
    <d v="2021-04-05T00:00:00"/>
    <x v="3"/>
    <n v="202124110534511"/>
    <d v="2021-04-08T00:00:00"/>
    <s v="ABR"/>
    <n v="-3"/>
    <s v="AUTORIZADO"/>
    <m/>
    <s v="No. 545"/>
    <d v="2019-04-23T00:00:00"/>
    <s v="Morfina HCl 10 mg/mL Solución Inyectable ampolla por 1mL"/>
    <n v="200"/>
    <n v="20"/>
    <x v="0"/>
    <x v="0"/>
    <x v="0"/>
    <x v="0"/>
    <x v="18"/>
  </r>
  <r>
    <x v="155"/>
    <s v="MARTHA SUÁREZ RAMOS"/>
    <s v="Director Técnico"/>
    <s v="SABANASALUD SAHAGUN S.A.S"/>
    <s v="900398151-7"/>
    <s v=" farmasabanasalud@gmail.com"/>
    <s v="Calle 18 No. 1-60"/>
    <x v="1"/>
    <s v="SAHAGUN"/>
    <s v="SOLICITUD VENTA DE MEDICAMENTOS MONOPOLIO"/>
    <n v="202124100561682"/>
    <d v="2021-04-05T00:00:00"/>
    <x v="3"/>
    <n v="202124110546671"/>
    <d v="2021-04-09T00:00:00"/>
    <s v="ABR"/>
    <n v="-4"/>
    <s v="AUTORIZADO"/>
    <m/>
    <s v="No. 20161021"/>
    <d v="2016-06-06T00:00:00"/>
    <s v="Morfina HCl 10 mg/mL Solución Inyectable ampolla por 1mL"/>
    <n v="80"/>
    <n v="8"/>
    <x v="0"/>
    <x v="0"/>
    <x v="0"/>
    <x v="0"/>
    <x v="122"/>
  </r>
  <r>
    <x v="155"/>
    <s v="MARTHA SUÁREZ RAMOS"/>
    <s v="Director Técnico"/>
    <s v="SABANASALUD SAHAGUN S.A.S"/>
    <s v="900398151-7"/>
    <s v=" farmasabanasalud@gmail.com"/>
    <s v="Calle 18 No. 1-60"/>
    <x v="1"/>
    <s v="SAHAGUN"/>
    <s v="SOLICITUD VENTA DE MEDICAMENTOS MONOPOLIO"/>
    <n v="202124100561682"/>
    <d v="2021-04-05T00:00:00"/>
    <x v="3"/>
    <n v="202124110546671"/>
    <d v="2021-04-09T00:00:00"/>
    <s v="ABR"/>
    <n v="-4"/>
    <s v="AUTORIZADO"/>
    <m/>
    <s v="No. 20161022"/>
    <d v="2016-06-06T00:00:00"/>
    <s v="Meperidina HCl 100 mg/2mL Solución Inyectable_cajas X 10 unidades c/u"/>
    <n v="30"/>
    <n v="3"/>
    <x v="6"/>
    <x v="8"/>
    <x v="0"/>
    <x v="3"/>
    <x v="123"/>
  </r>
  <r>
    <x v="156"/>
    <s v="MANUEL ALFONSO GONZALEZ CANTOR"/>
    <s v="Gerente"/>
    <s v="HOSPITAL SAN JUAN DE DIOS DE HONDA E.S.E"/>
    <s v="890700666-8"/>
    <s v="farmacia@hsjd.gov.co"/>
    <s v="Calle 9 No 16-38-Avenida Centenario "/>
    <x v="0"/>
    <s v="HONDA"/>
    <s v="Solicitud Cotización de Medicamentos de Control"/>
    <n v="202124100562412"/>
    <d v="2021-04-05T00:00:00"/>
    <x v="3"/>
    <n v="202124110547071"/>
    <d v="2021-04-09T00:00:00"/>
    <s v="ABR"/>
    <n v="-4"/>
    <s v="AUTORIZADO"/>
    <m/>
    <s v="No. 2956"/>
    <d v="2019-09-26T00:00:00"/>
    <s v="Meperidina HCl 100 mg/2mL Solución Inyectable_cajas X 10 unidades c/u"/>
    <n v="300"/>
    <n v="30"/>
    <x v="6"/>
    <x v="8"/>
    <x v="0"/>
    <x v="3"/>
    <x v="124"/>
  </r>
  <r>
    <x v="156"/>
    <s v="MANUEL ALFONSO GONZALEZ CANTOR"/>
    <s v="Gerente"/>
    <s v="HOSPITAL SAN JUAN DE DIOS DE HONDA E.S.E"/>
    <s v="890700666-8"/>
    <s v="farmacia@hsjd.gov.co"/>
    <s v="Calle 9 No 16-38-Avenida Centenario "/>
    <x v="0"/>
    <s v="HONDA"/>
    <s v="Solicitud Cotización de Medicamentos de Control"/>
    <n v="202124100562412"/>
    <d v="2021-04-05T00:00:00"/>
    <x v="3"/>
    <n v="202124110547071"/>
    <d v="2021-04-09T00:00:00"/>
    <s v="ABR"/>
    <n v="-4"/>
    <s v="AUTORIZADO"/>
    <m/>
    <s v="No. 2956"/>
    <d v="2019-09-26T00:00:00"/>
    <s v="Morfina HCl 10 mg/mL Solución Inyectable ampolla por 1mL"/>
    <n v="100"/>
    <n v="10"/>
    <x v="0"/>
    <x v="0"/>
    <x v="0"/>
    <x v="0"/>
    <x v="10"/>
  </r>
  <r>
    <x v="156"/>
    <s v="MANUEL ALFONSO GONZALEZ CANTOR"/>
    <s v="Gerente"/>
    <s v="HOSPITAL SAN JUAN DE DIOS DE HONDA E.S.E"/>
    <s v="890700666-8"/>
    <s v="farmacia@hsjd.gov.co"/>
    <s v="Calle 9 No 16-38-Avenida Centenario "/>
    <x v="0"/>
    <s v="HONDA"/>
    <s v="Solicitud Cotización de Medicamentos de Control"/>
    <n v="202124100562412"/>
    <d v="2021-04-05T00:00:00"/>
    <x v="3"/>
    <n v="202124110547071"/>
    <d v="2021-04-09T00:00:00"/>
    <s v="ABR"/>
    <n v="-4"/>
    <s v="AUTORIZADO"/>
    <m/>
    <s v="No. 2956"/>
    <d v="2019-09-26T00:00:00"/>
    <s v="Hidromorfona HCl 2 mg/mL Solución Inyectable_cajas X 10 unidades c/u"/>
    <n v="300"/>
    <n v="30"/>
    <x v="1"/>
    <x v="2"/>
    <x v="0"/>
    <x v="0"/>
    <x v="54"/>
  </r>
  <r>
    <x v="157"/>
    <s v="JUAN CAMILO AGUILAR"/>
    <s v="Director Técnico"/>
    <s v="HOSPITAL DEPARTAMENTAL DE GRANADA"/>
    <s v="800037021-7"/>
    <s v="ufun_farmacia@hospitalgranada.gov.co"/>
    <s v="Calle 15 entre 2 y 4"/>
    <x v="6"/>
    <s v="GRANADA"/>
    <s v="SOLICITUD COTIZACIÓN HOSPITAL DEPARTAMENTAL DE GRANADA ESE"/>
    <n v="202124100569652"/>
    <d v="2021-04-06T00:00:00"/>
    <x v="3"/>
    <n v="202124110547331"/>
    <d v="2021-04-09T00:00:00"/>
    <s v="ABR"/>
    <n v="-3"/>
    <s v="AUTORIZADO"/>
    <m/>
    <s v="No.  1706"/>
    <d v="2016-10-06T00:00:00"/>
    <s v="Fenobarbital Sódico 40 mg/mL Solución Inyectable_caja X 10 ampollas c/u"/>
    <n v="40"/>
    <n v="4"/>
    <x v="3"/>
    <x v="6"/>
    <x v="0"/>
    <x v="0"/>
    <x v="30"/>
  </r>
  <r>
    <x v="157"/>
    <s v="JUAN CAMILO AGUILAR"/>
    <s v="Director Técnico"/>
    <s v="HOSPITAL DEPARTAMENTAL DE GRANADA"/>
    <s v="800037021-7"/>
    <s v="ufun_farmacia@hospitalgranada.gov.co"/>
    <s v="Calle 15 entre 2 y 5"/>
    <x v="6"/>
    <s v="GRANADA"/>
    <s v="SOLICITUD COTIZACIÓN HOSPITAL DEPARTAMENTAL DE GRANADA ESE"/>
    <n v="202124100569652"/>
    <d v="2021-04-06T00:00:00"/>
    <x v="3"/>
    <n v="202124110547331"/>
    <d v="2021-04-09T00:00:00"/>
    <s v="ABR"/>
    <n v="-3"/>
    <s v="AUTORIZADO"/>
    <m/>
    <s v="No.  1706"/>
    <d v="2016-10-06T00:00:00"/>
    <s v="Fenobarbital 100 mg Tableta_cajas X 30 unidades c/u"/>
    <n v="3300"/>
    <n v="110"/>
    <x v="5"/>
    <x v="7"/>
    <x v="4"/>
    <x v="2"/>
    <x v="125"/>
  </r>
  <r>
    <x v="157"/>
    <s v="JUAN CAMILO AGUILAR"/>
    <s v="Director Técnico"/>
    <s v="HOSPITAL DEPARTAMENTAL DE GRANADA"/>
    <s v="800037021-7"/>
    <s v="ufun_farmacia@hospitalgranada.gov.co"/>
    <s v="Calle 15 entre 2 y 6"/>
    <x v="6"/>
    <s v="GRANADA"/>
    <s v="SOLICITUD COTIZACIÓN HOSPITAL DEPARTAMENTAL DE GRANADA ESE"/>
    <n v="202124100569652"/>
    <d v="2021-04-06T00:00:00"/>
    <x v="3"/>
    <n v="202124110547331"/>
    <d v="2021-04-09T00:00:00"/>
    <s v="ABR"/>
    <n v="-3"/>
    <s v="AUTORIZADO"/>
    <m/>
    <s v="No.  1706"/>
    <d v="2016-10-06T00:00:00"/>
    <s v="Morfina HCl 10 mg/mL Solución Inyectable ampolla por 1mL"/>
    <n v="400"/>
    <n v="40"/>
    <x v="0"/>
    <x v="0"/>
    <x v="0"/>
    <x v="0"/>
    <x v="63"/>
  </r>
  <r>
    <x v="157"/>
    <s v="JUAN CAMILO AGUILAR"/>
    <s v="Director Técnico"/>
    <s v="HOSPITAL DEPARTAMENTAL DE GRANADA"/>
    <s v="800037021-7"/>
    <s v="ufun_farmacia@hospitalgranada.gov.co"/>
    <s v="Calle 15 entre 2 y 7"/>
    <x v="6"/>
    <s v="GRANADA"/>
    <s v="SOLICITUD COTIZACIÓN HOSPITAL DEPARTAMENTAL DE GRANADA ESE"/>
    <n v="202124100569652"/>
    <d v="2021-04-06T00:00:00"/>
    <x v="3"/>
    <n v="202124110547331"/>
    <d v="2021-04-09T00:00:00"/>
    <s v="ABR"/>
    <n v="-3"/>
    <s v="AUTORIZADO"/>
    <m/>
    <s v="No.  1706"/>
    <d v="2016-10-06T00:00:00"/>
    <s v="Morfina HCl 0,03 Solución Oral_frascos X 30 mL c/u"/>
    <n v="5"/>
    <n v="5"/>
    <x v="0"/>
    <x v="1"/>
    <x v="1"/>
    <x v="1"/>
    <x v="6"/>
  </r>
  <r>
    <x v="158"/>
    <s v="ZAMIRA COGOLLO CORDERO"/>
    <s v="Quimico Farmacéutico"/>
    <s v="INSTITUTO MEDICO DE ALTA TECNOLOGIA S.A.S"/>
    <s v="901085352-0"/>
    <s v="suministros02@imatsas.com"/>
    <s v="Calle 72 No. 6A-87"/>
    <x v="1"/>
    <s v="MONTERIA"/>
    <s v="SOLICITUD COMPRA DE MEDICAMENTOS 06-04-2021 ZONA FRANCA IMAT SAS"/>
    <n v="202124100570542"/>
    <d v="2021-04-06T00:00:00"/>
    <x v="3"/>
    <n v="202124110559001"/>
    <d v="2021-04-12T00:00:00"/>
    <s v="ABR"/>
    <n v="-6"/>
    <s v="AUTORIZADO"/>
    <m/>
    <s v="No. 0670"/>
    <d v="2019-12-30T00:00:00"/>
    <s v="Morfina HCl 10 mg/mL Solución Inyectable ampolla por 1mL"/>
    <n v="800"/>
    <n v="80"/>
    <x v="0"/>
    <x v="0"/>
    <x v="0"/>
    <x v="0"/>
    <x v="65"/>
  </r>
  <r>
    <x v="158"/>
    <s v="ZAMIRA COGOLLO CORDERO"/>
    <s v="Quimico Farmacéutico"/>
    <s v="INSTITUTO MEDICO DE ALTA TECNOLOGIA S.A.S"/>
    <s v="901085352-0"/>
    <s v="suministros02@imatsas.com"/>
    <s v="Calle 72 No. 6A-88"/>
    <x v="1"/>
    <s v="MONTERIA"/>
    <s v="SOLICITUD COMPRA DE MEDICAMENTOS 06-04-2021 ZONA FRANCA IMAT SAS"/>
    <n v="202124100570542"/>
    <d v="2021-04-06T00:00:00"/>
    <x v="3"/>
    <n v="202124110559001"/>
    <d v="2021-04-12T00:00:00"/>
    <s v="ABR"/>
    <n v="-6"/>
    <s v="AUTORIZADO"/>
    <m/>
    <s v="No. 0670"/>
    <d v="2019-12-30T00:00:00"/>
    <s v="Hidromorfona HCl 2 mg/mL Solución Inyectable_cajas X 10 unidades c/u"/>
    <n v="800"/>
    <n v="80"/>
    <x v="1"/>
    <x v="2"/>
    <x v="0"/>
    <x v="0"/>
    <x v="65"/>
  </r>
  <r>
    <x v="158"/>
    <s v="ZAMIRA COGOLLO CORDERO"/>
    <s v="Quimico Farmacéutico"/>
    <s v="INSTITUTO MEDICO DE ALTA TECNOLOGIA S.A.S"/>
    <s v="901085352-0"/>
    <s v="suministros02@imatsas.com"/>
    <s v="Calle 72 No. 6A-89"/>
    <x v="1"/>
    <s v="MONTERIA"/>
    <s v="SOLICITUD COMPRA DE MEDICAMENTOS 06-04-2021 ZONA FRANCA IMAT SAS"/>
    <n v="202124100570542"/>
    <d v="2021-04-06T00:00:00"/>
    <x v="3"/>
    <n v="202124110559001"/>
    <d v="2021-04-12T00:00:00"/>
    <s v="ABR"/>
    <n v="-6"/>
    <s v="AUTORIZADO"/>
    <m/>
    <s v="No. 0670"/>
    <d v="2019-12-30T00:00:00"/>
    <s v="Metadona HCl 40 mg Tableta_Cajas X 30 unidades c/u"/>
    <n v="150"/>
    <n v="5"/>
    <x v="2"/>
    <x v="4"/>
    <x v="2"/>
    <x v="2"/>
    <x v="2"/>
  </r>
  <r>
    <x v="158"/>
    <s v="ZAMIRA COGOLLO CORDERO"/>
    <s v="Quimico Farmacéutico"/>
    <s v="INSTITUTO MEDICO DE ALTA TECNOLOGIA S.A.S"/>
    <s v="901085352-0"/>
    <s v="suministros02@imatsas.com"/>
    <s v="Calle 72 No. 6A-90"/>
    <x v="1"/>
    <s v="MONTERIA"/>
    <s v="SOLICITUD COMPRA DE MEDICAMENTOS 06-04-2021 ZONA FRANCA IMAT SAS"/>
    <n v="202124100570542"/>
    <d v="2021-04-06T00:00:00"/>
    <x v="3"/>
    <n v="202124110559001"/>
    <d v="2021-04-12T00:00:00"/>
    <s v="ABR"/>
    <n v="-6"/>
    <s v="AUTORIZADO"/>
    <m/>
    <s v="No. 0670"/>
    <d v="2019-12-30T00:00:00"/>
    <s v="Metadona HCl 10 mg Tableta_Cajas X 30 unidades c/u"/>
    <n v="150"/>
    <n v="5"/>
    <x v="2"/>
    <x v="3"/>
    <x v="2"/>
    <x v="2"/>
    <x v="2"/>
  </r>
  <r>
    <x v="159"/>
    <s v="GUSTAVO ADOLFO VILLA TARRIBA"/>
    <s v="Director Técnico"/>
    <s v="CENTRO HOSPITALARIO SERENA DEL MAR S.A."/>
    <s v="900482242-8"/>
    <s v="rosa.caviedes@chsm.com"/>
    <s v="Km 8 Viaal Mar"/>
    <x v="2"/>
    <s v="CARTAGENA"/>
    <s v="SOLICITUD DE COMPRA DE MEDICAMENTOS DE CONTROL."/>
    <n v="202124100578142"/>
    <d v="2021-04-07T00:00:00"/>
    <x v="3"/>
    <n v="202124110559031"/>
    <d v="2021-04-12T00:00:00"/>
    <s v="ABR"/>
    <n v="-5"/>
    <s v="AUTORIZADO"/>
    <m/>
    <s v="No 018"/>
    <d v="2021-02-08T00:00:00"/>
    <s v="Metadona HCl 10 mg Tableta_Cajas X 30 unidades c/u"/>
    <n v="100"/>
    <n v="3"/>
    <x v="2"/>
    <x v="3"/>
    <x v="2"/>
    <x v="2"/>
    <x v="71"/>
  </r>
  <r>
    <x v="159"/>
    <s v="GUSTAVO ADOLFO VILLA TARRIBA"/>
    <s v="Director Técnico"/>
    <s v="CENTRO HOSPITALARIO SERENA DEL MAR S.A."/>
    <s v="900482242-8"/>
    <s v="rosa.caviedes@chsm.com"/>
    <s v="Km 8 Viaal Mar"/>
    <x v="2"/>
    <s v="CARTAGENA"/>
    <s v="SOLICITUD DE COMPRA DE MEDICAMENTOS DE CONTROL."/>
    <n v="202124100578142"/>
    <d v="2021-04-07T00:00:00"/>
    <x v="3"/>
    <n v="202124110559031"/>
    <d v="2021-04-12T00:00:00"/>
    <s v="ABR"/>
    <n v="-5"/>
    <s v="AUTORIZADO"/>
    <m/>
    <s v="No 018"/>
    <d v="2021-02-08T00:00:00"/>
    <s v="Hidromorfona HCl 2 mg/mL Solución Inyectable_cajas X 10 unidades c/u"/>
    <n v="800"/>
    <n v="80"/>
    <x v="1"/>
    <x v="2"/>
    <x v="0"/>
    <x v="0"/>
    <x v="65"/>
  </r>
  <r>
    <x v="159"/>
    <s v="GUSTAVO ADOLFO VILLA TARRIBA"/>
    <s v="Director Técnico"/>
    <s v="CENTRO HOSPITALARIO SERENA DEL MAR S.A."/>
    <s v="900482242-8"/>
    <s v="rosa.caviedes@chsm.com"/>
    <s v="Km 8 Viaal Mar"/>
    <x v="2"/>
    <s v="CARTAGENA"/>
    <s v="SOLICITUD DE COMPRA DE MEDICAMENTOS DE CONTROL."/>
    <n v="202124100578142"/>
    <d v="2021-04-07T00:00:00"/>
    <x v="3"/>
    <n v="202124110559031"/>
    <d v="2021-04-12T00:00:00"/>
    <s v="ABR"/>
    <n v="-5"/>
    <s v="AUTORIZADO"/>
    <m/>
    <s v="No 018"/>
    <d v="2021-02-08T00:00:00"/>
    <s v="Fenobarbital Sódico 200 mg/mL Solución Inyectable_caja X 10 ampollas c/u"/>
    <n v="100"/>
    <n v="10"/>
    <x v="3"/>
    <x v="5"/>
    <x v="0"/>
    <x v="0"/>
    <x v="10"/>
  </r>
  <r>
    <x v="159"/>
    <s v="GUSTAVO ADOLFO VILLA TARRIBA"/>
    <s v="Director Técnico"/>
    <s v="CENTRO HOSPITALARIO SERENA DEL MAR S.A."/>
    <s v="900482242-8"/>
    <s v="rosa.caviedes@chsm.com"/>
    <s v="Km 8 Viaal Mar"/>
    <x v="2"/>
    <s v="CARTAGENA"/>
    <s v="SOLICITUD DE COMPRA DE MEDICAMENTOS DE CONTROL."/>
    <n v="202124100578142"/>
    <d v="2021-04-07T00:00:00"/>
    <x v="3"/>
    <n v="202124110559031"/>
    <d v="2021-04-12T00:00:00"/>
    <s v="ABR"/>
    <n v="-5"/>
    <s v="AUTORIZADO"/>
    <m/>
    <s v="No 018"/>
    <d v="2021-02-08T00:00:00"/>
    <s v="Fenobarbital 0,4% Solución Oral_frascos X 120 mL c/u"/>
    <n v="5"/>
    <n v="5"/>
    <x v="5"/>
    <x v="11"/>
    <x v="1"/>
    <x v="6"/>
    <x v="16"/>
  </r>
  <r>
    <x v="160"/>
    <s v="ANGEL LEONARDO RAMOS MOLINA"/>
    <s v="Representante Legal"/>
    <s v="INSTITUTO DE SISTEMA NERVIOSO DE CORDOBA -SEDE SAN SEBASTIÁN"/>
    <s v="901129333-1"/>
    <s v="almacenclinicasansebastian@gmail.com"/>
    <s v="Calle 2 Carrera 3-76 Vereda el Faro 1 via Aguas Negras"/>
    <x v="1"/>
    <s v="CÓRDOBA"/>
    <s v="compra de medicamentos de control especial"/>
    <n v="202124100581722"/>
    <d v="2021-04-07T00:00:00"/>
    <x v="3"/>
    <n v="202124110559061"/>
    <d v="2021-04-12T00:00:00"/>
    <s v="ABR"/>
    <n v="-5"/>
    <s v="NEGADO"/>
    <s v="El solicitante no allego los documentos necesarios para la autorizacion de compra directa"/>
    <s v="NO DISPONIBLE"/>
    <s v="NO DISPONIBLE"/>
    <s v="Meperidina HCl 100 mg/2mL Solución Inyectable_cajas X 10 unidades c/u"/>
    <n v="0"/>
    <n v="0"/>
    <x v="6"/>
    <x v="8"/>
    <x v="0"/>
    <x v="3"/>
    <x v="0"/>
  </r>
  <r>
    <x v="160"/>
    <s v="ANGEL LEONARDO RAMOS MOLINA"/>
    <s v="Representante Legal"/>
    <s v="INSTITUTO DE SISTEMA NERVIOSO DE CORDOBA -SEDE SAN SEBASTIÁN"/>
    <s v="901129333-1"/>
    <s v="almacenclinicasansebastian@gmail.com"/>
    <s v="Calle 2 Carrera 3-76 Vereda el Faro 1 via Aguas Negras"/>
    <x v="1"/>
    <s v="CÓRDOBA"/>
    <s v="compra de medicamentos de control especial"/>
    <n v="202124100581722"/>
    <d v="2021-04-07T00:00:00"/>
    <x v="3"/>
    <n v="202124110559061"/>
    <d v="2021-04-12T00:00:00"/>
    <s v="ABR"/>
    <n v="-5"/>
    <s v="NEGADO"/>
    <s v="El solicitante no allego los documentos necesarios para la autorizacion de compra directa"/>
    <s v="NO DISPONIBLE"/>
    <s v="NO DISPONIBLE"/>
    <s v="Morfina HCl 10 mg/mL Solución Inyectable ampolla por 1mL"/>
    <n v="0"/>
    <n v="0"/>
    <x v="0"/>
    <x v="0"/>
    <x v="0"/>
    <x v="0"/>
    <x v="0"/>
  </r>
  <r>
    <x v="161"/>
    <s v="DIANA PATRICIA MOLINA ARENAS"/>
    <s v="Director Técnico"/>
    <s v="CLINICA UNIVERSITARIA MEDICINA INTEGRAL S.A.S"/>
    <s v="900740827-3"/>
    <s v="claudia.narvaez@cumi.com.co"/>
    <s v="Calle 44 No. 14-232"/>
    <x v="1"/>
    <s v="MONTERIA"/>
    <s v="Solicitud de Venta Directa de Medicamentos de Control"/>
    <n v="202124100590142"/>
    <d v="2021-04-08T00:00:00"/>
    <x v="3"/>
    <n v="202124110559081"/>
    <d v="2021-04-12T00:00:00"/>
    <s v="ABR"/>
    <n v="-4"/>
    <s v="AUTORIZADO"/>
    <m/>
    <s v="No. 661"/>
    <d v="2019-12-20T00:00:00"/>
    <s v="Morfina HCl 10 mg/mL Solución Inyectable ampolla por 1mL"/>
    <n v="100"/>
    <n v="10"/>
    <x v="0"/>
    <x v="0"/>
    <x v="0"/>
    <x v="0"/>
    <x v="10"/>
  </r>
  <r>
    <x v="161"/>
    <s v="DIANA PATRICIA MOLINA ARENAS"/>
    <s v="Director Técnico"/>
    <s v="CLINICA UNIVERSITARIA MEDICINA INTEGRAL S.A.S"/>
    <s v="900740827-3"/>
    <s v="claudia.narvaez@cumi.com.co"/>
    <s v="Calle 44 No. 14-232"/>
    <x v="1"/>
    <s v="MONTERIA"/>
    <s v="Solicitud de Venta Directa de Medicamentos de Control"/>
    <n v="202124100590142"/>
    <d v="2021-04-08T00:00:00"/>
    <x v="3"/>
    <n v="202124110559081"/>
    <d v="2021-04-12T00:00:00"/>
    <s v="ABR"/>
    <n v="-4"/>
    <s v="AUTORIZADO"/>
    <m/>
    <s v="No. 661"/>
    <d v="2019-12-20T00:00:00"/>
    <s v="Hidromorfona HCl 2 mg/mL Solución Inyectable_cajas X 10 unidades c/u"/>
    <n v="50"/>
    <n v="5"/>
    <x v="1"/>
    <x v="2"/>
    <x v="0"/>
    <x v="0"/>
    <x v="17"/>
  </r>
  <r>
    <x v="161"/>
    <s v="DIANA PATRICIA MOLINA ARENAS"/>
    <s v="Director Técnico"/>
    <s v="CLINICA UNIVERSITARIA MEDICINA INTEGRAL S.A.S"/>
    <s v="900740827-3"/>
    <s v="claudia.narvaez@cumi.com.co"/>
    <s v="Calle 44 No. 14-232"/>
    <x v="1"/>
    <s v="MONTERIA"/>
    <s v="Solicitud de Venta Directa de Medicamentos de Control"/>
    <n v="202124100590142"/>
    <d v="2021-04-08T00:00:00"/>
    <x v="3"/>
    <n v="202124110559081"/>
    <d v="2021-04-12T00:00:00"/>
    <s v="ABR"/>
    <n v="-4"/>
    <s v="AUTORIZADO"/>
    <m/>
    <s v="No. 661"/>
    <d v="2019-12-20T00:00:00"/>
    <s v="Meperidina HCl 100 mg/2mL Solución Inyectable_cajas X 10 unidades c/u"/>
    <n v="50"/>
    <n v="5"/>
    <x v="6"/>
    <x v="8"/>
    <x v="0"/>
    <x v="3"/>
    <x v="9"/>
  </r>
  <r>
    <x v="162"/>
    <s v="MANUEL GONZALEZ"/>
    <s v="Analista de Compras"/>
    <s v="JERSALUD S.A.S"/>
    <s v="900622551-0"/>
    <s v="Compras@jersalud.com"/>
    <s v="Calle 40 No. 23-99"/>
    <x v="14"/>
    <s v="YOPAL"/>
    <s v="SOLICITUD COTIZACIÓN JERSALUD CASANARE"/>
    <n v="202124100601282"/>
    <d v="2021-04-09T00:00:00"/>
    <x v="3"/>
    <n v="202124110559101"/>
    <d v="2021-04-12T00:00:00"/>
    <s v="ABR"/>
    <n v="-3"/>
    <s v="AUTORIZADO"/>
    <m/>
    <s v="No. 1328"/>
    <d v="2020-12-04T00:00:00"/>
    <s v="Morfina HCl 0,03 Solución Oral_frascos X 30 mL c/u"/>
    <n v="1"/>
    <n v="1"/>
    <x v="0"/>
    <x v="1"/>
    <x v="1"/>
    <x v="1"/>
    <x v="109"/>
  </r>
  <r>
    <x v="163"/>
    <s v="JESUS DAVID PEREZ MERCADO"/>
    <s v="Quimico Farmacéutico"/>
    <s v="CENTRO CARDIO INFANTIL IPS S.A.S"/>
    <s v="900090247-1"/>
    <s v="farmacia@centrocardioinfantil.com"/>
    <s v="Calle 22 Carrera 17 No. 16-30"/>
    <x v="1"/>
    <s v="MONTERIA"/>
    <s v="Compra medicamentos de control monopolio del estado"/>
    <n v="202124100602412"/>
    <d v="2021-04-09T00:00:00"/>
    <x v="3"/>
    <n v="202124110559121"/>
    <d v="2021-04-12T00:00:00"/>
    <s v="ABR"/>
    <n v="-3"/>
    <s v="AUTORIZADO"/>
    <m/>
    <s v="No. 1898"/>
    <d v="2021-12-21T00:00:00"/>
    <s v="Morfina HCl 10 mg/mL Solución Inyectable ampolla por 1mL"/>
    <n v="100"/>
    <n v="10"/>
    <x v="0"/>
    <x v="0"/>
    <x v="0"/>
    <x v="0"/>
    <x v="10"/>
  </r>
  <r>
    <x v="164"/>
    <s v="FRANCISCO MORAN ALVAREZ"/>
    <s v="Director "/>
    <s v="FUNDACION POLICLINICA DE CIENAGA"/>
    <s v="800201726-3"/>
    <s v="compras.policlinica@hotmail.com"/>
    <s v="CALLE 8 # 11-39"/>
    <x v="4"/>
    <s v="CIENAGA"/>
    <s v="SOLICITUD DE COTIZACION"/>
    <n v="202124100597312"/>
    <d v="2021-04-09T00:00:00"/>
    <x v="3"/>
    <n v="202124110595201"/>
    <d v="2021-04-19T00:00:00"/>
    <s v="ABR"/>
    <n v="-10"/>
    <s v="NEGADO"/>
    <s v="EL SOLICITANTE NO ALLEGO RESOLUCIÓN"/>
    <s v="NO DISPONIBLE"/>
    <s v="NO DISPONIBLE"/>
    <s v="Fenobarbital Sódico 200 mg/mL Solución Inyectable_caja X 10 ampollas c/u"/>
    <n v="0"/>
    <n v="0"/>
    <x v="3"/>
    <x v="5"/>
    <x v="0"/>
    <x v="0"/>
    <x v="0"/>
  </r>
  <r>
    <x v="165"/>
    <s v="NELSY SOFIA MANOTAS G."/>
    <s v="Director Tecnico"/>
    <s v="ETICOS UT 2020"/>
    <s v="901381381-3"/>
    <s v="qffarmacia10505@eticos.com "/>
    <s v="Vía 40 No 71-124"/>
    <x v="2"/>
    <s v="CARTAGENA"/>
    <s v=" Autorización de Compra directa y Traslado de medicamentos monopolio del estado"/>
    <n v="202124100607472"/>
    <d v="2021-04-12T00:00:00"/>
    <x v="3"/>
    <n v="202124110595311"/>
    <d v="2021-04-19T00:00:00"/>
    <s v="ABR"/>
    <n v="-7"/>
    <s v="AUTORIZADO"/>
    <m/>
    <s v="No. 611"/>
    <d v="2020-09-21T00:00:00"/>
    <s v="Morfina HCl 10 mg/mL Solución Inyectable ampolla por 1mL"/>
    <n v="150"/>
    <n v="15"/>
    <x v="0"/>
    <x v="0"/>
    <x v="0"/>
    <x v="0"/>
    <x v="19"/>
  </r>
  <r>
    <x v="165"/>
    <s v="NELSY SOFIA MANOTAS G."/>
    <s v="Director Tecnico"/>
    <s v="ETICOS UT 2020"/>
    <s v="901381381-3"/>
    <s v="qffarmacia10505@eticos.com "/>
    <s v="Vía 40 No 71-124"/>
    <x v="2"/>
    <s v="CARTAGENA"/>
    <s v=" Autorización de Compra directa y Traslado de medicamentos monopolio del estado"/>
    <n v="202124100607472"/>
    <d v="2021-04-12T00:00:00"/>
    <x v="3"/>
    <n v="202124110595311"/>
    <d v="2021-04-19T00:00:00"/>
    <s v="ABR"/>
    <n v="-7"/>
    <s v="AUTORIZADO"/>
    <m/>
    <s v="No. 611"/>
    <d v="2020-09-21T00:00:00"/>
    <s v="Meperidina HCl 100 mg/2mL Solución Inyectable_cajas X 10 unidades c/u"/>
    <n v="100"/>
    <n v="10"/>
    <x v="6"/>
    <x v="8"/>
    <x v="0"/>
    <x v="3"/>
    <x v="27"/>
  </r>
  <r>
    <x v="166"/>
    <s v="LEET ANTONIO MARQUEZ ESCORCIA"/>
    <s v="Quimico Farmacéutico"/>
    <s v="CLINICA GENERAL DEL NORTE S.A."/>
    <s v="890102768-5"/>
    <s v="quimicopesmag@clinicageneraldelnorte.com"/>
    <s v="Avenida Libertador No. 13-12"/>
    <x v="4"/>
    <s v="SANTA MARTA"/>
    <s v="COTIZACION COMPRA DIRECTA MORFINA SLN ORAL Y RITALINA 10 MG_x000a_"/>
    <n v="202124100611762"/>
    <d v="2021-04-12T00:00:00"/>
    <x v="3"/>
    <n v="202124110595441"/>
    <d v="2021-04-19T00:00:00"/>
    <s v="ABR"/>
    <n v="-7"/>
    <s v="AUTORIZADO"/>
    <m/>
    <s v="No. 3792"/>
    <d v="2019-10-29T00:00:00"/>
    <s v="Morfina HCl 0,03 Solución Oral_frascos X 30 mL c/u"/>
    <n v="7"/>
    <n v="7"/>
    <x v="0"/>
    <x v="1"/>
    <x v="1"/>
    <x v="1"/>
    <x v="126"/>
  </r>
  <r>
    <x v="166"/>
    <s v="LEET ANTONIO MARQUEZ ESCORCIA"/>
    <s v="Quimico Farmacéutico"/>
    <s v="CLINICA GENERAL DEL NORTE S.A."/>
    <s v="890102768-5"/>
    <s v="quimicopesmag@clinicageneraldelnorte.com"/>
    <s v="Avenida Libertador No. 13-12"/>
    <x v="4"/>
    <s v="SANTA MARTA"/>
    <s v="COTIZACION COMPRA DIRECTA MORFINA SLN ORAL Y RITALINA 10 MG_x000a_"/>
    <n v="202124100611762"/>
    <d v="2021-04-12T00:00:00"/>
    <x v="3"/>
    <n v="202124110595441"/>
    <d v="2021-04-19T00:00:00"/>
    <s v="ABR"/>
    <n v="-7"/>
    <s v="AUTORIZADO"/>
    <m/>
    <s v="No. 3792"/>
    <d v="2019-10-29T00:00:00"/>
    <s v="Metilfenidato HCl 10 mg Comprimido_cajas X 30 unidades c/u"/>
    <n v="60"/>
    <n v="2"/>
    <x v="4"/>
    <x v="3"/>
    <x v="3"/>
    <x v="2"/>
    <x v="90"/>
  </r>
  <r>
    <x v="167"/>
    <s v="ZAMIRA COGOLLO CORDERO"/>
    <s v="Quimico Farmacéutico"/>
    <s v="ONCOMEDICA S.A"/>
    <s v="812007194-8"/>
    <s v="asuministros01@imatoncomedica.com"/>
    <s v="Calle 72 Carrera 6 Via carete"/>
    <x v="1"/>
    <s v="MONTERIA"/>
    <s v=" Solicitud Autorizacion Compra Directa ONCOMEDICA S.A"/>
    <n v="202124100612142"/>
    <d v="2021-04-12T00:00:00"/>
    <x v="3"/>
    <n v="202124110607981"/>
    <d v="2021-04-20T00:00:00"/>
    <s v="ABR"/>
    <n v="-8"/>
    <s v="AUTORIZADO"/>
    <m/>
    <s v="No. 669"/>
    <d v="2019-12-30T00:00:00"/>
    <s v="Morfina HCl 10 mg/mL Solución Inyectable ampolla por 1mL"/>
    <n v="600"/>
    <n v="60"/>
    <x v="0"/>
    <x v="0"/>
    <x v="0"/>
    <x v="0"/>
    <x v="42"/>
  </r>
  <r>
    <x v="167"/>
    <s v="ZAMIRA COGOLLO CORDERO"/>
    <s v="Quimico Farmacéutico"/>
    <s v="ONCOMEDICA S.A"/>
    <s v="812007194-8"/>
    <s v="asuministros01@imatoncomedica.com"/>
    <s v="Calle 72 Carrera 6 Via carete"/>
    <x v="1"/>
    <s v="MONTERIA"/>
    <s v=" Solicitud Autorizacion Compra Directa ONCOMEDICA S.A"/>
    <n v="202124100612142"/>
    <d v="2021-04-12T00:00:00"/>
    <x v="3"/>
    <n v="202124110607981"/>
    <d v="2021-04-20T00:00:00"/>
    <s v="ABR"/>
    <n v="-8"/>
    <s v="NEGADO"/>
    <s v="EL FNE CUENTA CON BAJA DISPONIBILIDAD EN SU INVENTARIO"/>
    <s v="No. 669"/>
    <d v="2019-12-30T00:00:00"/>
    <s v="Hidromorfona HCl 2 mg/mL Solución Inyectable_cajas X 10 unidades c/u"/>
    <n v="0"/>
    <n v="0"/>
    <x v="1"/>
    <x v="2"/>
    <x v="0"/>
    <x v="0"/>
    <x v="0"/>
  </r>
  <r>
    <x v="167"/>
    <s v="ZAMIRA COGOLLO CORDERO"/>
    <s v="Quimico Farmacéutico"/>
    <s v="ONCOMEDICA S.A"/>
    <s v="812007194-8"/>
    <s v="asuministros01@imatoncomedica.com"/>
    <s v="Calle 72 Carrera 6 Via carete"/>
    <x v="1"/>
    <s v="MONTERIA"/>
    <s v=" Solicitud Autorizacion Compra Directa ONCOMEDICA S.A"/>
    <n v="202124100612142"/>
    <d v="2021-04-12T00:00:00"/>
    <x v="3"/>
    <n v="202124110607981"/>
    <d v="2021-04-20T00:00:00"/>
    <s v="ABR"/>
    <n v="-8"/>
    <s v="AUTORIZADO"/>
    <m/>
    <s v="No. 669"/>
    <d v="2019-12-30T00:00:00"/>
    <s v="Hidromorfona HCl 2,5 mg Tableta_cajas X 20 unidades c/u"/>
    <n v="3000"/>
    <n v="150"/>
    <x v="1"/>
    <x v="9"/>
    <x v="4"/>
    <x v="4"/>
    <x v="127"/>
  </r>
  <r>
    <x v="168"/>
    <s v="ANIBAL RAFAEL DÍAZ VILLAREAL"/>
    <s v="Quimico Farmacéutico"/>
    <s v="LOGIFARMA S.A.S"/>
    <s v="900073223-3"/>
    <s v="coordinadormagdalena@logifarma.co"/>
    <s v="Via 40 No. 60-58"/>
    <x v="4"/>
    <s v="SANTA MARTA"/>
    <s v="SOLICITUD COMPRA DIRECTA"/>
    <n v="202124100617352"/>
    <d v="2021-04-12T00:00:00"/>
    <x v="3"/>
    <n v="202124110595521"/>
    <d v="2021-04-19T00:00:00"/>
    <s v="ABR"/>
    <n v="-7"/>
    <s v="AUTORIZADO"/>
    <m/>
    <s v="No. 1809"/>
    <d v="2020-12-29T00:00:00"/>
    <s v="Fenobarbital 100 mg Tableta_cajas X 30 unidades c/u"/>
    <n v="1800"/>
    <n v="60"/>
    <x v="5"/>
    <x v="7"/>
    <x v="4"/>
    <x v="2"/>
    <x v="22"/>
  </r>
  <r>
    <x v="168"/>
    <s v="ANIBAL RAFAEL DÍAZ VILLAREAL"/>
    <s v="Quimico Farmacéutico"/>
    <s v="LOGIFARMA S.A.S"/>
    <s v="900073223-3"/>
    <s v="coordinadormagdalena@logifarma.co"/>
    <s v="Via 40 No. 60-58"/>
    <x v="4"/>
    <s v="SANTA MARTA"/>
    <s v="SOLICITUD COMPRA DIRECTA"/>
    <n v="202124100617352"/>
    <d v="2021-04-12T00:00:00"/>
    <x v="3"/>
    <n v="202124110595521"/>
    <d v="2021-04-19T00:00:00"/>
    <s v="ABR"/>
    <n v="-7"/>
    <s v="AUTORIZADO"/>
    <m/>
    <s v="No. 1809"/>
    <d v="2020-12-29T00:00:00"/>
    <s v="Fenobarbital 0,4% Solución Oral_frascos X 120 mL c/u"/>
    <n v="4"/>
    <n v="4"/>
    <x v="5"/>
    <x v="11"/>
    <x v="1"/>
    <x v="6"/>
    <x v="115"/>
  </r>
  <r>
    <x v="168"/>
    <s v="ANIBAL RAFAEL DÍAZ VILLAREAL"/>
    <s v="Quimico Farmacéutico"/>
    <s v="LOGIFARMA S.A.S"/>
    <s v="900073223-3"/>
    <s v="coordinadormagdalena@logifarma.co"/>
    <s v="Via 40 No. 60-58"/>
    <x v="4"/>
    <s v="SANTA MARTA"/>
    <s v="SOLICITUD COMPRA DIRECTA"/>
    <n v="202124100617352"/>
    <d v="2021-04-12T00:00:00"/>
    <x v="3"/>
    <n v="202124110595521"/>
    <d v="2021-04-19T00:00:00"/>
    <s v="ABR"/>
    <n v="-7"/>
    <s v="AUTORIZADO"/>
    <m/>
    <s v="No. 1809"/>
    <d v="2020-12-29T00:00:00"/>
    <s v="Fenobarbital 50 mg Tableta_cajas X 30 unidades c/u"/>
    <n v="120"/>
    <n v="4"/>
    <x v="5"/>
    <x v="12"/>
    <x v="4"/>
    <x v="2"/>
    <x v="110"/>
  </r>
  <r>
    <x v="168"/>
    <s v="ANIBAL RAFAEL DÍAZ VILLAREAL"/>
    <s v="Quimico Farmacéutico"/>
    <s v="LOGIFARMA S.A.S"/>
    <s v="900073223-3"/>
    <s v="coordinadormagdalena@logifarma.co"/>
    <s v="Via 40 No. 60-58"/>
    <x v="4"/>
    <s v="SANTA MARTA"/>
    <s v="SOLICITUD COMPRA DIRECTA"/>
    <n v="202124100617352"/>
    <d v="2021-04-12T00:00:00"/>
    <x v="3"/>
    <n v="202124110595521"/>
    <d v="2021-04-19T00:00:00"/>
    <s v="ABR"/>
    <n v="-7"/>
    <s v="AUTORIZADO"/>
    <m/>
    <s v="No. 1809"/>
    <d v="2020-12-29T00:00:00"/>
    <s v="Metilfenidato HCl 10 mg Comprimido_cajas X 30 unidades c/u"/>
    <n v="60"/>
    <n v="2"/>
    <x v="4"/>
    <x v="3"/>
    <x v="3"/>
    <x v="2"/>
    <x v="90"/>
  </r>
  <r>
    <x v="169"/>
    <s v="JEFFRY JOSUE MEDINA BARANDICA"/>
    <s v="Director Tecnico"/>
    <s v="CLINICA LA MILAGROSA S.A"/>
    <s v="800067515-1"/>
    <s v="compras@clinicalamilagrosa.co"/>
    <s v="Calle 22 No. 13A-09"/>
    <x v="4"/>
    <s v="SANTA MARTA"/>
    <s v="Solicitud de Autorización Compra directa Clínica La Milagrosa"/>
    <n v="202124100617782"/>
    <d v="2021-04-12T00:00:00"/>
    <x v="3"/>
    <n v="202124110595561"/>
    <d v="2021-04-19T00:00:00"/>
    <s v="ABR"/>
    <n v="-7"/>
    <s v="AUTORIZADO"/>
    <m/>
    <s v="No.0888"/>
    <d v="2020-07-24T00:00:00"/>
    <s v="Morfina HCl 10 mg/mL Solución Inyectable ampolla por 1mL"/>
    <n v="300"/>
    <n v="30"/>
    <x v="0"/>
    <x v="0"/>
    <x v="0"/>
    <x v="0"/>
    <x v="54"/>
  </r>
  <r>
    <x v="169"/>
    <s v="JEFFRY JOSUE MEDINA BARANDICA"/>
    <s v="Director Tecnico"/>
    <s v="CLINICA LA MILAGROSA S.A"/>
    <s v="800067515-1"/>
    <s v="compras@clinicalamilagrosa.co"/>
    <s v="Calle 22 No. 13A-09"/>
    <x v="4"/>
    <s v="SANTA MARTA"/>
    <s v="Solicitud de Autorización Compra directa Clínica La Milagrosa"/>
    <n v="202124100617782"/>
    <d v="2021-04-12T00:00:00"/>
    <x v="3"/>
    <n v="202124110595561"/>
    <d v="2021-04-19T00:00:00"/>
    <s v="ABR"/>
    <n v="-7"/>
    <s v="AUTORIZADO"/>
    <m/>
    <s v="No.0888"/>
    <d v="2020-07-24T00:00:00"/>
    <s v="Fenobarbital Sódico 200 mg/mL Solución Inyectable_caja X 10 ampollas c/u"/>
    <n v="100"/>
    <n v="10"/>
    <x v="3"/>
    <x v="5"/>
    <x v="0"/>
    <x v="0"/>
    <x v="10"/>
  </r>
  <r>
    <x v="169"/>
    <s v="JEFFRY JOSUE MEDINA BARANDICA"/>
    <s v="Director Tecnico"/>
    <s v="CLINICA LA MILAGROSA S.A"/>
    <s v="800067515-1"/>
    <s v="compras@clinicalamilagrosa.co"/>
    <s v="Calle 22 No. 13A-09"/>
    <x v="4"/>
    <s v="SANTA MARTA"/>
    <s v="Solicitud de Autorización Compra directa Clínica La Milagrosa"/>
    <n v="202124100617782"/>
    <d v="2021-04-12T00:00:00"/>
    <x v="3"/>
    <n v="202124110595561"/>
    <d v="2021-04-19T00:00:00"/>
    <s v="ABR"/>
    <n v="-7"/>
    <s v="AUTORIZADO"/>
    <m/>
    <s v="No.0888"/>
    <d v="2020-07-24T00:00:00"/>
    <s v="Fenobarbital 100 mg Tableta_cajas X 30 unidades c/u"/>
    <n v="60"/>
    <n v="2"/>
    <x v="5"/>
    <x v="7"/>
    <x v="4"/>
    <x v="2"/>
    <x v="90"/>
  </r>
  <r>
    <x v="170"/>
    <s v="GLORIA QUINTERO"/>
    <s v="Jefe compras"/>
    <s v="NEXUS VITAL S.A.S"/>
    <s v="900786595-8"/>
    <s v="gloria_quintero@nexusvital.com"/>
    <s v="Carrera 97 # 24c-61"/>
    <x v="14"/>
    <s v="YOPAL"/>
    <s v="COTIZACIÓN URGENTE MEDICAMENTOS"/>
    <n v="202124100619842"/>
    <d v="2021-04-12T00:00:00"/>
    <x v="3"/>
    <n v="202124110608001"/>
    <d v="2021-04-20T00:00:00"/>
    <s v="ABR"/>
    <n v="-8"/>
    <s v="NEGADO"/>
    <s v="El FNE aun no cuenta con este medicamento en el portafolio"/>
    <s v="No. 1231"/>
    <d v="2020-11-30T00:00:00"/>
    <s v="Morfina HCl 0,03 Solución Inyectable_Vial X 20 mL c/u"/>
    <n v="0"/>
    <n v="0"/>
    <x v="0"/>
    <x v="1"/>
    <x v="0"/>
    <x v="9"/>
    <x v="0"/>
  </r>
  <r>
    <x v="171"/>
    <s v="ORLANDO RAFAEL HURTADO PATERNINA"/>
    <s v="Quimico Farmacéutico"/>
    <s v="DROGERÍAS LA ECONOMIA 684"/>
    <s v="892300678-7"/>
    <s v="dispensario684@drogaslaeconomia.com"/>
    <s v="Carrera 33 No. 29-106"/>
    <x v="2"/>
    <s v="CARTAGENA"/>
    <s v="COMPRA DE MEDICAMENTO"/>
    <n v="202124100624872"/>
    <d v="2021-04-13T00:00:00"/>
    <x v="3"/>
    <n v="202124110608041"/>
    <d v="2021-04-20T00:00:00"/>
    <s v="ABR"/>
    <n v="-7"/>
    <s v="AUTORIZADO"/>
    <m/>
    <s v="No. 363"/>
    <d v="2019-04-02T00:00:00"/>
    <s v="Fenobarbital 100 mg Tableta_cajas X 30 unidades c/u"/>
    <n v="1500"/>
    <n v="50"/>
    <x v="5"/>
    <x v="7"/>
    <x v="4"/>
    <x v="2"/>
    <x v="68"/>
  </r>
  <r>
    <x v="171"/>
    <s v="ORLANDO RAFAEL HURTADO PATERNINA"/>
    <s v="Quimico Farmacéutico"/>
    <s v="DROGERÍAS LA ECONOMIA 684"/>
    <s v="892300678-7"/>
    <s v="dispensario684@drogaslaeconomia.com"/>
    <s v="Carrera 33 No. 29-106"/>
    <x v="2"/>
    <s v="CARTAGENA"/>
    <s v="COMPRA DE MEDICAMENTO"/>
    <n v="202124100624872"/>
    <d v="2021-04-13T00:00:00"/>
    <x v="3"/>
    <n v="202124110608041"/>
    <d v="2021-04-20T00:00:00"/>
    <s v="ABR"/>
    <n v="-7"/>
    <s v="AUTORIZADO"/>
    <m/>
    <s v="No. 363"/>
    <d v="2019-04-02T00:00:00"/>
    <s v="Morfina HCl 0,03 Solución Oral_frascos X 30 mL c/u"/>
    <n v="5"/>
    <n v="5"/>
    <x v="0"/>
    <x v="1"/>
    <x v="1"/>
    <x v="1"/>
    <x v="6"/>
  </r>
  <r>
    <x v="172"/>
    <s v="RAMIRO FLORES SALAS"/>
    <s v="Director Técnico"/>
    <s v="SIKUANY S.A.S"/>
    <s v="830512772-6"/>
    <s v="sikuanyltda@gmail.com"/>
    <s v="Calle 33 A No.38-41 Barzal Alto"/>
    <x v="6"/>
    <s v="VILLAVICENCIO"/>
    <s v=" SOLICITUD COMPRA"/>
    <n v="202124100625352"/>
    <d v="2021-04-13T00:00:00"/>
    <x v="3"/>
    <n v="202124110608051"/>
    <d v="2021-04-20T00:00:00"/>
    <s v="ABR"/>
    <n v="-7"/>
    <s v="AUTORIZADO"/>
    <m/>
    <s v="No. 564"/>
    <d v="2017-05-30T00:00:00"/>
    <s v="Fenobarbital 0,4% Solución Oral_frascos X 120 mL c/u"/>
    <n v="20"/>
    <n v="20"/>
    <x v="5"/>
    <x v="11"/>
    <x v="1"/>
    <x v="6"/>
    <x v="77"/>
  </r>
  <r>
    <x v="172"/>
    <s v="RAMIRO FLORES SALAS"/>
    <s v="Director Técnico"/>
    <s v="SIKUANY S.A.S"/>
    <s v="830512772-6"/>
    <s v="sikuanyltda@gmail.com"/>
    <s v="Calle 33 A No.38-41 Barzal Alto"/>
    <x v="6"/>
    <s v="VILLAVICENCIO"/>
    <s v=" SOLICITUD COMPRA"/>
    <n v="202124100625352"/>
    <d v="2021-04-13T00:00:00"/>
    <x v="3"/>
    <n v="202124110608051"/>
    <d v="2021-04-20T00:00:00"/>
    <s v="ABR"/>
    <n v="-7"/>
    <s v="AUTORIZADO"/>
    <m/>
    <s v="No. 564"/>
    <d v="2017-05-30T00:00:00"/>
    <s v="Fenobarbital 10 mg Tableta_cajas X 30 unidades c/u"/>
    <n v="300"/>
    <n v="10"/>
    <x v="5"/>
    <x v="3"/>
    <x v="4"/>
    <x v="2"/>
    <x v="23"/>
  </r>
  <r>
    <x v="172"/>
    <s v="RAMIRO FLORES SALAS"/>
    <s v="Director Técnico"/>
    <s v="SIKUANY S.A.S"/>
    <s v="830512772-6"/>
    <s v="sikuanyltda@gmail.com"/>
    <s v="Calle 33 A No.38-41 Barzal Alto"/>
    <x v="6"/>
    <s v="VILLAVICENCIO"/>
    <s v=" SOLICITUD COMPRA"/>
    <n v="202124100625352"/>
    <d v="2021-04-13T00:00:00"/>
    <x v="3"/>
    <n v="202124110608051"/>
    <d v="2021-04-20T00:00:00"/>
    <s v="ABR"/>
    <n v="-7"/>
    <s v="AUTORIZADO"/>
    <m/>
    <s v="No. 564"/>
    <d v="2017-05-30T00:00:00"/>
    <s v="Fenobarbital 100 mg Tableta_cajas X 30 unidades c/u"/>
    <n v="24000"/>
    <n v="800"/>
    <x v="5"/>
    <x v="7"/>
    <x v="4"/>
    <x v="2"/>
    <x v="128"/>
  </r>
  <r>
    <x v="172"/>
    <s v="RAMIRO FLORES SALAS"/>
    <s v="Director Técnico"/>
    <s v="SIKUANY S.A.S"/>
    <s v="830512772-6"/>
    <s v="sikuanyltda@gmail.com"/>
    <s v="Calle 33 A No.38-41 Barzal Alto"/>
    <x v="6"/>
    <s v="VILLAVICENCIO"/>
    <s v=" SOLICITUD COMPRA"/>
    <n v="202124100625352"/>
    <d v="2021-04-13T00:00:00"/>
    <x v="3"/>
    <n v="202124110608051"/>
    <d v="2021-04-20T00:00:00"/>
    <s v="ABR"/>
    <n v="-7"/>
    <s v="AUTORIZADO"/>
    <m/>
    <s v="No. 564"/>
    <d v="2017-05-30T00:00:00"/>
    <s v="Fenobarbital 50 mg Tableta_cajas X 30 unidades c/u"/>
    <n v="300"/>
    <n v="10"/>
    <x v="5"/>
    <x v="12"/>
    <x v="4"/>
    <x v="2"/>
    <x v="23"/>
  </r>
  <r>
    <x v="172"/>
    <s v="RAMIRO FLORES SALAS"/>
    <s v="Director Técnico"/>
    <s v="SIKUANY S.A.S"/>
    <s v="830512772-6"/>
    <s v="sikuanyltda@gmail.com"/>
    <s v="Calle 33 A No.38-41 Barzal Alto"/>
    <x v="6"/>
    <s v="VILLAVICENCIO"/>
    <s v=" SOLICITUD COMPRA"/>
    <n v="202124100625352"/>
    <d v="2021-04-13T00:00:00"/>
    <x v="3"/>
    <n v="202124110608051"/>
    <d v="2021-04-20T00:00:00"/>
    <s v="ABR"/>
    <n v="-7"/>
    <s v="AUTORIZADO"/>
    <m/>
    <s v="No. 564"/>
    <d v="2017-05-30T00:00:00"/>
    <s v="Hidromorfona HCl 2,5 mg Tableta_cajas X 20 unidades c/u"/>
    <n v="4000"/>
    <n v="200"/>
    <x v="1"/>
    <x v="9"/>
    <x v="4"/>
    <x v="4"/>
    <x v="129"/>
  </r>
  <r>
    <x v="172"/>
    <s v="RAMIRO FLORES SALAS"/>
    <s v="Director Técnico"/>
    <s v="SIKUANY S.A.S"/>
    <s v="830512772-6"/>
    <s v="sikuanyltda@gmail.com"/>
    <s v="Calle 33 A No.38-41 Barzal Alto"/>
    <x v="6"/>
    <s v="VILLAVICENCIO"/>
    <s v=" SOLICITUD COMPRA"/>
    <n v="202124100625352"/>
    <d v="2021-04-13T00:00:00"/>
    <x v="3"/>
    <n v="202124110608051"/>
    <d v="2021-04-20T00:00:00"/>
    <s v="ABR"/>
    <n v="-7"/>
    <s v="AUTORIZADO"/>
    <m/>
    <s v="No. 564"/>
    <d v="2017-05-30T00:00:00"/>
    <s v="Metadona HCl 10 mg Tableta_Cajas X 30 unidades c/u"/>
    <n v="240"/>
    <n v="8"/>
    <x v="2"/>
    <x v="3"/>
    <x v="2"/>
    <x v="2"/>
    <x v="96"/>
  </r>
  <r>
    <x v="172"/>
    <s v="RAMIRO FLORES SALAS"/>
    <s v="Director Técnico"/>
    <s v="SIKUANY S.A.S"/>
    <s v="830512772-6"/>
    <s v="sikuanyltda@gmail.com"/>
    <s v="Calle 33 A No.38-41 Barzal Alto"/>
    <x v="6"/>
    <s v="VILLAVICENCIO"/>
    <s v=" SOLICITUD COMPRA"/>
    <n v="202124100625352"/>
    <d v="2021-04-13T00:00:00"/>
    <x v="3"/>
    <n v="202124110608051"/>
    <d v="2021-04-20T00:00:00"/>
    <s v="ABR"/>
    <n v="-7"/>
    <s v="AUTORIZADO"/>
    <m/>
    <s v="No. 564"/>
    <d v="2017-05-30T00:00:00"/>
    <s v="Morfina HCl 0,03 Solución Oral_frascos X 30 mL c/u"/>
    <n v="10"/>
    <n v="10"/>
    <x v="0"/>
    <x v="1"/>
    <x v="1"/>
    <x v="1"/>
    <x v="47"/>
  </r>
  <r>
    <x v="173"/>
    <s v="FERNANDO MEZA MARTINEZ"/>
    <s v="Coordinador U.F.A.T"/>
    <s v="E.S.E HOSPITAL JOSE MARIA HERNANDEZ"/>
    <s v="891200679-1"/>
    <s v="bnrojas1315@gmail.com"/>
    <s v="Calle 14 No. 7 -26"/>
    <x v="5"/>
    <s v="MOCOA"/>
    <s v="Cotización del medicamento de control especial"/>
    <n v="202124100625822"/>
    <d v="2021-04-13T00:00:00"/>
    <x v="3"/>
    <n v="202124110627221"/>
    <d v="2021-04-22T00:00:00"/>
    <s v="ABR"/>
    <n v="-9"/>
    <s v="AUTORIZADO"/>
    <m/>
    <s v="No. 357"/>
    <d v="2017-11-22T00:00:00"/>
    <s v="Fenobarbital 0,4% Solución Oral_frascos X 120 mL c/u"/>
    <n v="4"/>
    <n v="4"/>
    <x v="5"/>
    <x v="11"/>
    <x v="1"/>
    <x v="6"/>
    <x v="115"/>
  </r>
  <r>
    <x v="174"/>
    <s v="ESTEBAN LÓPEZ BURBANO"/>
    <s v="Director Técnico"/>
    <s v="E.S.E HOSPITAL LOCAL"/>
    <s v="846000253-6"/>
    <s v="farmacia@esehospitallocal.gov.co"/>
    <s v="Carrera 29 #10-10"/>
    <x v="5"/>
    <s v="PUERTO ASIS"/>
    <s v="Compra MME"/>
    <n v="202124100625872"/>
    <d v="2021-04-13T00:00:00"/>
    <x v="3"/>
    <n v="202124110627441"/>
    <d v="2021-04-22T00:00:00"/>
    <s v="ABR"/>
    <n v="-9"/>
    <s v="AUTORIZADO"/>
    <m/>
    <s v="No.007"/>
    <d v="2021-01-20T00:00:00"/>
    <s v="Morfina HCl 10 mg/mL Solución Inyectable ampolla por 1mL"/>
    <n v="100"/>
    <n v="10"/>
    <x v="0"/>
    <x v="0"/>
    <x v="0"/>
    <x v="0"/>
    <x v="10"/>
  </r>
  <r>
    <x v="174"/>
    <s v="ESTEBAN LÓPEZ BURBANO"/>
    <s v="Director Técnico"/>
    <s v="E.S.E HOSPITAL LOCAL"/>
    <s v="846000253-6"/>
    <s v="farmacia@esehospitallocal.gov.co"/>
    <s v="Carrera 29 #10-10"/>
    <x v="5"/>
    <s v="PUERTO ASIS"/>
    <s v="Compra MME"/>
    <n v="202124100625872"/>
    <d v="2021-04-13T00:00:00"/>
    <x v="3"/>
    <n v="202124110627441"/>
    <d v="2021-04-22T00:00:00"/>
    <s v="ABR"/>
    <n v="-9"/>
    <s v="AUTORIZADO"/>
    <m/>
    <s v="No.007"/>
    <d v="2021-01-20T00:00:00"/>
    <s v="Fenobarbital 0,4% Solución Oral_frascos X 120 mL c/u"/>
    <n v="10"/>
    <n v="10"/>
    <x v="5"/>
    <x v="11"/>
    <x v="1"/>
    <x v="6"/>
    <x v="69"/>
  </r>
  <r>
    <x v="174"/>
    <s v="ESTEBAN LÓPEZ BURBANO"/>
    <s v="Director Técnico"/>
    <s v="E.S.E HOSPITAL LOCAL"/>
    <s v="846000253-6"/>
    <s v="farmacia@esehospitallocal.gov.co"/>
    <s v="Carrera 29 #10-10"/>
    <x v="5"/>
    <s v="PUERTO ASIS"/>
    <s v="Compra MME"/>
    <n v="202124100625872"/>
    <d v="2021-04-13T00:00:00"/>
    <x v="3"/>
    <n v="202124110627441"/>
    <d v="2021-04-22T00:00:00"/>
    <s v="ABR"/>
    <n v="-9"/>
    <s v="AUTORIZADO"/>
    <m/>
    <s v="No.007"/>
    <d v="2021-01-20T00:00:00"/>
    <s v="Fenobarbital 100 mg Tableta_cajas X 30 unidades c/u"/>
    <n v="9990"/>
    <n v="333"/>
    <x v="5"/>
    <x v="7"/>
    <x v="4"/>
    <x v="2"/>
    <x v="130"/>
  </r>
  <r>
    <x v="175"/>
    <s v="JOHN JAIME ZAPATA FERIA"/>
    <s v="Director Técnico"/>
    <s v="SUMINISTROS Y DOTACIONES DE COLOMBIA S.A"/>
    <s v="802000608-7"/>
    <s v="johnjaimezapata01@gmail.com"/>
    <s v="Calle 15 No 7-95"/>
    <x v="14"/>
    <s v="YOPAL"/>
    <s v="Cotización de MCE Monopolio de l estado"/>
    <n v="202124100626002"/>
    <d v="2021-04-13T00:00:00"/>
    <x v="3"/>
    <n v="202124110638541"/>
    <d v="2021-04-26T00:00:00"/>
    <s v="ABR"/>
    <n v="-13"/>
    <s v="NEGADO"/>
    <s v="EL FRE CUENTA CON UNIDADES DISPONIBES DE ESTOS MEDICAMENTOS"/>
    <s v="No. 28"/>
    <d v="2021-01-27T00:00:00"/>
    <s v="Fenobarbital Sódico 200 mg/mL Solución Inyectable_caja X 10 ampollas c/u"/>
    <n v="0"/>
    <n v="0"/>
    <x v="3"/>
    <x v="5"/>
    <x v="0"/>
    <x v="0"/>
    <x v="0"/>
  </r>
  <r>
    <x v="175"/>
    <s v="JOHN JAIME ZAPATA FERIA"/>
    <s v="Director Técnico"/>
    <s v="SUMINISTROS Y DOTACIONES DE COLOMBIA S.A"/>
    <s v="802000608-7"/>
    <s v="johnjaimezapata01@gmail.com"/>
    <s v="Calle 15 No 7-95"/>
    <x v="14"/>
    <s v="YOPAL"/>
    <s v="Cotización de MCE Monopolio de l estado"/>
    <n v="202124100626002"/>
    <d v="2021-04-13T00:00:00"/>
    <x v="3"/>
    <n v="202124110638541"/>
    <d v="2021-04-26T00:00:00"/>
    <s v="ABR"/>
    <n v="-13"/>
    <s v="NEGADO"/>
    <s v="EL FNE NO CUENTA CON UNIDADES DISPONIBLES PARA DISTRIBUIR"/>
    <s v="No. 28"/>
    <d v="2021-01-27T00:00:00"/>
    <s v="Hidromorfona HCl 2 mg/mL Solución Inyectable_cajas X 10 unidades c/u"/>
    <n v="0"/>
    <n v="0"/>
    <x v="1"/>
    <x v="2"/>
    <x v="0"/>
    <x v="0"/>
    <x v="0"/>
  </r>
  <r>
    <x v="175"/>
    <s v="JOHN JAIME ZAPATA FERIA"/>
    <s v="Director Técnico"/>
    <s v="SUMINISTROS Y DOTACIONES DE COLOMBIA S.A"/>
    <s v="802000608-7"/>
    <s v="johnjaimezapata01@gmail.com"/>
    <s v="Calle 15 No 7-95"/>
    <x v="14"/>
    <s v="YOPAL"/>
    <s v="Cotización de MCE Monopolio de l estado"/>
    <n v="202124100626002"/>
    <d v="2021-04-13T00:00:00"/>
    <x v="3"/>
    <n v="202124110638541"/>
    <d v="2021-04-26T00:00:00"/>
    <s v="ABR"/>
    <n v="-13"/>
    <s v="NEGADO"/>
    <s v="EL FRE CUENTA CON UNIDADES DISPONIBES DE ESTOS MEDICAMENTOS"/>
    <s v="No. 28"/>
    <d v="2021-01-27T00:00:00"/>
    <s v="Morfina HCl 10 mg/mL Solución Inyectable ampolla por 1mL"/>
    <n v="0"/>
    <n v="0"/>
    <x v="0"/>
    <x v="0"/>
    <x v="0"/>
    <x v="0"/>
    <x v="0"/>
  </r>
  <r>
    <x v="176"/>
    <s v="MANUEL GONZALEZ"/>
    <s v="Analista de Compras"/>
    <s v="JERSALUD S.A.S"/>
    <s v="900622551-0"/>
    <s v="Compras@jersalud.com"/>
    <s v="Calle 40 No. 23-99"/>
    <x v="14"/>
    <s v="YOPAL"/>
    <s v="SOLICITUD COTIZACIÓN PRODUCTO JERSALUD YOPAL"/>
    <n v="202124100631702"/>
    <d v="2021-04-14T00:00:00"/>
    <x v="3"/>
    <n v="202124110638651"/>
    <d v="2021-04-26T00:00:00"/>
    <s v="ABR"/>
    <n v="-12"/>
    <s v="AUTORIZADO"/>
    <m/>
    <s v="No. 1328"/>
    <d v="2020-12-04T00:00:00"/>
    <s v="Metilfenidato HCl 10 mg Comprimido_cajas X 30 unidades c/u"/>
    <n v="180"/>
    <n v="6"/>
    <x v="4"/>
    <x v="3"/>
    <x v="3"/>
    <x v="2"/>
    <x v="53"/>
  </r>
  <r>
    <x v="176"/>
    <s v="MANUEL GONZALEZ"/>
    <s v="Analista de Compras"/>
    <s v="JERSALUD S.A.S"/>
    <s v="900622551-0"/>
    <s v="Compras@jersalud.com"/>
    <s v="Calle 40 No. 23-99"/>
    <x v="14"/>
    <s v="YOPAL"/>
    <s v="SOLICITUD COTIZACIÓN PRODUCTO JERSALUD YOPAL"/>
    <n v="202124100631702"/>
    <d v="2021-04-14T00:00:00"/>
    <x v="3"/>
    <n v="202124110638651"/>
    <d v="2021-04-26T00:00:00"/>
    <s v="ABR"/>
    <n v="-12"/>
    <s v="AUTORIZADO"/>
    <m/>
    <s v="No. 1328"/>
    <d v="2020-12-04T00:00:00"/>
    <s v="Metilfenidato HCl 36 mg Tableta de Liberación Prolongada_frasco X 30 unidades c/u"/>
    <n v="60"/>
    <n v="2"/>
    <x v="4"/>
    <x v="14"/>
    <x v="7"/>
    <x v="10"/>
    <x v="131"/>
  </r>
  <r>
    <x v="177"/>
    <s v="SANDRA YANETH MAYORGA"/>
    <s v="Regente de farmacia"/>
    <s v="MI IPS LLANOS - PARQUE"/>
    <s v="NO DISPONIBLE"/>
    <s v="farmaciaipselparque@miips.com.co"/>
    <s v="Carrera 40 No. 32-06"/>
    <x v="6"/>
    <s v="VILLAVICENCIO"/>
    <s v="COMPRA MEDICAMENTOS MONOPOLIO DEL ESTADO"/>
    <n v="202124100633722"/>
    <d v="2021-04-14T00:00:00"/>
    <x v="3"/>
    <n v="202124110638661"/>
    <d v="2021-04-26T00:00:00"/>
    <s v="ABR"/>
    <n v="-12"/>
    <s v="NEGADO"/>
    <s v="EL SOLICITANTE NO ALLEGA DOCUMENTOS"/>
    <s v="NO DISPONIBLE"/>
    <s v="NO DISPONIBLE"/>
    <m/>
    <n v="0"/>
    <s v="NO DISPONIBLE"/>
    <x v="8"/>
    <x v="15"/>
    <x v="8"/>
    <x v="11"/>
    <x v="132"/>
  </r>
  <r>
    <x v="178"/>
    <s v="SARA MILENA RODIRGUEZ"/>
    <s v="Regente de farmacia"/>
    <s v="FUNDACIÓN CARDIOVASCULAR DE COLOMBIA"/>
    <s v="890212568-0"/>
    <s v="sararodriguez@fcv.org"/>
    <s v="Calle 155A No. 23-58"/>
    <x v="8"/>
    <s v="FLORIDABLANCA"/>
    <s v="cotizacion medicamento de Control Especial"/>
    <n v="202124100642302"/>
    <d v="2021-04-15T00:00:00"/>
    <x v="3"/>
    <n v="202124110638691"/>
    <d v="2021-04-26T00:00:00"/>
    <s v="ABR"/>
    <n v="-11"/>
    <s v="AUTORIZADO"/>
    <m/>
    <s v="No. 16233"/>
    <d v="2018-10-08T00:00:00"/>
    <s v="Morfina HCl 10 mg/mL Solución Inyectable ampolla por 1mL"/>
    <n v="100"/>
    <n v="10"/>
    <x v="0"/>
    <x v="0"/>
    <x v="0"/>
    <x v="0"/>
    <x v="10"/>
  </r>
  <r>
    <x v="179"/>
    <s v="LUISA FERNANDA GARCIA"/>
    <s v="Representante Legal"/>
    <s v="CORPORACION MI IPS LLANOS ORIENTALES"/>
    <s v="822006818-7"/>
    <s v=" farmaciaipselparque@miips.com.co"/>
    <s v="Carrera 40 No. 32-06"/>
    <x v="6"/>
    <s v="VILLAVICENCIO"/>
    <s v="SOLICITUD DE COTIZACION DE COMPRA DE MEDICAMENTO DEL ESTADO"/>
    <n v="202124100642392"/>
    <d v="2021-04-15T00:00:00"/>
    <x v="3"/>
    <n v="202124110638731"/>
    <d v="2021-04-26T00:00:00"/>
    <s v="ABR"/>
    <n v="-11"/>
    <s v="AUTORIZADO"/>
    <m/>
    <s v="No. 044"/>
    <d v="2021-12-26T00:00:00"/>
    <s v="Fenobarbital 50 mg Tableta_cajas X 30 unidades c/u"/>
    <n v="1200"/>
    <n v="40"/>
    <x v="5"/>
    <x v="12"/>
    <x v="4"/>
    <x v="2"/>
    <x v="33"/>
  </r>
  <r>
    <x v="179"/>
    <s v="LUISA FERNANDA GARCIA"/>
    <s v="Representante Legal"/>
    <s v="CORPORACION MI IPS LLANOS ORIENTALES"/>
    <s v="822006818-7"/>
    <s v=" farmaciaipselparque@miips.com.co"/>
    <s v="Carrera 40 No. 32-06"/>
    <x v="6"/>
    <s v="VILLAVICENCIO"/>
    <s v="SOLICITUD DE COTIZACION DE COMPRA DE MEDICAMENTO DEL ESTADO"/>
    <n v="202124100642392"/>
    <d v="2021-04-15T00:00:00"/>
    <x v="3"/>
    <n v="202124110638731"/>
    <d v="2021-04-26T00:00:00"/>
    <s v="ABR"/>
    <n v="-11"/>
    <s v="AUTORIZADO"/>
    <m/>
    <s v="No. 044"/>
    <d v="2021-12-26T00:00:00"/>
    <s v="Fenobarbital 100 mg Tableta_cajas X 30 unidades c/u"/>
    <n v="1200"/>
    <n v="40"/>
    <x v="5"/>
    <x v="7"/>
    <x v="4"/>
    <x v="2"/>
    <x v="33"/>
  </r>
  <r>
    <x v="179"/>
    <s v="LUISA FERNANDA GARCIA"/>
    <s v="Representante Legal"/>
    <s v="CORPORACION MI IPS LLANOS ORIENTALES"/>
    <s v="822006818-7"/>
    <s v=" farmaciaipselparque@miips.com.co"/>
    <s v="Carrera 40 No. 32-06"/>
    <x v="6"/>
    <s v="VILLAVICENCIO"/>
    <s v="SOLICITUD DE COTIZACION DE COMPRA DE MEDICAMENTO DEL ESTADO"/>
    <n v="202124100642392"/>
    <d v="2021-04-15T00:00:00"/>
    <x v="3"/>
    <n v="202124110638731"/>
    <d v="2021-04-26T00:00:00"/>
    <s v="ABR"/>
    <n v="-11"/>
    <s v="AUTORIZADO"/>
    <m/>
    <s v="No. 044"/>
    <d v="2021-12-26T00:00:00"/>
    <s v="Morfina HCl 0,03 Solución Oral_frascos X 30 mL c/u"/>
    <n v="10"/>
    <n v="10"/>
    <x v="0"/>
    <x v="1"/>
    <x v="1"/>
    <x v="1"/>
    <x v="47"/>
  </r>
  <r>
    <x v="179"/>
    <s v="LUISA FERNANDA GARCIA"/>
    <s v="Representante Legal"/>
    <s v="CORPORACION MI IPS LLANOS ORIENTALES"/>
    <s v="822006818-7"/>
    <s v=" farmaciaipselparque@miips.com.co"/>
    <s v="Carrera 40 No. 32-06"/>
    <x v="6"/>
    <s v="VILLAVICENCIO"/>
    <s v="SOLICITUD DE COTIZACION DE COMPRA DE MEDICAMENTO DEL ESTADO"/>
    <n v="202124100642392"/>
    <d v="2021-04-15T00:00:00"/>
    <x v="3"/>
    <n v="202124110638731"/>
    <d v="2021-04-26T00:00:00"/>
    <s v="ABR"/>
    <n v="-11"/>
    <s v="AUTORIZADO"/>
    <m/>
    <s v="No. 044"/>
    <d v="2021-12-26T00:00:00"/>
    <s v="Morfina HCl 10 mg/mL Solución Inyectable ampolla por 1mL"/>
    <n v="20"/>
    <n v="2"/>
    <x v="0"/>
    <x v="0"/>
    <x v="0"/>
    <x v="0"/>
    <x v="5"/>
  </r>
  <r>
    <x v="179"/>
    <s v="LUISA FERNANDA GARCIA"/>
    <s v="Representante Legal"/>
    <s v="CORPORACION MI IPS LLANOS ORIENTALES"/>
    <s v="822006818-7"/>
    <s v=" farmaciaipselparque@miips.com.co"/>
    <s v="Carrera 40 No. 32-06"/>
    <x v="6"/>
    <s v="VILLAVICENCIO"/>
    <s v="SOLICITUD DE COTIZACION DE COMPRA DE MEDICAMENTO DEL ESTADO"/>
    <n v="202124100642392"/>
    <d v="2021-04-15T00:00:00"/>
    <x v="3"/>
    <n v="202124110638731"/>
    <d v="2021-04-26T00:00:00"/>
    <s v="ABR"/>
    <n v="-11"/>
    <s v="AUTORIZADO"/>
    <m/>
    <s v="No. 044"/>
    <d v="2021-12-26T00:00:00"/>
    <s v="Metilfenidato HCl 10 mg Comprimido_cajas X 30 unidades c/u"/>
    <n v="900"/>
    <n v="30"/>
    <x v="4"/>
    <x v="3"/>
    <x v="3"/>
    <x v="2"/>
    <x v="56"/>
  </r>
  <r>
    <x v="179"/>
    <s v="LUISA FERNANDA GARCIA"/>
    <s v="Representante Legal"/>
    <s v="CORPORACION MI IPS LLANOS ORIENTALES"/>
    <s v="822006818-7"/>
    <s v=" farmaciaipselparque@miips.com.co"/>
    <s v="Carrera 40 No. 32-06"/>
    <x v="6"/>
    <s v="VILLAVICENCIO"/>
    <s v="SOLICITUD DE COTIZACION DE COMPRA DE MEDICAMENTO DEL ESTADO"/>
    <n v="202124100642392"/>
    <d v="2021-04-15T00:00:00"/>
    <x v="3"/>
    <n v="202124110638731"/>
    <d v="2021-04-26T00:00:00"/>
    <s v="ABR"/>
    <n v="-11"/>
    <s v="AUTORIZADO"/>
    <m/>
    <s v="No. 044"/>
    <d v="2021-12-26T00:00:00"/>
    <s v="Fenobarbital 0,4% Solución Oral_frascos X 120 mL c/u"/>
    <n v="3"/>
    <n v="3"/>
    <x v="5"/>
    <x v="11"/>
    <x v="1"/>
    <x v="6"/>
    <x v="121"/>
  </r>
  <r>
    <x v="180"/>
    <s v="MAYRA GONZÁLES REYES"/>
    <s v="Quimico Farmacéutico"/>
    <s v="UNIDAD DE CUIDADOS INTENSIVOS NEONATAL DEL BAJO SINU"/>
    <s v="900054563-1"/>
    <s v="farmaciaucinbs@gmail.com"/>
    <s v="NO DISPONIBLE"/>
    <x v="1"/>
    <s v="LORICA"/>
    <s v="DOCUMENTOS PARA LA COMPRA DE MORFINA"/>
    <n v="202124100646472"/>
    <d v="2021-04-15T00:00:00"/>
    <x v="3"/>
    <n v="202124110638741"/>
    <d v="2021-04-26T00:00:00"/>
    <s v="ABR"/>
    <n v="-11"/>
    <s v="NEGADO"/>
    <s v="El solicitante no allego la resolución completa y no es posible confirmar la inscripion"/>
    <s v="No. 287"/>
    <s v="NO DISPONIBLE"/>
    <s v="Morfina HCl 10 mg/mL Solución Inyectable ampolla por 1mL"/>
    <n v="0"/>
    <n v="0"/>
    <x v="0"/>
    <x v="0"/>
    <x v="0"/>
    <x v="0"/>
    <x v="0"/>
  </r>
  <r>
    <x v="181"/>
    <s v="LIDIA ESTHER NAVARRO CHIQUILLO"/>
    <s v="Director Tecnico"/>
    <s v="LOGIFARMA S.A.S RIOHACHA"/>
    <s v="900073223-3"/>
    <s v="coordinadorguajira@logifarma.co"/>
    <s v="Calle 11 N° 8 - 61 Local  1"/>
    <x v="11"/>
    <m/>
    <s v="Solicitud autorización de compra medicamentos Monopolio del Estado para Logifarma Riohacha Al Fondo Nacional De Estupefacientes"/>
    <n v="202124100654852"/>
    <d v="2021-04-16T00:00:00"/>
    <x v="3"/>
    <n v="202124110638781"/>
    <d v="2021-04-26T00:00:00"/>
    <s v="ABR"/>
    <n v="-10"/>
    <s v="AUTORIZADO"/>
    <m/>
    <s v="No. 055"/>
    <d v="2021-01-22T00:00:00"/>
    <s v="Fenobarbital 100 mg Tableta_cajas X 30 unidades c/u"/>
    <n v="660"/>
    <n v="22"/>
    <x v="5"/>
    <x v="7"/>
    <x v="4"/>
    <x v="2"/>
    <x v="133"/>
  </r>
  <r>
    <x v="182"/>
    <s v="ELVER RUIDIAZ TERRAZA"/>
    <s v="Director Tecnico"/>
    <s v="SUPLYMEDICAL S.A.S"/>
    <s v="900397985-8"/>
    <s v="suplymedicalsas@gmail.com"/>
    <s v="Carrera 21 No. 21-153 Local 101 CC Plaza Jardín"/>
    <x v="4"/>
    <s v="SANTA MARTA"/>
    <s v="COTIZACION Y AUTORIZACION DE COMPRA"/>
    <n v="202124100791842"/>
    <d v="2021-05-05T00:00:00"/>
    <x v="4"/>
    <n v="202124110704021"/>
    <d v="2021-05-10T00:00:00"/>
    <s v="MAY"/>
    <n v="-5"/>
    <s v="AUTORIZADO"/>
    <m/>
    <s v="No. 3259"/>
    <d v="2018-10-03T00:00:00"/>
    <s v="Fenobarbital 100 mg Tableta_cajas X 30 unidades c/u"/>
    <n v="3600"/>
    <n v="120"/>
    <x v="5"/>
    <x v="7"/>
    <x v="4"/>
    <x v="2"/>
    <x v="80"/>
  </r>
  <r>
    <x v="182"/>
    <s v="ELVER RUIDIAZ TERRAZA"/>
    <s v="Director Tecnico"/>
    <s v="SUPLYMEDICAL S.A.S"/>
    <s v="900397985-8"/>
    <s v="suplymedicalsas@gmail.com"/>
    <s v="Carrera 21 No. 21-153 Local 101 CC Plaza Jardín"/>
    <x v="4"/>
    <s v="SANTA MARTA"/>
    <s v="COTIZACION Y AUTORIZACION DE COMPRA"/>
    <n v="202124100791842"/>
    <d v="2021-05-05T00:00:00"/>
    <x v="4"/>
    <n v="202124110704021"/>
    <d v="2021-05-10T00:00:00"/>
    <s v="MAY"/>
    <n v="-5"/>
    <s v="AUTORIZADO"/>
    <m/>
    <s v="No. 3259"/>
    <d v="2018-10-03T00:00:00"/>
    <s v="Metilfenidato HCl 10 mg Comprimido_cajas X 30 unidades c/u"/>
    <n v="300"/>
    <n v="10"/>
    <x v="4"/>
    <x v="3"/>
    <x v="3"/>
    <x v="2"/>
    <x v="23"/>
  </r>
  <r>
    <x v="182"/>
    <s v="ELVER RUIDIAZ TERRAZA"/>
    <s v="Director Tecnico"/>
    <s v="SUPLYMEDICAL S.A.S"/>
    <s v="900397985-8"/>
    <s v="suplymedicalsas@gmail.com"/>
    <s v="Carrera 21 No. 21-153 Local 101 CC Plaza Jardín"/>
    <x v="4"/>
    <s v="SANTA MARTA"/>
    <s v="COTIZACION Y AUTORIZACION DE COMPRA"/>
    <n v="202124100791842"/>
    <d v="2021-05-05T00:00:00"/>
    <x v="4"/>
    <n v="202124110704021"/>
    <d v="2021-05-10T00:00:00"/>
    <s v="MAY"/>
    <n v="-5"/>
    <s v="AUTORIZADO"/>
    <m/>
    <s v="No. 3259"/>
    <d v="2018-10-03T00:00:00"/>
    <s v="Morfina HCl 0,03 Solución Oral_frascos X 30 mL c/u"/>
    <n v="10"/>
    <n v="10"/>
    <x v="0"/>
    <x v="1"/>
    <x v="1"/>
    <x v="1"/>
    <x v="47"/>
  </r>
  <r>
    <x v="183"/>
    <s v="JULIETA PALACIO PINZON"/>
    <s v="Coordinadora"/>
    <s v="FRE CASANARE"/>
    <s v="NO DISPONIBLE"/>
    <s v="consumofrecasanare@gmail.com"/>
    <s v="NO DISPONIBLE"/>
    <x v="14"/>
    <s v="YOPAL"/>
    <s v="Solicitud adquisición de medicamentos."/>
    <n v="202124100790182"/>
    <d v="2021-05-05T00:00:00"/>
    <x v="4"/>
    <n v="202124110717151"/>
    <d v="2021-05-18T00:00:00"/>
    <s v="MAY"/>
    <n v="-13"/>
    <s v="NEGADO"/>
    <s v="Se informa el procedimiento a seguir para hacer compra directa."/>
    <s v="NO DISPONIBLE"/>
    <s v="NO DISPONIBLE"/>
    <s v="Fenobarbital 0,4% Solución Oral_frascos X 120 mL c/u"/>
    <n v="0"/>
    <n v="0"/>
    <x v="5"/>
    <x v="11"/>
    <x v="1"/>
    <x v="6"/>
    <x v="0"/>
  </r>
  <r>
    <x v="184"/>
    <s v="CLAUDIA MILENA MARTÍNEZ CAMPO"/>
    <s v="Representante Legal "/>
    <s v="SERVICIOS INTEGRALES DE SALUD DEL MAGDALENA S.A.S"/>
    <s v="900018045-5"/>
    <s v="serviciosintegrales_saludmagdale@yahoo.com"/>
    <s v="Carrera 19 No. 26B – 53 Barrio los naranjos"/>
    <x v="4"/>
    <s v="SANTA MARTA"/>
    <s v="AUTORIZACION PARA COMPRA DIRECTA - SISM SAS"/>
    <n v="202124100786122"/>
    <d v="2021-05-04T00:00:00"/>
    <x v="4"/>
    <n v="202124110716621"/>
    <d v="2021-05-10T00:00:00"/>
    <s v="MAY"/>
    <n v="-6"/>
    <s v="AUTORIZADO"/>
    <m/>
    <s v="No. 4125"/>
    <d v="2017-12-12T00:00:00"/>
    <s v="Fenobarbital 100 mg Tableta_cajas X 30 unidades c/u"/>
    <n v="18000"/>
    <n v="600"/>
    <x v="5"/>
    <x v="7"/>
    <x v="4"/>
    <x v="2"/>
    <x v="35"/>
  </r>
  <r>
    <x v="184"/>
    <s v="CLAUDIA MILENA MARTÍNEZ CAMPO"/>
    <s v="Representante legal"/>
    <s v="SERVICIOS INTEGRALES DE SALUD DEL MAGDALENA S.A.S"/>
    <s v="900018045-5"/>
    <s v="serviciosintegrales_saludmagdale@yahoo.com&gt;"/>
    <s v="Carrera 19 No. 26B – 53 Barrio los naranjos"/>
    <x v="4"/>
    <s v="SANTA MARTA"/>
    <s v="AUTORIZACION PARA COMPRA DIRECTA - SISM SAS"/>
    <n v="202124100786122"/>
    <d v="2021-05-04T00:00:00"/>
    <x v="4"/>
    <n v="202124110716621"/>
    <d v="2021-05-10T00:00:00"/>
    <s v="MAY"/>
    <n v="-6"/>
    <s v="AUTORIZADO"/>
    <m/>
    <s v="No. 4125"/>
    <d v="2017-12-12T00:00:00"/>
    <s v="Morfina HCl 0,03 Solución Oral_frascos X 30 mL c/u"/>
    <n v="30"/>
    <n v="30"/>
    <x v="0"/>
    <x v="1"/>
    <x v="1"/>
    <x v="1"/>
    <x v="43"/>
  </r>
  <r>
    <x v="185"/>
    <s v="OVEIDA PARRA NOVOA"/>
    <s v="Gerente E.S.E"/>
    <s v="E.S.E HOSPITAL SAN JOSE DEL GUAVIARE"/>
    <s v="832001966-2"/>
    <s v="almacensuministros@esehospitalguaviare.gov.co"/>
    <s v="Calle 12 Carrera 20 esquina Barrio La Esperanza "/>
    <x v="10"/>
    <s v="SAN JOSE DEL GUAVIARE"/>
    <s v="SOLICITUD DE COMPRA DIRECTA DE MEDICAMENTOS DE CONTROL ESPECIAL"/>
    <n v="202124100785832"/>
    <d v="2021-05-04T00:00:00"/>
    <x v="4"/>
    <n v="202124110717231"/>
    <d v="2021-05-10T00:00:00"/>
    <s v="MAY"/>
    <n v="-6"/>
    <s v="AUTORIZADO"/>
    <m/>
    <s v="No. 359"/>
    <d v="2020-10-27T00:00:00"/>
    <s v="Morfina HCl 10 mg/mL Solución Inyectable ampolla por 1mL"/>
    <n v="300"/>
    <n v="30"/>
    <x v="0"/>
    <x v="0"/>
    <x v="0"/>
    <x v="0"/>
    <x v="54"/>
  </r>
  <r>
    <x v="186"/>
    <s v="ZAMIRA COGOLLO CORDERO"/>
    <s v="Quimico Farmacéutico"/>
    <s v="INSTITUTO MEDICO DE ALTA TECNOLOGIA S.A.S"/>
    <s v="901085352-0"/>
    <s v="suministros02@imatsas.com"/>
    <s v="Calle 72 No. 6A-87"/>
    <x v="1"/>
    <s v="MONTERIA"/>
    <s v="SOLICITUD COMPRA DE MEDICAMENTOS 04-05-2021 ZONA FRANCA IMAT SAS"/>
    <n v="202124100784112"/>
    <d v="2021-05-04T00:00:00"/>
    <x v="4"/>
    <n v="202124110704161"/>
    <d v="2021-05-06T00:00:00"/>
    <s v="MAY"/>
    <n v="-2"/>
    <s v="NEGADO"/>
    <s v="No se adjunta la resolución de Inscripción vigente ante el Fondo Rotatorio de Estupefacientes del Departamento."/>
    <s v="NO DISPONIBLE"/>
    <s v="No DISPONIBLE"/>
    <s v="Morfina HCl 10 mg/mL Solución Inyectable ampolla por 1mL"/>
    <n v="0"/>
    <n v="0"/>
    <x v="0"/>
    <x v="0"/>
    <x v="0"/>
    <x v="0"/>
    <x v="0"/>
  </r>
  <r>
    <x v="186"/>
    <s v="ZAMIRA COGOLLO CORDERO"/>
    <s v="Quimico Farmacéutico"/>
    <s v="INSTITUTO MEDICO DE ALTA TECNOLOGIA S.A.S"/>
    <s v="901085352-0"/>
    <s v="suministros02@imatsas.com"/>
    <s v="Calle 72 No. 6A-87"/>
    <x v="1"/>
    <s v="MONTERIA"/>
    <s v="SOLICITUD COMPRA DE MEDICAMENTOS 04-05-2021 ZONA FRANCA IMAT SAS"/>
    <n v="202124100784112"/>
    <d v="2021-05-04T00:00:00"/>
    <x v="4"/>
    <n v="202124110704161"/>
    <d v="2021-05-06T00:00:00"/>
    <s v="MAY"/>
    <n v="-2"/>
    <s v="NEGADO"/>
    <s v="No se adjunta la resolución de Inscripción vigente ante el Fondo Rotatorio de Estupefacientes del Departamento."/>
    <s v="NO DISPONIBLE"/>
    <s v="NO DISPONIBLE"/>
    <s v="Hidromorfona HCl 2 mg/mL Solución Inyectable_cajas X 10 unidades c/u"/>
    <n v="0"/>
    <n v="0"/>
    <x v="1"/>
    <x v="2"/>
    <x v="0"/>
    <x v="0"/>
    <x v="0"/>
  </r>
  <r>
    <x v="186"/>
    <s v="ZAMIRA COGOLLO CORDERO"/>
    <s v="Quimico Farmacéutico"/>
    <s v="INSTITUTO MEDICO DE ALTA TECNOLOGIA S.A.S"/>
    <s v="901085352-0"/>
    <s v="suministros02@imatsas.com"/>
    <s v="Calle 72 No. 6A-87"/>
    <x v="1"/>
    <s v="MONTERIA"/>
    <s v="SOLICITUD COMPRA DE MEDICAMENTOS 04-05-2021 ZONA FRANCA IMAT SAS"/>
    <n v="202124100784112"/>
    <d v="2021-05-04T00:00:00"/>
    <x v="4"/>
    <n v="202124110704161"/>
    <d v="2021-05-06T00:00:00"/>
    <s v="MAY"/>
    <n v="-2"/>
    <s v="NEGADO"/>
    <s v="No se adjunta la resolución de Inscripción vigente ante el Fondo Rotatorio de Estupefacientes del Departamento."/>
    <s v="NO DISPONIBLE"/>
    <s v="NO DISPONIBLE"/>
    <s v="Hidromorfona HCl 2,5 mg Tableta_cajas X 20 unidades c/u"/>
    <n v="0"/>
    <n v="0"/>
    <x v="1"/>
    <x v="9"/>
    <x v="4"/>
    <x v="4"/>
    <x v="0"/>
  </r>
  <r>
    <x v="187"/>
    <s v="LUISA FERNDANDA GARCIA"/>
    <s v="Representante Legal"/>
    <s v="CORPORACION MI IPS LLANOS ORIENTALES"/>
    <s v="822006818-7"/>
    <s v=" farmaciaipselparque@miips.com.co"/>
    <s v="Carrera 40 No. 32-06"/>
    <x v="6"/>
    <s v="VILLAVICENCIO"/>
    <s v="Tramite a la solicitud del Ciudadano SANDRA YANETH MAYORGA LOAIZA Radicado No. 202124100642392 Ministerio de Salud y Proteccion"/>
    <n v="202124100759282"/>
    <d v="2021-04-30T00:00:00"/>
    <x v="3"/>
    <n v="202124110717291"/>
    <d v="2021-05-10T00:00:00"/>
    <s v="ABR"/>
    <n v="-10"/>
    <s v="AUTORIZADO"/>
    <s v="Esta autorizacion reemplaza la solicitud 180  con radicado No 202124100642392"/>
    <s v="No. 044"/>
    <d v="2021-03-26T00:00:00"/>
    <s v="Fenobarbital 50 mg Tableta_cajas X 30 unidades c/u"/>
    <n v="1200"/>
    <n v="40"/>
    <x v="5"/>
    <x v="12"/>
    <x v="4"/>
    <x v="2"/>
    <x v="33"/>
  </r>
  <r>
    <x v="187"/>
    <s v="LUISA FERNDANDA GARCIA"/>
    <s v="Representante Legal"/>
    <s v="CORPORACION MI IPS LLANOS ORIENTALES"/>
    <s v="822006818-7"/>
    <s v=" farmaciaipselparque@miips.com.co"/>
    <s v="Carrera 40 No. 32-06"/>
    <x v="6"/>
    <s v="VILLAVICENCIO"/>
    <s v="Tramite a la solicitud del Ciudadano SANDRA YANETH MAYORGA LOAIZA Radicado No. 202124100642392 Ministerio de Salud y Proteccion"/>
    <n v="202124100759282"/>
    <d v="2021-04-30T00:00:00"/>
    <x v="3"/>
    <n v="202124110717291"/>
    <d v="2021-05-10T00:00:00"/>
    <s v="ABR"/>
    <n v="-10"/>
    <s v="AUTORIZADO"/>
    <s v="Esta autorizacion reemplaza la solicitud 180  con radicado No 202124100642392"/>
    <s v="No. 044"/>
    <d v="2021-03-26T00:00:00"/>
    <s v="Fenobarbital 100 mg Tableta_cajas X 30 unidades c/u"/>
    <n v="1200"/>
    <n v="40"/>
    <x v="5"/>
    <x v="7"/>
    <x v="4"/>
    <x v="2"/>
    <x v="33"/>
  </r>
  <r>
    <x v="187"/>
    <s v="LUISA FERNDANDA GARCIA"/>
    <s v="Representante Legal"/>
    <s v="CORPORACION MI IPS LLANOS ORIENTALES"/>
    <s v="822006818-7"/>
    <s v=" farmaciaipselparque@miips.com.co"/>
    <s v="Carrera 40 No. 32-06"/>
    <x v="6"/>
    <s v="VILLAVICENCIO"/>
    <s v="Tramite a la solicitud del Ciudadano SANDRA YANETH MAYORGA LOAIZA Radicado No. 202124100642392 Ministerio de Salud y Proteccion"/>
    <n v="202124100759282"/>
    <d v="2021-04-30T00:00:00"/>
    <x v="3"/>
    <n v="202124110717291"/>
    <d v="2021-05-10T00:00:00"/>
    <s v="ABR"/>
    <n v="-10"/>
    <s v="AUTORIZADO"/>
    <s v="Esta autorizacion reemplaza la solicitud 180  con radicado No 202124100642392"/>
    <s v="No. 044"/>
    <d v="2021-03-26T00:00:00"/>
    <s v="Morfina HCl 0,03 Solución Oral_frascos X 30 mL c/u"/>
    <n v="18"/>
    <n v="18"/>
    <x v="0"/>
    <x v="1"/>
    <x v="1"/>
    <x v="1"/>
    <x v="134"/>
  </r>
  <r>
    <x v="187"/>
    <s v="LUISA FERNDANDA GARCIA"/>
    <s v="Representante Legal"/>
    <s v="CORPORACION MI IPS LLANOS ORIENTALES"/>
    <s v="822006818-7"/>
    <s v=" farmaciaipselparque@miips.com.co"/>
    <s v="Carrera 40 No. 32-06"/>
    <x v="6"/>
    <s v="VILLAVICENCIO"/>
    <s v="Tramite a la solicitud del Ciudadano SANDRA YANETH MAYORGA LOAIZA Radicado No. 202124100642392 Ministerio de Salud y Proteccion"/>
    <n v="202124100759282"/>
    <d v="2021-04-30T00:00:00"/>
    <x v="3"/>
    <n v="202124110717291"/>
    <d v="2021-05-10T00:00:00"/>
    <s v="ABR"/>
    <n v="-10"/>
    <s v="NEGADO"/>
    <s v="Se ha priorizado el abastecimiento para los FREs"/>
    <s v="No. 044"/>
    <d v="2021-03-26T00:00:00"/>
    <s v="Morfina HCl 10 mg/mL Solución Inyectable ampolla por 1mL"/>
    <n v="0"/>
    <n v="0"/>
    <x v="0"/>
    <x v="0"/>
    <x v="0"/>
    <x v="0"/>
    <x v="0"/>
  </r>
  <r>
    <x v="187"/>
    <s v="LUISA FERNDANDA GARCIA"/>
    <s v="Representante Legal"/>
    <s v="CORPORACION MI IPS LLANOS ORIENTALES"/>
    <s v="822006818-7"/>
    <s v=" farmaciaipselparque@miips.com.co"/>
    <s v="Carrera 40 No. 32-06"/>
    <x v="6"/>
    <s v="VILLAVICENCIO"/>
    <s v="Tramite a la solicitud del Ciudadano SANDRA YANETH MAYORGA LOAIZA Radicado No. 202124100642392 Ministerio de Salud y Proteccion"/>
    <n v="202124100759282"/>
    <d v="2021-04-30T00:00:00"/>
    <x v="3"/>
    <n v="202124110717291"/>
    <d v="2021-05-10T00:00:00"/>
    <s v="ABR"/>
    <n v="-10"/>
    <s v="AUTORIZADO"/>
    <s v="Esta autorizacion reemplaza la solicitud 180  con radicado No 202124100642392"/>
    <s v="No. 044"/>
    <d v="2021-03-26T00:00:00"/>
    <s v="Metilfenidato HCl 10 mg Comprimido_cajas X 30 unidades c/u"/>
    <n v="900"/>
    <n v="30"/>
    <x v="4"/>
    <x v="3"/>
    <x v="3"/>
    <x v="2"/>
    <x v="56"/>
  </r>
  <r>
    <x v="187"/>
    <s v="LUISA FERNDANDA GARCIA"/>
    <s v="Representante Legal"/>
    <s v="CORPORACION MI IPS LLANOS ORIENTALES"/>
    <s v="822006818-7"/>
    <s v=" farmaciaipselparque@miips.com.co"/>
    <s v="Carrera 40 No. 32-06"/>
    <x v="6"/>
    <s v="VILLAVICENCIO"/>
    <s v="Tramite a la solicitud del Ciudadano SANDRA YANETH MAYORGA LOAIZA Radicado No. 202124100642392 Ministerio de Salud y Proteccion"/>
    <n v="202124100759282"/>
    <d v="2021-04-30T00:00:00"/>
    <x v="3"/>
    <n v="202124110717291"/>
    <d v="2021-05-10T00:00:00"/>
    <s v="ABR"/>
    <n v="-10"/>
    <s v="AUTORIZADO"/>
    <s v="Esta autorizacion reemplaza la solicitud 180  con radicado No 202124100642392"/>
    <s v="No. 044"/>
    <d v="2021-03-26T00:00:00"/>
    <s v="Fenobarbital 0,4% Solución Oral_frascos X 120 mL c/u"/>
    <n v="8"/>
    <n v="8"/>
    <x v="5"/>
    <x v="11"/>
    <x v="1"/>
    <x v="6"/>
    <x v="135"/>
  </r>
  <r>
    <x v="188"/>
    <s v="LEET ANTONIO MARQUEZ ESCORCIA"/>
    <s v="Quimico Farmacéutico"/>
    <s v="CLINICA GENERAL DEL NORTE S.A."/>
    <s v="890102768-5"/>
    <s v="quimicopesmag@clinicageneraldelnorte.com"/>
    <s v="Avenida Libertador No. 13-12"/>
    <x v="4"/>
    <s v="SANTA MARTA"/>
    <s v="COTIZACION COMPRA DIRECTA MORFINA SLN ORAL Y RITALINA 10 MG"/>
    <n v="202124100668352"/>
    <d v="2021-04-19T00:00:00"/>
    <x v="3"/>
    <n v="202124110704231"/>
    <d v="2021-05-06T00:00:00"/>
    <s v="ABR"/>
    <n v="-17"/>
    <s v="AUTORIZADO"/>
    <m/>
    <s v="No. 3792"/>
    <d v="2019-10-29T00:00:00"/>
    <s v="Morfina HCl 0,03 Solución Oral_frascos X 30 mL c/u"/>
    <n v="7"/>
    <n v="7"/>
    <x v="0"/>
    <x v="1"/>
    <x v="1"/>
    <x v="1"/>
    <x v="126"/>
  </r>
  <r>
    <x v="188"/>
    <s v="LEET ANTONIO MARQUEZ ESCORCIA"/>
    <s v="Quimico Farmacéutico"/>
    <s v="CLINICA GENERAL DEL NORTE S.A."/>
    <s v="890102768-5"/>
    <s v="quimicopesmag@clinicageneraldelnorte.com"/>
    <s v="Avenida Libertador No. 13-12"/>
    <x v="4"/>
    <s v="SANTA MARTA"/>
    <s v="COTIZACION COMPRA DIRECTA MORFINA SLN ORAL Y RITALINA 10 MG"/>
    <n v="202124100668352"/>
    <d v="2021-04-19T00:00:00"/>
    <x v="3"/>
    <n v="202124110704231"/>
    <d v="2021-05-06T00:00:00"/>
    <s v="ABR"/>
    <n v="-17"/>
    <s v="AUTORIZADO"/>
    <m/>
    <s v="No. 3792"/>
    <d v="2019-10-29T00:00:00"/>
    <s v="Metilfenidato HCl 10 mg Comprimido_cajas X 30 unidades c/u"/>
    <n v="60"/>
    <n v="2"/>
    <x v="4"/>
    <x v="3"/>
    <x v="3"/>
    <x v="2"/>
    <x v="90"/>
  </r>
  <r>
    <x v="189"/>
    <s v="FLOR MARÍA ALDANA GONZÁLEZ"/>
    <s v="Coordinadora Proceso Servicio Farmacéutico"/>
    <s v="Hospital Federico Lleras Acosta E.S.E."/>
    <s v="890700694-4"/>
    <s v="farmacia@hflleras.gov.co"/>
    <s v="Calle 33 N°4 A-50"/>
    <x v="0"/>
    <s v="IBAGUE"/>
    <m/>
    <n v="202124100671462"/>
    <d v="2021-04-19T00:00:00"/>
    <x v="3"/>
    <n v="202124110717311"/>
    <d v="2021-05-10T00:00:00"/>
    <s v="ABR"/>
    <n v="-21"/>
    <s v="NEGADO"/>
    <s v="Se niega la solicitud toda vez que el FRE departamental cuenta con los medicamentos.Se recomienda incluir el RUT"/>
    <s v="No. 3226"/>
    <d v="2018-10-19T00:00:00"/>
    <s v="Meperidina HCl 100 mg/2mL Solución Inyectable_cajas X 10 unidades c/u"/>
    <n v="0"/>
    <n v="0"/>
    <x v="6"/>
    <x v="8"/>
    <x v="0"/>
    <x v="3"/>
    <x v="0"/>
  </r>
  <r>
    <x v="189"/>
    <s v="FLOR MARÍA ALDANA GONZÁLEZ"/>
    <s v="Coordinadora Proceso Servicio Farmacéutico"/>
    <s v="Hospital Federico Lleras Acosta E.S.E."/>
    <s v="890700694-4"/>
    <s v="farmacia@hflleras.gov.co"/>
    <s v="Calle 33 N°4 A-50"/>
    <x v="0"/>
    <s v="IBAGUE"/>
    <m/>
    <n v="202124100671462"/>
    <d v="2021-04-19T00:00:00"/>
    <x v="3"/>
    <n v="202124110717311"/>
    <d v="2021-05-10T00:00:00"/>
    <s v="ABR"/>
    <n v="-21"/>
    <s v="NEGADO"/>
    <s v="Se niega la solicitud toda vez que el FRE departamental cuenta con los medicamentos.Se recomienda incluir el RUT"/>
    <s v="No. 3226"/>
    <d v="2018-10-19T00:00:00"/>
    <s v="Morfina HCl 10 mg/mL Solución Inyectable ampolla por 1mL"/>
    <n v="0"/>
    <n v="0"/>
    <x v="0"/>
    <x v="0"/>
    <x v="0"/>
    <x v="0"/>
    <x v="0"/>
  </r>
  <r>
    <x v="190"/>
    <s v="NATALIA JAIMES VELASCO"/>
    <s v="Regente Auxiliar de Compras de Medicamentos"/>
    <s v="FUNDACIÓN CARDIOVASCULAR DE COLOMBIA"/>
    <s v="890212568-0"/>
    <s v="silviatristancho@fcv.org"/>
    <s v="Calle 155A No. 23-58"/>
    <x v="8"/>
    <s v="FLORIDABLANCA"/>
    <s v="cotizacion medicamento de Control Especial"/>
    <n v="202124100676982"/>
    <d v="2021-04-20T00:00:00"/>
    <x v="3"/>
    <n v="202124110704271"/>
    <d v="2021-05-10T00:00:00"/>
    <s v="ABR"/>
    <n v="-20"/>
    <s v="AUTORIZADO"/>
    <s v="no hay disponibilidad"/>
    <s v="No. 16233"/>
    <d v="2018-10-08T00:00:00"/>
    <s v="Morfina HCl 10 mg/mL Solución Inyectable ampolla por 1mL"/>
    <n v="3000"/>
    <n v="300"/>
    <x v="0"/>
    <x v="0"/>
    <x v="0"/>
    <x v="0"/>
    <x v="78"/>
  </r>
  <r>
    <x v="191"/>
    <s v="FERNANDO MEZA MARTINEZ"/>
    <s v="Coordinador U.F.A.T"/>
    <s v="E.S.E HOSPITAL JOSE MARIA HERNANDEZ"/>
    <s v="891200679-1"/>
    <s v="bnrojas1315@gmail.com"/>
    <s v="Calle 14 No. 7 -26"/>
    <x v="5"/>
    <s v="MOCOA"/>
    <s v="autorización para la compra de medicamento de control especial"/>
    <n v="202124100678812"/>
    <d v="2021-04-20T00:00:00"/>
    <x v="3"/>
    <n v="202124110717351"/>
    <d v="2021-05-10T00:00:00"/>
    <s v="ABR"/>
    <n v="-20"/>
    <s v="AUTORIZADO"/>
    <m/>
    <s v="No. 357"/>
    <d v="2017-11-22T00:00:00"/>
    <s v="Fenobarbital 0,4% Solución Oral_frascos X 120 mL c/u"/>
    <n v="4"/>
    <n v="4"/>
    <x v="5"/>
    <x v="11"/>
    <x v="1"/>
    <x v="6"/>
    <x v="115"/>
  </r>
  <r>
    <x v="192"/>
    <s v="SAMIR VIDES ÁLVAREZ"/>
    <s v="Quimico Farmacéutico"/>
    <s v="Insuasty Oncología E Investigación"/>
    <s v="900475704-1"/>
    <s v="dtsfarmaceutico@insuastyoncologia.com"/>
    <s v="Calle 54 Nº 33-45 Piso 11/4"/>
    <x v="8"/>
    <s v="BUCARAMANGA"/>
    <s v="Solicitud de Compra Hidromorfona 2mg/mL Solución Inyectable"/>
    <n v="202124100680502"/>
    <d v="2021-04-20T00:00:00"/>
    <x v="3"/>
    <n v="202124110704291"/>
    <d v="2021-05-10T00:00:00"/>
    <s v="ABR"/>
    <n v="-20"/>
    <s v="NEGADO"/>
    <m/>
    <s v="No. 11312"/>
    <d v="2018-07-26T00:00:00"/>
    <s v="Hidromorfona HCl 2 mg/mL Solución Inyectable_cajas X 10 unidades c/u"/>
    <n v="0"/>
    <n v="0"/>
    <x v="1"/>
    <x v="2"/>
    <x v="0"/>
    <x v="0"/>
    <x v="0"/>
  </r>
  <r>
    <x v="193"/>
    <s v="JOHN JAIME ZAPATA FERIA"/>
    <s v="Director Técnico"/>
    <s v="Suministros y Dotaciones de Colombia S.A"/>
    <s v="802000608-7"/>
    <s v="johnjaimezapata01@gmail.com"/>
    <s v="Calle 15 No 7-95"/>
    <x v="14"/>
    <s v="YOPAL"/>
    <s v="Cotizacion de MCE monopolio del estado"/>
    <n v="202124100758162"/>
    <d v="2021-04-30T00:00:00"/>
    <x v="3"/>
    <n v="202124110717421"/>
    <d v="2021-05-10T00:00:00"/>
    <s v="ABR"/>
    <n v="-10"/>
    <s v="AUTORIZADO"/>
    <m/>
    <s v="No. 028"/>
    <d v="2021-01-27T00:00:00"/>
    <s v="Morfina HCl 10 mg/mL Solución Inyectable ampolla por 5mL"/>
    <n v="400"/>
    <n v="80"/>
    <x v="0"/>
    <x v="16"/>
    <x v="0"/>
    <x v="12"/>
    <x v="136"/>
  </r>
  <r>
    <x v="194"/>
    <s v="MÓNICA MONTES USTA"/>
    <s v="Gerente"/>
    <s v="COOPERATIVA DE ENTIDADES DE SALUD DE CORDOBA"/>
    <s v="812001561-0"/>
    <s v="tecnica@coodescor.org.co"/>
    <s v="Calle28A No. 23-03 B"/>
    <x v="1"/>
    <s v="MONTERIA"/>
    <s v="Solicitud de compra directa de HIDROMORFONA 2.5MG TAB"/>
    <n v="202124100682352"/>
    <d v="2021-04-20T00:00:00"/>
    <x v="3"/>
    <n v="202124110704341"/>
    <d v="2021-05-10T00:00:00"/>
    <s v="ABR"/>
    <n v="-20"/>
    <s v="AUTORIZADO"/>
    <s v="Se recomienda incluir el RUT"/>
    <s v="No. 436"/>
    <d v="2019-10-04T00:00:00"/>
    <s v="Hidromorfona HCl 2,5 mg Tableta_cajas X 20 unidades c/u"/>
    <n v="340"/>
    <n v="17"/>
    <x v="1"/>
    <x v="9"/>
    <x v="4"/>
    <x v="4"/>
    <x v="137"/>
  </r>
  <r>
    <x v="195"/>
    <s v="ALEXANDER RAMOS"/>
    <s v="TRF COORDINADOR"/>
    <s v="LOGIFARMA"/>
    <s v="900073223-3"/>
    <s v="coordinadormagdalena@logifarma.co"/>
    <s v="Carrera 5 No. 26-35 local 107"/>
    <x v="4"/>
    <s v="SANTA MARTA"/>
    <s v="Tramite a la solicitud del Ciudadano ALEXANDER RAMOS Radicado No. 202124100379152 Ministerio de Salud y Proteccion"/>
    <n v="202124100687202"/>
    <d v="2021-04-21T00:00:00"/>
    <x v="3"/>
    <n v="202124110717451"/>
    <d v="2021-05-10T00:00:00"/>
    <s v="ABR"/>
    <n v="-19"/>
    <s v="NEGADO"/>
    <s v="EL USUARIO NO ALLEGO LOS DOCUMENTOS NECESARIOS PARA LA AUTORIZACICON"/>
    <s v="NO DISPONIBLE"/>
    <s v="NO DISPONIBLE"/>
    <s v="Fenobarbital 50 mg Tableta_cajas X 30 unidades c/u"/>
    <n v="0"/>
    <n v="0"/>
    <x v="5"/>
    <x v="12"/>
    <x v="4"/>
    <x v="2"/>
    <x v="0"/>
  </r>
  <r>
    <x v="196"/>
    <s v="Emiro José Mulett Flórez"/>
    <s v="Coordinador Servicio Farmacéutico"/>
    <s v="E.S.E Hospital San Jerónimo de Montería"/>
    <s v="NO DISPONIBLE"/>
    <s v="farmacia.dir@esesanjeronimo.gov.co"/>
    <s v="Carrera 14 Nº 22-200"/>
    <x v="1"/>
    <s v="MONTERIA"/>
    <s v="desabastecimiento de medicamentos"/>
    <n v="202124100755132"/>
    <d v="2021-04-30T00:00:00"/>
    <x v="3"/>
    <n v="202124110719171"/>
    <d v="2021-05-10T00:00:00"/>
    <s v="ABR"/>
    <n v="-10"/>
    <s v="NEGADO"/>
    <s v="El solicitante no allego los documentos necesarios para la autorizacion de compra directa"/>
    <s v="NO DISPONIBLE"/>
    <s v="NO DISPONIBLE"/>
    <s v="Morfina HCl 10 mg/mL Solución Inyectable ampolla por 1mL"/>
    <n v="0"/>
    <n v="0"/>
    <x v="0"/>
    <x v="0"/>
    <x v="0"/>
    <x v="0"/>
    <x v="0"/>
  </r>
  <r>
    <x v="196"/>
    <s v="Emiro José Mulett Flórez"/>
    <s v="Coordinador Servicio Farmacéutico"/>
    <s v="E.S.E Hospital San Jerónimo de Montería"/>
    <s v="NO DISPONIBLE"/>
    <s v="farmacia.dir@esesanjeronimo.gov.co"/>
    <s v="Carrera 14 Nº 22-200"/>
    <x v="1"/>
    <s v="MONTERIA"/>
    <s v="desabastecimiento de medicamentos"/>
    <n v="202124100755132"/>
    <d v="2021-04-30T00:00:00"/>
    <x v="3"/>
    <n v="202124110719171"/>
    <d v="2021-05-10T00:00:00"/>
    <s v="ABR"/>
    <n v="-10"/>
    <s v="NEGADO"/>
    <s v="El solicitante no allego los documentos necesarios para la autorizacion de compra directa"/>
    <s v="NO DISPONIBLE"/>
    <s v="NO DISPONIBLE"/>
    <s v="Meperidina HCl 100 mg/2mL Solución Inyectable_cajas X 10 unidades c/u"/>
    <n v="0"/>
    <n v="0"/>
    <x v="6"/>
    <x v="8"/>
    <x v="0"/>
    <x v="3"/>
    <x v="0"/>
  </r>
  <r>
    <x v="197"/>
    <s v="SAMIR VIDES ÁLVAREZ"/>
    <s v="Quimico Farmacéutico"/>
    <s v="Insuasty Oncología E Investigación"/>
    <s v="900475704-1"/>
    <s v="dtsfarmaceutico@insuastyoncologia.com"/>
    <s v="Calle 54 Nº 33-45 Piso 11/4"/>
    <x v="8"/>
    <s v="BUCARAMANGA"/>
    <s v="Solicitud de Compra Hidromorfona 2mg/mL Solución Inyectable"/>
    <n v="202124100687892"/>
    <d v="2021-04-21T00:00:00"/>
    <x v="3"/>
    <n v="202124110704421"/>
    <d v="2021-05-10T00:00:00"/>
    <s v="ABR"/>
    <n v="-19"/>
    <s v="NEGADO"/>
    <s v="no hay disponibilidad"/>
    <s v="No. 11312"/>
    <d v="2018-07-26T00:00:00"/>
    <s v="Hidromorfona HCl 2 mg/mL Solución Inyectable_cajas X 10 unidades c/u"/>
    <n v="0"/>
    <n v="0"/>
    <x v="1"/>
    <x v="2"/>
    <x v="0"/>
    <x v="0"/>
    <x v="0"/>
  </r>
  <r>
    <x v="198"/>
    <s v="MIGUEL PACHECO CASTRO"/>
    <s v="Director Tecnico"/>
    <s v="INSTITUTO DE SISTEMA NERVIOSO DE CORDOBA -SEDE SAN SEBASTIÁN"/>
    <s v="901129333-1"/>
    <s v="farmaciaclinicasansebastian@gmail.com"/>
    <s v="Calle 2 Carrera 3-76 Vereda el Faro 1 via Aguas Negras"/>
    <x v="1"/>
    <s v="MONTERIA"/>
    <s v="solicitud autorización de compra directa de medicamentos monopolio del estado"/>
    <n v="202124100690892"/>
    <d v="2021-04-21T00:00:00"/>
    <x v="3"/>
    <n v="202124110717531"/>
    <d v="2021-05-10T00:00:00"/>
    <s v="ABR"/>
    <n v="-19"/>
    <s v="NEGADO"/>
    <s v="no hay disponibilidad"/>
    <s v="No. 492"/>
    <d v="2019-10-28T00:00:00"/>
    <s v="Morfina HCl 10 mg/mL Solución Inyectable ampolla por 1mL"/>
    <n v="0"/>
    <n v="0"/>
    <x v="0"/>
    <x v="0"/>
    <x v="0"/>
    <x v="0"/>
    <x v="0"/>
  </r>
  <r>
    <x v="198"/>
    <s v="MIGUEL PACHECO CASTRO"/>
    <s v="Director Tecnico"/>
    <s v="INSTITUTO DE SISTEMA NERVIOSO DE CORDOBA -SEDE SAN SEBASTIÁN"/>
    <s v="901129333-1"/>
    <s v="farmaciaclinicasansebastian@gmail.com"/>
    <s v="Calle 2 Carrera 3-76 Vereda el Faro 1 via Aguas Negras"/>
    <x v="1"/>
    <s v="MONTERIA"/>
    <s v="solicitud autorización de compra directa de medicamentos monopolio del estado"/>
    <n v="202124100690892"/>
    <d v="2021-04-21T00:00:00"/>
    <x v="3"/>
    <n v="202124110717531"/>
    <d v="2021-05-10T00:00:00"/>
    <s v="ABR"/>
    <n v="-19"/>
    <s v="AUTORIZADO"/>
    <m/>
    <s v="No. 492"/>
    <d v="2019-10-28T00:00:00"/>
    <s v="Meperidina HCl 100 mg/2mL Solución Inyectable_cajas X 10 unidades c/u"/>
    <n v="400"/>
    <n v="40"/>
    <x v="6"/>
    <x v="8"/>
    <x v="0"/>
    <x v="3"/>
    <x v="64"/>
  </r>
  <r>
    <x v="199"/>
    <s v="Irina Vanegas Palacios "/>
    <s v="Gerente"/>
    <s v="Centros Hospitalarios del Caribe S.A.S"/>
    <s v="900520510-0"/>
    <s v="compras@cehoca.co"/>
    <s v="calle 22 N° 15-20"/>
    <x v="4"/>
    <s v="SANTA MARTA"/>
    <s v="Solicitud de Compra de Medicamentos de Control"/>
    <n v="202124100754022"/>
    <d v="2021-04-29T00:00:00"/>
    <x v="3"/>
    <n v="202124110704461"/>
    <d v="2021-05-10T00:00:00"/>
    <s v="ABR"/>
    <n v="-11"/>
    <s v="AUTORIZADO"/>
    <m/>
    <s v="No.0464"/>
    <d v="2020-04-02T00:00:00"/>
    <s v="Meperidina HCl 100 mg/2mL Solución Inyectable_cajas X 10 unidades c/u"/>
    <n v="150"/>
    <n v="15"/>
    <x v="6"/>
    <x v="8"/>
    <x v="0"/>
    <x v="3"/>
    <x v="20"/>
  </r>
  <r>
    <x v="199"/>
    <s v="Irina Vanegas Palacios "/>
    <s v="Gerente"/>
    <s v="Centros Hospitalarios del Caribe S.A.S"/>
    <s v="900520510-0"/>
    <s v="compras@cehoca.co"/>
    <s v="calle 22 N° 15-20"/>
    <x v="4"/>
    <s v="SANTA MARTA"/>
    <s v="Solicitud de Compra de Medicamentos de Control"/>
    <n v="202124100754022"/>
    <d v="2021-04-29T00:00:00"/>
    <x v="3"/>
    <n v="202124110704461"/>
    <d v="2021-05-10T00:00:00"/>
    <s v="ABR"/>
    <n v="-11"/>
    <s v="NEGADO"/>
    <s v="no hay disponibilidad"/>
    <s v="No.0464"/>
    <d v="2020-04-02T00:00:00"/>
    <s v="Morfina HCl 10 mg/mL Solución Inyectable ampolla por 1mL"/>
    <n v="0"/>
    <n v="0"/>
    <x v="0"/>
    <x v="0"/>
    <x v="0"/>
    <x v="0"/>
    <x v="0"/>
  </r>
  <r>
    <x v="199"/>
    <s v="Irina Vanegas Palacios "/>
    <s v="Gerente"/>
    <s v="Centros Hospitalarios del Caribe S.A.S"/>
    <s v="900520510-0"/>
    <s v="compras@cehoca.co"/>
    <s v="calle 22 N° 15-20"/>
    <x v="4"/>
    <s v="SANTA MARTA"/>
    <s v="Solicitud de Compra de Medicamentos de Control"/>
    <n v="202124100754022"/>
    <d v="2021-04-29T00:00:00"/>
    <x v="3"/>
    <n v="202124110704461"/>
    <d v="2021-05-10T00:00:00"/>
    <s v="ABR"/>
    <n v="-11"/>
    <s v="AUTORIZADO"/>
    <m/>
    <s v="No.0464"/>
    <d v="2020-04-02T00:00:00"/>
    <s v="Fenobarbital Sódico 40 mg/mL Solución Inyectable_caja X 10 ampollas c/u"/>
    <n v="100"/>
    <n v="10"/>
    <x v="3"/>
    <x v="6"/>
    <x v="0"/>
    <x v="0"/>
    <x v="10"/>
  </r>
  <r>
    <x v="200"/>
    <s v="MIRYAM FAJARDO NAVARRETE"/>
    <s v="Regente de Farmacia"/>
    <s v="HOSPITAL SAN JOSE DEL MUNICIPIO DE SAN SEBASTIAN DE MARIQUITA TOLIMA EMPRESA SOCIAL DEL ESTADO"/>
    <s v="890706067-3"/>
    <s v="farmacia@hospitalsanjosedemariquita.gov.co"/>
    <s v="Carrera 4 No 10 y 11"/>
    <x v="0"/>
    <s v="MARIQUITA"/>
    <s v="COTIZACION"/>
    <n v="202124100691102"/>
    <d v="2021-04-21T00:00:00"/>
    <x v="3"/>
    <n v="202124110717591"/>
    <d v="2021-05-10T00:00:00"/>
    <s v="ABR"/>
    <n v="-19"/>
    <s v="NEGADO"/>
    <s v="Se niega porque el FRE departamental tiene los medicamentos"/>
    <s v="No. 1215"/>
    <d v="2018-04-24T00:00:00"/>
    <s v="Fenobarbital 100 mg Tableta_cajas X 30 unidades c/u"/>
    <n v="0"/>
    <n v="0"/>
    <x v="5"/>
    <x v="7"/>
    <x v="4"/>
    <x v="2"/>
    <x v="0"/>
  </r>
  <r>
    <x v="200"/>
    <s v="MIRYAM FAJARDO NAVARRETE"/>
    <s v="Regente de Farmacia"/>
    <s v="HOSPITAL SAN JOSE DEL MUNICIPIO DE SAN SEBASTIAN DE MARIQUITA TOLIMA EMPRESA SOCIAL DEL ESTADO"/>
    <s v="890706067-3"/>
    <s v="farmacia@hospitalsanjosedemariquita.gov.co"/>
    <s v="Carrera 4 No 10 y 11"/>
    <x v="0"/>
    <s v="MARIQUITA"/>
    <s v="COTIZACION"/>
    <n v="202124100691102"/>
    <d v="2021-04-21T00:00:00"/>
    <x v="3"/>
    <n v="202124110717591"/>
    <d v="2021-05-10T00:00:00"/>
    <s v="ABR"/>
    <n v="-19"/>
    <s v="NEGADO"/>
    <s v="Se niega porque el FRE departamental tiene los medicamentos"/>
    <s v="No. 1215"/>
    <d v="2018-04-24T00:00:00"/>
    <s v="Meperidina HCl 100 mg/2mL Solución Inyectable_cajas X 10 unidades c/u"/>
    <n v="0"/>
    <n v="0"/>
    <x v="6"/>
    <x v="8"/>
    <x v="0"/>
    <x v="3"/>
    <x v="0"/>
  </r>
  <r>
    <x v="200"/>
    <s v="MIRYAM FAJARDO NAVARRETE"/>
    <s v="Regente de Farmacia"/>
    <s v="HOSPITAL SAN JOSE DEL MUNICIPIO DE SAN SEBASTIAN DE MARIQUITA TOLIMA EMPRESA SOCIAL DEL ESTADO"/>
    <s v="890706067-3"/>
    <s v="farmacia@hospitalsanjosedemariquita.gov.co"/>
    <s v="Carrera 4 No 10 y 11"/>
    <x v="0"/>
    <s v="MARIQUITA"/>
    <s v="COTIZACION"/>
    <n v="202124100691102"/>
    <d v="2021-04-21T00:00:00"/>
    <x v="3"/>
    <n v="202124110717591"/>
    <d v="2021-05-10T00:00:00"/>
    <s v="ABR"/>
    <n v="-19"/>
    <s v="NEGADO"/>
    <s v="Se niega porque el FRE departamental tiene los medicamentos"/>
    <s v="No. 1215"/>
    <d v="2018-04-24T00:00:00"/>
    <s v="Morfina HCl 10 mg/mL Solución Inyectable ampolla por 1mL"/>
    <n v="0"/>
    <n v="0"/>
    <x v="0"/>
    <x v="0"/>
    <x v="0"/>
    <x v="0"/>
    <x v="0"/>
  </r>
  <r>
    <x v="201"/>
    <s v="LEIDY JOHANNNA COLORADO"/>
    <s v="Jefe compras"/>
    <s v="MEDICADIZ"/>
    <s v="NO DISPONIBLE"/>
    <s v="compras@medicadiz.com.co"/>
    <s v="Carrera 12 sur No. 93-22"/>
    <x v="0"/>
    <s v="IBAGUE"/>
    <s v="COTIZACION CLINICA MEDICADIZ"/>
    <n v="202124100693942"/>
    <d v="2021-04-21T00:00:00"/>
    <x v="3"/>
    <n v="202124110704561"/>
    <d v="2021-05-10T00:00:00"/>
    <s v="ABR"/>
    <n v="-19"/>
    <s v="NEGADO"/>
    <s v="El solicitante no presenta los documentos requeridos para la compra directa"/>
    <s v="NO DISPONIBLE"/>
    <s v="NO DISPONIBLE"/>
    <s v="Hidromorfona HCl 2 mg/mL Solución Inyectable_cajas X 10 unidades c/u"/>
    <n v="0"/>
    <n v="0"/>
    <x v="1"/>
    <x v="2"/>
    <x v="0"/>
    <x v="0"/>
    <x v="0"/>
  </r>
  <r>
    <x v="201"/>
    <s v="LEIDY JOHANNNA COLORADO"/>
    <s v="Jefe compras"/>
    <s v="MEDICADIZ"/>
    <s v="NO DISPONIBLE"/>
    <s v="compras@medicadiz.com.co"/>
    <s v="Carrera 12 sur No. 93-22"/>
    <x v="0"/>
    <s v="IBAGUE"/>
    <s v="COTIZACION CLINICA MEDICADIZ"/>
    <n v="202124100693942"/>
    <d v="2021-04-21T00:00:00"/>
    <x v="3"/>
    <n v="202124110704561"/>
    <d v="2021-05-10T00:00:00"/>
    <s v="ABR"/>
    <n v="-19"/>
    <s v="NEGADO"/>
    <s v="El solicitante no presenta los documentos requeridos para la compra directa"/>
    <s v="NO DISPONIBLE"/>
    <s v="NO DISPONIBLE"/>
    <s v="Morfina HCl 10 mg/mL Solución Inyectable ampolla por 1mL"/>
    <n v="0"/>
    <n v="0"/>
    <x v="0"/>
    <x v="0"/>
    <x v="0"/>
    <x v="0"/>
    <x v="0"/>
  </r>
  <r>
    <x v="202"/>
    <s v="MARTHA LILIANA ESPINEL"/>
    <s v="Gerente"/>
    <s v="MEDICED IPS SAS"/>
    <s v="901150492-1"/>
    <s v="farmaciamedicedflo@gmail.com"/>
    <s v="Carreraa 9 A N° 9-30  Barrio El Prado"/>
    <x v="16"/>
    <s v="FLORENCIA"/>
    <s v="SOLICITUD COMPRA DIRECTA METADONA X 10 mg- MEDICED IPS SAS"/>
    <n v="202124100750532"/>
    <d v="2021-04-29T00:00:00"/>
    <x v="3"/>
    <n v="202124110717651"/>
    <d v="2021-05-10T00:00:00"/>
    <s v="ABR"/>
    <n v="-11"/>
    <s v="AUTORIZADO"/>
    <m/>
    <s v="No. 00322"/>
    <d v="2019-10-22T00:00:00"/>
    <s v="Metadona HCl 10 mg Tableta_Cajas X 30 unidades c/u"/>
    <n v="240"/>
    <n v="8"/>
    <x v="2"/>
    <x v="3"/>
    <x v="2"/>
    <x v="2"/>
    <x v="96"/>
  </r>
  <r>
    <x v="203"/>
    <s v="DARLYNTON MIRANDA"/>
    <s v="Regente de farmacia"/>
    <s v="ETICOS SERRANO GOMEZ LTDA"/>
    <s v="892300678-2"/>
    <s v="dispensario686@drogaslaeconomia.com"/>
    <s v="Carrera 32 No 16-13 local 6"/>
    <x v="4"/>
    <s v="SANTA MARTA"/>
    <s v="COMPRA DE MEDICAMENTOS PARA EL FONDO NACIONAL DE ESTUPEFACIENTES"/>
    <n v="202124100693992"/>
    <d v="2021-04-21T00:00:00"/>
    <x v="3"/>
    <n v="202124110716521"/>
    <d v="2021-05-10T00:00:00"/>
    <s v="ABR"/>
    <n v="-19"/>
    <s v="AUTORIZADO"/>
    <m/>
    <s v="No. 616"/>
    <d v="2018-03-08T00:00:00"/>
    <s v="Fenobarbital 100 mg Tableta_cajas X 30 unidades c/u"/>
    <n v="3000"/>
    <n v="100"/>
    <x v="5"/>
    <x v="7"/>
    <x v="4"/>
    <x v="2"/>
    <x v="32"/>
  </r>
  <r>
    <x v="203"/>
    <s v="DARLYNTON MIRANDA"/>
    <s v="Regente de farmacia"/>
    <s v="ETICOS SERRANO GOMEZ LTDA"/>
    <s v="892300678-2"/>
    <s v="dispensario686@drogaslaeconomia.com"/>
    <s v="Carrera 32 No 16-13 local 6"/>
    <x v="4"/>
    <s v="SANTA MARTA"/>
    <s v="COMPRA DE MEDICAMENTOS PARA EL FONDO NACIONAL DE ESTUPEFACIENTES"/>
    <n v="202124100693992"/>
    <d v="2021-04-21T00:00:00"/>
    <x v="3"/>
    <n v="202124110716521"/>
    <d v="2021-05-10T00:00:00"/>
    <s v="ABR"/>
    <n v="-19"/>
    <s v="AUTORIZADO"/>
    <m/>
    <s v="No. 616"/>
    <d v="2018-03-08T00:00:00"/>
    <s v="Metilfenidato HCl 10 mg Comprimido_cajas X 30 unidades c/u"/>
    <n v="120"/>
    <n v="4"/>
    <x v="4"/>
    <x v="3"/>
    <x v="3"/>
    <x v="2"/>
    <x v="110"/>
  </r>
  <r>
    <x v="203"/>
    <s v="DARLYNTON MIRANDA"/>
    <s v="Regente de farmacia"/>
    <s v="ETICOS SERRANO GOMEZ LTDA"/>
    <s v="892300678-2"/>
    <s v="dispensario686@drogaslaeconomia.com"/>
    <s v="Carrera 32 No 16-13 local 6"/>
    <x v="4"/>
    <s v="SANTA MARTA"/>
    <s v="COMPRA DE MEDICAMENTOS PARA EL FONDO NACIONAL DE ESTUPEFACIENTES"/>
    <n v="202124100693992"/>
    <d v="2021-04-21T00:00:00"/>
    <x v="3"/>
    <n v="202124110716521"/>
    <d v="2021-05-10T00:00:00"/>
    <s v="ABR"/>
    <n v="-19"/>
    <s v="AUTORIZADO"/>
    <m/>
    <s v="No. 616"/>
    <d v="2018-03-08T00:00:00"/>
    <s v="Morfina HCl 0,03 Solución Oral_frascos X 30 mL c/u"/>
    <n v="5"/>
    <n v="5"/>
    <x v="0"/>
    <x v="1"/>
    <x v="1"/>
    <x v="1"/>
    <x v="6"/>
  </r>
  <r>
    <x v="204"/>
    <s v="ORLANDO RAFAEL HURTADO PATERNINA"/>
    <s v="Quimico Farmacéutico"/>
    <s v="DROGERÍAS LA ECONOMIA 684"/>
    <s v="892300678-7"/>
    <s v="dispensario684@drogaslaeconomia.com"/>
    <s v="Carrera 33 No. 29-106"/>
    <x v="2"/>
    <s v="CARTAGENA"/>
    <s v="COMPRA DE MEDICAMENTO"/>
    <n v="202124100694062"/>
    <d v="2021-04-21T00:00:00"/>
    <x v="3"/>
    <n v="202124140736211"/>
    <d v="2021-05-18T00:00:00"/>
    <s v="ABR"/>
    <n v="-27"/>
    <s v="NEGADO"/>
    <s v="Trámite de otra dependencia"/>
    <s v="No. 363"/>
    <d v="2019-04-02T00:00:00"/>
    <s v="Fenobarbital 100 mg Tableta_cajas X 30 unidades c/u"/>
    <n v="0"/>
    <n v="0"/>
    <x v="5"/>
    <x v="7"/>
    <x v="4"/>
    <x v="2"/>
    <x v="0"/>
  </r>
  <r>
    <x v="204"/>
    <s v="ORLANDO RAFAEL HURTADO PATERNINA"/>
    <s v="Quimico Farmacéutico"/>
    <s v="DROGERÍAS LA ECONOMIA 684"/>
    <s v="892300678-7"/>
    <s v="dispensario684@drogaslaeconomia.com"/>
    <s v="Carrera 33 No. 29-106"/>
    <x v="2"/>
    <s v="CARTAGENA"/>
    <s v="COMPRA DE MEDICAMENTO"/>
    <n v="202124100694062"/>
    <d v="2021-04-21T00:00:00"/>
    <x v="3"/>
    <n v="202124140736211"/>
    <d v="2021-05-18T00:00:00"/>
    <s v="ABR"/>
    <n v="-27"/>
    <s v="NEGADO"/>
    <s v="Trámite de otra dependencia"/>
    <s v="No. 363"/>
    <d v="2019-04-02T00:00:00"/>
    <s v="Morfina HCl 0,03 Solución Oral_frascos X 30 mL c/u"/>
    <n v="0"/>
    <n v="0"/>
    <x v="0"/>
    <x v="1"/>
    <x v="1"/>
    <x v="1"/>
    <x v="0"/>
  </r>
  <r>
    <x v="205"/>
    <s v="ALEXANDRA MOSQUERA TOVAR"/>
    <s v="Auxiliar Administrativa"/>
    <s v="E.S.E HOSPITAL UNIVERSITARIO HERNANDO MONCALEANO PERDOMO"/>
    <s v="891180268-0"/>
    <s v="alexandra.mosquera@huhmp.gov.co"/>
    <s v="Calle 9 Nº15-25 "/>
    <x v="7"/>
    <s v="NEIVA"/>
    <s v="SOLICITUD DE COTIZACION DE MEDICAMENTOS DE MONOPOLIO DEL ESTADO"/>
    <n v="202124100747282"/>
    <d v="2021-04-29T00:00:00"/>
    <x v="3"/>
    <n v="202124110718611"/>
    <d v="2021-05-10T00:00:00"/>
    <s v="ABR"/>
    <n v="-11"/>
    <s v="AUTORIZADO"/>
    <s v="No se adjunta la totalidad de los documentos"/>
    <s v="No. 483"/>
    <d v="2017-04-05T00:00:00"/>
    <s v="Morfina HCl 0,03 Solución Oral_frascos X 30 mL c/u"/>
    <n v="20"/>
    <n v="20"/>
    <x v="0"/>
    <x v="1"/>
    <x v="1"/>
    <x v="1"/>
    <x v="138"/>
  </r>
  <r>
    <x v="205"/>
    <s v="ALEXANDRA MOSQUERA TOVAR"/>
    <s v="Auxiliar Administrativa"/>
    <s v="E.S.E HOSPITAL UNIVERSITARIO HERNANDO MONCALEANO PERDOMO"/>
    <s v="891180268-0"/>
    <s v="alexandra.mosquera@huhmp.gov.co"/>
    <s v="Calle 9 Nº15-25 "/>
    <x v="7"/>
    <s v="NEIVA"/>
    <s v="SOLICITUD DE COTIZACION DE MEDICAMENTOS DE MONOPOLIO DEL ESTADO"/>
    <n v="202124100747282"/>
    <d v="2021-04-29T00:00:00"/>
    <x v="3"/>
    <n v="202124110718611"/>
    <d v="2021-05-10T00:00:00"/>
    <s v="ABR"/>
    <n v="-11"/>
    <s v="AUTORIZADO"/>
    <s v="No se adjunta la totalidad de los documentos"/>
    <s v="No. 483"/>
    <d v="2017-04-05T00:00:00"/>
    <s v="Meperidina HCl 100 mg/2mL Solución Inyectable_cajas X 10 unidades c/u"/>
    <n v="600"/>
    <n v="60"/>
    <x v="6"/>
    <x v="8"/>
    <x v="0"/>
    <x v="3"/>
    <x v="139"/>
  </r>
  <r>
    <x v="206"/>
    <s v="AMERIDA BARRERA TOLOSA"/>
    <s v="Coordinadora farmacia"/>
    <s v="JERSALUD S.A.S"/>
    <s v="NO DISPONIBLE"/>
    <s v="consumofrecasanare@gmail.com"/>
    <s v="Calle 40 No. 23-99"/>
    <x v="14"/>
    <s v="YOPAL"/>
    <s v="COTIZACION"/>
    <n v="202124100694642"/>
    <d v="2021-04-21T00:00:00"/>
    <x v="3"/>
    <n v="202124110717681"/>
    <d v="2021-05-10T00:00:00"/>
    <s v="ABR"/>
    <n v="-19"/>
    <s v="NEGADO"/>
    <s v="El solicitante no presenta los documentos requeridos para la compra directa"/>
    <s v="NO DISPONIBLE"/>
    <s v="NO DISPONIBLE"/>
    <s v="Metilfenidato HCl 36 mg Tableta de Liberación Prolongada_frasco X 30 unidades c/u"/>
    <n v="0"/>
    <n v="0"/>
    <x v="4"/>
    <x v="14"/>
    <x v="7"/>
    <x v="10"/>
    <x v="0"/>
  </r>
  <r>
    <x v="207"/>
    <s v="YESICA MARISOL SUAREZ SOTELO"/>
    <s v="Supervisor de Zona Tolima"/>
    <s v="DISFARMA"/>
    <s v="900580962-2"/>
    <s v="_x0009_yesica.suarez@disfarma.com.co"/>
    <s v="AV AMBALA N 33 - 36 SAN SIMON PARTE BAJA"/>
    <x v="0"/>
    <s v="IBAGUE"/>
    <s v="COTIZACIÓN MEDICAMENTOS MONOPOLIO ZONA TOLIMA ABRIL 2021"/>
    <n v="202124100697712"/>
    <d v="2021-04-22T00:00:00"/>
    <x v="3"/>
    <n v="202124110716571"/>
    <d v="2021-05-10T00:00:00"/>
    <s v="ABR"/>
    <n v="-18"/>
    <s v="NEGADO"/>
    <s v="Se niega porque el primer medicamento lo tiene el FRE, se corrigió el segundo medicamento porque era Hidromorfona y se había colocado Fenobarbital 100 mg, pero también se niega porque el fondo no tiene disponibilidad."/>
    <s v="No. 1212"/>
    <d v="2019-05-07T00:00:00"/>
    <s v="Hidromorfona HCl 2 mg/mL Solución Inyectable_cajas X 10 unidades c/u"/>
    <n v="0"/>
    <n v="0"/>
    <x v="1"/>
    <x v="2"/>
    <x v="0"/>
    <x v="0"/>
    <x v="0"/>
  </r>
  <r>
    <x v="207"/>
    <s v="YESICA MARISOL SUAREZ SOTELO"/>
    <s v="Supervisor de Zona Tolima"/>
    <s v="DISFARMA"/>
    <s v="900580962-2"/>
    <s v="_x0009_yesica.suarez@disfarma.com.co"/>
    <s v="AV AMBALA N 33 - 36 SAN SIMON PARTE BAJA"/>
    <x v="0"/>
    <s v="IBAGUE"/>
    <s v="COTIZACIÓN MEDICAMENTOS MONOPOLIO ZONA TOLIMA ABRIL 2021"/>
    <n v="202124100697712"/>
    <d v="2021-04-22T00:00:00"/>
    <x v="3"/>
    <n v="202124110716571"/>
    <d v="2021-05-10T00:00:00"/>
    <s v="ABR"/>
    <n v="-18"/>
    <s v="NEGADO"/>
    <s v="Se niega porque el primer medicamento lo tiene el FRE, se corrigió el segundo medicamento porque era Hidromorfona y se había colocado Fenobarbital 100 mg, pero también se niega porque el fondo no tiene disponibilidad."/>
    <s v="No. 1212"/>
    <d v="2019-05-07T00:00:00"/>
    <s v="Morfina HCl 0,03 Solución Oral_frascos X 30 mL c/u"/>
    <n v="0"/>
    <n v="0"/>
    <x v="0"/>
    <x v="1"/>
    <x v="1"/>
    <x v="1"/>
    <x v="0"/>
  </r>
  <r>
    <x v="208"/>
    <s v="CLAUDIA MILENA MARTÍNEZ CAMPO"/>
    <s v="Representante legal"/>
    <s v="SERVICIOS INTEGRALES DE SALUD DEL MAGDALENA S.A.S"/>
    <s v="900018045-5"/>
    <s v="serviciosintegrales_saludmagdale@yahoo.com"/>
    <s v="Carrera 19 No. 26B – 53 Barrio los naranjos"/>
    <x v="4"/>
    <s v="SANTA MARTA"/>
    <s v="AUTORIZACION PARA COMPRA DIRECTA - SISM SAS NIT 900.018.045-5"/>
    <n v="202124100742032"/>
    <d v="2021-04-28T00:00:00"/>
    <x v="3"/>
    <n v="202124110716621"/>
    <d v="2021-05-10T00:00:00"/>
    <s v="ABR"/>
    <n v="-12"/>
    <s v="AUTORIZADO"/>
    <s v="SOLICITUD DUPLICADA SE DA LA MISMA PARA LA LAS DOS (185 Y 209)"/>
    <s v="No. 4125"/>
    <d v="2017-12-12T00:00:00"/>
    <s v="Fenobarbital 100 mg Tableta_cajas X 30 unidades c/u"/>
    <n v="18000"/>
    <n v="600"/>
    <x v="5"/>
    <x v="7"/>
    <x v="4"/>
    <x v="2"/>
    <x v="35"/>
  </r>
  <r>
    <x v="208"/>
    <s v="CLAUDIA MILENA MARTÍNEZ CAMPO"/>
    <s v="Representante legal"/>
    <s v="SERVICIOS INTEGRALES DE SALUD DEL MAGDALENA S.A.S"/>
    <s v="900018045-5"/>
    <s v="serviciosintegrales_saludmagdale@yahoo.com"/>
    <s v="Carrera 19 No. 26B – 53 Barrio los naranjos"/>
    <x v="4"/>
    <s v="SANTA MARTA"/>
    <s v="AUTORIZACION PARA COMPRA DIRECTA - SISM SAS NIT 900.018.045-5"/>
    <n v="202124100742032"/>
    <d v="2021-04-28T00:00:00"/>
    <x v="3"/>
    <n v="202124110716621"/>
    <d v="2021-05-10T00:00:00"/>
    <s v="ABR"/>
    <n v="-12"/>
    <s v="AUTORIZADO"/>
    <s v="SOLICITUD DUPLICADA SE DA LA MISMA PARA LA LAS DOS (185 Y 209)"/>
    <s v="No. 4125"/>
    <d v="2017-12-12T00:00:00"/>
    <s v="Morfina HCl 0,03 Solución Oral_frascos X 30 mL c/u"/>
    <n v="30"/>
    <n v="30"/>
    <x v="0"/>
    <x v="1"/>
    <x v="1"/>
    <x v="1"/>
    <x v="43"/>
  </r>
  <r>
    <x v="209"/>
    <s v="JESUS CUELLAR NAVARRO"/>
    <s v="Director Tecnico"/>
    <s v="SUPLYMEDICAL S.A.S"/>
    <s v="900397985-8"/>
    <s v="suplymedicalsas@gmail.com"/>
    <s v="Carrera 21 No. 21-153 Local 101 CC Plaza Jardín"/>
    <x v="4"/>
    <s v="SANTA MARTA"/>
    <s v="COTIZACION MTOS DE CONTROL ESPECIAL"/>
    <n v="202124100699342"/>
    <d v="2021-04-22T00:00:00"/>
    <x v="3"/>
    <n v="202124110716601"/>
    <d v="2021-05-10T00:00:00"/>
    <s v="ABR"/>
    <n v="-18"/>
    <s v="AUTORIZADO"/>
    <m/>
    <s v="No. 3259"/>
    <d v="2018-10-03T00:00:00"/>
    <s v="Fenobarbital 100 mg Tableta_cajas X 30 unidades c/u"/>
    <n v="2700"/>
    <n v="90"/>
    <x v="5"/>
    <x v="7"/>
    <x v="4"/>
    <x v="2"/>
    <x v="140"/>
  </r>
  <r>
    <x v="209"/>
    <s v="JESUS CUELLAR NAVARRO"/>
    <s v="Director Tecnico"/>
    <s v="SUPLYMEDICAL S.A.S"/>
    <s v="900397985-8"/>
    <s v="suplymedicalsas@gmail.com"/>
    <s v="Carrera 21 No. 21-153 Local 101 CC Plaza Jardín"/>
    <x v="4"/>
    <s v="SANTA MARTA"/>
    <s v="COTIZACION MTOS DE CONTROL ESPECIAL"/>
    <n v="202124100699342"/>
    <d v="2021-04-22T00:00:00"/>
    <x v="3"/>
    <n v="202124110716601"/>
    <d v="2021-05-10T00:00:00"/>
    <s v="ABR"/>
    <n v="-18"/>
    <s v="AUTORIZADO"/>
    <m/>
    <s v="No. 3259"/>
    <d v="2018-10-03T00:00:00"/>
    <s v="Morfina HCl 0,03 Solución Oral_frascos X 30 mL c/u"/>
    <n v="10"/>
    <n v="10"/>
    <x v="0"/>
    <x v="1"/>
    <x v="1"/>
    <x v="1"/>
    <x v="47"/>
  </r>
  <r>
    <x v="210"/>
    <s v="EVARISTO BARRIOS M"/>
    <s v="Quimico Farmacéutico"/>
    <s v="ASOCIACION DE CABILDOS Y/O AUTORIDADES TRADICIONALES DE LA GUAJIRA-ASOCABILDOS IPSI"/>
    <s v="839000145-3"/>
    <s v="farmacias@asocabildosipsi.com"/>
    <s v="Carrera 15 No. 19-55 Barrio San Martin"/>
    <x v="11"/>
    <m/>
    <s v="Solicitud de Cotización de Medicamentos Monopolio del Estado-Radicado 202100000650872"/>
    <n v="202124100741182"/>
    <d v="2021-04-28T00:00:00"/>
    <x v="3"/>
    <n v="202124110717711"/>
    <d v="2021-05-10T00:00:00"/>
    <s v="ABR"/>
    <n v="-12"/>
    <s v="NEGADO"/>
    <s v="Se niega la solicitud porque el FRE departamental cuenta con los meicamentos"/>
    <s v="No. 002"/>
    <d v="2021-01-14T00:00:00"/>
    <s v="Fenobarbital 100 mg Tableta_cajas X 30 unidades c/u"/>
    <n v="0"/>
    <n v="0"/>
    <x v="5"/>
    <x v="7"/>
    <x v="4"/>
    <x v="2"/>
    <x v="0"/>
  </r>
  <r>
    <x v="210"/>
    <s v="EVARISTO BARRIOS M"/>
    <s v="Quimico Farmacéutico"/>
    <s v="ASOCIACION DE CABILDOS Y/O AUTORIDADES TRADICIONALES DE LA GUAJIRA-ASOCABILDOS IPSI"/>
    <s v="839000145-3"/>
    <s v="farmacias@asocabildosipsi.com"/>
    <s v="Carrera 15 No. 19-55 Barrio San Martin"/>
    <x v="11"/>
    <m/>
    <s v="Solicitud de Cotización de Medicamentos Monopolio del Estado-Radicado 202100000650872"/>
    <n v="202124100741182"/>
    <d v="2021-04-28T00:00:00"/>
    <x v="3"/>
    <n v="202124110717711"/>
    <d v="2021-05-10T00:00:00"/>
    <s v="ABR"/>
    <n v="-12"/>
    <s v="NEGADO"/>
    <s v="Se niega la solicitud porque el FRE departamental cuenta con los meicamentos"/>
    <s v="No. 002"/>
    <d v="2021-01-14T00:00:00"/>
    <s v="Fenobarbital 0,4% Solución Oral_frascos X 120 mL c/u"/>
    <n v="0"/>
    <n v="0"/>
    <x v="5"/>
    <x v="11"/>
    <x v="1"/>
    <x v="6"/>
    <x v="0"/>
  </r>
  <r>
    <x v="210"/>
    <s v="EVARISTO BARRIOS M"/>
    <s v="Quimico Farmacéutico"/>
    <s v="ASOCIACION DE CABILDOS Y/O AUTORIDADES TRADICIONALES DE LA GUAJIRA-ASOCABILDOS IPSI"/>
    <s v="839000145-3"/>
    <s v="farmacias@asocabildosipsi.com"/>
    <s v="Carrera 15 No. 19-55 Barrio San Martin"/>
    <x v="11"/>
    <m/>
    <s v="Solicitud de Cotización de Medicamentos Monopolio del Estado-Radicado 202100000650872"/>
    <n v="202124100741182"/>
    <d v="2021-04-28T00:00:00"/>
    <x v="3"/>
    <n v="202124110717711"/>
    <d v="2021-05-10T00:00:00"/>
    <s v="ABR"/>
    <n v="-12"/>
    <s v="NEGADO"/>
    <s v="Se niega la solicitud porque el FRE departamental cuenta con los meicamentos"/>
    <s v="No. 002"/>
    <d v="2021-01-14T00:00:00"/>
    <s v="Morfina HCl 10 mg/mL Solución Inyectable ampolla por 1mL"/>
    <n v="0"/>
    <n v="0"/>
    <x v="0"/>
    <x v="0"/>
    <x v="0"/>
    <x v="0"/>
    <x v="0"/>
  </r>
  <r>
    <x v="210"/>
    <s v="EVARISTO BARRIOS M"/>
    <s v="Quimico Farmacéutico"/>
    <s v="ASOCIACION DE CABILDOS Y/O AUTORIDADES TRADICIONALES DE LA GUAJIRA-ASOCABILDOS IPSI"/>
    <s v="839000145-3"/>
    <s v="farmacias@asocabildosipsi.com"/>
    <s v="Carrera 15 No. 19-55 Barrio San Martin"/>
    <x v="11"/>
    <m/>
    <s v="Solicitud de Cotización de Medicamentos Monopolio del Estado-Radicado 202100000650872"/>
    <n v="202124100741182"/>
    <d v="2021-04-28T00:00:00"/>
    <x v="3"/>
    <n v="202124110717711"/>
    <d v="2021-05-10T00:00:00"/>
    <s v="ABR"/>
    <n v="-12"/>
    <s v="NEGADO"/>
    <s v="Se niega la solicitud porque el FRE departamental cuenta con los meicamentos"/>
    <s v="No. 002"/>
    <d v="2021-01-14T00:00:00"/>
    <s v="Morfina HCl 0,03 Solución Oral_frascos X 30 mL c/u"/>
    <n v="0"/>
    <n v="0"/>
    <x v="0"/>
    <x v="1"/>
    <x v="1"/>
    <x v="1"/>
    <x v="0"/>
  </r>
  <r>
    <x v="210"/>
    <s v="EVARISTO BARRIOS M"/>
    <s v="Quimico Farmacéutico"/>
    <s v="ASOCIACION DE CABILDOS Y/O AUTORIDADES TRADICIONALES DE LA GUAJIRA-ASOCABILDOS IPSI"/>
    <s v="839000145-3"/>
    <s v="farmacias@asocabildosipsi.com"/>
    <s v="Carrera 15 No. 19-55 Barrio San Martin"/>
    <x v="11"/>
    <m/>
    <s v="Solicitud de Cotización de Medicamentos Monopolio del Estado-Radicado 202100000650872"/>
    <n v="202124100741182"/>
    <d v="2021-04-28T00:00:00"/>
    <x v="3"/>
    <n v="202124110717711"/>
    <d v="2021-05-10T00:00:00"/>
    <s v="ABR"/>
    <n v="-12"/>
    <s v="NEGADO"/>
    <s v="Se niega la solicitud porque el FRE departamental cuenta con los meicamentos"/>
    <s v="No. 002"/>
    <d v="2021-01-14T00:00:00"/>
    <s v="Meperidina HCl 100 mg/2mL Solución Inyectable_cajas X 10 unidades c/u"/>
    <n v="0"/>
    <n v="0"/>
    <x v="6"/>
    <x v="8"/>
    <x v="0"/>
    <x v="3"/>
    <x v="0"/>
  </r>
  <r>
    <x v="210"/>
    <s v="EVARISTO BARRIOS M"/>
    <s v="Quimico Farmacéutico"/>
    <s v="ASOCIACION DE CABILDOS Y/O AUTORIDADES TRADICIONALES DE LA GUAJIRA-ASOCABILDOS IPSI"/>
    <s v="839000145-3"/>
    <s v="farmacias@asocabildosipsi.com"/>
    <s v="Carrera 15 No. 19-55 Barrio San Martin"/>
    <x v="11"/>
    <m/>
    <s v="Solicitud de Cotización de Medicamentos Monopolio del Estado-Radicado 202100000650872"/>
    <n v="202124100741182"/>
    <d v="2021-04-28T00:00:00"/>
    <x v="3"/>
    <n v="202124110717711"/>
    <d v="2021-05-10T00:00:00"/>
    <s v="ABR"/>
    <n v="-12"/>
    <s v="NEGADO"/>
    <s v="Se niega la solicitud porque el FRE departamental cuenta con los meicamentos"/>
    <s v="No. 002"/>
    <d v="2021-01-14T00:00:00"/>
    <s v="Hidromorfona HCl 2,5 mg Tableta_cajas X 20 unidades c/u"/>
    <n v="0"/>
    <n v="0"/>
    <x v="1"/>
    <x v="9"/>
    <x v="4"/>
    <x v="4"/>
    <x v="0"/>
  </r>
  <r>
    <x v="211"/>
    <s v="PAULA ANDREA MORENO QUIROGA"/>
    <s v="Quimico Farmacéutico"/>
    <s v="HOSPITAL PABLO TOBÓN URIBE "/>
    <s v="890901826-2"/>
    <s v="pedidosfarmacia@hptu.org.co"/>
    <s v="CALLE 78B No. 69-240 "/>
    <x v="13"/>
    <s v="MEDELLIN"/>
    <s v="Solicitud Autorización Compra Directa de medicamentos del Estado"/>
    <n v="202124100732402"/>
    <d v="2021-04-29T00:00:00"/>
    <x v="3"/>
    <n v="202124110718631"/>
    <d v="2021-05-10T00:00:00"/>
    <s v="ABR"/>
    <n v="-11"/>
    <s v="AUTORIZADO"/>
    <s v="se modifican las cantidades autprizadas por baja disponibilidad"/>
    <s v="No. 2018060229292"/>
    <d v="2018-06-26T00:00:00"/>
    <s v="Morfina HCl 0,03 Solución Oral_frascos X 30 mL c/u"/>
    <n v="50"/>
    <n v="50"/>
    <x v="0"/>
    <x v="1"/>
    <x v="1"/>
    <x v="1"/>
    <x v="99"/>
  </r>
  <r>
    <x v="211"/>
    <s v="PAULA ANDREA MORENO QUIROGA"/>
    <s v="Quimico Farmacéutico"/>
    <s v="HOSPITAL PABLO TOBÓN URIBE "/>
    <s v="890901826-2"/>
    <s v="pedidosfarmacia@hptu.org.co"/>
    <s v="CALLE 78B No. 69-240 "/>
    <x v="13"/>
    <s v="MEDELLIN"/>
    <s v="Solicitud Autorización Compra Directa de medicamentos del Estado"/>
    <n v="202124100732402"/>
    <d v="2021-04-30T00:00:00"/>
    <x v="3"/>
    <n v="202124110718631"/>
    <d v="2021-05-10T00:00:00"/>
    <s v="ABR"/>
    <n v="-10"/>
    <s v="NEGADO"/>
    <s v="no hay disponibilidad"/>
    <s v="No. 2018060229292"/>
    <d v="2018-06-26T00:00:00"/>
    <s v="Morfina HCl 10 mg/mL Solución Inyectable ampolla por 1mL"/>
    <n v="0"/>
    <n v="0"/>
    <x v="0"/>
    <x v="0"/>
    <x v="0"/>
    <x v="0"/>
    <x v="0"/>
  </r>
  <r>
    <x v="212"/>
    <s v="LUISA FERNDANDA GARCIA"/>
    <s v="Representante Legal"/>
    <s v="CORPORACION MI IPS LLANOS ORIENTALES"/>
    <s v="822006818-7"/>
    <s v=" farmaciaipselparque@miips.com.co"/>
    <s v="Carrera 40 No. 32-06"/>
    <x v="6"/>
    <s v="VILLAVICENCIO"/>
    <s v="SOLICITUD DE COMPRA DIRECTA MEDICAMENTOS MONOPOLIO DEL ESTADO"/>
    <n v="202124100732342"/>
    <d v="2021-04-27T00:00:00"/>
    <x v="3"/>
    <n v="202124110638731"/>
    <d v="2021-05-10T00:00:00"/>
    <s v="ABR"/>
    <n v="-13"/>
    <s v="AUTORIZADO"/>
    <s v="Esta autorizacion fue reemplaza por  la solicitud 180  con radicado No 202124100642392. Por cambio de unidades en el pedido del solicitate. "/>
    <s v="No. 044"/>
    <d v="2021-03-26T00:00:00"/>
    <s v="Fenobarbital 50 mg Tableta_cajas X 30 unidades c/u"/>
    <n v="1200"/>
    <n v="40"/>
    <x v="5"/>
    <x v="12"/>
    <x v="4"/>
    <x v="2"/>
    <x v="33"/>
  </r>
  <r>
    <x v="212"/>
    <s v="LUISA FERNDANDA GARCIA"/>
    <s v="Representante Legal"/>
    <s v="CORPORACION MI IPS LLANOS ORIENTALES"/>
    <s v="822006818-7"/>
    <s v=" farmaciaipselparque@miips.com.co"/>
    <s v="Carrera 40 No. 32-06"/>
    <x v="6"/>
    <s v="VILLAVICENCIO"/>
    <s v="SOLICITUD DE COMPRA DIRECTA MEDICAMENTOS MONOPOLIO DEL ESTADO"/>
    <n v="202124100732342"/>
    <d v="2021-04-27T00:00:00"/>
    <x v="3"/>
    <n v="202124110638731"/>
    <d v="2021-05-10T00:00:00"/>
    <s v="ABR"/>
    <n v="-13"/>
    <s v="AUTORIZADO"/>
    <s v="Esta autorizacion fue reemplaza por  la solicitud 180  con radicado No 202124100642392. Por cambio de unidades en el pedido del solicitate. "/>
    <s v="No. 044"/>
    <d v="2021-03-26T00:00:00"/>
    <s v="Fenobarbital 100 mg Tableta_cajas X 30 unidades c/u"/>
    <n v="1200"/>
    <n v="40"/>
    <x v="5"/>
    <x v="7"/>
    <x v="4"/>
    <x v="2"/>
    <x v="33"/>
  </r>
  <r>
    <x v="212"/>
    <s v="LUISA FERNDANDA GARCIA"/>
    <s v="Representante Legal"/>
    <s v="CORPORACION MI IPS LLANOS ORIENTALES"/>
    <s v="822006818-7"/>
    <s v=" farmaciaipselparque@miips.com.co"/>
    <s v="Carrera 40 No. 32-06"/>
    <x v="6"/>
    <s v="VILLAVICENCIO"/>
    <s v="SOLICITUD DE COMPRA DIRECTA MEDICAMENTOS MONOPOLIO DEL ESTADO"/>
    <n v="202124100732342"/>
    <d v="2021-04-27T00:00:00"/>
    <x v="3"/>
    <n v="202124110638731"/>
    <d v="2021-05-10T00:00:00"/>
    <s v="ABR"/>
    <n v="-13"/>
    <s v="AUTORIZADO"/>
    <s v="Esta autorizacion fue reemplaza por  la solicitud 180  con radicado No 202124100642392. Por cambio de unidades en el pedido del solicitate. "/>
    <s v="No. 044"/>
    <d v="2021-03-26T00:00:00"/>
    <s v="Morfina HCl 0,03 Solución Oral_frascos X 30 mL c/u"/>
    <n v="18"/>
    <n v="18"/>
    <x v="0"/>
    <x v="1"/>
    <x v="1"/>
    <x v="1"/>
    <x v="134"/>
  </r>
  <r>
    <x v="212"/>
    <s v="LUISA FERNDANDA GARCIA"/>
    <s v="Representante Legal"/>
    <s v="CORPORACION MI IPS LLANOS ORIENTALES"/>
    <s v="822006818-7"/>
    <s v=" farmaciaipselparque@miips.com.co"/>
    <s v="Carrera 40 No. 32-06"/>
    <x v="6"/>
    <s v="VILLAVICENCIO"/>
    <s v="SOLICITUD DE COMPRA DIRECTA MEDICAMENTOS MONOPOLIO DEL ESTADO"/>
    <n v="202124100732342"/>
    <d v="2021-04-27T00:00:00"/>
    <x v="3"/>
    <n v="202124110638731"/>
    <d v="2021-05-10T00:00:00"/>
    <s v="ABR"/>
    <n v="-13"/>
    <s v="AUTORIZADO"/>
    <s v="Esta autorizacion fue reemplaza por  la solicitud 180  con radicado No 202124100642392. Por cambio de unidades en el pedido del solicitate. "/>
    <s v="No. 044"/>
    <d v="2021-03-26T00:00:00"/>
    <s v="Morfina HCl 10 mg/mL Solución Inyectable ampolla por 1mL"/>
    <n v="80"/>
    <n v="8"/>
    <x v="0"/>
    <x v="0"/>
    <x v="0"/>
    <x v="0"/>
    <x v="122"/>
  </r>
  <r>
    <x v="212"/>
    <s v="LUISA FERNDANDA GARCIA"/>
    <s v="Representante Legal"/>
    <s v="CORPORACION MI IPS LLANOS ORIENTALES"/>
    <s v="822006818-7"/>
    <s v=" farmaciaipselparque@miips.com.co"/>
    <s v="Carrera 40 No. 32-06"/>
    <x v="6"/>
    <s v="VILLAVICENCIO"/>
    <s v="SOLICITUD DE COMPRA DIRECTA MEDICAMENTOS MONOPOLIO DEL ESTADO"/>
    <n v="202124100732342"/>
    <d v="2021-04-27T00:00:00"/>
    <x v="3"/>
    <n v="202124110638731"/>
    <d v="2021-05-10T00:00:00"/>
    <s v="ABR"/>
    <n v="-13"/>
    <s v="AUTORIZADO"/>
    <s v="Esta autorizacion fue reemplaza por  la solicitud 180  con radicado No 202124100642392. Por cambio de unidades en el pedido del solicitate. "/>
    <s v="No. 044"/>
    <d v="2021-03-26T00:00:00"/>
    <s v="Metilfenidato HCl 10 mg Comprimido_cajas X 30 unidades c/u"/>
    <n v="900"/>
    <n v="30"/>
    <x v="4"/>
    <x v="3"/>
    <x v="3"/>
    <x v="2"/>
    <x v="56"/>
  </r>
  <r>
    <x v="212"/>
    <s v="LUISA FERNDANDA GARCIA"/>
    <s v="Representante Legal"/>
    <s v="CORPORACION MI IPS LLANOS ORIENTALES"/>
    <s v="822006818-7"/>
    <s v=" farmaciaipselparque@miips.com.co"/>
    <s v="Carrera 40 No. 32-06"/>
    <x v="6"/>
    <s v="VILLAVICENCIO"/>
    <s v="SOLICITUD DE COMPRA DIRECTA MEDICAMENTOS MONOPOLIO DEL ESTADO"/>
    <n v="202124100732342"/>
    <d v="2021-04-27T00:00:00"/>
    <x v="3"/>
    <n v="202124110638731"/>
    <d v="2021-05-10T00:00:00"/>
    <s v="ABR"/>
    <n v="-13"/>
    <s v="AUTORIZADO"/>
    <s v="Esta autorizacion fue reemplaza por  la solicitud 180  con radicado No 202124100642392. Por cambio de unidades en el pedido del solicitate. "/>
    <s v="No. 044"/>
    <d v="2021-03-26T00:00:00"/>
    <s v="Fenobarbital 0,4% Solución Oral_frascos X 120 mL c/u"/>
    <n v="8"/>
    <n v="8"/>
    <x v="5"/>
    <x v="11"/>
    <x v="1"/>
    <x v="6"/>
    <x v="135"/>
  </r>
  <r>
    <x v="213"/>
    <s v="ERNESTO ESTRADA DEAVILA"/>
    <s v="Representante Legal"/>
    <s v="IPS CUIDADO SEGURO EN CASA S.A."/>
    <s v="900980728-1"/>
    <s v="vgarcia@cuidadoseguro.com.co"/>
    <s v="Carrera 63 a No. 30-19"/>
    <x v="2"/>
    <s v="CARTAGENA"/>
    <s v="AUTORIZACIÓN COMPRA DIRECTA DE MEDICAMENTOS MONOPOLIO DEL ESTADO"/>
    <n v="202124100724002"/>
    <d v="2021-05-07T00:00:00"/>
    <x v="4"/>
    <n v="202124110718711"/>
    <d v="2021-05-10T00:00:00"/>
    <s v="MAY"/>
    <n v="-3"/>
    <s v="NEGADO"/>
    <s v="Se niega solicitud porque el FRE ya cuenta con los medicamentos"/>
    <s v="No. 1062"/>
    <d v="2018-06-24T00:00:00"/>
    <s v="Morfina HCl 10 mg/mL Solución Inyectable ampolla por 1mL"/>
    <n v="0"/>
    <n v="0"/>
    <x v="0"/>
    <x v="0"/>
    <x v="0"/>
    <x v="0"/>
    <x v="0"/>
  </r>
  <r>
    <x v="213"/>
    <s v="ERNESTO ESTRADA DEAVILA"/>
    <s v="Representante Legal"/>
    <s v="IPS CUIDADO SEGURO EN CASA S.A."/>
    <s v="900980728-1"/>
    <s v="vgarcia@cuidadoseguro.com.co"/>
    <s v="Carrera 63 a No. 30-19"/>
    <x v="2"/>
    <s v="CARTAGENA"/>
    <s v="AUTORIZACIÓN COMPRA DIRECTA DE MEDICAMENTOS MONOPOLIO DEL ESTADO"/>
    <n v="202124100724002"/>
    <d v="2021-05-07T00:00:00"/>
    <x v="4"/>
    <n v="202124110718711"/>
    <d v="2021-05-10T00:00:00"/>
    <s v="MAY"/>
    <n v="-3"/>
    <s v="NEGADO"/>
    <s v="Se niega solicitud porque el FRE ya cuenta con los medicamentos"/>
    <s v="No. 1062"/>
    <d v="2018-06-24T00:00:00"/>
    <s v="Morfina HCl 0,03 Solución Oral_frascos X 30 mL c/u"/>
    <n v="0"/>
    <n v="0"/>
    <x v="0"/>
    <x v="1"/>
    <x v="1"/>
    <x v="1"/>
    <x v="0"/>
  </r>
  <r>
    <x v="213"/>
    <s v="ERNESTO ESTRADA DEAVILA"/>
    <s v="Representante Legal"/>
    <s v="IPS CUIDADO SEGURO EN CASA S.A."/>
    <s v="900980728-1"/>
    <s v="vgarcia@cuidadoseguro.com.co"/>
    <s v="Carrera 63 a No. 30-19"/>
    <x v="2"/>
    <s v="CARTAGENA"/>
    <s v="AUTORIZACIÓN COMPRA DIRECTA DE MEDICAMENTOS MONOPOLIO DEL ESTADO"/>
    <n v="202124100724002"/>
    <d v="2021-05-07T00:00:00"/>
    <x v="4"/>
    <n v="202124110718711"/>
    <d v="2021-05-10T00:00:00"/>
    <s v="MAY"/>
    <n v="-3"/>
    <s v="NEGADO"/>
    <s v="Se niega solicitud porque el FRE ya cuenta con los medicamentos"/>
    <s v="No. 1062"/>
    <d v="2018-06-24T00:00:00"/>
    <s v="Hidromorfona HCl 2 mg/mL Solución Inyectable_cajas X 10 unidades c/u"/>
    <n v="0"/>
    <n v="0"/>
    <x v="1"/>
    <x v="2"/>
    <x v="0"/>
    <x v="0"/>
    <x v="0"/>
  </r>
  <r>
    <x v="214"/>
    <s v="ANIBAL ARNEDO"/>
    <s v="Director Técnico"/>
    <s v="Suministros y Dotaciones Colombia S.A"/>
    <s v="802000608-7"/>
    <s v="quimicobta@syd.com.co"/>
    <s v="Av. Calle 24 No. 95-12 Bodega 26 Parque Ind. Portos"/>
    <x v="9"/>
    <s v="BOGOTA, D.C."/>
    <s v="Compra de medicamentos monopolio del estado"/>
    <n v="202124100708332"/>
    <d v="2021-05-10T00:00:00"/>
    <x v="4"/>
    <n v="202124110718771"/>
    <d v="2021-05-10T00:00:00"/>
    <s v="MAY"/>
    <n v="0"/>
    <s v="NEGADO"/>
    <s v="No se allegan los docuemtentos requeridos para el tramite"/>
    <s v="No. 250"/>
    <d v="2017-05-15T00:00:00"/>
    <s v="Fenobarbital 0,4% Solución Oral_frascos X 120 mL c/u"/>
    <n v="0"/>
    <n v="0"/>
    <x v="5"/>
    <x v="11"/>
    <x v="1"/>
    <x v="6"/>
    <x v="0"/>
  </r>
  <r>
    <x v="215"/>
    <s v="Yira Arzusa Vasquez"/>
    <s v="Coordinadora Servicio Farmacéutico"/>
    <s v="Clínica Blas de Lezo sede Megaurgencias"/>
    <s v="890400693-1"/>
    <s v="blmucoordfarma@clinicablasdelezo.com.co"/>
    <s v="Avenida El Bosque Transversal 54 No. 40-129"/>
    <x v="2"/>
    <s v="CARTAGENA"/>
    <s v="Solicitud de compra directa y traslado MORFINA AMPOLLA"/>
    <n v="202124100706412"/>
    <d v="2021-05-11T00:00:00"/>
    <x v="4"/>
    <n v="202124110718801"/>
    <d v="2021-05-10T00:00:00"/>
    <s v="MAY"/>
    <n v="1"/>
    <s v="NEGADO"/>
    <s v=" Se negó la autorización, porque el FRE departamental cuenta con el medicamento."/>
    <s v="No. 966"/>
    <d v="2012-07-10T00:00:00"/>
    <s v="Morfina HCl 10 mg/mL Solución Inyectable ampolla por 1mL"/>
    <n v="0"/>
    <n v="0"/>
    <x v="0"/>
    <x v="0"/>
    <x v="0"/>
    <x v="0"/>
    <x v="0"/>
  </r>
  <r>
    <x v="216"/>
    <s v="JOHN JAIME ZAPATA FERIA"/>
    <s v="Director Tecnico"/>
    <s v="Suministros y Dotaciones de Colombia S.A"/>
    <s v="802000608-7"/>
    <s v="johnjaimezapata01@gmail.com"/>
    <s v="Calle 15 No 7-95"/>
    <x v="14"/>
    <s v="YOPAL"/>
    <s v="Cotizacion de MCE monopolio del estado"/>
    <n v="202124100826702"/>
    <d v="2021-05-10T00:00:00"/>
    <x v="4"/>
    <n v="202124110722491"/>
    <d v="2021-05-10T00:00:00"/>
    <s v="MAY"/>
    <n v="0"/>
    <s v="NEGADO"/>
    <s v="EL FRE CUENTA CON UNIDADES DISPONIBES DE ESTOS MEDICAMENTOS"/>
    <s v="No. 028"/>
    <d v="2021-01-27T00:00:00"/>
    <s v="Morfina HCl 10 mg/mL Solución Inyectable ampolla por 5mL"/>
    <n v="0"/>
    <n v="0"/>
    <x v="0"/>
    <x v="16"/>
    <x v="0"/>
    <x v="12"/>
    <x v="0"/>
  </r>
  <r>
    <x v="217"/>
    <s v="ELVER RUIDIAZ TERRAZA"/>
    <s v="Director Tecnico"/>
    <s v="SUPLYMEDICAL S.A.S"/>
    <s v="900397985-8"/>
    <s v="acelis@minsalud.gov.co"/>
    <s v="NO DISPONIBLE"/>
    <x v="4"/>
    <s v="SANTA MARTA"/>
    <s v="COTIZACION Y AUTORIZACION DE COMPRA"/>
    <n v="202142300794562"/>
    <d v="2021-05-05T00:00:00"/>
    <x v="4"/>
    <n v="202124110704021"/>
    <d v="2021-05-10T00:00:00"/>
    <s v="MAY"/>
    <n v="-5"/>
    <s v="AUTORIZADO"/>
    <s v="no hay docuemtos "/>
    <s v="no reporta"/>
    <s v="NO DISPONIBLE"/>
    <m/>
    <m/>
    <s v=""/>
    <x v="9"/>
    <x v="17"/>
    <x v="9"/>
    <x v="13"/>
    <x v="0"/>
  </r>
  <r>
    <x v="218"/>
    <s v="ALEXANDRA MOSQUERA TOVAR"/>
    <s v="Auxiliar Administrativa"/>
    <s v="E.S.E HOSPITAL UNIVERSITARIO HERNANDO MONCALEANO PERDOMO"/>
    <s v="891180268-0"/>
    <s v="alexandra.mosquera@huhmp.gov.co"/>
    <s v="Calle 9 Nº15-25 "/>
    <x v="7"/>
    <s v="NEIVA"/>
    <s v="SOLICITUD DE COTIZACION DE MEDICAMENTOS DE MONOPOLIO DEL ESTADO"/>
    <n v="202124100799152"/>
    <d v="2021-05-06T00:00:00"/>
    <x v="4"/>
    <n v="202124110718611"/>
    <m/>
    <s v="MAY"/>
    <n v="44322"/>
    <s v="AUTORIZADO"/>
    <s v="se dio respuesta con el radicado 202124110718611"/>
    <s v="No. 483"/>
    <d v="2017-04-05T00:00:00"/>
    <s v="Morfina HCl 0,03 Solución Oral_frascos X 30 mL c/u"/>
    <n v="20"/>
    <n v="20"/>
    <x v="0"/>
    <x v="1"/>
    <x v="1"/>
    <x v="1"/>
    <x v="138"/>
  </r>
  <r>
    <x v="218"/>
    <s v="ALEXANDRA MOSQUERA TOVAR"/>
    <s v="Auxiliar Administrativa"/>
    <s v="E.S.E HOSPITAL UNIVERSITARIO HERNANDO MONCALEANO PERDOMO"/>
    <s v="891180268-0"/>
    <s v="alexandra.mosquera@huhmp.gov.co"/>
    <s v="Calle 9 Nº15-25 "/>
    <x v="7"/>
    <s v="NEIVA"/>
    <s v="SOLICITUD DE COTIZACION DE MEDICAMENTOS DE MONOPOLIO DEL ESTADO"/>
    <n v="202124100799152"/>
    <d v="2021-05-06T00:00:00"/>
    <x v="4"/>
    <n v="202124110718611"/>
    <m/>
    <s v="MAY"/>
    <n v="44322"/>
    <s v="AUTORIZADO"/>
    <s v="se dio respuesta con el radicado 202124110718611"/>
    <s v="No. 483"/>
    <d v="2017-04-05T00:00:00"/>
    <s v="Meperidina HCl 100 mg/2mL Solución Inyectable_cajas X 10 unidades c/u"/>
    <n v="600"/>
    <n v="60"/>
    <x v="6"/>
    <x v="8"/>
    <x v="0"/>
    <x v="3"/>
    <x v="139"/>
  </r>
  <r>
    <x v="219"/>
    <s v="SIRLEY MILENA ALVARADO SALCEDO"/>
    <s v="secretaria"/>
    <s v="E.S.E CENTRO DE SALUD SAMUEL VILLANUEVA VALEST"/>
    <s v="819004280-5"/>
    <s v="contactenos@esesamuelvillanueva.gov.co"/>
    <s v="Calle 7 No 7-39"/>
    <x v="4"/>
    <s v="EL BANCO"/>
    <s v="Solicitud de cotización de medicamentos de control especial"/>
    <n v="202124100802382"/>
    <d v="2021-05-06T00:00:00"/>
    <x v="4"/>
    <n v="202124110770651"/>
    <d v="2021-05-24T00:00:00"/>
    <s v="MAY"/>
    <n v="-18"/>
    <s v="NEGADO"/>
    <s v="No se allegan los docuemtentos requeridos para el tramite"/>
    <s v="no reporta"/>
    <s v="NO DISPONIBLE"/>
    <s v="Meperidina HCl 100 mg/2mL Solución Inyectable_cajas X 10 unidades c/u"/>
    <n v="0"/>
    <n v="0"/>
    <x v="6"/>
    <x v="8"/>
    <x v="0"/>
    <x v="3"/>
    <x v="0"/>
  </r>
  <r>
    <x v="219"/>
    <s v="SIRLEY MILENA ALVARADO SALCEDO"/>
    <s v="secretaria"/>
    <s v="E.S.E CENTRO DE SALUD SAMUEL VILLANUEVA VALEST"/>
    <s v="819004280-5"/>
    <s v="contactenos@esesamuelvillanueva.gov.co"/>
    <s v="Calle 7 No 7-39"/>
    <x v="4"/>
    <s v="EL BANCO"/>
    <s v="Solicitud de cotización de medicamentos de control especial"/>
    <n v="202124100802382"/>
    <d v="2021-05-06T00:00:00"/>
    <x v="4"/>
    <n v="202124110770651"/>
    <d v="2021-05-24T00:00:00"/>
    <s v="MAY"/>
    <n v="-18"/>
    <s v="NEGADO"/>
    <s v="No se allegan los docuemtentos requeridos para el tramite"/>
    <s v="no reporta"/>
    <s v="NO DISPONIBLE"/>
    <s v="Morfina HCl 10 mg/mL Solución Inyectable ampolla por 1mL"/>
    <n v="0"/>
    <n v="0"/>
    <x v="0"/>
    <x v="0"/>
    <x v="0"/>
    <x v="0"/>
    <x v="0"/>
  </r>
  <r>
    <x v="219"/>
    <s v="SIRLEY MILENA ALVARADO SALCEDO"/>
    <s v="secretaria"/>
    <s v="E.S.E CENTRO DE SALUD SAMUEL VILLANUEVA VALEST"/>
    <s v="819004280-5"/>
    <s v="contactenos@esesamuelvillanueva.gov.co"/>
    <s v="Calle 7 No 7-39"/>
    <x v="4"/>
    <s v="EL BANCO"/>
    <s v="Solicitud de cotización de medicamentos de control especial"/>
    <n v="202124100802382"/>
    <d v="2021-05-06T00:00:00"/>
    <x v="4"/>
    <n v="202124110770651"/>
    <d v="2021-05-24T00:00:00"/>
    <s v="MAY"/>
    <n v="-18"/>
    <s v="NEGADO"/>
    <s v="No se allegan los docuemtentos requeridos para el tramite"/>
    <s v="no reporta"/>
    <s v="NO DISPONIBLE"/>
    <s v="Fenobarbital Sódico 40 mg/mL Solución Inyectable_caja X 10 ampollas c/u"/>
    <n v="0"/>
    <n v="0"/>
    <x v="3"/>
    <x v="6"/>
    <x v="0"/>
    <x v="0"/>
    <x v="0"/>
  </r>
  <r>
    <x v="220"/>
    <s v="ESTEBAN LÓPEZ BURBANO"/>
    <s v="Director Técnico"/>
    <s v="E.S.E HOSPITAL LOCAL"/>
    <s v="846000253-6"/>
    <s v="farmacia@esehospitallocal.gov.co"/>
    <s v="Carrera 29 #10-10"/>
    <x v="5"/>
    <s v="PUERTO ASIS"/>
    <s v="COTIZACIÓN MEDICAMENTOS"/>
    <n v="202124100812532"/>
    <d v="2021-05-07T00:00:00"/>
    <x v="4"/>
    <n v="202124110795281"/>
    <d v="2021-05-25T00:00:00"/>
    <s v="MAY"/>
    <n v="-18"/>
    <s v="NEGADO"/>
    <m/>
    <s v="No.007"/>
    <d v="2021-01-20T00:00:00"/>
    <s v="Fenobarbital 0,4% Solución Oral_frascos X 120 mL c/u"/>
    <n v="0"/>
    <n v="0"/>
    <x v="5"/>
    <x v="11"/>
    <x v="1"/>
    <x v="6"/>
    <x v="0"/>
  </r>
  <r>
    <x v="221"/>
    <s v="EIMAR ALBERTO CAICEDO "/>
    <s v="Director Tecnico"/>
    <s v="CLINICA ZAYMA S.A.S"/>
    <s v="800074112-6"/>
    <s v="quimico.sfi@clinicazayma.org"/>
    <s v="Calle 28 No. 7 -11"/>
    <x v="1"/>
    <s v="MONTERIA"/>
    <s v="solicitud de medicamentos de control"/>
    <n v="202124100812802"/>
    <d v="2021-05-07T00:00:00"/>
    <x v="4"/>
    <n v="202124110770701"/>
    <d v="2021-05-18T00:00:00"/>
    <s v="MAY"/>
    <n v="-11"/>
    <s v="NEGADO"/>
    <s v="No se allegan los docuemtentos requeridos para el tramite"/>
    <s v="no reporta"/>
    <s v="NO DISPONIBLE"/>
    <s v="Morfina HCl 10 mg/mL Solución Inyectable ampolla por 1mL"/>
    <n v="0"/>
    <n v="0"/>
    <x v="0"/>
    <x v="0"/>
    <x v="0"/>
    <x v="0"/>
    <x v="0"/>
  </r>
  <r>
    <x v="222"/>
    <s v="CARLOS ANDRES ALVAREZ CORREA"/>
    <s v="Coordinado de Servicios Farmaceuticos"/>
    <s v="SERVICIOS DE SALUD IPS SURAMERICANA S.A.S. "/>
    <s v="811007832-5"/>
    <s v="jquintana@sura.com.co"/>
    <s v="Calle 49B # 63 21"/>
    <x v="13"/>
    <s v="MEDELLIN"/>
    <s v="Solicitud de compra morfina 10 mg IPS Suramericana"/>
    <n v="202124100815972"/>
    <d v="2021-05-07T00:00:00"/>
    <x v="4"/>
    <n v="202124110770731"/>
    <m/>
    <s v="MAY"/>
    <n v="44323"/>
    <s v="AUTORIZADO"/>
    <m/>
    <s v="No. 2018060232778"/>
    <d v="2018-07-19T00:00:00"/>
    <s v="Morfina HCl 10 mg/mL Solución Inyectable ampolla por 1mL"/>
    <n v="5000"/>
    <n v="500"/>
    <x v="0"/>
    <x v="0"/>
    <x v="0"/>
    <x v="0"/>
    <x v="141"/>
  </r>
  <r>
    <x v="223"/>
    <s v="WILLIAM LASSO OJEDA"/>
    <s v="Regente de Farmacia"/>
    <s v="Éticos UT 2020 Farmacia 10559 Palmira"/>
    <s v="NO DISPONIBLE"/>
    <s v="farmacia10559@eticos.com"/>
    <s v="Batallón de ingenieros Cr Agustín Codazzi"/>
    <x v="15"/>
    <m/>
    <s v="Soliciud de cotizacion de mediacamentos de control especial"/>
    <n v="202124100819562"/>
    <d v="2021-05-10T00:00:00"/>
    <x v="4"/>
    <n v="202124110812911"/>
    <d v="2021-05-25T00:00:00"/>
    <s v="MAY"/>
    <n v="-15"/>
    <s v="NEGADO"/>
    <s v="No se allegan los docuemtentos requeridos para el tramite"/>
    <s v="no reporta"/>
    <s v="NO DISPONIBLE"/>
    <s v="Hidromorfona HCl 2,5 mg Tableta_cajas X 20 unidades c/u"/>
    <n v="0"/>
    <n v="0"/>
    <x v="1"/>
    <x v="9"/>
    <x v="4"/>
    <x v="4"/>
    <x v="0"/>
  </r>
  <r>
    <x v="223"/>
    <s v="WILLIAM LASSO OJEDA"/>
    <s v="Regente de Farmacia"/>
    <s v="Éticos UT 2020 Farmacia 10559 Palmira"/>
    <s v="NO DISPONIBLE"/>
    <s v="farmacia10559@eticos.com"/>
    <s v="Batallón de ingenieros Cr Agustín Codazzi"/>
    <x v="15"/>
    <m/>
    <s v="Soliciud de cotizacion de mediacamentos de control especial"/>
    <n v="202124100819562"/>
    <d v="2021-05-10T00:00:00"/>
    <x v="4"/>
    <n v="202124110812911"/>
    <d v="2021-05-25T00:00:00"/>
    <s v="MAY"/>
    <n v="-15"/>
    <s v="NEGADO"/>
    <s v="No se allegan los docuemtentos requeridos para el tramite"/>
    <s v="no reporta"/>
    <s v="NO DISPONIBLE"/>
    <s v="Fenobarbital 100 mg Tableta_cajas X 30 unidades c/u"/>
    <n v="0"/>
    <n v="0"/>
    <x v="5"/>
    <x v="7"/>
    <x v="4"/>
    <x v="2"/>
    <x v="0"/>
  </r>
  <r>
    <x v="224"/>
    <s v="DARLYNTON MIRANDA"/>
    <s v="Regente de Farmacia"/>
    <s v="ETICOS SERRANO GOMEZ LTDA"/>
    <s v="892300678-2"/>
    <s v="dispensario686@drogaslaeconomia.com"/>
    <s v="Carrera 32 No 16-13 local 6"/>
    <x v="4"/>
    <s v="SANTA MARTA"/>
    <s v="COMPRA DE MEDICAMENTOS PARA EL FONDO NACIONAL DE ESTUPEFACIENTES"/>
    <n v="202124100821582"/>
    <d v="2021-05-10T00:00:00"/>
    <x v="4"/>
    <n v="202124110716521"/>
    <d v="2021-05-10T00:00:00"/>
    <s v="MAY"/>
    <n v="0"/>
    <s v="AUTORIZADO"/>
    <s v="La solicitud esta duplicada a la radicada con numero 202124100693992"/>
    <s v="No. 616"/>
    <d v="2018-03-08T00:00:00"/>
    <s v="Fenobarbital 100 mg Tableta_cajas X 30 unidades c/u"/>
    <n v="3000"/>
    <n v="100"/>
    <x v="5"/>
    <x v="7"/>
    <x v="4"/>
    <x v="2"/>
    <x v="32"/>
  </r>
  <r>
    <x v="224"/>
    <s v="DARLYNTON MIRANDA"/>
    <s v="Regente de Farmacia"/>
    <s v="ETICOS SERRANO GOMEZ LTDA"/>
    <s v="892300678-2"/>
    <s v="dispensario686@drogaslaeconomia.com"/>
    <s v="Carrera 32 No 16-13 local 6"/>
    <x v="4"/>
    <s v="SANTA MARTA"/>
    <s v="COMPRA DE MEDICAMENTOS PARA EL FONDO NACIONAL DE ESTUPEFACIENTES"/>
    <n v="202124100821582"/>
    <d v="2021-05-10T00:00:00"/>
    <x v="4"/>
    <n v="202124110716521"/>
    <d v="2021-05-10T00:00:00"/>
    <s v="MAY"/>
    <n v="0"/>
    <s v="AUTORIZADO"/>
    <s v="La solicitud esta duplicada a la radicada con numero 202124100693992"/>
    <s v="No. 616"/>
    <d v="2018-03-08T00:00:00"/>
    <s v="Metilfenidato HCl 10 mg Comprimido_cajas X 30 unidades c/u"/>
    <n v="120"/>
    <n v="4"/>
    <x v="4"/>
    <x v="3"/>
    <x v="3"/>
    <x v="2"/>
    <x v="110"/>
  </r>
  <r>
    <x v="224"/>
    <s v="DARLYNTON MIRANDA"/>
    <s v="Regente de Farmacia"/>
    <s v="ETICOS SERRANO GOMEZ LTDA"/>
    <s v="892300678-2"/>
    <s v="dispensario686@drogaslaeconomia.com"/>
    <s v="Carrera 32 No 16-13 local 6"/>
    <x v="4"/>
    <s v="SANTA MARTA"/>
    <s v="COMPRA DE MEDICAMENTOS PARA EL FONDO NACIONAL DE ESTUPEFACIENTES"/>
    <n v="202124100821582"/>
    <d v="2021-05-10T00:00:00"/>
    <x v="4"/>
    <n v="202124110716521"/>
    <d v="2021-05-10T00:00:00"/>
    <s v="MAY"/>
    <n v="0"/>
    <s v="AUTORIZADO"/>
    <s v="La solicitud esta duplicada a la radicada con numero 202124100693992"/>
    <s v="No. 616"/>
    <d v="2018-03-08T00:00:00"/>
    <s v="Morfina HCl 0,03 Solución Oral_frascos X 30 mL c/u"/>
    <n v="5"/>
    <n v="5"/>
    <x v="0"/>
    <x v="1"/>
    <x v="1"/>
    <x v="1"/>
    <x v="6"/>
  </r>
  <r>
    <x v="225"/>
    <s v="JOHN JAIME ZAPATA FERIA"/>
    <s v="Director Tecnico"/>
    <s v="Suministros y Dotaciones de Colombia S.A"/>
    <s v="802000608-7"/>
    <s v="johnjaimezapata01@gmail.com"/>
    <s v="Calle 15 No 7-95"/>
    <x v="14"/>
    <s v="YOPAL"/>
    <s v="Solicitud cotización MEC monopolio"/>
    <n v="202124100825032"/>
    <d v="2021-05-10T00:00:00"/>
    <x v="4"/>
    <n v="202124110722491"/>
    <d v="2021-05-25T00:00:00"/>
    <s v="MAY"/>
    <n v="-15"/>
    <s v="NEGADO"/>
    <s v="EL FRE CUENTA CON UNIDADES DISPONIBES DE ESTOS MEDICAMENTOS"/>
    <s v="No. 028"/>
    <d v="2021-01-27T00:00:00"/>
    <s v="Morfina HCl 10 mg/mL Solución Inyectable ampolla por 5mL"/>
    <n v="0"/>
    <n v="0"/>
    <x v="0"/>
    <x v="16"/>
    <x v="0"/>
    <x v="12"/>
    <x v="0"/>
  </r>
  <r>
    <x v="226"/>
    <s v="CLAUDIA MILENA MARTÍNEZ CAMPO"/>
    <s v="Representante legal"/>
    <s v="SERVICIOS INTEGRALES DE SALUD DEL MAGDALENA S.A.S"/>
    <s v="900018045-5"/>
    <s v="serviciosintegrales_saludmagdale@yahoo.com"/>
    <s v="Carrera 19 No. 26B – 53 Barrio los naranjos"/>
    <x v="4"/>
    <s v="SANTA MARTA"/>
    <s v="AUTORIZACION PARA COMPRA DIRECTA - SISM SAS NIT 900.018.045-5"/>
    <n v="202124100826672"/>
    <d v="2021-05-10T00:00:00"/>
    <x v="4"/>
    <n v="202124110716621"/>
    <d v="2021-05-10T00:00:00"/>
    <s v="MAY"/>
    <n v="0"/>
    <s v="NEGADO"/>
    <m/>
    <s v="No. 4125"/>
    <d v="2017-12-12T00:00:00"/>
    <s v="Fenobarbital 100 mg Tableta_cajas X 30 unidades c/u"/>
    <n v="0"/>
    <n v="0"/>
    <x v="5"/>
    <x v="7"/>
    <x v="4"/>
    <x v="2"/>
    <x v="0"/>
  </r>
  <r>
    <x v="226"/>
    <s v="CLAUDIA MILENA MARTÍNEZ CAMPO"/>
    <s v="Representante legal"/>
    <s v="SERVICIOS INTEGRALES DE SALUD DEL MAGDALENA S.A.S"/>
    <s v="900018045-5"/>
    <s v="serviciosintegrales_saludmagdale@yahoo.com"/>
    <s v="Carrera 19 No. 26B – 53 Barrio los naranjos"/>
    <x v="4"/>
    <s v="SANTA MARTA"/>
    <s v="AUTORIZACION PARA COMPRA DIRECTA - SISM SAS NIT 900.018.045-5"/>
    <n v="202124100826672"/>
    <d v="2021-05-10T00:00:00"/>
    <x v="4"/>
    <n v="202124110716621"/>
    <d v="2021-05-10T00:00:00"/>
    <s v="MAY"/>
    <n v="0"/>
    <s v="NEGADO"/>
    <m/>
    <s v="No. 4125"/>
    <d v="2017-12-12T00:00:00"/>
    <s v="Morfina HCl 0,03 Solución Oral_frascos X 30 mL c/u"/>
    <n v="0"/>
    <n v="0"/>
    <x v="0"/>
    <x v="1"/>
    <x v="1"/>
    <x v="1"/>
    <x v="0"/>
  </r>
  <r>
    <x v="227"/>
    <s v="ZAMIRA COGOLLO CORDERO"/>
    <s v="Quimico Farmacéutico"/>
    <s v="INSTITUTO MEDICO DE ALTA TECNOLOGIA S.A.S"/>
    <s v="901085352-0"/>
    <s v="suministros02@imatsas.com"/>
    <s v="Calle 72 No. 6A-87"/>
    <x v="1"/>
    <s v="MONTERIA"/>
    <s v="SOLICITUD COMPRA DE MEDICAMENTOS 10-05-2021 ZONA FRANCA IMAT SAS"/>
    <n v="202124100826882"/>
    <d v="2021-05-10T00:00:00"/>
    <x v="4"/>
    <n v="202124110795221"/>
    <d v="2021-05-24T00:00:00"/>
    <s v="MAY"/>
    <n v="-14"/>
    <s v="AUTORIZADO"/>
    <m/>
    <s v="No. 0670"/>
    <d v="2019-12-30T00:00:00"/>
    <s v="Morfina HCl 10 mg/mL Solución Inyectable ampolla por 1mL"/>
    <n v="2000"/>
    <n v="200"/>
    <x v="0"/>
    <x v="0"/>
    <x v="0"/>
    <x v="0"/>
    <x v="55"/>
  </r>
  <r>
    <x v="227"/>
    <s v="ZAMIRA COGOLLO CORDERO"/>
    <s v="Quimico Farmacéutico"/>
    <s v="INSTITUTO MEDICO DE ALTA TECNOLOGIA S.A.S"/>
    <s v="901085352-0"/>
    <s v="suministros02@imatsas.com"/>
    <s v="Calle 72 No. 6A-87"/>
    <x v="1"/>
    <s v="MONTERIA"/>
    <s v="SOLICITUD COMPRA DE MEDICAMENTOS 10-05-2021 ZONA FRANCA IMAT SAS"/>
    <n v="202124100826882"/>
    <d v="2021-05-10T00:00:00"/>
    <x v="4"/>
    <n v="202124110795221"/>
    <d v="2021-05-24T00:00:00"/>
    <s v="MAY"/>
    <n v="-14"/>
    <s v="NEGADO"/>
    <s v="no hay disponibilidad"/>
    <s v="No. 0670"/>
    <d v="2019-12-30T00:00:00"/>
    <s v="Hidromorfona HCl 2 mg/mL Solución Inyectable_cajas X 10 unidades c/u"/>
    <n v="0"/>
    <n v="0"/>
    <x v="1"/>
    <x v="2"/>
    <x v="0"/>
    <x v="0"/>
    <x v="0"/>
  </r>
  <r>
    <x v="227"/>
    <s v="ZAMIRA COGOLLO CORDERO"/>
    <s v="Quimico Farmacéutico"/>
    <s v="INSTITUTO MEDICO DE ALTA TECNOLOGIA S.A.S"/>
    <s v="901085352-0"/>
    <s v="suministros02@imatsas.com"/>
    <s v="Calle 72 No. 6A-87"/>
    <x v="1"/>
    <s v="MONTERIA"/>
    <s v="SOLICITUD COMPRA DE MEDICAMENTOS 10-05-2021 ZONA FRANCA IMAT SAS"/>
    <n v="202124100826882"/>
    <d v="2021-05-10T00:00:00"/>
    <x v="4"/>
    <n v="202124110795221"/>
    <d v="2021-05-24T00:00:00"/>
    <s v="MAY"/>
    <n v="-14"/>
    <s v="AUTORIZADO"/>
    <m/>
    <s v="No. 0670"/>
    <d v="2019-12-30T00:00:00"/>
    <s v="Hidromorfona HCl 2,5 mg Tableta_cajas X 20 unidades c/u"/>
    <n v="500"/>
    <n v="25"/>
    <x v="1"/>
    <x v="9"/>
    <x v="4"/>
    <x v="4"/>
    <x v="13"/>
  </r>
  <r>
    <x v="228"/>
    <s v="VICTOR AVILA LAGARES"/>
    <s v="Quimico Farmacéutico"/>
    <s v="MEDICINA INTEGRAL S.A"/>
    <s v="800250634-3"/>
    <s v="victor.avila@medicinaintegralsa.com"/>
    <s v="Calle 44 No. 14-282 Barrio Portal de Almeria"/>
    <x v="1"/>
    <s v="MONTERIA"/>
    <s v="Compra directa medicina integral"/>
    <n v="202124100828282"/>
    <d v="2021-05-10T00:00:00"/>
    <x v="4"/>
    <n v="202124110795171"/>
    <d v="2021-05-24T00:00:00"/>
    <s v="MAY"/>
    <n v="-14"/>
    <s v="AUTORIZADO"/>
    <m/>
    <s v="No. 0631"/>
    <d v="2020-05-11T00:00:00"/>
    <s v="Morfina HCl 0,03 Solución Oral_frascos X 30 mL c/u"/>
    <n v="10"/>
    <n v="10"/>
    <x v="0"/>
    <x v="1"/>
    <x v="1"/>
    <x v="1"/>
    <x v="47"/>
  </r>
  <r>
    <x v="228"/>
    <s v="VICTOR AVILA LAGARES"/>
    <s v="Quimico Farmacéutico"/>
    <s v="MEDICINA INTEGRAL S.A"/>
    <s v="800250634-3"/>
    <s v="victor.avila@medicinaintegralsa.com"/>
    <s v="Calle 44 No. 14-282 Barrio Portal de Almeria"/>
    <x v="1"/>
    <s v="MONTERIA"/>
    <s v="Compra directa medicina integral"/>
    <n v="202124100828282"/>
    <d v="2021-05-10T00:00:00"/>
    <x v="4"/>
    <n v="202124110795171"/>
    <d v="2021-05-24T00:00:00"/>
    <s v="MAY"/>
    <n v="-14"/>
    <s v="AUTORIZADO"/>
    <m/>
    <s v="No. 0631"/>
    <d v="2020-05-11T00:00:00"/>
    <s v="Metilfenidato HCl 10 mg Comprimido_cajas X 30 unidades c/u"/>
    <n v="600"/>
    <n v="20"/>
    <x v="4"/>
    <x v="3"/>
    <x v="3"/>
    <x v="2"/>
    <x v="7"/>
  </r>
  <r>
    <x v="228"/>
    <s v="VICTOR AVILA LAGARES"/>
    <s v="Quimico Farmacéutico"/>
    <s v="MEDICINA INTEGRAL S.A"/>
    <s v="800250634-3"/>
    <s v="victor.avila@medicinaintegralsa.com"/>
    <s v="Calle 44 No. 14-282 Barrio Portal de Almeria"/>
    <x v="1"/>
    <s v="MONTERIA"/>
    <s v="Compra directa medicina integral"/>
    <n v="202124100828282"/>
    <d v="2021-05-10T00:00:00"/>
    <x v="4"/>
    <n v="202124110795171"/>
    <d v="2021-05-24T00:00:00"/>
    <s v="MAY"/>
    <n v="-14"/>
    <s v="NEGADO"/>
    <s v="no hay disponibilidad"/>
    <s v="No. 0631"/>
    <d v="2020-05-11T00:00:00"/>
    <s v="Hidromorfona HCl 2 mg/mL Solución Inyectable_cajas X 10 unidades c/u"/>
    <n v="0"/>
    <n v="0"/>
    <x v="1"/>
    <x v="2"/>
    <x v="0"/>
    <x v="0"/>
    <x v="0"/>
  </r>
  <r>
    <x v="228"/>
    <s v="VICTOR AVILA LAGARES"/>
    <s v="Quimico Farmacéutico"/>
    <s v="MEDICINA INTEGRAL S.A"/>
    <s v="800250634-3"/>
    <s v="victor.avila@medicinaintegralsa.com"/>
    <s v="Calle 44 No. 14-282 Barrio Portal de Almeria"/>
    <x v="1"/>
    <s v="MONTERIA"/>
    <s v="Compra directa medicina integral"/>
    <n v="202124100828282"/>
    <d v="2021-05-10T00:00:00"/>
    <x v="4"/>
    <n v="202124110795171"/>
    <d v="2021-05-24T00:00:00"/>
    <s v="MAY"/>
    <n v="-14"/>
    <s v="AUTORIZADO"/>
    <m/>
    <s v="No. 0631"/>
    <d v="2020-05-11T00:00:00"/>
    <s v="Morfina HCl 10 mg/mL Solución Inyectable ampolla por 1mL"/>
    <n v="150"/>
    <n v="15"/>
    <x v="0"/>
    <x v="0"/>
    <x v="0"/>
    <x v="0"/>
    <x v="19"/>
  </r>
  <r>
    <x v="229"/>
    <s v="NEFER ROMERO MARTINEZ"/>
    <s v="Director Tècnico"/>
    <s v="IPS MEDICAMENTOS &amp; EQUIPOS COLOMBIA SAS "/>
    <s v="802024817-3"/>
    <s v="farmaceutico.dt@myecolombia.com.co"/>
    <s v="CALLE 22 Nº 8 - 68 SANTA MARTA"/>
    <x v="4"/>
    <s v="SANTA MARTA"/>
    <s v="Solicitud de cotización para Compra Directa de MCE-Monopolio del Estado para IPS MEDICAMENTOS &amp; EQUIPOSCOLOMBIA SAS: CALLE 22 Nº 8 - 68 SANTA MARTA"/>
    <n v="202124100830112"/>
    <d v="2021-05-11T00:00:00"/>
    <x v="4"/>
    <n v="202124110812971"/>
    <d v="2021-05-27T00:00:00"/>
    <s v="MAY"/>
    <n v="-16"/>
    <s v="AUTORIZADO"/>
    <m/>
    <s v="No. 1149"/>
    <d v="2020-09-25T00:00:00"/>
    <s v="Fenobarbital 100 mg Tableta_cajas X 30 unidades c/u"/>
    <n v="6840"/>
    <n v="228"/>
    <x v="5"/>
    <x v="7"/>
    <x v="4"/>
    <x v="2"/>
    <x v="142"/>
  </r>
  <r>
    <x v="229"/>
    <s v="NEFER ROMERO MARTINEZ"/>
    <s v="Director Tècnico"/>
    <s v="IPS MEDICAMENTOS &amp; EQUIPOS COLOMBIA SAS "/>
    <s v="802024817-3"/>
    <s v="farmaceutico.dt@myecolombia.com.co"/>
    <s v="CALLE 22 Nº 8 - 68 SANTA MARTA"/>
    <x v="4"/>
    <s v="SANTA MARTA"/>
    <s v="Solicitud de cotización para Compra Directa de MCE-Monopolio del Estado para IPS MEDICAMENTOS &amp; EQUIPOSCOLOMBIA SAS: CALLE 22 Nº 8 - 68 SANTA MARTA"/>
    <n v="202124100830112"/>
    <d v="2021-05-11T00:00:00"/>
    <x v="4"/>
    <n v="202124110812971"/>
    <d v="2021-05-27T00:00:00"/>
    <s v="MAY"/>
    <n v="-16"/>
    <s v="AUTORIZADO"/>
    <m/>
    <s v="No. 1149"/>
    <d v="2020-09-25T00:00:00"/>
    <s v="Morfina HCl 0,03 Solución Oral_frascos X 30 mL c/u"/>
    <n v="10"/>
    <n v="10"/>
    <x v="0"/>
    <x v="1"/>
    <x v="1"/>
    <x v="1"/>
    <x v="47"/>
  </r>
  <r>
    <x v="230"/>
    <s v="MARTHA LILIANA ESPINEL"/>
    <s v="Gerente"/>
    <s v="MEDICED IPS SAS"/>
    <s v="901150492-1"/>
    <s v="farmaciamedicedflo@gmail.com"/>
    <s v="Carreraa 9 A N° 9-30  Barrio El Prado"/>
    <x v="16"/>
    <s v="FLORENCIA"/>
    <s v="SOLICITUD COMPRA DIRECTA METADONA X 10 mg- MEDICED IPS SAS"/>
    <n v="202124100830322"/>
    <d v="2021-05-11T00:00:00"/>
    <x v="4"/>
    <n v="202124110717651"/>
    <d v="2021-05-10T00:00:00"/>
    <s v="MAY"/>
    <n v="1"/>
    <s v="AUTORIZADO"/>
    <s v="Solicitud autorizada en el radicado 202124110717651"/>
    <s v="No. 00322"/>
    <d v="2019-10-22T00:00:00"/>
    <s v="Metadona HCl 10 mg Tableta_Cajas X 30 unidades c/u"/>
    <n v="240"/>
    <n v="8"/>
    <x v="2"/>
    <x v="3"/>
    <x v="2"/>
    <x v="2"/>
    <x v="96"/>
  </r>
  <r>
    <x v="231"/>
    <s v="ADAN DE LA HOZ PERTUZ"/>
    <s v="Quimico Farmacéutico"/>
    <s v="E.S.E HOSPITAL SANTANDER HERRERA"/>
    <s v="819002025-4"/>
    <s v="almacen@esehsh.gov.co"/>
    <s v="Calle 14 No. 12-46"/>
    <x v="4"/>
    <s v="PIVIJAY"/>
    <s v="SOLICITUD DE MEDICAMENTOS DE CONTROL"/>
    <n v="202124100831252"/>
    <d v="2021-05-11T00:00:00"/>
    <x v="4"/>
    <n v="202124110795141"/>
    <d v="2021-05-24T00:00:00"/>
    <s v="MAY"/>
    <n v="-13"/>
    <s v="AUTORIZADO"/>
    <m/>
    <s v="No. 1113"/>
    <d v="2020-09-14T00:00:00"/>
    <s v="Meperidina HCl 100 mg/2mL Solución Inyectable_cajas X 10 unidades c/u"/>
    <n v="250"/>
    <n v="25"/>
    <x v="6"/>
    <x v="8"/>
    <x v="0"/>
    <x v="3"/>
    <x v="143"/>
  </r>
  <r>
    <x v="231"/>
    <s v="ADAN DE LA HOZ PERTUZ"/>
    <s v="Quimico Farmacéutico"/>
    <s v="E.S.E HOSPITAL SANTANDER HERRERA"/>
    <s v="819002025-4"/>
    <s v="almacen@esehsh.gov.co"/>
    <s v="Calle 14 No. 12-46"/>
    <x v="4"/>
    <s v="PIVIJAY"/>
    <s v="SOLICITUD DE MEDICAMENTOS DE CONTROL"/>
    <n v="202124100831252"/>
    <d v="2021-05-11T00:00:00"/>
    <x v="4"/>
    <n v="202124110795141"/>
    <d v="2021-05-24T00:00:00"/>
    <s v="MAY"/>
    <n v="-13"/>
    <s v="AUTORIZADO"/>
    <m/>
    <m/>
    <m/>
    <s v="Morfina HCl 10 mg/mL Solución Inyectable ampolla por 1mL"/>
    <n v="100"/>
    <n v="10"/>
    <x v="0"/>
    <x v="0"/>
    <x v="0"/>
    <x v="0"/>
    <x v="10"/>
  </r>
  <r>
    <x v="232"/>
    <s v="MIGUEL PACHECO CASTRO"/>
    <s v="Director Tecnico"/>
    <s v="INSTITUTO DE SISTEMA NERVIOSO DE CORDOBA -SEDE SAN SEBASTIÁN"/>
    <s v="901129333-1"/>
    <s v="farmaciaclinicasansebastian@gmail.com"/>
    <s v="Calle 2 Carrera 3-76 Vereda el Faro 1 via Aguas Negras"/>
    <x v="1"/>
    <s v="MONTERIA"/>
    <s v=" Solicitud Autorización Compra Directa medicamentos monopolio del Estado Rad. No. 202124100690892 del 21/04/2021"/>
    <n v="202124100831562"/>
    <d v="2021-05-11T00:00:00"/>
    <x v="4"/>
    <n v="202124110813121"/>
    <d v="2021-05-27T00:00:00"/>
    <s v="MAY"/>
    <n v="-16"/>
    <s v="NEGADO"/>
    <m/>
    <s v="No. 492"/>
    <d v="2019-10-28T00:00:00"/>
    <m/>
    <n v="0"/>
    <s v=""/>
    <x v="9"/>
    <x v="17"/>
    <x v="9"/>
    <x v="13"/>
    <x v="0"/>
  </r>
  <r>
    <x v="233"/>
    <s v="MELISSA GUZMÁN CARABALLO"/>
    <s v="Quimico Farmacéutico"/>
    <s v="ETICOS UT 2020"/>
    <s v="901381381-3"/>
    <s v="qffarmacia10505@eticos.com "/>
    <s v="Vía 40 No 71-124"/>
    <x v="2"/>
    <s v="CARTAGENA"/>
    <s v="SOLICITUD AUTORIZACION COMPRA DE MEDICAMENTOS"/>
    <n v="202124100832452"/>
    <d v="2021-05-11T00:00:00"/>
    <x v="4"/>
    <n v="202124110795091"/>
    <d v="2021-05-24T00:00:00"/>
    <s v="MAY"/>
    <n v="-13"/>
    <s v="NEGADO"/>
    <s v="Se Negó porque el FRE departamental tiene disponibilidad de los medicamentos"/>
    <s v="No. 611"/>
    <d v="2020-09-21T00:00:00"/>
    <s v="Morfina HCl 10 mg/mL Solución Inyectable ampolla por 1mL"/>
    <n v="0"/>
    <n v="0"/>
    <x v="0"/>
    <x v="0"/>
    <x v="0"/>
    <x v="0"/>
    <x v="0"/>
  </r>
  <r>
    <x v="233"/>
    <s v="MELISSA GUZMÁN CARABALLO"/>
    <s v="Quimico Farmacéutico"/>
    <s v="ETICOS UT 2020"/>
    <s v="901381381-3"/>
    <s v="qffarmacia10505@eticos.com "/>
    <s v="Vía 40 No 71-124"/>
    <x v="2"/>
    <s v="CARTAGENA"/>
    <s v="SOLICITUD AUTORIZACION COMPRA DE MEDICAMENTOS"/>
    <n v="202124100832452"/>
    <d v="2021-05-11T00:00:00"/>
    <x v="4"/>
    <n v="202124110795091"/>
    <d v="2021-05-24T00:00:00"/>
    <s v="MAY"/>
    <n v="-13"/>
    <s v="NEGADO"/>
    <s v="Se Negó porque el FRE departamental tiene disponibilidad de los medicamentos"/>
    <s v="No. 611"/>
    <d v="2020-09-21T00:00:00"/>
    <s v="Meperidina HCl 100 mg/2mL Solución Inyectable_cajas X 10 unidades c/u"/>
    <n v="0"/>
    <n v="0"/>
    <x v="6"/>
    <x v="8"/>
    <x v="0"/>
    <x v="3"/>
    <x v="0"/>
  </r>
  <r>
    <x v="233"/>
    <s v="MELISSA GUZMÁN CARABALLO"/>
    <s v="Quimico Farmacéutico"/>
    <s v="ETICOS UT 2020"/>
    <s v="901381381-3"/>
    <s v="qffarmacia10505@eticos.com "/>
    <s v="Vía 40 No 71-124"/>
    <x v="2"/>
    <s v="CARTAGENA"/>
    <s v="SOLICITUD AUTORIZACION COMPRA DE MEDICAMENTOS"/>
    <n v="202124100832452"/>
    <d v="2021-05-11T00:00:00"/>
    <x v="4"/>
    <n v="202124110795091"/>
    <d v="2021-05-24T00:00:00"/>
    <s v="MAY"/>
    <n v="-13"/>
    <s v="NEGADO"/>
    <s v="Se Negó porque el FRE departamental tiene disponibilidad de los medicamentos"/>
    <s v="No. 611"/>
    <d v="2020-09-21T00:00:00"/>
    <s v="Metadona HCl 10 mg Tableta_frascos X 20 unidades c/u"/>
    <n v="0"/>
    <n v="0"/>
    <x v="2"/>
    <x v="3"/>
    <x v="6"/>
    <x v="8"/>
    <x v="0"/>
  </r>
  <r>
    <x v="233"/>
    <s v="MELISSA GUZMÁN CARABALLO"/>
    <s v="Quimico Farmacéutico"/>
    <s v="ETICOS UT 2020"/>
    <s v="901381381-3"/>
    <s v="qffarmacia10505@eticos.com "/>
    <s v="Vía 40 No 71-124"/>
    <x v="2"/>
    <s v="CARTAGENA"/>
    <s v="SOLICITUD AUTORIZACION COMPRA DE MEDICAMENTOS"/>
    <n v="202124100832452"/>
    <d v="2021-05-11T00:00:00"/>
    <x v="4"/>
    <n v="202124110795091"/>
    <d v="2021-05-24T00:00:00"/>
    <s v="MAY"/>
    <n v="-13"/>
    <s v="NEGADO"/>
    <s v="Se Negó porque el FRE departamental tiene disponibilidad de los medicamentos"/>
    <s v="No. 611"/>
    <d v="2020-09-21T00:00:00"/>
    <s v="Fenobarbital 100 mg Tableta_cajas X 30 unidades c/u"/>
    <n v="0"/>
    <n v="0"/>
    <x v="5"/>
    <x v="7"/>
    <x v="4"/>
    <x v="2"/>
    <x v="0"/>
  </r>
  <r>
    <x v="233"/>
    <s v="MELISSA GUZMÁN CARABALLO"/>
    <s v="Quimico Farmacéutico"/>
    <s v="ETICOS UT 2020"/>
    <s v="901381381-3"/>
    <s v="qffarmacia10505@eticos.com "/>
    <s v="Vía 40 No 71-124"/>
    <x v="2"/>
    <s v="CARTAGENA"/>
    <s v="SOLICITUD AUTORIZACION COMPRA DE MEDICAMENTOS"/>
    <n v="202124100832452"/>
    <d v="2021-05-11T00:00:00"/>
    <x v="4"/>
    <n v="202124110795091"/>
    <d v="2021-05-24T00:00:00"/>
    <s v="MAY"/>
    <n v="-13"/>
    <s v="NEGADO"/>
    <s v="Se Negó porque el FRE departamental tiene disponibilidad de los medicamentos"/>
    <s v="No. 611"/>
    <d v="2020-09-21T00:00:00"/>
    <s v="Metilfenidato HCl 10 mg Comprimido_cajas X 30 unidades c/u"/>
    <n v="0"/>
    <n v="0"/>
    <x v="4"/>
    <x v="3"/>
    <x v="3"/>
    <x v="2"/>
    <x v="0"/>
  </r>
  <r>
    <x v="233"/>
    <s v="MELISSA GUZMÁN CARABALLO"/>
    <s v="Quimico Farmacéutico"/>
    <s v="ETICOS UT 2020"/>
    <s v="901381381-3"/>
    <s v="qffarmacia10505@eticos.com "/>
    <s v="Vía 40 No 71-124"/>
    <x v="2"/>
    <s v="CARTAGENA"/>
    <s v="SOLICITUD AUTORIZACION COMPRA DE MEDICAMENTOS"/>
    <n v="202124100832452"/>
    <d v="2021-05-11T00:00:00"/>
    <x v="4"/>
    <n v="202124110795091"/>
    <d v="2021-05-24T00:00:00"/>
    <s v="MAY"/>
    <n v="-13"/>
    <s v="NEGADO"/>
    <s v="Se Negó porque el FRE departamental tiene disponibilidad de los medicamentos"/>
    <s v="No. 611"/>
    <d v="2020-09-21T00:00:00"/>
    <s v="Hidromorfona HCl 2,5 mg Tableta_cajas X 20 unidades c/u"/>
    <n v="0"/>
    <n v="0"/>
    <x v="1"/>
    <x v="9"/>
    <x v="4"/>
    <x v="4"/>
    <x v="0"/>
  </r>
  <r>
    <x v="234"/>
    <s v="MONICA MONTES USTA"/>
    <s v="Gerente"/>
    <s v="COOPERATIVA DE ENTIDADES DE SALUD DE CORDOBA"/>
    <s v="812001561-0"/>
    <s v="tecnica@coodescor.org.co"/>
    <s v="Calle28A No. 23-03 B"/>
    <x v="1"/>
    <s v="MONTERIA"/>
    <s v="Solicitud de compra directa de medicamentos de monopolio del Estado"/>
    <n v="202124100834292"/>
    <d v="2021-05-11T00:00:00"/>
    <x v="4"/>
    <n v="202124110795061"/>
    <d v="2021-05-24T00:00:00"/>
    <s v="MAY"/>
    <n v="-13"/>
    <s v="AUTORIZADO"/>
    <m/>
    <s v="No. 436"/>
    <d v="2019-10-04T00:00:00"/>
    <s v="Meperidina HCl 100 mg/2mL Solución Inyectable_cajas X 10 unidades c/u"/>
    <n v="50"/>
    <n v="5"/>
    <x v="6"/>
    <x v="8"/>
    <x v="0"/>
    <x v="3"/>
    <x v="9"/>
  </r>
  <r>
    <x v="234"/>
    <s v="MONICA MONTES USTA"/>
    <s v="Gerente"/>
    <s v="COOPERATIVA DE ENTIDADES DE SALUD DE CORDOBA"/>
    <s v="812001561-0"/>
    <s v="tecnica@coodescor.org.co"/>
    <s v="Calle28A No. 23-03 B"/>
    <x v="1"/>
    <s v="MONTERIA"/>
    <s v="Solicitud de compra directa de medicamentos de monopolio del Estado"/>
    <n v="202124100834292"/>
    <d v="2021-05-11T00:00:00"/>
    <x v="4"/>
    <n v="202124110795061"/>
    <d v="2021-05-24T00:00:00"/>
    <s v="MAY"/>
    <n v="-13"/>
    <s v="AUTORIZADO"/>
    <m/>
    <s v="No. 436"/>
    <d v="2019-10-04T00:00:00"/>
    <s v="Morfina HCl 10 mg/mL Solución Inyectable ampolla por 1mL"/>
    <n v="50"/>
    <n v="5"/>
    <x v="0"/>
    <x v="0"/>
    <x v="0"/>
    <x v="0"/>
    <x v="17"/>
  </r>
  <r>
    <x v="234"/>
    <s v="MONICA MONTES USTA"/>
    <s v="Gerente"/>
    <s v="COOPERATIVA DE ENTIDADES DE SALUD DE CORDOBA"/>
    <s v="812001561-0"/>
    <s v="tecnica@coodescor.org.co"/>
    <s v="Calle28A No. 23-03 B"/>
    <x v="1"/>
    <s v="MONTERIA"/>
    <s v="Solicitud de compra directa de medicamentos de monopolio del Estado"/>
    <n v="202124100834292"/>
    <d v="2021-05-11T00:00:00"/>
    <x v="4"/>
    <n v="202124110795061"/>
    <d v="2021-05-24T00:00:00"/>
    <s v="MAY"/>
    <n v="-13"/>
    <s v="AUTORIZADO"/>
    <m/>
    <s v="No. 436"/>
    <d v="2019-10-04T00:00:00"/>
    <s v="Morfina HCl 0,03 Solución Oral_frascos X 30 mL c/u"/>
    <n v="40"/>
    <n v="40"/>
    <x v="0"/>
    <x v="1"/>
    <x v="1"/>
    <x v="1"/>
    <x v="44"/>
  </r>
  <r>
    <x v="234"/>
    <s v="MONICA MONTES USTA"/>
    <s v="Gerente"/>
    <s v="COOPERATIVA DE ENTIDADES DE SALUD DE CORDOBA"/>
    <s v="812001561-0"/>
    <s v="tecnica@coodescor.org.co"/>
    <s v="Calle28A No. 23-03 B"/>
    <x v="1"/>
    <s v="MONTERIA"/>
    <s v="Solicitud de compra directa de medicamentos de monopolio del Estado"/>
    <n v="202124100834292"/>
    <d v="2021-05-11T00:00:00"/>
    <x v="4"/>
    <n v="202124110795061"/>
    <d v="2021-05-24T00:00:00"/>
    <s v="MAY"/>
    <n v="-13"/>
    <s v="AUTORIZADO"/>
    <m/>
    <s v="No. 436"/>
    <d v="2019-10-04T00:00:00"/>
    <s v="Hidromorfona HCl 2,5 mg Tableta_cajas X 20 unidades c/u"/>
    <n v="600"/>
    <n v="30"/>
    <x v="1"/>
    <x v="9"/>
    <x v="4"/>
    <x v="4"/>
    <x v="144"/>
  </r>
  <r>
    <x v="235"/>
    <s v="JACKELINE PARRADO MURCIA"/>
    <s v="Regente de farmacia"/>
    <s v="COORPORACION MI IPS LLANOS ORIENTALES"/>
    <s v="822006818-7"/>
    <s v="farmaciaipslospinos@miips.com.co"/>
    <s v="Calle 33b # 37-45 Barzal"/>
    <x v="6"/>
    <s v="VILLAVICENCIO"/>
    <s v="COTIZACIÓN FNE IPS LOS PINOS"/>
    <n v="202124100836062"/>
    <d v="2021-05-11T00:00:00"/>
    <x v="4"/>
    <n v="202124110795001"/>
    <d v="2021-05-24T00:00:00"/>
    <s v="MAY"/>
    <n v="-13"/>
    <s v="AUTORIZADO"/>
    <m/>
    <s v="No. 0130"/>
    <d v="2016-03-10T00:00:00"/>
    <s v="Metilfenidato HCl 10 mg Comprimido_cajas X 30 unidades c/u"/>
    <n v="120"/>
    <n v="4"/>
    <x v="4"/>
    <x v="3"/>
    <x v="3"/>
    <x v="2"/>
    <x v="110"/>
  </r>
  <r>
    <x v="235"/>
    <s v="JACKELINE PARRADO MURCIA"/>
    <s v="Regente de farmacia"/>
    <s v="COORPORACION MI IPS LLANOS ORIENTALES"/>
    <s v="822006818-7"/>
    <s v="farmaciaipslospinos@miips.com.co"/>
    <s v="Calle 33b # 37-45 Barzal"/>
    <x v="6"/>
    <s v="VILLAVICENCIO"/>
    <s v="COTIZACIÓN FNE IPS LOS PINOS"/>
    <n v="202124100836062"/>
    <d v="2021-05-11T00:00:00"/>
    <x v="4"/>
    <n v="202124110795001"/>
    <d v="2021-05-24T00:00:00"/>
    <s v="MAY"/>
    <n v="-13"/>
    <s v="AUTORIZADO"/>
    <m/>
    <s v="No. 0130"/>
    <d v="2016-03-10T00:00:00"/>
    <s v="Fenobarbital 50 mg Tableta_cajas X 30 unidades c/u"/>
    <n v="450"/>
    <n v="15"/>
    <x v="5"/>
    <x v="12"/>
    <x v="4"/>
    <x v="2"/>
    <x v="76"/>
  </r>
  <r>
    <x v="235"/>
    <s v="JACKELINE PARRADO MURCIA"/>
    <s v="Regente de farmacia"/>
    <s v="COORPORACION MI IPS LLANOS ORIENTALES"/>
    <s v="822006818-7"/>
    <s v="farmaciaipslospinos@miips.com.co"/>
    <s v="Calle 33b # 37-45 Barzal"/>
    <x v="6"/>
    <s v="VILLAVICENCIO"/>
    <s v="COTIZACIÓN FNE IPS LOS PINOS"/>
    <n v="202124100836062"/>
    <d v="2021-05-11T00:00:00"/>
    <x v="4"/>
    <n v="202124110795001"/>
    <d v="2021-05-24T00:00:00"/>
    <s v="MAY"/>
    <n v="-13"/>
    <s v="AUTORIZADO"/>
    <m/>
    <s v="No. 0130"/>
    <d v="2016-03-10T00:00:00"/>
    <s v="Fenobarbital 0,4% Solución Oral_frascos X 120 mL c/u"/>
    <n v="5"/>
    <n v="5"/>
    <x v="5"/>
    <x v="11"/>
    <x v="1"/>
    <x v="6"/>
    <x v="16"/>
  </r>
  <r>
    <x v="236"/>
    <s v="INES BRITO SANCHEZ"/>
    <s v="Quimico Farmacéutico"/>
    <s v="PERFECT BODY MEDICAL CENTER LTDA"/>
    <s v="900223667-4"/>
    <s v="farmacia@perfectbody.com.co"/>
    <s v="Carrera 20 No. 15-110"/>
    <x v="4"/>
    <s v="SANTA MARTA"/>
    <s v="SOLICITUD COTIZACION DE MEDICAMENTOS DE CONTROL ESPECIAL PERFECT BODY MEDICAL CENTER LTDA"/>
    <n v="202124100836152"/>
    <d v="2021-05-11T00:00:00"/>
    <x v="4"/>
    <n v="202124110794951"/>
    <d v="2021-05-24T00:00:00"/>
    <s v="MAY"/>
    <n v="-13"/>
    <s v="AUTORIZADO"/>
    <m/>
    <s v="No. 1620"/>
    <d v="2019-06-04T00:00:00"/>
    <s v="Morfina HCl 10 mg/mL Solución Inyectable ampolla por 1mL"/>
    <n v="100"/>
    <n v="10"/>
    <x v="0"/>
    <x v="0"/>
    <x v="0"/>
    <x v="0"/>
    <x v="10"/>
  </r>
  <r>
    <x v="236"/>
    <s v="INES BRITO SANCHEZ"/>
    <s v="Quimico Farmacéutico"/>
    <s v="PERFECT BODY MEDICAL CENTER LTDA"/>
    <s v="900223667-4"/>
    <s v="farmacia@perfectbody.com.co"/>
    <s v="Carrera 20 No. 15-110"/>
    <x v="4"/>
    <s v="SANTA MARTA"/>
    <s v="SOLICITUD COTIZACION DE MEDICAMENTOS DE CONTROL ESPECIAL PERFECT BODY MEDICAL CENTER LTDA"/>
    <n v="202124100836152"/>
    <d v="2021-05-11T00:00:00"/>
    <x v="4"/>
    <n v="202124110794951"/>
    <d v="2021-05-24T00:00:00"/>
    <s v="MAY"/>
    <n v="-13"/>
    <s v="AUTORIZADO"/>
    <m/>
    <s v="No. 1620"/>
    <d v="2019-06-04T00:00:00"/>
    <s v="Meperidina HCl 100 mg/2mL Solución Inyectable_cajas X 10 unidades c/u"/>
    <n v="100"/>
    <n v="10"/>
    <x v="6"/>
    <x v="8"/>
    <x v="0"/>
    <x v="3"/>
    <x v="27"/>
  </r>
  <r>
    <x v="237"/>
    <s v="ERIKA VANESSA MARÍN ROJAS"/>
    <s v="Quimico Farmacéutico"/>
    <s v="CLINICA DE LA MUJER S.A"/>
    <s v="819000364-7"/>
    <s v="quimicofarmaceutico@clinicadelamujersa.com.co"/>
    <s v="Calle 22 # 21 - 16"/>
    <x v="4"/>
    <s v="SANTA MARTA"/>
    <s v="Solicitud Autorización Compra Directa medicamento monopolio del Estado."/>
    <n v="202124100843842"/>
    <d v="2021-05-12T00:00:00"/>
    <x v="4"/>
    <n v="202124110794851"/>
    <d v="2021-05-24T00:00:00"/>
    <s v="MAY"/>
    <n v="-12"/>
    <s v="AUTORIZADO"/>
    <m/>
    <s v="No. 2903"/>
    <d v="2019-09-05T00:00:00"/>
    <s v="Fenobarbital Sódico 40 mg/mL Solución Inyectable_caja X 10 ampollas c/u"/>
    <n v="20"/>
    <n v="2"/>
    <x v="3"/>
    <x v="6"/>
    <x v="0"/>
    <x v="0"/>
    <x v="5"/>
  </r>
  <r>
    <x v="237"/>
    <s v="ERIKA VANESSA MARÍN ROJAS"/>
    <s v="Quimico Farmacéutico"/>
    <s v="CLINICA DE LA MUJER S.A"/>
    <s v="819000364-7"/>
    <s v="quimicofarmaceutico@clinicadelamujersa.com.co"/>
    <s v="Calle 22 # 21 - 16"/>
    <x v="4"/>
    <s v="SANTA MARTA"/>
    <s v="Solicitud Autorización Compra Directa medicamento monopolio del Estado."/>
    <n v="202124100843842"/>
    <d v="2021-05-12T00:00:00"/>
    <x v="4"/>
    <n v="202124110794851"/>
    <d v="2021-05-24T00:00:00"/>
    <s v="MAY"/>
    <n v="-12"/>
    <s v="AUTORIZADO"/>
    <m/>
    <s v="No. 2903"/>
    <d v="2019-09-05T00:00:00"/>
    <s v="Meperidina HCl 100 mg/2mL Solución Inyectable_cajas X 10 unidades c/u"/>
    <n v="50"/>
    <n v="5"/>
    <x v="6"/>
    <x v="8"/>
    <x v="0"/>
    <x v="3"/>
    <x v="9"/>
  </r>
  <r>
    <x v="237"/>
    <s v="ERIKA VANESSA MARÍN ROJAS"/>
    <s v="Quimico Farmacéutico"/>
    <s v="CLINICA DE LA MUJER S.A"/>
    <s v="819000364-7"/>
    <s v="quimicofarmaceutico@clinicadelamujersa.com.co"/>
    <s v="Calle 22 # 21 - 16"/>
    <x v="4"/>
    <s v="SANTA MARTA"/>
    <s v="Solicitud Autorización Compra Directa medicamento monopolio del Estado."/>
    <n v="202124100843842"/>
    <d v="2021-05-12T00:00:00"/>
    <x v="4"/>
    <n v="202124110794851"/>
    <d v="2021-05-24T00:00:00"/>
    <s v="MAY"/>
    <n v="-12"/>
    <s v="AUTORIZADO"/>
    <m/>
    <s v="No. 2903"/>
    <d v="2019-09-05T00:00:00"/>
    <s v="Morfina HCl 10 mg/mL Solución Inyectable ampolla por 1mL"/>
    <n v="200"/>
    <n v="20"/>
    <x v="0"/>
    <x v="0"/>
    <x v="0"/>
    <x v="0"/>
    <x v="18"/>
  </r>
  <r>
    <x v="238"/>
    <s v="HANSS GRIMALDOS"/>
    <s v="Regente de Farmacia"/>
    <s v="EMPRESA SOCIAL DEL ESTADO DEL MUNICIPIO DE VILLAVICENCIO"/>
    <s v="822002459-8"/>
    <s v="farmacia@esedevillavicencio.gov.co"/>
    <s v="CARRERA 42 No. 33-24"/>
    <x v="6"/>
    <s v="VILLAVICENCIO"/>
    <s v="SOLICITUD DE MEDICAMENTOS DE CONTROL"/>
    <n v="202124100845182"/>
    <d v="2021-05-12T00:00:00"/>
    <x v="4"/>
    <n v="202124110794831"/>
    <d v="2021-05-25T00:00:00"/>
    <s v="MAY"/>
    <n v="-13"/>
    <s v="AUTORIZADO"/>
    <m/>
    <s v="No. 1623"/>
    <d v="2017-09-18T00:00:00"/>
    <s v="Morfina HCl 10 mg/mL Solución Inyectable ampolla por 1mL"/>
    <n v="100"/>
    <n v="10"/>
    <x v="0"/>
    <x v="0"/>
    <x v="0"/>
    <x v="0"/>
    <x v="10"/>
  </r>
  <r>
    <x v="238"/>
    <s v="HANSS GRIMALDOS"/>
    <s v="Regente de Farmacia"/>
    <s v="EMPRESA SOCIAL DEL ESTADO DEL MUNICIPIO DE VILLAVICENCIO"/>
    <s v="822002459-8"/>
    <s v="farmacia@esedevillavicencio.gov.co"/>
    <s v="CARRERA 42 No. 33-24"/>
    <x v="6"/>
    <s v="VILLAVICENCIO"/>
    <s v="SOLICITUD DE MEDICAMENTOS DE CONTROL"/>
    <n v="202124100845182"/>
    <d v="2021-05-12T00:00:00"/>
    <x v="4"/>
    <n v="202124110794831"/>
    <d v="2021-05-25T00:00:00"/>
    <s v="MAY"/>
    <n v="-13"/>
    <s v="AUTORIZADO"/>
    <m/>
    <s v="No. 1623"/>
    <d v="2017-09-18T00:00:00"/>
    <s v="Meperidina HCl 100 mg/2mL Solución Inyectable_cajas X 10 unidades c/u"/>
    <n v="100"/>
    <n v="10"/>
    <x v="6"/>
    <x v="8"/>
    <x v="0"/>
    <x v="3"/>
    <x v="27"/>
  </r>
  <r>
    <x v="239"/>
    <s v="ALEXANDRA MOSQUERA TOVAR"/>
    <s v="Auxiliar Administrativa"/>
    <s v="E.S.E HOSPITAL UNIVERSITARIO HERNANDO MONCALEANO PERDOMO"/>
    <s v="891180268-0"/>
    <s v="alexandra.mosquera@huhmp.gov.co"/>
    <s v="Calle 9 Nº15-25 "/>
    <x v="7"/>
    <s v="NEIVA"/>
    <s v="SOLICITUD DE COTIZACION DE MEDICAMENTOS DE MONOPOLIO DEL ESTADO"/>
    <n v="202124100845332"/>
    <d v="2021-05-12T00:00:00"/>
    <x v="4"/>
    <n v="202124110794801"/>
    <d v="2021-05-25T00:00:00"/>
    <s v="MAY"/>
    <n v="-13"/>
    <s v="NEGADO"/>
    <s v="Modifica el radicado de salida  202124110718611"/>
    <s v="No. 483"/>
    <d v="2017-04-05T00:00:00"/>
    <s v="Morfina HCl 0,03 Solución Oral_frascos X 30 mL c/u"/>
    <n v="0"/>
    <n v="0"/>
    <x v="0"/>
    <x v="1"/>
    <x v="1"/>
    <x v="1"/>
    <x v="0"/>
  </r>
  <r>
    <x v="239"/>
    <s v="ALEXANDRA MOSQUERA TOVAR"/>
    <s v="Auxiliar Administrativa"/>
    <s v="E.S.E HOSPITAL UNIVERSITARIO HERNANDO MONCALEANO PERDOMO"/>
    <s v="891180268-0"/>
    <s v="alexandra.mosquera@huhmp.gov.co"/>
    <s v="Calle 9 Nº15-25 "/>
    <x v="7"/>
    <s v="NEIVA"/>
    <s v="SOLICITUD DE COTIZACION DE MEDICAMENTOS DE MONOPOLIO DEL ESTADO"/>
    <n v="202124100845332"/>
    <d v="2021-05-12T00:00:00"/>
    <x v="4"/>
    <n v="202124110794801"/>
    <d v="2021-05-25T00:00:00"/>
    <s v="MAY"/>
    <n v="-13"/>
    <s v="NEGADO"/>
    <s v="Modifica el radicado de salida  202124110718611"/>
    <s v="No. 483"/>
    <d v="2017-04-05T00:00:00"/>
    <s v="Meperidina HCl 100 mg/2mL Solución Inyectable_cajas X 10 unidades c/u"/>
    <n v="0"/>
    <n v="0"/>
    <x v="6"/>
    <x v="8"/>
    <x v="0"/>
    <x v="3"/>
    <x v="0"/>
  </r>
  <r>
    <x v="240"/>
    <s v="CARLOS ALBERTO NAVARRO GUERRA"/>
    <s v="Representante Legal"/>
    <s v="Asistencia Medica Inmediata AMEDI S.A.S."/>
    <s v="824005609-7 "/>
    <s v="dvisbal@amediltda.com"/>
    <s v="Cra 13 No 20-73"/>
    <x v="4"/>
    <s v="SANTA MARTA"/>
    <s v="SOLICITUD MEDICAMENTOS DE CONTROL ESPECIAL MONOPOLIO DEL ESTADO - ASISTENCIA MÉDICA INMEDIATA AMEDI SAS NIT: 824005609-7"/>
    <n v="202124100857122"/>
    <d v="2021-05-14T00:00:00"/>
    <x v="4"/>
    <n v="202124110794741"/>
    <d v="2021-05-25T00:00:00"/>
    <s v="MAY"/>
    <n v="-11"/>
    <s v="AUTORIZADO"/>
    <m/>
    <s v="No. 1022"/>
    <d v="2019-04-19T00:00:00"/>
    <s v="Morfina HCl 10 mg/mL Solución Inyectable ampolla por 1mL"/>
    <n v="10"/>
    <n v="1"/>
    <x v="0"/>
    <x v="0"/>
    <x v="0"/>
    <x v="0"/>
    <x v="11"/>
  </r>
  <r>
    <x v="240"/>
    <s v="CARLOS ALBERTO NAVARRO GUERRA"/>
    <s v="Representante Legal"/>
    <s v="Asistencia Medica Inmediata AMEDI S.A.S."/>
    <s v="824005609-7 "/>
    <s v="dvisbal@amediltda.com"/>
    <s v="Cra 13 No 20-73"/>
    <x v="4"/>
    <s v="SANTA MARTA"/>
    <s v="SOLICITUD MEDICAMENTOS DE CONTROL ESPECIAL MONOPOLIO DEL ESTADO - ASISTENCIA MÉDICA INMEDIATA AMEDI SAS NIT: 824005609-7"/>
    <n v="202124100857122"/>
    <d v="2021-05-14T00:00:00"/>
    <x v="4"/>
    <n v="202124110794741"/>
    <d v="2021-05-25T00:00:00"/>
    <s v="MAY"/>
    <n v="-11"/>
    <s v="AUTORIZADO"/>
    <m/>
    <s v="No. 1022"/>
    <d v="2019-04-19T00:00:00"/>
    <s v="Meperidina HCl 100 mg/2mL Solución Inyectable_cajas X 10 unidades c/u"/>
    <n v="10"/>
    <n v="1"/>
    <x v="6"/>
    <x v="8"/>
    <x v="0"/>
    <x v="3"/>
    <x v="145"/>
  </r>
  <r>
    <x v="241"/>
    <s v="MANUEL ALFONSO GONZALEZ CANTOR"/>
    <s v="Gerente"/>
    <s v="HOSPITAL SAN JUAN DE DIOS DE HONDA E.S.E"/>
    <s v="890700666-8"/>
    <s v="farmacia@hsjd.gov.co"/>
    <s v="Calle 9 No 16-38-Avenida Centenario "/>
    <x v="0"/>
    <s v="HONDA"/>
    <s v="Solicitud Cotización de Medicamentos de Control"/>
    <n v="202124100857432"/>
    <d v="2021-05-14T00:00:00"/>
    <x v="4"/>
    <n v="202124110794701"/>
    <d v="2021-05-25T00:00:00"/>
    <s v="MAY"/>
    <n v="-11"/>
    <s v="NEGADO"/>
    <m/>
    <s v="No. 2956"/>
    <d v="2019-09-26T00:00:00"/>
    <s v="Meperidina HCl 100 mg/2mL Solución Inyectable_cajas X 10 unidades c/u"/>
    <n v="0"/>
    <n v="0"/>
    <x v="6"/>
    <x v="8"/>
    <x v="0"/>
    <x v="3"/>
    <x v="0"/>
  </r>
  <r>
    <x v="241"/>
    <s v="MANUEL ALFONSO GONZALEZ CANTOR"/>
    <s v="Gerente"/>
    <s v="HOSPITAL SAN JUAN DE DIOS DE HONDA E.S.E"/>
    <s v="890700666-8"/>
    <s v="farmacia@hsjd.gov.co"/>
    <s v="Calle 9 No 16-38-Avenida Centenario "/>
    <x v="0"/>
    <s v="HONDA"/>
    <s v="Solicitud Cotización de Medicamentos de Control"/>
    <n v="202124100857432"/>
    <d v="2021-05-14T00:00:00"/>
    <x v="4"/>
    <n v="202124110794701"/>
    <d v="2021-05-25T00:00:00"/>
    <s v="MAY"/>
    <n v="-11"/>
    <s v="AUTORIZADO"/>
    <m/>
    <s v="No. 2956"/>
    <d v="2019-09-26T00:00:00"/>
    <s v="Morfina HCl 10 mg/mL Solución Inyectable ampolla por 1mL"/>
    <n v="400"/>
    <n v="40"/>
    <x v="0"/>
    <x v="0"/>
    <x v="0"/>
    <x v="0"/>
    <x v="63"/>
  </r>
  <r>
    <x v="241"/>
    <s v="MANUEL ALFONSO GONZALEZ CANTOR"/>
    <s v="Gerente"/>
    <s v="HOSPITAL SAN JUAN DE DIOS DE HONDA E.S.E"/>
    <s v="890700666-8"/>
    <s v="farmacia@hsjd.gov.co"/>
    <s v="Calle 9 No 16-38-Avenida Centenario "/>
    <x v="0"/>
    <s v="HONDA"/>
    <s v="Solicitud Cotización de Medicamentos de Control"/>
    <n v="202124100857432"/>
    <d v="2021-05-14T00:00:00"/>
    <x v="4"/>
    <n v="202124110794701"/>
    <d v="2021-05-25T00:00:00"/>
    <s v="MAY"/>
    <n v="-11"/>
    <s v="NEGADO"/>
    <m/>
    <s v="No. 2956"/>
    <d v="2019-09-26T00:00:00"/>
    <s v="Fenobarbital Sódico 40 mg/mL Solución Inyectable_caja X 10 ampollas c/u"/>
    <n v="0"/>
    <n v="0"/>
    <x v="3"/>
    <x v="6"/>
    <x v="0"/>
    <x v="0"/>
    <x v="0"/>
  </r>
  <r>
    <x v="242"/>
    <s v="ANIBAL ARNEDO"/>
    <s v="Director Técnico"/>
    <s v="Suministros y Dotaciones Colombia S.A"/>
    <s v="802000608-7"/>
    <s v="quimicobta@syd.com.co"/>
    <s v="Carrera 12 Calle 11A-53"/>
    <x v="11"/>
    <m/>
    <s v="COMPRA MEDICAMENTOS MONOPOLIO DEL ESTADO"/>
    <n v="202124100857462"/>
    <d v="2021-05-14T00:00:00"/>
    <x v="4"/>
    <n v="202124110794601"/>
    <d v="2021-05-25T00:00:00"/>
    <s v="MAY"/>
    <n v="-11"/>
    <s v="NEGADO"/>
    <m/>
    <s v="No. 250"/>
    <d v="2017-05-15T00:00:00"/>
    <s v="Fenobarbital Sódico 40 mg/mL Solución Inyectable_caja X 10 ampollas c/u"/>
    <n v="0"/>
    <n v="0"/>
    <x v="3"/>
    <x v="6"/>
    <x v="0"/>
    <x v="0"/>
    <x v="0"/>
  </r>
  <r>
    <x v="242"/>
    <s v="ANIBAL ARNEDO"/>
    <s v="Director Técnico"/>
    <s v="Suministros y Dotaciones Colombia S.A"/>
    <s v="802000608-7"/>
    <s v="quimicobta@syd.com.co"/>
    <s v="Carrera 12 Calle 11A-53"/>
    <x v="11"/>
    <m/>
    <s v="COMPRA MEDICAMENTOS MONOPOLIO DEL ESTADO"/>
    <n v="202124100857462"/>
    <d v="2021-05-14T00:00:00"/>
    <x v="4"/>
    <n v="202124110794601"/>
    <d v="2021-05-25T00:00:00"/>
    <s v="MAY"/>
    <n v="-11"/>
    <s v="NEGADO"/>
    <m/>
    <s v="No. 250"/>
    <d v="2017-05-15T00:00:00"/>
    <s v="Fenobarbital Sódico 200 mg/mL Solución Inyectable_caja X 10 ampollas c/u"/>
    <n v="0"/>
    <n v="0"/>
    <x v="3"/>
    <x v="5"/>
    <x v="0"/>
    <x v="0"/>
    <x v="0"/>
  </r>
  <r>
    <x v="242"/>
    <s v="ANIBAL ARNEDO"/>
    <s v="Director Técnico"/>
    <s v="Suministros y Dotaciones Colombia S.A"/>
    <s v="802000608-7"/>
    <s v="quimicobta@syd.com.co"/>
    <s v="Carrera 12 Calle 11A-53"/>
    <x v="11"/>
    <m/>
    <s v="COMPRA MEDICAMENTOS MONOPOLIO DEL ESTADO"/>
    <n v="202124100857462"/>
    <d v="2021-05-14T00:00:00"/>
    <x v="4"/>
    <n v="202124110794601"/>
    <d v="2021-05-25T00:00:00"/>
    <s v="MAY"/>
    <n v="-11"/>
    <s v="NEGADO"/>
    <m/>
    <s v="No. 250"/>
    <d v="2017-05-15T00:00:00"/>
    <s v="Fenobarbital 100 mg Tableta_cajas X 30 unidades c/u"/>
    <n v="0"/>
    <n v="0"/>
    <x v="5"/>
    <x v="7"/>
    <x v="4"/>
    <x v="2"/>
    <x v="0"/>
  </r>
  <r>
    <x v="242"/>
    <s v="ANIBAL ARNEDO"/>
    <s v="Director Técnico"/>
    <s v="Suministros y Dotaciones Colombia S.A"/>
    <s v="802000608-7"/>
    <s v="quimicobta@syd.com.co"/>
    <s v="Carrera 12 Calle 11A-53"/>
    <x v="11"/>
    <m/>
    <s v="COMPRA MEDICAMENTOS MONOPOLIO DEL ESTADO"/>
    <n v="202124100857462"/>
    <d v="2021-05-14T00:00:00"/>
    <x v="4"/>
    <n v="202124110794601"/>
    <d v="2021-05-25T00:00:00"/>
    <s v="MAY"/>
    <n v="-11"/>
    <s v="NEGADO"/>
    <m/>
    <s v="No. 250"/>
    <d v="2017-05-15T00:00:00"/>
    <s v="Morfina HCl 10 mg/mL Solución Inyectable ampolla por 1mL"/>
    <n v="0"/>
    <n v="0"/>
    <x v="0"/>
    <x v="0"/>
    <x v="0"/>
    <x v="0"/>
    <x v="0"/>
  </r>
  <r>
    <x v="243"/>
    <s v="RODRIGO MARTINEZ CARDENAS"/>
    <s v="Representante Legal"/>
    <s v="CLINICA ZAYMA S.A.S"/>
    <s v="800074112-6"/>
    <s v="quimico.sfi@clinicazayma.org"/>
    <s v="Calle 28 No. 7 -11"/>
    <x v="1"/>
    <s v="MONTERIA"/>
    <s v="Socilicitud de cotizacion y venta"/>
    <n v="202124100858382"/>
    <d v="2021-05-14T00:00:00"/>
    <x v="4"/>
    <n v="202124110807071"/>
    <d v="2021-05-24T00:00:00"/>
    <s v="MAY"/>
    <n v="-10"/>
    <s v="NEGADO"/>
    <s v="No se allegan los docuemtentos requeridos para el tramite"/>
    <s v="no reporta"/>
    <s v="NO DISPONIBLE"/>
    <s v="Morfina HCl 10 mg/mL Solución Inyectable ampolla por 1mL"/>
    <n v="0"/>
    <n v="0"/>
    <x v="0"/>
    <x v="0"/>
    <x v="0"/>
    <x v="0"/>
    <x v="0"/>
  </r>
  <r>
    <x v="244"/>
    <s v="DAYANA ALZATE DAVILA"/>
    <s v="Coordinadora Aréa de Compras"/>
    <s v="Hospital Departamental Centenario de Sevilla E.S.E."/>
    <s v="821003143-7"/>
    <s v="compras@hdcentenario.gov.co"/>
    <s v="Calle 56 Carrera 43 barrio Siracusa"/>
    <x v="15"/>
    <m/>
    <s v="INVITACION A COTIZAR"/>
    <n v="202124100861612"/>
    <d v="2021-05-14T00:00:00"/>
    <x v="4"/>
    <n v="202124110807111"/>
    <d v="2021-05-24T00:00:00"/>
    <s v="MAY"/>
    <n v="-10"/>
    <s v="AUTORIZADO"/>
    <m/>
    <s v="No. 2045"/>
    <d v="2016-10-26T00:00:00"/>
    <s v="Fenobarbital 100 mg Tableta_cajas X 30 unidades c/u"/>
    <n v="240"/>
    <n v="8"/>
    <x v="5"/>
    <x v="7"/>
    <x v="4"/>
    <x v="2"/>
    <x v="96"/>
  </r>
  <r>
    <x v="244"/>
    <s v="DAYANA ALZATE DAVILA"/>
    <s v="Coordinadora Aréa de Compras"/>
    <s v="Hospital Departamental Centenario de Sevilla E.S.E."/>
    <s v="821003143-7"/>
    <s v="compras@hdcentenario.gov.co"/>
    <s v="Calle 56 Carrera 43 barrio Siracusa"/>
    <x v="15"/>
    <m/>
    <s v="INVITACION A COTIZAR"/>
    <n v="202124100861612"/>
    <d v="2021-05-14T00:00:00"/>
    <x v="4"/>
    <n v="202124110807111"/>
    <d v="2021-05-24T00:00:00"/>
    <s v="MAY"/>
    <n v="-10"/>
    <s v="AUTORIZADO"/>
    <m/>
    <s v="No. 2045"/>
    <d v="2016-10-26T00:00:00"/>
    <s v="Morfina HCl 0,03 Solución Oral_frascos X 30 mL c/u"/>
    <n v="12"/>
    <n v="12"/>
    <x v="0"/>
    <x v="1"/>
    <x v="1"/>
    <x v="1"/>
    <x v="91"/>
  </r>
  <r>
    <x v="244"/>
    <s v="DAYANA ALZATE DAVILA"/>
    <s v="Coordinadora Aréa de Compras"/>
    <s v="Hospital Departamental Centenario de Sevilla E.S.E."/>
    <s v="821003143-7"/>
    <s v="compras@hdcentenario.gov.co"/>
    <s v="Calle 56 Carrera 43 barrio Siracusa"/>
    <x v="15"/>
    <m/>
    <s v="INVITACION A COTIZAR"/>
    <n v="202124100861612"/>
    <d v="2021-05-14T00:00:00"/>
    <x v="4"/>
    <n v="202124110807111"/>
    <d v="2021-05-24T00:00:00"/>
    <s v="MAY"/>
    <n v="-10"/>
    <s v="AUTORIZADO"/>
    <m/>
    <s v="No. 2045"/>
    <d v="2016-10-26T00:00:00"/>
    <s v="Morfina HCl 10 mg/mL Solución Inyectable ampolla por 1mL"/>
    <n v="50"/>
    <n v="5"/>
    <x v="0"/>
    <x v="0"/>
    <x v="0"/>
    <x v="0"/>
    <x v="17"/>
  </r>
  <r>
    <x v="245"/>
    <s v="MELBA CONSTANZA NIVIA RUIZ"/>
    <s v="Area de Compras"/>
    <s v="HOSPITAL FEDERICO LLERAS ACOSTA DE IBAGUE TOLIMA ESE"/>
    <s v="NO DISPONIBLE"/>
    <s v="pe.compras@hflleras.gov.co"/>
    <s v="Calle 33 N°4 A-50 B/La Francia"/>
    <x v="0"/>
    <s v="IBAGUE"/>
    <s v="Solicitud cotización MORFINA CLORHIDRATO 10mg/mL Sol. Inyec y MEPERIDINA CLORHIDRATO 100mg/2mL Sol. Inyec"/>
    <n v="202124100861622"/>
    <d v="2021-05-14T00:00:00"/>
    <x v="4"/>
    <n v="202124110807161"/>
    <d v="2021-05-24T00:00:00"/>
    <s v="MAY"/>
    <n v="-10"/>
    <s v="NEGADO"/>
    <s v="FRE tiene disponibilidad "/>
    <s v="No. 03226"/>
    <d v="2018-10-19T00:00:00"/>
    <s v="Meperidina HCl 100 mg/2mL Solución Inyectable_cajas X 10 unidades c/u"/>
    <n v="0"/>
    <n v="0"/>
    <x v="6"/>
    <x v="8"/>
    <x v="0"/>
    <x v="3"/>
    <x v="0"/>
  </r>
  <r>
    <x v="245"/>
    <s v="MELBA CONSTANZA NIVIA RUIZ"/>
    <s v="Area de Compras"/>
    <s v="HOSPITAL FEDERICO LLERAS ACOSTA DE IBAGUE TOLIMA ESE"/>
    <s v="890700694-4"/>
    <s v="pe.compras@hflleras.gov.co"/>
    <s v="Calle 33 N°4 A-50 B/La Francia"/>
    <x v="0"/>
    <s v="IBAGUE"/>
    <s v="Solicitud cotización MORFINA CLORHIDRATO 10mg/mL Sol. Inyec y MEPERIDINA CLORHIDRATO 100mg/2mL Sol. Inyec"/>
    <n v="202124100861622"/>
    <d v="2021-05-14T00:00:00"/>
    <x v="4"/>
    <n v="202124110807161"/>
    <d v="2021-05-24T00:00:00"/>
    <s v="MAY"/>
    <n v="-10"/>
    <s v="NEGADO"/>
    <s v="Baja disponibilidad en el FNE"/>
    <s v="No. 03226"/>
    <d v="2018-10-19T00:00:00"/>
    <s v="Morfina HCl 10 mg/mL Solución Inyectable ampolla por 1mL"/>
    <n v="0"/>
    <n v="0"/>
    <x v="0"/>
    <x v="0"/>
    <x v="0"/>
    <x v="0"/>
    <x v="0"/>
  </r>
  <r>
    <x v="246"/>
    <s v="MAYRA GONZÁLES REYES"/>
    <s v="Directora Tecnica"/>
    <s v="UCI Neonatal del Bajo Sinú"/>
    <s v="900054563-1"/>
    <s v="maigo.25@hotmail.com"/>
    <s v="NO DISPONIBLE"/>
    <x v="1"/>
    <s v="LORICA"/>
    <s v="solicitud para compra de morfina"/>
    <n v="202124100862412"/>
    <d v="2021-05-14T00:00:00"/>
    <x v="4"/>
    <n v="202124110812231"/>
    <d v="2021-05-26T00:00:00"/>
    <s v="MAY"/>
    <n v="-12"/>
    <s v="NEGADO"/>
    <s v="No se allegan los docuemtentos requeridos para el tramite"/>
    <s v="no reporta"/>
    <s v="NO DISPONIBLE"/>
    <s v="Morfina HCl 10 mg/mL Solución Inyectable ampolla por 1mL"/>
    <n v="0"/>
    <n v="0"/>
    <x v="0"/>
    <x v="0"/>
    <x v="0"/>
    <x v="0"/>
    <x v="0"/>
  </r>
  <r>
    <x v="247"/>
    <s v="ADRIANA YEPEZ TERRILL"/>
    <s v="Coord. Dirección Técnica"/>
    <s v="CLINICA BLAS DE LEZO S.A"/>
    <s v="890400693-1"/>
    <s v="coordfarmaciadt@clinicablasdelezo.com.co"/>
    <s v="Carrera Bosque No. 47-57"/>
    <x v="2"/>
    <s v="CARTAGENA"/>
    <s v="Solicitud de Medicamentos controlados_CBL"/>
    <n v="202124100862512"/>
    <d v="2021-05-14T00:00:00"/>
    <x v="4"/>
    <n v="202124110807211"/>
    <d v="2021-05-24T00:00:00"/>
    <s v="MAY"/>
    <n v="-10"/>
    <s v="NEGADO"/>
    <s v="EL FRE TIENE DISPONIBILIDAD"/>
    <s v="No. 545"/>
    <d v="2019-04-23T00:00:00"/>
    <s v="Morfina HCl 10 mg/mL Solución Inyectable ampolla por 1mL"/>
    <n v="0"/>
    <n v="0"/>
    <x v="0"/>
    <x v="0"/>
    <x v="0"/>
    <x v="0"/>
    <x v="0"/>
  </r>
  <r>
    <x v="247"/>
    <s v="ADRIANA YEPEZ TERRILL"/>
    <s v="Coord. Dirección Técnica"/>
    <s v="CLINICA BLAS DE LEZO S.A"/>
    <s v="890400693-1"/>
    <s v="coordfarmaciadt@clinicablasdelezo.com.co"/>
    <s v="Carrera Bosque No. 47-57"/>
    <x v="2"/>
    <s v="CARTAGENA"/>
    <s v="Solicitud de Medicamentos controlados_CBL"/>
    <n v="202124100862512"/>
    <d v="2021-05-14T00:00:00"/>
    <x v="4"/>
    <n v="202124110807211"/>
    <d v="2021-05-24T00:00:00"/>
    <s v="MAY"/>
    <n v="-10"/>
    <s v="NEGADO"/>
    <s v="EL FRE TIENE DISPONIBILIDAD"/>
    <s v="No. 545"/>
    <d v="2019-04-23T00:00:00"/>
    <s v="Meperidina HCl 100 mg/2mL Solución Inyectable_cajas X 10 unidades c/u"/>
    <n v="0"/>
    <n v="0"/>
    <x v="6"/>
    <x v="8"/>
    <x v="0"/>
    <x v="3"/>
    <x v="0"/>
  </r>
  <r>
    <x v="248"/>
    <s v="ANA ORTEGA MARQUEZ"/>
    <s v="Asistente Administrativa"/>
    <s v="Clinica San Martin Barranquilla"/>
    <s v="NO DISPONIBLE"/>
    <s v="compras@csmbq.com"/>
    <s v="NO DISPONIBLE"/>
    <x v="3"/>
    <s v="BARRANQUILLA"/>
    <s v="SOLICITUD COMPRA DE MORFINA"/>
    <n v="202124100875362"/>
    <d v="2021-05-18T00:00:00"/>
    <x v="4"/>
    <n v="202124110807251"/>
    <d v="2021-05-25T00:00:00"/>
    <s v="MAY"/>
    <n v="-7"/>
    <s v="NEGADO"/>
    <s v="EL SOLICITANTE NO ALLEGA DOCUMENTOS"/>
    <s v="NO DISPONIBLE"/>
    <s v="NO DISPONIBLE"/>
    <s v="Morfina HCl 10 mg/mL Solución Inyectable ampolla por 1mL"/>
    <n v="0"/>
    <n v="0"/>
    <x v="0"/>
    <x v="0"/>
    <x v="0"/>
    <x v="0"/>
    <x v="0"/>
  </r>
  <r>
    <x v="249"/>
    <s v="WILLIAM LASSO OJEDA"/>
    <s v="Regente de farmacia"/>
    <s v="Éticos UT 2020 Farmacia 10559 Palmira"/>
    <s v="NO DISPONIBLE"/>
    <s v="farmacia10559@eticos.com"/>
    <s v="Batallón de ingenieros Cr Agustín Codazzi"/>
    <x v="15"/>
    <m/>
    <s v="Soliciud de cotizacion de mediacamentos de control especial"/>
    <n v="202124100879202"/>
    <d v="2021-05-19T00:00:00"/>
    <x v="4"/>
    <n v="202124110807271"/>
    <d v="2021-05-25T00:00:00"/>
    <s v="MAY"/>
    <n v="-6"/>
    <s v="NEGADO"/>
    <s v="EL SOLICITANTE NO ALLEGA DOCUMENTOS"/>
    <s v="NO DISPONIBLE"/>
    <s v="NO DISPONIBLE"/>
    <s v="Hidromorfona HCl 2,5 mg Tableta_cajas X 20 unidades c/u"/>
    <n v="0"/>
    <n v="0"/>
    <x v="1"/>
    <x v="9"/>
    <x v="4"/>
    <x v="4"/>
    <x v="0"/>
  </r>
  <r>
    <x v="249"/>
    <s v="WILLIAM LASSO OJEDA"/>
    <s v="Regente de farmacia"/>
    <s v="Éticos UT 2020 Farmacia 10559 Palmira"/>
    <s v="NO DISPONIBLE"/>
    <s v="farmacia10559@eticos.com"/>
    <s v="Batallón de ingenieros Cr Agustín Codazzi"/>
    <x v="15"/>
    <m/>
    <s v="Soliciud de cotizacion de mediacamentos de control especial"/>
    <n v="202124100879202"/>
    <d v="2021-05-20T00:00:00"/>
    <x v="4"/>
    <n v="202124110807271"/>
    <d v="2021-05-25T00:00:00"/>
    <s v="MAY"/>
    <n v="-5"/>
    <s v="NEGADO"/>
    <s v="EL SOLICITANTE NO ALLEGA DOCUMENTOS"/>
    <s v="NO DISPONIBLE"/>
    <s v="NO DISPONIBLE"/>
    <s v="Fenobarbital 100 mg Tableta_cajas X 30 unidades c/u"/>
    <n v="0"/>
    <n v="0"/>
    <x v="5"/>
    <x v="7"/>
    <x v="4"/>
    <x v="2"/>
    <x v="0"/>
  </r>
  <r>
    <x v="250"/>
    <s v="VANESSA PUETAMAN"/>
    <m/>
    <s v="SUMEFAR DE NARIÑO"/>
    <s v="NO DISPONIBLE"/>
    <s v="sumefarcompras@gmail.com"/>
    <s v="NO DISPONIBLE"/>
    <x v="17"/>
    <s v="NARIÑO"/>
    <s v="SOLICITUD"/>
    <n v="202124100880552"/>
    <d v="2021-05-21T00:00:00"/>
    <x v="4"/>
    <n v="202124110807311"/>
    <d v="2021-05-25T00:00:00"/>
    <s v="MAY"/>
    <n v="-4"/>
    <s v="NEGADO"/>
    <s v="EL SOLICITANTE NO ALLEGA DOCUMENTOS"/>
    <s v="NO DISPONIBLE"/>
    <s v="NO DISPONIBLE"/>
    <m/>
    <n v="0"/>
    <s v=""/>
    <x v="9"/>
    <x v="17"/>
    <x v="9"/>
    <x v="13"/>
    <x v="0"/>
  </r>
  <r>
    <x v="251"/>
    <s v="WILLIAM LASSO OJEDA"/>
    <s v="Regente de farmacia"/>
    <s v="Éticos UT 2020 Farmacia 10559 Palmira"/>
    <s v="892300678-7"/>
    <s v="farmacia10559@eticos.com"/>
    <s v="Calle 31 Via Pradera del Municipio de Palmira"/>
    <x v="15"/>
    <m/>
    <s v="Cotizacion de medicamentos de monopolio"/>
    <n v="202124100881492"/>
    <d v="2021-05-22T00:00:00"/>
    <x v="4"/>
    <n v="202124110812881"/>
    <d v="2021-05-25T00:00:00"/>
    <s v="MAY"/>
    <n v="-3"/>
    <s v="NEGADO"/>
    <m/>
    <s v="No. 170"/>
    <d v="2020-07-19T00:00:00"/>
    <s v="Hidromorfona HCl 2,5 mg Tableta_cajas X 20 unidades c/u"/>
    <n v="0"/>
    <n v="0"/>
    <x v="1"/>
    <x v="9"/>
    <x v="4"/>
    <x v="4"/>
    <x v="0"/>
  </r>
  <r>
    <x v="251"/>
    <s v="WILLIAM LASSO OJEDA"/>
    <s v="Regente de farmacia"/>
    <s v="Éticos UT 2020 Farmacia 10559 Palmira"/>
    <s v="892300678-7"/>
    <s v="farmacia10559@eticos.com"/>
    <s v="Calle 31 Via Pradera del Municipio de Palmira"/>
    <x v="15"/>
    <m/>
    <s v="Cotizacion de medicamentos de monopolio"/>
    <n v="202124100881492"/>
    <d v="2021-05-23T00:00:00"/>
    <x v="4"/>
    <n v="202124110812881"/>
    <d v="2021-05-25T00:00:00"/>
    <s v="MAY"/>
    <n v="-2"/>
    <s v="NEGADO"/>
    <m/>
    <s v="No. 170"/>
    <d v="2020-07-19T00:00:00"/>
    <s v="Fenobarbital 100 mg Tableta_cajas X 30 unidades c/u"/>
    <n v="0"/>
    <n v="0"/>
    <x v="5"/>
    <x v="7"/>
    <x v="4"/>
    <x v="2"/>
    <x v="0"/>
  </r>
  <r>
    <x v="252"/>
    <s v="DINA ESTHER PEÑALOZA DIAZ"/>
    <s v="Coordinador Regional Servicios Farmacéuticos"/>
    <s v="ASOCIACION DE PRESTADORES DE SERVICIOS Y SUMINISTROS DE SALUD-ASSALUD"/>
    <s v="804011768-1"/>
    <s v="dina.penaloza@assalud.com"/>
    <s v="Calle 6 # 7 - 17 Local 2 "/>
    <x v="4"/>
    <s v="FUNDACION"/>
    <s v="SOLICITUD COTIZACIÓN Y AUTORIZACIÓN PARA COMPRA MEDICAMENTOS ASSALUD Mcpio FUNDACIÖN"/>
    <n v="202124100884742"/>
    <d v="2021-05-19T00:00:00"/>
    <x v="4"/>
    <n v="202124110812991"/>
    <d v="2021-05-25T00:00:00"/>
    <s v="MAY"/>
    <n v="-6"/>
    <s v="AUTORIZADO"/>
    <m/>
    <s v="No. 4080"/>
    <d v="2019-11-18T00:00:00"/>
    <s v="Fenobarbital 100 mg Tableta_cajas X 30 unidades c/u"/>
    <n v="3000"/>
    <n v="100"/>
    <x v="5"/>
    <x v="7"/>
    <x v="4"/>
    <x v="2"/>
    <x v="32"/>
  </r>
  <r>
    <x v="253"/>
    <s v="VICTOR AVILA LAGARES"/>
    <s v="Quimico Farmacéutico"/>
    <s v="MEDICINA INTEGRAL S.A"/>
    <s v="800250634-3"/>
    <s v="victor.avila@medicinaintegralsa.com"/>
    <s v="Calle 44 No. 14-282 Barrio Portal de Almeria"/>
    <x v="1"/>
    <s v="MONTERIA"/>
    <s v="Compra directa medicina integral"/>
    <n v="202124100887912"/>
    <d v="2021-05-20T00:00:00"/>
    <x v="4"/>
    <n v="202124110807351"/>
    <d v="2021-05-24T00:00:00"/>
    <s v="MAY"/>
    <n v="-4"/>
    <s v="AUTORIZADO"/>
    <m/>
    <s v="No. 0631"/>
    <d v="2020-05-11T00:00:00"/>
    <s v="Morfina HCl 0,03 Solución Oral_frascos X 30 mL c/u"/>
    <n v="10"/>
    <n v="10"/>
    <x v="0"/>
    <x v="1"/>
    <x v="1"/>
    <x v="1"/>
    <x v="47"/>
  </r>
  <r>
    <x v="253"/>
    <s v="VICTOR AVILA LAGARES"/>
    <s v="Quimico Farmacéutico"/>
    <s v="MEDICINA INTEGRAL S.A"/>
    <s v="800250634-3"/>
    <s v="victor.avila@medicinaintegralsa.com"/>
    <s v="Calle 44 No. 14-282 Barrio Portal de Almeria"/>
    <x v="1"/>
    <s v="MONTERIA"/>
    <s v="Compra directa medicina integral"/>
    <n v="202124100887912"/>
    <d v="2021-05-20T00:00:00"/>
    <x v="4"/>
    <n v="202124110807351"/>
    <d v="2021-05-24T00:00:00"/>
    <s v="MAY"/>
    <n v="-4"/>
    <s v="AUTORIZADO"/>
    <m/>
    <s v="No. 0631"/>
    <d v="2020-05-11T00:00:00"/>
    <s v="Metilfenidato HCl 10 mg Comprimido_cajas X 30 unidades c/u"/>
    <n v="600"/>
    <n v="20"/>
    <x v="4"/>
    <x v="3"/>
    <x v="3"/>
    <x v="2"/>
    <x v="7"/>
  </r>
  <r>
    <x v="253"/>
    <s v="VICTOR AVILA LAGARES"/>
    <s v="Quimico Farmacéutico"/>
    <s v="MEDICINA INTEGRAL S.A"/>
    <s v="800250634-3"/>
    <s v="victor.avila@medicinaintegralsa.com"/>
    <s v="Calle 44 No. 14-282 Barrio Portal de Almeria"/>
    <x v="1"/>
    <s v="MONTERIA"/>
    <s v="Compra directa medicina integral"/>
    <n v="202124100887912"/>
    <d v="2021-05-20T00:00:00"/>
    <x v="4"/>
    <n v="202124110807351"/>
    <d v="2021-05-24T00:00:00"/>
    <s v="MAY"/>
    <n v="-4"/>
    <s v="NEGADO"/>
    <m/>
    <s v="No. 0631"/>
    <d v="2020-05-11T00:00:00"/>
    <s v="Hidromorfona HCl 2 mg/mL Solución Inyectable_cajas X 10 unidades c/u"/>
    <n v="0"/>
    <n v="0"/>
    <x v="1"/>
    <x v="2"/>
    <x v="0"/>
    <x v="0"/>
    <x v="0"/>
  </r>
  <r>
    <x v="253"/>
    <s v="VICTOR AVILA LAGARES"/>
    <s v="Quimico Farmacéutico"/>
    <s v="MEDICINA INTEGRAL S.A"/>
    <s v="800250634-3"/>
    <s v="victor.avila@medicinaintegralsa.com"/>
    <s v="Calle 44 No. 14-282 Barrio Portal de Almeria"/>
    <x v="1"/>
    <s v="MONTERIA"/>
    <s v="Compra directa medicina integral"/>
    <n v="202124100887912"/>
    <d v="2021-05-20T00:00:00"/>
    <x v="4"/>
    <n v="202124110807351"/>
    <d v="2021-05-24T00:00:00"/>
    <s v="MAY"/>
    <n v="-4"/>
    <s v="NEGADO"/>
    <m/>
    <s v="No. 0631"/>
    <d v="2020-05-11T00:00:00"/>
    <s v="Morfina HCl 10 mg/mL Solución Inyectable ampolla por 1mL"/>
    <n v="0"/>
    <n v="0"/>
    <x v="0"/>
    <x v="0"/>
    <x v="0"/>
    <x v="0"/>
    <x v="0"/>
  </r>
  <r>
    <x v="254"/>
    <s v="DIANA MOLINA ARENAS"/>
    <s v="Quimico Farmacéutico"/>
    <s v="CLÍNICA UNIVERSITARIA MEDICINA INTEGRAL S.A.S."/>
    <s v="900740827-3"/>
    <s v="claudia.narvaez@cumi.com.co"/>
    <s v="Calle 44 No. 14-282 "/>
    <x v="1"/>
    <s v="MONTERIA"/>
    <s v="Solicitud Venta Directa de Medicamentos de Control"/>
    <n v="202124100890072"/>
    <d v="2021-05-20T00:00:00"/>
    <x v="4"/>
    <n v="202124110807411"/>
    <d v="2021-05-24T00:00:00"/>
    <s v="MAY"/>
    <n v="-4"/>
    <s v="NEGADO"/>
    <m/>
    <s v="No. 0661"/>
    <d v="2019-12-20T00:00:00"/>
    <s v="Morfina HCl 10 mg/mL Solución Inyectable ampolla por 1mL"/>
    <n v="0"/>
    <n v="0"/>
    <x v="0"/>
    <x v="0"/>
    <x v="0"/>
    <x v="0"/>
    <x v="0"/>
  </r>
  <r>
    <x v="254"/>
    <s v="DIANA MOLINA ARENAS"/>
    <s v="Quimico Farmacéutico"/>
    <s v="CLÍNICA UNIVERSITARIA MEDICINA INTEGRAL S.A.S."/>
    <s v="900740827-3"/>
    <s v="claudia.narvaez@cumi.com.co"/>
    <s v="Calle 44 No. 14-282 "/>
    <x v="1"/>
    <s v="MONTERIA"/>
    <s v="Solicitud Venta Directa de Medicamentos de Control"/>
    <n v="202124100890072"/>
    <d v="2021-05-20T00:00:00"/>
    <x v="4"/>
    <n v="202124110807411"/>
    <d v="2021-05-24T00:00:00"/>
    <s v="MAY"/>
    <n v="-4"/>
    <s v="NEGADO"/>
    <m/>
    <s v="No. 0661"/>
    <d v="2019-12-20T00:00:00"/>
    <s v="Hidromorfona HCl 2 mg/mL Solución Inyectable_cajas X 10 unidades c/u"/>
    <n v="0"/>
    <n v="0"/>
    <x v="1"/>
    <x v="2"/>
    <x v="0"/>
    <x v="0"/>
    <x v="0"/>
  </r>
  <r>
    <x v="254"/>
    <s v="DIANA MOLINA ARENAS"/>
    <s v="Quimico Farmacéutico"/>
    <s v="CLÍNICA UNIVERSITARIA MEDICINA INTEGRAL S.A.S."/>
    <s v="900740827-3"/>
    <s v="claudia.narvaez@cumi.com.co"/>
    <s v="Calle 44 No. 14-282 "/>
    <x v="1"/>
    <s v="MONTERIA"/>
    <s v="Solicitud Venta Directa de Medicamentos de Control"/>
    <n v="202124100890072"/>
    <d v="2021-05-20T00:00:00"/>
    <x v="4"/>
    <n v="202124110807411"/>
    <d v="2021-05-24T00:00:00"/>
    <s v="MAY"/>
    <n v="-4"/>
    <s v="AUTORIZADO"/>
    <m/>
    <s v="No. 0661"/>
    <d v="2019-12-20T00:00:00"/>
    <s v="Hidromorfona HCl 2,5 mg Tableta_cajas X 20 unidades c/u"/>
    <n v="600"/>
    <n v="30"/>
    <x v="1"/>
    <x v="9"/>
    <x v="4"/>
    <x v="4"/>
    <x v="144"/>
  </r>
  <r>
    <x v="255"/>
    <s v="JULIA KATRIN RHENALS BERROCAL"/>
    <s v="Coordinadora Zonal"/>
    <s v="LOGIFARMA S.A.S"/>
    <s v="900073223-3"/>
    <s v="coordinadorcordoba@logifarma.co"/>
    <s v="Carrera 7 No. 25-27"/>
    <x v="1"/>
    <s v="MONTERIA"/>
    <s v="Solicitud autorización de compra medicamentos Monopolio del Estado Logifarma Montería Al Fondo Nacional De Estupefacientes"/>
    <n v="202124100890222"/>
    <d v="2021-05-20T00:00:00"/>
    <x v="4"/>
    <n v="202124110807441"/>
    <d v="2021-05-24T00:00:00"/>
    <s v="MAY"/>
    <n v="-4"/>
    <s v="AUTORIZADO"/>
    <m/>
    <s v="No. 142"/>
    <d v="2020-09-01T00:00:00"/>
    <s v="Morfina HCl 0,03 Solución Oral_frascos X 30 mL c/u"/>
    <n v="20"/>
    <n v="20"/>
    <x v="0"/>
    <x v="1"/>
    <x v="1"/>
    <x v="1"/>
    <x v="138"/>
  </r>
  <r>
    <x v="255"/>
    <s v="JULIA KATRIN RHENALS BERROCAL"/>
    <s v="Coordinadora Zonal"/>
    <s v="LOGIFARMA S.A.S"/>
    <s v="900073223-3"/>
    <s v="coordinadorcordoba@logifarma.co"/>
    <s v="Carrera 7 No. 25-27"/>
    <x v="1"/>
    <s v="MONTERIA"/>
    <s v="Solicitud autorización de compra medicamentos Monopolio del Estado Logifarma Montería Al Fondo Nacional De Estupefacientes"/>
    <n v="202124100890222"/>
    <d v="2021-05-20T00:00:00"/>
    <x v="4"/>
    <n v="202124110807441"/>
    <d v="2021-05-24T00:00:00"/>
    <s v="MAY"/>
    <n v="-4"/>
    <s v="AUTORIZADO"/>
    <m/>
    <s v="No. 142"/>
    <d v="2020-09-01T00:00:00"/>
    <s v="Fenobarbital 0,4% Solución Oral_frascos X 120 mL c/u"/>
    <n v="8"/>
    <n v="8"/>
    <x v="5"/>
    <x v="11"/>
    <x v="1"/>
    <x v="6"/>
    <x v="135"/>
  </r>
  <r>
    <x v="256"/>
    <s v="NO DISPONIBLE"/>
    <s v="NO DISPONIBLE"/>
    <s v="HOSPITAL PABLO TOBON URIBE"/>
    <s v="NO DISPONIBLE"/>
    <s v="pedidosfarmacia@hptu.org.co"/>
    <s v="NO DISPONIBLE"/>
    <x v="13"/>
    <s v="ANTIOQUIA"/>
    <s v="Solicitud Autorización Compra Directa"/>
    <n v="202124100894082"/>
    <d v="2021-05-20T00:00:00"/>
    <x v="4"/>
    <n v="202124110870661"/>
    <d v="2021-06-04T00:00:00"/>
    <s v="MAY"/>
    <n v="-15"/>
    <s v="NEGADO"/>
    <m/>
    <s v="NO DISPONIBLE"/>
    <s v="NO DISPONIBLE"/>
    <s v="Morfina HCl 10 mg/mL Solución Inyectable ampolla por 1mL"/>
    <n v="0"/>
    <n v="0"/>
    <x v="0"/>
    <x v="0"/>
    <x v="0"/>
    <x v="0"/>
    <x v="0"/>
  </r>
  <r>
    <x v="257"/>
    <s v="LEONELYS CASTELLANOS"/>
    <s v="Jefe de Servicios Farmaceuticos"/>
    <s v="CLÍNICA GENERAL DEL NORTE"/>
    <s v="890102768-5"/>
    <s v="auxcompras2@clinicageneraldelnorte.com"/>
    <s v="Carrera 48 No. 70 - 38"/>
    <x v="3"/>
    <s v="BARRANQUILLA"/>
    <s v="solicitud de autorizacion de compra directa organizacion clinica general del norte"/>
    <n v="202124100898262"/>
    <d v="2021-05-21T00:00:00"/>
    <x v="4"/>
    <n v="202124110807491"/>
    <d v="2021-05-24T00:00:00"/>
    <s v="MAY"/>
    <n v="-3"/>
    <s v="NEGADO"/>
    <m/>
    <s v="No. 436"/>
    <d v="2019-07-31T00:00:00"/>
    <s v="Morfina HCl 10 mg/mL Solución Inyectable ampolla por 1mL"/>
    <n v="0"/>
    <n v="0"/>
    <x v="0"/>
    <x v="0"/>
    <x v="0"/>
    <x v="0"/>
    <x v="0"/>
  </r>
  <r>
    <x v="258"/>
    <s v="OSWALDO MATEUS MOSQUERA"/>
    <s v="Gerente General"/>
    <s v="Clinica Chicamocha S.A."/>
    <s v="890209698-9"/>
    <s v="farmaco.vigilancia@clinicachicamocha.com"/>
    <s v="Calle 40 No.27a-22"/>
    <x v="8"/>
    <s v="BUCARAMANGA"/>
    <s v="Solicitud de compra medicamento Morfina 10 mg y Hidromorfona 2 mg"/>
    <n v="202124100907392"/>
    <d v="2021-05-24T00:00:00"/>
    <x v="4"/>
    <n v="202124110841461"/>
    <d v="2021-05-31T00:00:00"/>
    <s v="MAY"/>
    <n v="-7"/>
    <s v="NEGADO"/>
    <m/>
    <s v="No. 08196"/>
    <d v="2017-06-02T00:00:00"/>
    <s v="Hidromorfona HCl 2 mg/mL Solución Inyectable_cajas X 10 unidades c/u"/>
    <n v="0"/>
    <n v="0"/>
    <x v="1"/>
    <x v="2"/>
    <x v="0"/>
    <x v="0"/>
    <x v="0"/>
  </r>
  <r>
    <x v="258"/>
    <s v="OSWALDO MATEUS MOSQUERA"/>
    <s v="Gerente General"/>
    <s v="Clinica Chicamocha S.A."/>
    <s v="890209698-9"/>
    <s v="farmaco.vigilancia@clinicachicamocha.com"/>
    <s v="Calle 40 No.27a-22"/>
    <x v="8"/>
    <s v="BUCARAMANGA"/>
    <s v="Solicitud de compra medicamento Morfina 10 mg y Hidromorfona 2 mg"/>
    <n v="202124100907392"/>
    <d v="2021-05-24T00:00:00"/>
    <x v="4"/>
    <n v="202124110841461"/>
    <d v="2021-05-31T00:00:00"/>
    <s v="MAY"/>
    <n v="-7"/>
    <s v="NEGADO"/>
    <m/>
    <s v="No. 08196"/>
    <d v="2017-06-02T00:00:00"/>
    <s v="Morfina HCl 10 mg/mL Solución Inyectable ampolla por 1mL"/>
    <n v="0"/>
    <n v="0"/>
    <x v="0"/>
    <x v="0"/>
    <x v="0"/>
    <x v="0"/>
    <x v="0"/>
  </r>
  <r>
    <x v="259"/>
    <s v="SHIRLEY PAOLA JIMENEZ SARMIENTO"/>
    <s v="Coordinador del Servicio Farmacéutico"/>
    <s v="E.S.E HOSPITAL UNIVERSITARIO JULIO MÉNDEZ BARRENECHE "/>
    <s v="891.780.185-2"/>
    <s v="quimicotroconis@syd.com.co"/>
    <s v=" Carrera 14 # 23-42 "/>
    <x v="4"/>
    <s v="SANTA MARTA"/>
    <s v="SOLICITUD MEDICAMENTOS MONOPOLIO DEL ESTADO."/>
    <n v="202124100907422"/>
    <d v="2021-05-24T00:00:00"/>
    <x v="4"/>
    <n v="202124110843141"/>
    <d v="2021-05-31T00:00:00"/>
    <s v="MAY"/>
    <n v="-7"/>
    <s v="AUTORIZADO"/>
    <m/>
    <s v="No. 1609"/>
    <d v="2020-12-09T00:00:00"/>
    <s v="Meperidina HCl 100 mg/2mL Solución Inyectable_cajas X 10 unidades c/u"/>
    <n v="200"/>
    <n v="20"/>
    <x v="6"/>
    <x v="8"/>
    <x v="0"/>
    <x v="3"/>
    <x v="31"/>
  </r>
  <r>
    <x v="259"/>
    <s v="SHIRLEY PAOLA JIMENEZ SARMIENTO"/>
    <s v="Coordinador del Servicio Farmacéutico"/>
    <s v="E.S.E HOSPITAL UNIVERSITARIO JULIO MÉNDEZ BARRENECHE "/>
    <s v="891.780.185-2"/>
    <s v="quimicotroconis@syd.com.co"/>
    <s v=" Carrera 14 # 23-42 "/>
    <x v="4"/>
    <s v="SANTA MARTA"/>
    <s v="SOLICITUD MEDICAMENTOS MONOPOLIO DEL ESTADO."/>
    <n v="202124100907422"/>
    <d v="2021-05-24T00:00:00"/>
    <x v="4"/>
    <n v="202124110843141"/>
    <d v="2021-05-31T00:00:00"/>
    <s v="MAY"/>
    <n v="-7"/>
    <s v="AUTORIZADO"/>
    <m/>
    <s v="No. 1609"/>
    <d v="2020-12-09T00:00:00"/>
    <s v="Fenobarbital 0,4% Solución Oral_frascos X 120 mL c/u"/>
    <n v="3"/>
    <n v="3"/>
    <x v="5"/>
    <x v="11"/>
    <x v="1"/>
    <x v="6"/>
    <x v="121"/>
  </r>
  <r>
    <x v="259"/>
    <s v="SHIRLEY PAOLA JIMENEZ SARMIENTO"/>
    <s v="Coordinador del Servicio Farmacéutico"/>
    <s v="E.S.E HOSPITAL UNIVERSITARIO JULIO MÉNDEZ BARRENECHE "/>
    <s v="891.780.185-2"/>
    <s v="quimicotroconis@syd.com.co"/>
    <s v=" Carrera 14 # 23-42 "/>
    <x v="4"/>
    <s v="SANTA MARTA"/>
    <s v="SOLICITUD MEDICAMENTOS MONOPOLIO DEL ESTADO."/>
    <n v="202124100907422"/>
    <d v="2021-05-24T00:00:00"/>
    <x v="4"/>
    <n v="202124110843141"/>
    <d v="2021-05-31T00:00:00"/>
    <s v="MAY"/>
    <n v="-7"/>
    <s v="AUTORIZADO"/>
    <m/>
    <s v="No. 1609"/>
    <d v="2020-12-09T00:00:00"/>
    <s v="Morfina HCl 10 mg/mL Solución Inyectable ampolla por 1mL"/>
    <n v="500"/>
    <n v="50"/>
    <x v="0"/>
    <x v="0"/>
    <x v="0"/>
    <x v="0"/>
    <x v="57"/>
  </r>
  <r>
    <x v="259"/>
    <s v="SHIRLEY PAOLA JIMENEZ SARMIENTO"/>
    <s v="Coordinador del Servicio Farmacéutico"/>
    <s v="E.S.E HOSPITAL UNIVERSITARIO JULIO MÉNDEZ BARRENECHE "/>
    <s v="891.780.185-2"/>
    <s v="quimicotroconis@syd.com.co"/>
    <s v=" Carrera 14 # 23-42 "/>
    <x v="4"/>
    <s v="SANTA MARTA"/>
    <s v="SOLICITUD MEDICAMENTOS MONOPOLIO DEL ESTADO."/>
    <n v="202124100907422"/>
    <d v="2021-05-24T00:00:00"/>
    <x v="4"/>
    <n v="202124110843141"/>
    <d v="2021-05-31T00:00:00"/>
    <s v="MAY"/>
    <n v="-7"/>
    <s v="AUTORIZADO"/>
    <m/>
    <s v="No. 1609"/>
    <d v="2020-12-09T00:00:00"/>
    <s v="Fenobarbital Sódico 40 mg/mL Solución Inyectable_caja X 10 ampollas c/u"/>
    <n v="300"/>
    <n v="30"/>
    <x v="3"/>
    <x v="6"/>
    <x v="0"/>
    <x v="0"/>
    <x v="54"/>
  </r>
  <r>
    <x v="259"/>
    <s v="SHIRLEY PAOLA JIMENEZ SARMIENTO"/>
    <s v="Coordinador del Servicio Farmacéutico"/>
    <s v="E.S.E HOSPITAL UNIVERSITARIO JULIO MÉNDEZ BARRENECHE "/>
    <s v="891.780.185-2"/>
    <s v="quimicotroconis@syd.com.co"/>
    <s v=" Carrera 14 # 23-42 "/>
    <x v="4"/>
    <s v="SANTA MARTA"/>
    <s v="SOLICITUD MEDICAMENTOS MONOPOLIO DEL ESTADO."/>
    <n v="202124100907422"/>
    <d v="2021-05-24T00:00:00"/>
    <x v="4"/>
    <n v="202124110843141"/>
    <d v="2021-05-31T00:00:00"/>
    <s v="MAY"/>
    <n v="-7"/>
    <s v="AUTORIZADO"/>
    <m/>
    <s v="No. 1609"/>
    <d v="2020-12-09T00:00:00"/>
    <s v="Fenobarbital Sódico 200 mg/mL Solución Inyectable_caja X 10 ampollas c/u"/>
    <n v="100"/>
    <n v="10"/>
    <x v="3"/>
    <x v="5"/>
    <x v="0"/>
    <x v="0"/>
    <x v="10"/>
  </r>
  <r>
    <x v="259"/>
    <s v="SHIRLEY PAOLA JIMENEZ SARMIENTO"/>
    <s v="Coordinador del Servicio Farmacéutico"/>
    <s v="E.S.E HOSPITAL UNIVERSITARIO JULIO MÉNDEZ BARRENECHE "/>
    <s v="891.780.185-2"/>
    <s v="quimicotroconis@syd.com.co"/>
    <s v=" Carrera 14 # 23-42 "/>
    <x v="4"/>
    <s v="SANTA MARTA"/>
    <s v="SOLICITUD MEDICAMENTOS MONOPOLIO DEL ESTADO."/>
    <n v="202124100907422"/>
    <d v="2021-05-24T00:00:00"/>
    <x v="4"/>
    <n v="202124110843141"/>
    <d v="2021-05-31T00:00:00"/>
    <s v="MAY"/>
    <n v="-7"/>
    <s v="AUTORIZADO"/>
    <m/>
    <s v="No. 1609"/>
    <d v="2020-12-09T00:00:00"/>
    <s v="Fenobarbital 100 mg Tableta_cajas X 30 unidades c/u"/>
    <n v="180"/>
    <n v="6"/>
    <x v="5"/>
    <x v="7"/>
    <x v="4"/>
    <x v="2"/>
    <x v="53"/>
  </r>
  <r>
    <x v="260"/>
    <s v="JULIO FLORES"/>
    <s v="Quimico Farmacéutico"/>
    <s v="Distrimed LTDA."/>
    <s v="900009141-6"/>
    <s v="compras@distrimedltda.com"/>
    <s v="Calle 23 No. 13 A - 05"/>
    <x v="4"/>
    <s v="SANTA MARTA"/>
    <s v="SOLICITUD IMPORTANTE URGENTE"/>
    <n v="202124100909222"/>
    <d v="2021-05-24T00:00:00"/>
    <x v="4"/>
    <n v="202124110841351"/>
    <d v="2021-06-04T00:00:00"/>
    <s v="MAY"/>
    <n v="-11"/>
    <s v="AUTORIZADO"/>
    <s v="Solicitud duplicada"/>
    <s v="No. 1911"/>
    <d v="2018-06-12T00:00:00"/>
    <s v="Morfina HCl 0,03 Solución Oral_frascos X 30 mL c/u"/>
    <n v="5"/>
    <n v="5"/>
    <x v="0"/>
    <x v="1"/>
    <x v="1"/>
    <x v="1"/>
    <x v="6"/>
  </r>
  <r>
    <x v="261"/>
    <s v="DAYANA ALZATE DAVILA"/>
    <s v="Coordinadora Área de Compras"/>
    <s v="Hospital  Departamental Centenario de Sevilla "/>
    <s v="821003143-7"/>
    <s v="comprashdcentenario@hdcentenario.gov.co"/>
    <s v="cra 43 Calle 56 "/>
    <x v="15"/>
    <m/>
    <s v="INVITACION A COTIZAR"/>
    <n v="202124100911712"/>
    <d v="2021-05-24T00:00:00"/>
    <x v="4"/>
    <n v="202124110807111"/>
    <d v="2021-05-24T00:00:00"/>
    <s v="MAY"/>
    <n v="0"/>
    <s v="NEGADO"/>
    <s v="Solicitud duplicada"/>
    <s v="No. 2045"/>
    <d v="2016-10-26T00:00:00"/>
    <s v="Fenobarbital 100 mg Tableta_cajas X 30 unidades c/u"/>
    <n v="0"/>
    <n v="0"/>
    <x v="5"/>
    <x v="7"/>
    <x v="4"/>
    <x v="2"/>
    <x v="0"/>
  </r>
  <r>
    <x v="261"/>
    <s v="DAYANA ALZATE DAVILA"/>
    <s v="Coordinadora Área de Compras"/>
    <s v="Hospital  Departamental Centenario de Sevilla "/>
    <s v="821003143-7"/>
    <s v="comprashdcentenario@hdcentenario.gov.co"/>
    <s v="cra 43 Calle 56 "/>
    <x v="15"/>
    <m/>
    <s v="INVITACION A COTIZAR"/>
    <n v="202124100911712"/>
    <d v="2021-05-24T00:00:00"/>
    <x v="4"/>
    <n v="202124110807111"/>
    <d v="2021-05-24T00:00:00"/>
    <s v="MAY"/>
    <n v="0"/>
    <s v="NEGADO"/>
    <s v="Solicitud duplicada"/>
    <s v="No. 2045"/>
    <d v="2016-10-26T00:00:00"/>
    <s v="Morfina HCl 0,03 Solución Oral_frascos X 30 mL c/u"/>
    <n v="0"/>
    <n v="0"/>
    <x v="0"/>
    <x v="1"/>
    <x v="1"/>
    <x v="1"/>
    <x v="0"/>
  </r>
  <r>
    <x v="261"/>
    <s v="DAYANA ALZATE DAVILA"/>
    <s v="Coordinadora Área de Compras"/>
    <s v="Hospital  Departamental Centenario de Sevilla "/>
    <s v="821003143-7"/>
    <s v="comprashdcentenario@hdcentenario.gov.co"/>
    <s v="cra 43 Calle 56 "/>
    <x v="15"/>
    <m/>
    <s v="INVITACION A COTIZAR"/>
    <n v="202124100911712"/>
    <d v="2021-05-24T00:00:00"/>
    <x v="4"/>
    <n v="202124110807111"/>
    <d v="2021-05-24T00:00:00"/>
    <s v="MAY"/>
    <n v="0"/>
    <s v="NEGADO"/>
    <s v="Solicitud duplicada"/>
    <s v="No. 2045"/>
    <d v="2016-10-26T00:00:00"/>
    <s v="Morfina HCl 10 mg/mL Solución Inyectable ampolla por 1mL"/>
    <n v="0"/>
    <n v="0"/>
    <x v="0"/>
    <x v="0"/>
    <x v="0"/>
    <x v="0"/>
    <x v="0"/>
  </r>
  <r>
    <x v="262"/>
    <s v="NEFER ROMERO MARTINEZ"/>
    <s v="Director Tècnico"/>
    <s v="IPS MEDICAMENTOS &amp; EQUIPOS COLOMBIA SAS "/>
    <s v="802024817-3"/>
    <s v="farmaceutico.dt@myecolombia.com.co"/>
    <s v="CALLE 22 Nº 8 - 68 SANTA MARTA"/>
    <x v="4"/>
    <s v="SANTA MARTA"/>
    <s v="Solicitud de cotización para Compra Directa de Medicamentos Monopolio del Estado para IPS MEDICAMENTOS &amp; EQUIPOSCOLOMBIA SAS: CALLE 22 Nº 8 - 68 SANTA MARTA"/>
    <n v="202124100914472"/>
    <d v="2021-05-24T00:00:00"/>
    <x v="4"/>
    <n v="202124110812971"/>
    <d v="2021-05-25T00:00:00"/>
    <s v="MAY"/>
    <n v="-1"/>
    <s v="AUTORIZADO"/>
    <s v="Solicitud duplicada"/>
    <s v="No. 1149"/>
    <d v="2020-09-25T00:00:00"/>
    <s v="Fenobarbital 100 mg Tableta_cajas X 30 unidades c/u"/>
    <n v="6780"/>
    <n v="226"/>
    <x v="5"/>
    <x v="7"/>
    <x v="4"/>
    <x v="2"/>
    <x v="82"/>
  </r>
  <r>
    <x v="262"/>
    <s v="NEFER ROMERO MARTINEZ"/>
    <s v="Director Tècnico"/>
    <s v="IPS MEDICAMENTOS &amp; EQUIPOS COLOMBIA SAS "/>
    <s v="802024817-3"/>
    <s v="farmaceutico.dt@myecolombia.com.co"/>
    <s v="CALLE 22 Nº 8 - 68 SANTA MARTA"/>
    <x v="4"/>
    <s v="SANTA MARTA"/>
    <s v="Solicitud de cotización para Compra Directa de Medicamentos Monopolio del Estado para IPS MEDICAMENTOS &amp; EQUIPOSCOLOMBIA SAS: CALLE 22 Nº 8 - 68 SANTA MARTA"/>
    <n v="202124100914472"/>
    <d v="2021-05-24T00:00:00"/>
    <x v="4"/>
    <n v="202124110812971"/>
    <d v="2021-05-25T00:00:00"/>
    <s v="MAY"/>
    <n v="-1"/>
    <s v="AUTORIZADO"/>
    <s v="Solicitud duplicada"/>
    <s v="No. 1149"/>
    <d v="2020-09-25T00:00:00"/>
    <s v="Morfina HCl 0,03 Solución Oral_frascos X 30 mL c/u"/>
    <n v="4"/>
    <n v="4"/>
    <x v="0"/>
    <x v="1"/>
    <x v="1"/>
    <x v="1"/>
    <x v="51"/>
  </r>
  <r>
    <x v="263"/>
    <s v="RAUL BELTRAN PORTELA"/>
    <s v="Quimico Farmacéutico"/>
    <s v="CLINICA PIEDECUESTA S.A"/>
    <s v="800090749-4"/>
    <s v="qfclinipiedecuesta@gmail.com"/>
    <s v="Carrea 11 No. 6-48"/>
    <x v="8"/>
    <s v="PIEDECUESTA"/>
    <s v="SOLICITUD COTIZACIÓN MORFINAS Y FENOBARBITAL"/>
    <n v="202124100915802"/>
    <d v="2021-05-24T00:00:00"/>
    <x v="4"/>
    <n v="202124110840791"/>
    <d v="2021-05-31T00:00:00"/>
    <s v="MAY"/>
    <n v="-7"/>
    <s v="AUTORIZADO"/>
    <m/>
    <s v="No. 8328"/>
    <d v="2019-06-14T00:00:00"/>
    <s v="Morfina HCl 10 mg/mL Solución Inyectable ampolla por 1mL"/>
    <n v="1000"/>
    <n v="100"/>
    <x v="0"/>
    <x v="0"/>
    <x v="0"/>
    <x v="0"/>
    <x v="26"/>
  </r>
  <r>
    <x v="263"/>
    <s v="RAUL BELTRAN PORTELA"/>
    <s v="Quimico Farmacéutico"/>
    <s v="CLINICA PIEDECUESTA S.A"/>
    <s v="800090749-4"/>
    <s v="qfclinipiedecuesta@gmail.com"/>
    <s v="Carrea 11 No. 6-48"/>
    <x v="8"/>
    <s v="PIEDECUESTA"/>
    <s v="SOLICITUD COTIZACIÓN MORFINAS Y FENOBARBITAL"/>
    <n v="202124100915802"/>
    <d v="2021-05-24T00:00:00"/>
    <x v="4"/>
    <n v="202124110840791"/>
    <d v="2021-05-31T00:00:00"/>
    <s v="MAY"/>
    <n v="-7"/>
    <s v="AUTORIZADO"/>
    <m/>
    <s v="No. 8328"/>
    <d v="2019-06-14T00:00:00"/>
    <s v="Fenobarbital Sódico 200 mg/mL Solución Inyectable_caja X 10 ampollas c/u"/>
    <n v="100"/>
    <n v="10"/>
    <x v="3"/>
    <x v="5"/>
    <x v="0"/>
    <x v="0"/>
    <x v="10"/>
  </r>
  <r>
    <x v="264"/>
    <s v="LUZ RODRIGUEZ"/>
    <s v="Analista de Compras"/>
    <s v="MARZAZSALUD"/>
    <s v="NO DISPONIBLE"/>
    <s v="luz.rodriguez@marcazsalud.com.co"/>
    <s v="NO DISPONIBLE"/>
    <x v="18"/>
    <s v="NO DISPONIBLE"/>
    <s v="SOLICITUD MEDICAMENTOS DE CONTROL - MARCAZSALUD R.C SAS"/>
    <n v="202124100918562"/>
    <d v="2021-05-25T00:00:00"/>
    <x v="4"/>
    <n v="202124110843121"/>
    <d v="2021-05-31T00:00:00"/>
    <s v="MAY"/>
    <n v="-6"/>
    <s v="NEGADO"/>
    <s v="NO ADJUNTA DOCUMENTOS"/>
    <s v="NO DISPONIBLE"/>
    <s v="NO DISPONIBLE"/>
    <m/>
    <n v="0"/>
    <s v=""/>
    <x v="9"/>
    <x v="17"/>
    <x v="9"/>
    <x v="13"/>
    <x v="0"/>
  </r>
  <r>
    <x v="265"/>
    <s v="MILENA CARBONO HERNANDEZ"/>
    <s v="Coordinadora Almacén"/>
    <s v="E.S.E HOSPITAL SANTANDER HERRERA"/>
    <s v="819002025-4"/>
    <s v="almacen@esehsh.gov.co"/>
    <s v="Calle 14 No. 12-46"/>
    <x v="4"/>
    <s v="PIVIJAY"/>
    <s v="SOLICITUD DE MEDICAMENTOS DE CONTROL"/>
    <n v="202124100918592"/>
    <d v="2021-05-25T00:00:00"/>
    <x v="4"/>
    <n v="202124110795141"/>
    <d v="2021-05-21T00:00:00"/>
    <s v="MAY"/>
    <n v="4"/>
    <s v="AUTORIZADO"/>
    <s v="Solicitud duplicada"/>
    <s v="No. 1113"/>
    <d v="2020-09-14T00:00:00"/>
    <m/>
    <m/>
    <s v=""/>
    <x v="9"/>
    <x v="17"/>
    <x v="9"/>
    <x v="13"/>
    <x v="0"/>
  </r>
  <r>
    <x v="265"/>
    <s v="MILENA CARBONO HERNANDEZ"/>
    <s v="Coordinadora Almacén"/>
    <s v="E.S.E HOSPITAL SANTANDER HERRERA"/>
    <s v="819002025-4"/>
    <s v="almacen@esehsh.gov.co"/>
    <s v="Calle 14 No. 12-46"/>
    <x v="4"/>
    <s v="PIVIJAY"/>
    <s v="SOLICITUD DE MEDICAMENTOS DE CONTROL"/>
    <n v="202124100918592"/>
    <d v="2021-05-25T00:00:00"/>
    <x v="4"/>
    <n v="202124110795141"/>
    <d v="2021-05-21T00:00:00"/>
    <s v="MAY"/>
    <n v="4"/>
    <s v="AUTORIZADO"/>
    <s v="Solicitud duplicada"/>
    <s v="No. 1113"/>
    <d v="2020-09-14T00:00:00"/>
    <m/>
    <m/>
    <s v=""/>
    <x v="9"/>
    <x v="17"/>
    <x v="9"/>
    <x v="13"/>
    <x v="0"/>
  </r>
  <r>
    <x v="266"/>
    <s v="RODRIGO MARTINEZ CARDENAS"/>
    <s v="Representante Legal"/>
    <s v="CLINICA ZAYMA S.A.S"/>
    <s v="800074112-6"/>
    <s v="quimico.sfi@clinicazayma.org"/>
    <s v="Calle 28 No. 7 -11"/>
    <x v="1"/>
    <s v="MONTERIA"/>
    <s v="solictid de cotizacion y venta medicamento monoñolio del estado"/>
    <n v="202124100919262"/>
    <d v="2021-05-25T00:00:00"/>
    <x v="4"/>
    <n v="202124110840721"/>
    <d v="2021-05-31T00:00:00"/>
    <s v="MAY"/>
    <n v="-6"/>
    <s v="AUTORIZADO"/>
    <m/>
    <s v="No.071"/>
    <d v="2018-06-05T00:00:00"/>
    <s v="Morfina HCl 10 mg/mL Solución Inyectable ampolla por 1mL"/>
    <n v="450"/>
    <n v="45"/>
    <x v="0"/>
    <x v="0"/>
    <x v="0"/>
    <x v="0"/>
    <x v="146"/>
  </r>
  <r>
    <x v="267"/>
    <s v="CINDY JOHANNA HERRERA FLOREZ"/>
    <s v="Directora Tecnica"/>
    <s v="DISPENSARIO 698 LA ECONOMIA  "/>
    <s v="NO DISPONIBLE"/>
    <s v="dispensario698@drogaslaeconomia.com"/>
    <s v="cr 3 N°30-28 "/>
    <x v="1"/>
    <s v="MONTERIA"/>
    <s v="SOLICITUD DE COMPRA"/>
    <n v="202124100921512"/>
    <d v="2021-05-25T00:00:00"/>
    <x v="4"/>
    <n v="202124110843351"/>
    <d v="2021-05-31T00:00:00"/>
    <s v="MAY"/>
    <n v="-6"/>
    <s v="NEGADO"/>
    <s v="La resolución no corresponde a la institución que solicita la compra"/>
    <s v="NO DISPONIBLE"/>
    <s v="NO DISPONIBLE"/>
    <s v="Morfina HCl 0,03 Solución Oral_frascos X 30 mL c/u"/>
    <n v="0"/>
    <n v="0"/>
    <x v="0"/>
    <x v="1"/>
    <x v="1"/>
    <x v="1"/>
    <x v="0"/>
  </r>
  <r>
    <x v="267"/>
    <s v="CINDY JOHANNA HERRERA FLOREZ"/>
    <s v="Directora Tecnica"/>
    <s v="DISPENSARIO 698 LA ECONOMIA  "/>
    <s v="NO DISPONIBLE"/>
    <s v="dispensario698@drogaslaeconomia.com"/>
    <s v="cr 3 N°30-28 "/>
    <x v="1"/>
    <s v="MONTERIA"/>
    <s v="SOLICITUD DE COMPRA"/>
    <n v="202124100921512"/>
    <d v="2021-05-25T00:00:00"/>
    <x v="4"/>
    <n v="202124110843351"/>
    <d v="2021-05-31T00:00:00"/>
    <s v="MAY"/>
    <n v="-6"/>
    <s v="NEGADO"/>
    <s v="La resolución no corresponde a la institución que solicita la compra"/>
    <s v="NO DISPONIBLE"/>
    <s v="NO DISPONIBLE"/>
    <s v="Metilfenidato HCl 10 mg Comprimido_cajas X 30 unidades c/u"/>
    <n v="0"/>
    <n v="0"/>
    <x v="4"/>
    <x v="3"/>
    <x v="3"/>
    <x v="2"/>
    <x v="0"/>
  </r>
  <r>
    <x v="267"/>
    <s v="CINDY JOHANNA HERRERA FLOREZ"/>
    <s v="Directora Tecnica"/>
    <s v="DISPENSARIO 698 LA ECONOMIA  "/>
    <s v="NO DISPONIBLE"/>
    <s v="dispensario698@drogaslaeconomia.com"/>
    <s v="cr 3 N°30-28 "/>
    <x v="1"/>
    <s v="MONTERIA"/>
    <s v="SOLICITUD DE COMPRA"/>
    <n v="202124100921512"/>
    <d v="2021-05-25T00:00:00"/>
    <x v="4"/>
    <n v="202124110843351"/>
    <d v="2021-05-31T00:00:00"/>
    <s v="MAY"/>
    <n v="-6"/>
    <s v="NEGADO"/>
    <s v="La resolución no corresponde a la institución que solicita la compra"/>
    <s v="NO DISPONIBLE"/>
    <s v="NO DISPONIBLE"/>
    <s v="Hidromorfona HCl 2,5 mg Tableta_cajas X 20 unidades c/u"/>
    <n v="0"/>
    <n v="0"/>
    <x v="1"/>
    <x v="9"/>
    <x v="4"/>
    <x v="4"/>
    <x v="0"/>
  </r>
  <r>
    <x v="268"/>
    <s v="EMILCE MENDOZA ESTUPIÑAN"/>
    <s v="Representante Legal"/>
    <s v="IPS Viva Salud"/>
    <s v="804011481-3"/>
    <s v="UCIFlorida@vivasalud.co"/>
    <s v=" Calle 7 No. 30-35"/>
    <x v="8"/>
    <s v="FLORIDABLANCA"/>
    <s v="solicitud cotización para compra medicamentos controlados"/>
    <n v="202124100925622"/>
    <d v="2021-05-25T00:00:00"/>
    <x v="4"/>
    <n v="202124110840651"/>
    <d v="2021-05-31T00:00:00"/>
    <s v="MAY"/>
    <n v="-6"/>
    <s v="AUTORIZADO"/>
    <m/>
    <s v="No. 357"/>
    <d v="2021-01-26T00:00:00"/>
    <s v="Morfina HCl 10 mg/mL Solución Inyectable ampolla por 5mL"/>
    <n v="200"/>
    <n v="20"/>
    <x v="0"/>
    <x v="16"/>
    <x v="0"/>
    <x v="12"/>
    <x v="147"/>
  </r>
  <r>
    <x v="269"/>
    <s v="YONATHAN MIRANDA"/>
    <s v="Quimico Farmacéutico"/>
    <s v="CLINICA GENERAL DEL NORTE S.A."/>
    <s v="890102768-5"/>
    <s v="quimicopesbol@clinicageneraldelnorte.com"/>
    <s v="Avenida Pedro de Heredia Calle 30B No. 63-43"/>
    <x v="2"/>
    <s v="CARTAGENA"/>
    <s v="SOLICITUD DE VENTA DE MEDICAMENTOS MONOPOLIO DEL ESTADO"/>
    <n v="202124100927202"/>
    <d v="2021-05-26T00:00:00"/>
    <x v="4"/>
    <n v="202124110843081"/>
    <d v="2021-05-31T00:00:00"/>
    <s v="MAY"/>
    <n v="-5"/>
    <s v="NEGADO"/>
    <m/>
    <s v="No. 968"/>
    <d v="2016-07-29T00:00:00"/>
    <s v="Metilfenidato HCl 10 mg Comprimido_cajas X 30 unidades c/u"/>
    <n v="0"/>
    <n v="0"/>
    <x v="4"/>
    <x v="3"/>
    <x v="3"/>
    <x v="2"/>
    <x v="0"/>
  </r>
  <r>
    <x v="269"/>
    <s v="YONATHAN MIRANDA"/>
    <s v="Quimico Farmacéutico"/>
    <s v="CLINICA GENERAL DEL NORTE S.A."/>
    <s v="890102768-5"/>
    <s v="quimicopesbol@clinicageneraldelnorte.com"/>
    <s v="Avenida Pedro de Heredia Calle 30B No. 63-43"/>
    <x v="2"/>
    <s v="CARTAGENA"/>
    <s v="SOLICITUD DE VENTA DE MEDICAMENTOS MONOPOLIO DEL ESTADO"/>
    <n v="202124100927202"/>
    <d v="2021-05-26T00:00:00"/>
    <x v="4"/>
    <n v="202124110843081"/>
    <d v="2021-05-31T00:00:00"/>
    <s v="MAY"/>
    <n v="-5"/>
    <s v="NEGADO"/>
    <m/>
    <s v="No. 968"/>
    <d v="2016-07-29T00:00:00"/>
    <s v="Fenobarbital 100 mg Tableta_cajas X 30 unidades c/u"/>
    <n v="0"/>
    <n v="0"/>
    <x v="5"/>
    <x v="7"/>
    <x v="4"/>
    <x v="2"/>
    <x v="0"/>
  </r>
  <r>
    <x v="270"/>
    <s v="ESTEBAN LÓPEZ BURBANO"/>
    <s v="Director Técnico"/>
    <s v="E.S.E HOSPITAL LOCAL"/>
    <s v="846000253-6"/>
    <s v="farmacia@esehospitallocal.gov.co"/>
    <s v="Carrera 29 #10-10"/>
    <x v="5"/>
    <s v="PUERTO ASIS"/>
    <s v="Compra Directa Fenobarbital Elixir"/>
    <n v="202124100927242"/>
    <d v="2021-05-26T00:00:00"/>
    <x v="4"/>
    <n v="202124110840571"/>
    <d v="2021-05-31T00:00:00"/>
    <s v="MAY"/>
    <n v="-5"/>
    <s v="AUTORIZADO"/>
    <m/>
    <s v="No.007"/>
    <d v="2021-01-20T00:00:00"/>
    <s v="Fenobarbital 0,4% Solución Oral_frascos X 120 mL c/u"/>
    <n v="40"/>
    <n v="40"/>
    <x v="5"/>
    <x v="11"/>
    <x v="1"/>
    <x v="6"/>
    <x v="148"/>
  </r>
  <r>
    <x v="271"/>
    <s v="GERMAN JESUS GÓMEZ LIZARAZO"/>
    <s v="Gerente"/>
    <s v="ESE ISABU"/>
    <s v="800084206-2"/>
    <s v="gerencia@isabu.gov.co"/>
    <s v="Carrera 9 Calle 12 Norte"/>
    <x v="8"/>
    <s v="BUCARAMANGA"/>
    <s v="Solicitud compra de Medicamentos de Control Especial."/>
    <n v="202124100927882"/>
    <d v="2021-05-26T00:00:00"/>
    <x v="4"/>
    <n v="202124110847461"/>
    <d v="2021-06-01T00:00:00"/>
    <s v="MAY"/>
    <n v="-6"/>
    <s v="AUTORIZADO"/>
    <m/>
    <s v="No. 9661"/>
    <d v="2018-06-25T00:00:00"/>
    <s v="Morfina HCl 10 mg/mL Solución Inyectable ampolla por 1mL"/>
    <n v="800"/>
    <n v="80"/>
    <x v="0"/>
    <x v="0"/>
    <x v="0"/>
    <x v="0"/>
    <x v="65"/>
  </r>
  <r>
    <x v="271"/>
    <s v="GERMAN JESUS GÓMEZ LIZARAZO"/>
    <s v="Gerente"/>
    <s v="ESE ISABU"/>
    <s v="800084206-2"/>
    <s v="gerencia@isabu.gov.co"/>
    <s v="Carrera 9 Calle 12 Norte"/>
    <x v="8"/>
    <s v="BUCARAMANGA"/>
    <s v="Solicitud compra de Medicamentos de Control Especial."/>
    <n v="202124100927882"/>
    <d v="2021-05-26T00:00:00"/>
    <x v="4"/>
    <n v="202124110847461"/>
    <d v="2021-06-01T00:00:00"/>
    <s v="MAY"/>
    <n v="-6"/>
    <s v="AUTORIZADO"/>
    <m/>
    <s v="No. 9661"/>
    <d v="2018-06-25T00:00:00"/>
    <s v="Morfina HCl 10 mg/mL Solución Inyectable ampolla por 5mL"/>
    <n v="3000"/>
    <n v="300"/>
    <x v="0"/>
    <x v="16"/>
    <x v="0"/>
    <x v="12"/>
    <x v="149"/>
  </r>
  <r>
    <x v="272"/>
    <s v="LUISA FERNANDA ALVIRA LOZADA"/>
    <s v="Coordinadora de Compras"/>
    <s v="Pharmasan"/>
    <s v="900249425-1"/>
    <s v="profesionalcompras@pharmasan.co"/>
    <s v="Calle 53 # 35 07"/>
    <x v="8"/>
    <s v="FLORIDABLANCA"/>
    <s v="SOLICITUD COTIZACIÓN"/>
    <n v="202124100930892"/>
    <d v="2021-05-26T00:00:00"/>
    <x v="4"/>
    <n v="202124110840491"/>
    <d v="2021-05-31T00:00:00"/>
    <s v="MAY"/>
    <n v="-5"/>
    <s v="NEGADO"/>
    <m/>
    <s v="No. 648"/>
    <d v="2018-09-17T00:00:00"/>
    <s v="Morfina HCl 0,03 Solución Oral_frascos X 30 mL c/u"/>
    <n v="0"/>
    <n v="0"/>
    <x v="0"/>
    <x v="1"/>
    <x v="1"/>
    <x v="1"/>
    <x v="0"/>
  </r>
  <r>
    <x v="273"/>
    <s v="MAYRA GONZÁLES REYES"/>
    <s v="Quimico Farmacéutico"/>
    <s v="UNIDAD DE CUIDADOS INTENSIVOS NEONATAL DEL BAJO SINU"/>
    <s v="900054563-1"/>
    <s v="farmaciaucinbs@gmail.com"/>
    <s v="CR 26 17 124"/>
    <x v="1"/>
    <s v="LORICA"/>
    <s v="DOCUEMTOS PARA LA COMPRA DE MORFINA"/>
    <n v="202142300931802"/>
    <d v="2021-05-26T00:00:00"/>
    <x v="4"/>
    <n v="202124110848241"/>
    <d v="2021-06-01T00:00:00"/>
    <s v="MAY"/>
    <n v="-6"/>
    <s v="NEGADO"/>
    <m/>
    <s v="No. 267"/>
    <d v="2018-10-18T00:00:00"/>
    <s v="Morfina HCl 10 mg/mL Solución Inyectable ampolla por 1mL"/>
    <n v="0"/>
    <n v="0"/>
    <x v="0"/>
    <x v="0"/>
    <x v="0"/>
    <x v="0"/>
    <x v="0"/>
  </r>
  <r>
    <x v="273"/>
    <s v="MAYRA GONZÁLES REYES"/>
    <s v="Quimico Farmacéutico"/>
    <s v="UNIDAD DE CUIDADOS INTENSIVOS NEONATAL DEL BAJO SINU"/>
    <s v="900054563-1"/>
    <s v="farmaciaucinbs@gmail.com"/>
    <s v="CR 26 17 124"/>
    <x v="1"/>
    <s v="LORICA"/>
    <s v="DOCUEMTOS PARA LA COMPRA DE MORFINA"/>
    <n v="202142300931802"/>
    <d v="2021-05-26T00:00:00"/>
    <x v="4"/>
    <n v="202124110848241"/>
    <d v="2021-06-01T00:00:00"/>
    <s v="MAY"/>
    <n v="-6"/>
    <s v="AUTORIZADO"/>
    <m/>
    <s v="No. 267"/>
    <d v="2018-10-18T00:00:00"/>
    <s v="Fenobarbital Sódico 200 mg/mL Solución Inyectable_caja X 10 ampollas c/u"/>
    <n v="20"/>
    <n v="2"/>
    <x v="3"/>
    <x v="5"/>
    <x v="0"/>
    <x v="0"/>
    <x v="5"/>
  </r>
  <r>
    <x v="274"/>
    <s v="SIRLEY MILENA ALVARADO SALCEDO"/>
    <s v="Secretaria"/>
    <s v="ESE Samuel Villanueva Valest"/>
    <s v="819004280-5"/>
    <s v="contactenos@esesamuelvillanueva.gov.co"/>
    <s v="Calle 7 No. 7 39"/>
    <x v="4"/>
    <s v="EL BANCO"/>
    <s v="SOLICITUD COTIZACION MEDICAMENTOS CONTROL ESPECIAL"/>
    <n v="202124100931912"/>
    <d v="2021-05-26T00:00:00"/>
    <x v="4"/>
    <n v="202124110840471"/>
    <d v="2021-05-31T00:00:00"/>
    <s v="MAY"/>
    <n v="-5"/>
    <s v="AUTORIZADO"/>
    <m/>
    <s v="No. 4299"/>
    <d v="2019-08-26T00:00:00"/>
    <s v="Meperidina HCl 100 mg/2mL Solución Inyectable_cajas X 10 unidades c/u"/>
    <n v="40"/>
    <n v="4"/>
    <x v="6"/>
    <x v="8"/>
    <x v="0"/>
    <x v="3"/>
    <x v="150"/>
  </r>
  <r>
    <x v="274"/>
    <s v="SIRLEY MILENA ALVARADO SALCEDO"/>
    <s v="Secretaria"/>
    <s v="ESE Samuel Villanueva Valest"/>
    <s v="819004280-6"/>
    <s v="contactenos@esesamuelvillanueva.gov.co"/>
    <s v="Calle 7 No. 7 40"/>
    <x v="4"/>
    <s v="EL BANCO"/>
    <s v="SOLICITUD COTIZACION MEDICAMENTOS CONTROL ESPECIAL"/>
    <n v="202124100931912"/>
    <d v="2021-05-26T00:00:00"/>
    <x v="4"/>
    <n v="202124110840471"/>
    <d v="2021-05-31T00:00:00"/>
    <s v="MAY"/>
    <n v="-5"/>
    <s v="AUTORIZADO"/>
    <m/>
    <s v="No. 4300"/>
    <d v="2019-08-26T00:00:00"/>
    <s v="Morfina HCl 10 mg/mL Solución Inyectable ampolla por 1mL"/>
    <n v="30"/>
    <n v="3"/>
    <x v="0"/>
    <x v="0"/>
    <x v="0"/>
    <x v="0"/>
    <x v="24"/>
  </r>
  <r>
    <x v="274"/>
    <s v="SIRLEY MILENA ALVARADO SALCEDO"/>
    <s v="Secretaria"/>
    <s v="ESE Samuel Villanueva Valest"/>
    <s v="819004280-7"/>
    <s v="contactenos@esesamuelvillanueva.gov.co"/>
    <s v="Calle 7 No. 7 41"/>
    <x v="4"/>
    <s v="EL BANCO"/>
    <s v="SOLICITUD COTIZACION MEDICAMENTOS CONTROL ESPECIAL"/>
    <n v="202124100931912"/>
    <d v="2021-05-26T00:00:00"/>
    <x v="4"/>
    <n v="202124110840471"/>
    <d v="2021-05-31T00:00:00"/>
    <s v="MAY"/>
    <n v="-5"/>
    <s v="AUTORIZADO"/>
    <m/>
    <s v="No. 4301"/>
    <d v="2019-08-26T00:00:00"/>
    <s v="Fenobarbital Sódico 40 mg/mL Solución Inyectable_caja X 10 ampollas c/u"/>
    <n v="30"/>
    <n v="3"/>
    <x v="3"/>
    <x v="6"/>
    <x v="0"/>
    <x v="0"/>
    <x v="24"/>
  </r>
  <r>
    <x v="275"/>
    <s v="MONICA MONTES USTA"/>
    <s v="Gerente"/>
    <s v="Coodescor"/>
    <s v="812001561-0"/>
    <s v="ecnica@coodescor.org.co"/>
    <s v="Calle 28A No. 23-03 "/>
    <x v="1"/>
    <s v="MONTERIA"/>
    <s v="Solicitud de compra de METILFENIDATO 10MG TAB"/>
    <n v="202124100933722"/>
    <d v="2021-05-26T00:00:00"/>
    <x v="4"/>
    <n v="202124110847821"/>
    <d v="2021-06-01T00:00:00"/>
    <s v="MAY"/>
    <n v="-6"/>
    <s v="AUTORIZADO"/>
    <m/>
    <s v="No. 0436"/>
    <d v="2019-10-04T00:00:00"/>
    <s v="Metilfenidato HCl 10 mg Comprimido_cajas X 30 unidades c/u"/>
    <n v="60"/>
    <n v="2"/>
    <x v="4"/>
    <x v="3"/>
    <x v="3"/>
    <x v="2"/>
    <x v="90"/>
  </r>
  <r>
    <x v="276"/>
    <s v="EMILCE MENDOZA ESTUPIÑAN"/>
    <s v="Representante Legal"/>
    <s v="IPS Viva Salud"/>
    <s v="804011481-3"/>
    <s v="UCIFlorida@vivasalud.co"/>
    <s v=" Calle 7 No. 30-35"/>
    <x v="8"/>
    <s v="FLORIDABLANCA"/>
    <s v="solicitud cotización para compra medicamentos controlados"/>
    <n v="202124100943002"/>
    <d v="2021-05-28T00:00:00"/>
    <x v="4"/>
    <m/>
    <m/>
    <s v="MAY"/>
    <n v="44344"/>
    <s v="NEGADO"/>
    <s v="Solicitud duplicada"/>
    <s v="No. 357"/>
    <d v="2021-01-26T00:00:00"/>
    <s v="Morfina HCl 10 mg/mL Solución Inyectable ampolla por 5mL"/>
    <n v="0"/>
    <n v="0"/>
    <x v="0"/>
    <x v="16"/>
    <x v="0"/>
    <x v="12"/>
    <x v="0"/>
  </r>
  <r>
    <x v="277"/>
    <s v="LEONELYS CASTELLANOS"/>
    <s v="Jefe de Servicios Farmaceuticos"/>
    <s v="CLÍNICA GENERAL DEL NORTE"/>
    <s v="890102768-5"/>
    <s v="auxcompras2@clinicageneraldelnorte.com"/>
    <s v="Carrera 48 No. 70 - 38"/>
    <x v="3"/>
    <s v="BARRANQUILLA"/>
    <s v="cotizacion"/>
    <n v="202124100944722"/>
    <d v="2021-05-28T00:00:00"/>
    <x v="4"/>
    <n v="202124110840451"/>
    <d v="2021-05-31T00:00:00"/>
    <s v="MAY"/>
    <n v="-3"/>
    <s v="NEGADO"/>
    <s v="NO ADJUNTA DOCUMENTOS"/>
    <s v="NO DISPONIBLE"/>
    <s v="NO DISPONIBLE"/>
    <m/>
    <n v="0"/>
    <s v=""/>
    <x v="9"/>
    <x v="17"/>
    <x v="9"/>
    <x v="13"/>
    <x v="0"/>
  </r>
  <r>
    <x v="278"/>
    <s v="CLAUDIA MILENA MARTÍNEZ CAMPO"/>
    <s v="Representante Legal"/>
    <s v="SERVICIOS INTEGRALES DE SALUD DEL MAGDALENA S.A.S"/>
    <s v="900018045-5"/>
    <s v="serviciosintegrales_saludmagdale@yahoo.com"/>
    <s v="Calle 24 No. 18A-101"/>
    <x v="4"/>
    <s v="SANTA MARTA"/>
    <s v="AUTORIZACION DE COMPRA DIRECTA - SISM NIT 900 018 045 -5"/>
    <n v="202124100949652"/>
    <d v="2021-05-28T00:00:00"/>
    <x v="4"/>
    <n v="202124110847801"/>
    <d v="2021-06-01T00:00:00"/>
    <s v="MAY"/>
    <n v="-4"/>
    <s v="AUTORIZADO"/>
    <m/>
    <s v="No. 4125"/>
    <d v="2017-12-12T00:00:00"/>
    <s v="Fenobarbital 10 mg Tableta_cajas X 30 unidades c/u"/>
    <n v="180"/>
    <n v="6"/>
    <x v="5"/>
    <x v="3"/>
    <x v="4"/>
    <x v="2"/>
    <x v="53"/>
  </r>
  <r>
    <x v="279"/>
    <s v="LEONELYS CASTELLANOS"/>
    <s v="Jefe de Servicios Farmaceuticos"/>
    <s v="CLÍNICA GENERAL DEL NORTE"/>
    <s v="890102768-5"/>
    <s v="auxcompras2@clinicageneraldelnorte.com"/>
    <s v="Carrera 48 No. 70 - 38"/>
    <x v="3"/>
    <s v="BARRANQUILLA"/>
    <s v="autorizacion"/>
    <n v="202124100952062"/>
    <d v="2021-05-31T00:00:00"/>
    <x v="4"/>
    <n v="202124110840411"/>
    <d v="2021-05-31T00:00:00"/>
    <s v="MAY"/>
    <n v="0"/>
    <s v="NEGADO"/>
    <s v="NO ADJUNTA DOCUMENTOS"/>
    <s v="NO DISPONIBLE"/>
    <s v="NO DISPONIBLE"/>
    <m/>
    <n v="0"/>
    <s v=""/>
    <x v="9"/>
    <x v="17"/>
    <x v="9"/>
    <x v="13"/>
    <x v="0"/>
  </r>
  <r>
    <x v="280"/>
    <s v="SAMIR VIDES ALVAREZ"/>
    <s v="Quimico Farmacéutico"/>
    <s v="Insuasty Oncología e Investigaciones"/>
    <s v="900475704-1"/>
    <s v="dtsfarmaceutico@insuastyoncologia.com"/>
    <s v="Calle 54 N° 33 - 45 Piso 8"/>
    <x v="8"/>
    <s v="BUCARAMANGA"/>
    <s v="Solicitud de Compra Hidromorfona 2mg/mL - Morfina 10mg/Ml"/>
    <n v="202124100956412"/>
    <d v="2021-05-31T00:00:00"/>
    <x v="4"/>
    <n v="202124110849131"/>
    <d v="2021-06-01T00:00:00"/>
    <s v="MAY"/>
    <n v="-1"/>
    <s v="AUTORIZADO"/>
    <m/>
    <s v="No. 11312"/>
    <d v="2018-07-26T00:00:00"/>
    <s v="Hidromorfona HCl 2 mg/mL Solución Inyectable_cajas X 10 unidades c/u"/>
    <n v="500"/>
    <n v="50"/>
    <x v="1"/>
    <x v="2"/>
    <x v="0"/>
    <x v="0"/>
    <x v="57"/>
  </r>
  <r>
    <x v="280"/>
    <s v="SAMIR VIDES ALVAREZ"/>
    <s v="Quimico Farmacéutico"/>
    <s v="Insuasty Oncología e Investigaciones"/>
    <s v="900475704-1"/>
    <s v="dtsfarmaceutico@insuastyoncologia.com"/>
    <s v="Calle 54 N° 33 - 45 Piso 8"/>
    <x v="8"/>
    <s v="BUCARAMANGA"/>
    <s v="Solicitud de Compra Hidromorfona 2mg/mL - Morfina 10mg/Ml"/>
    <n v="202124100956412"/>
    <d v="2021-05-31T00:00:00"/>
    <x v="4"/>
    <n v="202124110849131"/>
    <d v="2021-06-01T00:00:00"/>
    <s v="MAY"/>
    <n v="-1"/>
    <s v="AUTORIZADO"/>
    <m/>
    <s v="No. 11313"/>
    <d v="2018-07-27T00:00:00"/>
    <s v="Morfina HCl 10 mg/mL Solución Inyectable ampolla por 1mL"/>
    <n v="500"/>
    <n v="50"/>
    <x v="0"/>
    <x v="0"/>
    <x v="0"/>
    <x v="0"/>
    <x v="57"/>
  </r>
  <r>
    <x v="281"/>
    <s v="LILIA"/>
    <s v="Quimico Farmacéutico"/>
    <s v="ESE HOSPITAL REGIONAL DE SAN GIL"/>
    <s v="NO DISPONIBLE"/>
    <s v="farmacia.hrsg@gmail.com"/>
    <s v="NO DISPONIBLE"/>
    <x v="8"/>
    <s v="SAN GIL"/>
    <s v="SOLICITUD COTIZACION DE CONTROLADOS HOSPITAL SAN GIL"/>
    <n v="202124100956822"/>
    <d v="2021-05-31T00:00:00"/>
    <x v="4"/>
    <n v="202124110849111"/>
    <d v="2021-06-01T00:00:00"/>
    <s v="MAY"/>
    <n v="-1"/>
    <s v="NEGADO"/>
    <s v="NO ADJUNTA DOCUMENTOS"/>
    <s v="NO DISPONIBLE"/>
    <s v="NO DISPONIBLE"/>
    <s v="Morfina HCl 10 mg/mL Solución Inyectable ampolla por 1mL"/>
    <n v="0"/>
    <n v="0"/>
    <x v="0"/>
    <x v="0"/>
    <x v="0"/>
    <x v="0"/>
    <x v="0"/>
  </r>
  <r>
    <x v="282"/>
    <s v="EDWIN PABÓN"/>
    <s v="Regente de farmacia"/>
    <s v="MEDLIFE S.A.S"/>
    <s v="804010795-6"/>
    <s v="dispensacionibaguemedlife@gmail.com"/>
    <s v="Carrera 4D No. 36-46/Cádiz"/>
    <x v="0"/>
    <s v="IBAGUE"/>
    <s v="SOLICITUD COTIZACION MEDICAMENTOS MONOPOLIO DEL ESTADO"/>
    <n v="202124100958732"/>
    <d v="2021-05-31T00:00:00"/>
    <x v="4"/>
    <n v="202124110849061"/>
    <d v="2021-06-01T00:00:00"/>
    <s v="MAY"/>
    <n v="-1"/>
    <s v="AUTORIZADO"/>
    <m/>
    <s v="No. 2641"/>
    <d v="2020-12-21T00:00:00"/>
    <s v="Morfina HCl 10 mg/mL Solución Inyectable ampolla por 5mL"/>
    <n v="500"/>
    <n v="50"/>
    <x v="0"/>
    <x v="16"/>
    <x v="0"/>
    <x v="12"/>
    <x v="151"/>
  </r>
  <r>
    <x v="282"/>
    <s v="EDWIN PABÓN"/>
    <s v="Regente de farmacia"/>
    <s v="MEDLIFE S.A.S"/>
    <s v="804010795-7"/>
    <s v="dispensacionibaguemedlife@gmail.com"/>
    <s v="Carrera 4D No. 36-46/Cádiz"/>
    <x v="0"/>
    <s v="IBAGUE"/>
    <s v="SOLICITUD COTIZACION MEDICAMENTOS MONOPOLIO DEL ESTADO"/>
    <n v="202124100958732"/>
    <d v="2021-05-31T00:00:00"/>
    <x v="4"/>
    <n v="202124110849061"/>
    <d v="2021-06-01T00:00:00"/>
    <s v="MAY"/>
    <n v="-1"/>
    <s v="NEGADO"/>
    <m/>
    <s v="No. 2641"/>
    <d v="2020-12-21T00:00:00"/>
    <s v="Morfina HCl 10 mg/mL Solución Inyectable ampolla por 1mL"/>
    <n v="0"/>
    <n v="0"/>
    <x v="0"/>
    <x v="0"/>
    <x v="0"/>
    <x v="0"/>
    <x v="0"/>
  </r>
  <r>
    <x v="282"/>
    <s v="EDWIN PABÓN"/>
    <s v="Regente de farmacia"/>
    <s v="MEDLIFE S.A.S"/>
    <s v="804010795-8"/>
    <s v="dispensacionibaguemedlife@gmail.com"/>
    <s v="Carrera 4D No. 36-46/Cádiz"/>
    <x v="0"/>
    <s v="IBAGUE"/>
    <s v="SOLICITUD COTIZACION MEDICAMENTOS MONOPOLIO DEL ESTADO"/>
    <n v="202124100958732"/>
    <d v="2021-05-31T00:00:00"/>
    <x v="4"/>
    <n v="202124110849061"/>
    <d v="2021-06-01T00:00:00"/>
    <s v="MAY"/>
    <n v="-1"/>
    <s v="NEGADO"/>
    <m/>
    <s v="No. 2641"/>
    <d v="2020-12-21T00:00:00"/>
    <s v="Morfina HCl 0,03 Solución Oral_frascos X 30 mL c/u"/>
    <n v="0"/>
    <n v="0"/>
    <x v="0"/>
    <x v="1"/>
    <x v="1"/>
    <x v="1"/>
    <x v="0"/>
  </r>
  <r>
    <x v="282"/>
    <s v="EDWIN PABÓN"/>
    <s v="Regente de farmacia"/>
    <s v="MEDLIFE S.A.S"/>
    <s v="804010795-9"/>
    <s v="dispensacionibaguemedlife@gmail.com"/>
    <s v="Carrera 4D No. 36-46/Cádiz"/>
    <x v="0"/>
    <s v="IBAGUE"/>
    <s v="SOLICITUD COTIZACION MEDICAMENTOS MONOPOLIO DEL ESTADO"/>
    <n v="202124100958732"/>
    <d v="2021-05-31T00:00:00"/>
    <x v="4"/>
    <n v="202124110849061"/>
    <d v="2021-06-01T00:00:00"/>
    <s v="MAY"/>
    <n v="-1"/>
    <s v="NEGADO"/>
    <m/>
    <s v="No. 2641"/>
    <d v="2020-12-21T00:00:00"/>
    <s v="Fenobarbital 100 mg Tableta_cajas X 30 unidades c/u"/>
    <n v="0"/>
    <n v="0"/>
    <x v="5"/>
    <x v="7"/>
    <x v="4"/>
    <x v="2"/>
    <x v="0"/>
  </r>
  <r>
    <x v="282"/>
    <s v="EDWIN PABÓN"/>
    <s v="Regente de farmacia"/>
    <s v="MEDLIFE S.A.S"/>
    <s v="804010795-10"/>
    <s v="dispensacionibaguemedlife@gmail.com"/>
    <s v="Carrera 4D No. 36-46/Cádiz"/>
    <x v="0"/>
    <s v="IBAGUE"/>
    <s v="SOLICITUD COTIZACION MEDICAMENTOS MONOPOLIO DEL ESTADO"/>
    <n v="202124100958732"/>
    <d v="2021-05-31T00:00:00"/>
    <x v="4"/>
    <n v="202124110849061"/>
    <d v="2021-06-01T00:00:00"/>
    <s v="MAY"/>
    <n v="-1"/>
    <s v="NEGADO"/>
    <m/>
    <s v="No. 2641"/>
    <d v="2020-12-21T00:00:00"/>
    <s v="Metilfenidato HCl 10 mg Comprimido_cajas X 30 unidades c/u"/>
    <n v="0"/>
    <n v="0"/>
    <x v="4"/>
    <x v="3"/>
    <x v="3"/>
    <x v="2"/>
    <x v="0"/>
  </r>
  <r>
    <x v="283"/>
    <s v="RAUL BELTRAN PORTELA"/>
    <s v="Quimico Farmacéutico"/>
    <s v="CLINICA PIEDECUESTA S.A"/>
    <s v="800090749-4"/>
    <s v="qfclinipiedecuesta@gmail.com"/>
    <s v="Carrea 11 No. 6-48"/>
    <x v="8"/>
    <s v="PIEDECUESTA"/>
    <s v="SOLICITUD COTIZACIÓN MORFINAS Y FENOBARBITAL"/>
    <n v="202124100964722"/>
    <d v="2021-06-01T00:00:00"/>
    <x v="5"/>
    <m/>
    <m/>
    <s v="JUN"/>
    <n v="44348"/>
    <s v="NEGADO"/>
    <s v="solicitud duplicada"/>
    <s v="No. 8328"/>
    <d v="2019-06-14T00:00:00"/>
    <s v="Morfina HCl 10 mg/mL Solución Inyectable ampolla por 1mL"/>
    <n v="0"/>
    <n v="0"/>
    <x v="0"/>
    <x v="0"/>
    <x v="0"/>
    <x v="0"/>
    <x v="0"/>
  </r>
  <r>
    <x v="283"/>
    <s v="RAUL BELTRAN PORTELA"/>
    <s v="Quimico Farmacéutico"/>
    <s v="CLINICA PIEDECUESTA S.A"/>
    <s v="800090749-4"/>
    <s v="qfclinipiedecuesta@gmail.com"/>
    <s v="Carrea 11 No. 6-48"/>
    <x v="8"/>
    <s v="PIEDECUESTA"/>
    <s v="SOLICITUD COTIZACIÓN MORFINAS Y FENOBARBITAL"/>
    <n v="202124100964722"/>
    <d v="2021-06-01T00:00:00"/>
    <x v="5"/>
    <m/>
    <m/>
    <s v="JUN"/>
    <n v="44348"/>
    <s v="NEGADO"/>
    <s v="Solicitud duplicada"/>
    <s v="No. 8328"/>
    <d v="2019-06-14T00:00:00"/>
    <s v="Fenobarbital Sódico 200 mg/mL Solución Inyectable_caja X 10 ampollas c/u"/>
    <n v="0"/>
    <n v="0"/>
    <x v="3"/>
    <x v="5"/>
    <x v="0"/>
    <x v="0"/>
    <x v="0"/>
  </r>
  <r>
    <x v="284"/>
    <s v="DIANA MARCELA ESTEBAN DURAN"/>
    <s v="Regente de farmacia"/>
    <s v="DISTRIFAR DEL ORIENTE"/>
    <s v="91211831-0"/>
    <s v="bodega.distrifar@outlook.com"/>
    <s v="Cra. 34 # 37 - 13"/>
    <x v="8"/>
    <s v="BUCARAMANGA"/>
    <s v="solicitud de cotización distrifar del oriente punto prado bucaramanga"/>
    <n v="202124100965072"/>
    <d v="2021-06-01T00:00:00"/>
    <x v="5"/>
    <n v="202124110871231"/>
    <d v="2021-06-04T00:00:00"/>
    <s v="JUN"/>
    <n v="-3"/>
    <s v="AUTORIZADO"/>
    <m/>
    <s v="No. 18956"/>
    <d v="2018-11-21T00:00:00"/>
    <s v="Morfina HCl 0,03 Solución Oral_frascos X 30 mL c/u"/>
    <n v="20"/>
    <n v="20"/>
    <x v="0"/>
    <x v="1"/>
    <x v="1"/>
    <x v="1"/>
    <x v="138"/>
  </r>
  <r>
    <x v="285"/>
    <s v="JOHN JAIME ZAPATA FERIA"/>
    <s v="Director Técnico"/>
    <s v="SUMINISTROS Y DOTACIONES DE COLOMBIA S.A"/>
    <s v="802000608-7"/>
    <s v="johnjaimezapata01@gmail.com"/>
    <s v="Calle 15 No 7-95"/>
    <x v="14"/>
    <s v="YOPAL"/>
    <s v="Solicitud de cotización de MCE"/>
    <n v="202124100966512"/>
    <d v="2021-06-01T00:00:00"/>
    <x v="5"/>
    <n v="202124110871161"/>
    <d v="2021-06-04T00:00:00"/>
    <s v="JUN"/>
    <n v="-3"/>
    <s v="AUTORIZADO"/>
    <m/>
    <s v="No. 28"/>
    <d v="2021-01-27T00:00:00"/>
    <s v="Morfina HCl 10 mg/mL Solución Inyectable ampolla por 1mL"/>
    <n v="800"/>
    <n v="80"/>
    <x v="0"/>
    <x v="0"/>
    <x v="0"/>
    <x v="0"/>
    <x v="65"/>
  </r>
  <r>
    <x v="285"/>
    <s v="JOHN JAIME ZAPATA FERIA"/>
    <s v="Director Técnico"/>
    <s v="SUMINISTROS Y DOTACIONES DE COLOMBIA S.A"/>
    <s v="802000608-7"/>
    <s v="johnjaimezapata01@gmail.com"/>
    <s v="Calle 15 No 7-95"/>
    <x v="14"/>
    <s v="YOPAL"/>
    <s v="Solicitud de cotización de MCE"/>
    <n v="202124100966512"/>
    <d v="2021-06-01T00:00:00"/>
    <x v="5"/>
    <n v="202124110871161"/>
    <d v="2021-06-04T00:00:00"/>
    <s v="JUN"/>
    <n v="-3"/>
    <s v="AUTORIZADO"/>
    <m/>
    <s v="No. 28"/>
    <d v="2021-01-27T00:00:00"/>
    <s v="Hidromorfona HCl 2 mg/mL Solución Inyectable_cajas X 10 unidades c/u"/>
    <n v="800"/>
    <n v="80"/>
    <x v="1"/>
    <x v="2"/>
    <x v="0"/>
    <x v="0"/>
    <x v="65"/>
  </r>
  <r>
    <x v="285"/>
    <s v="JOHN JAIME ZAPATA FERIA"/>
    <s v="Director Técnico"/>
    <s v="SUMINISTROS Y DOTACIONES DE COLOMBIA S.A"/>
    <s v="802000608-7"/>
    <s v="johnjaimezapata01@gmail.com"/>
    <s v="Calle 15 No 7-95"/>
    <x v="14"/>
    <s v="YOPAL"/>
    <s v="Solicitud de cotización de MCE"/>
    <n v="202124100966512"/>
    <d v="2021-06-01T00:00:00"/>
    <x v="5"/>
    <n v="202124110871161"/>
    <d v="2021-06-04T00:00:00"/>
    <s v="JUN"/>
    <n v="-3"/>
    <s v="AUTORIZADO"/>
    <m/>
    <s v="No. 28"/>
    <d v="2021-01-27T00:00:00"/>
    <s v="Morfina HCl 10 mg/mL Solución Inyectable ampolla por 5mL"/>
    <n v="4000"/>
    <n v="400"/>
    <x v="0"/>
    <x v="16"/>
    <x v="0"/>
    <x v="12"/>
    <x v="152"/>
  </r>
  <r>
    <x v="286"/>
    <s v="CLAUDIA NARVAEZ RAMIREZ"/>
    <s v="Profesional de Compras y Suministros"/>
    <s v="CLINICA UNIVERSITARIA MEDICINA INTEGRAL S.A.S"/>
    <s v="900740827-3"/>
    <s v="claudia.narvaez@cumi.com.co"/>
    <s v="Calle 44 No. 14-232"/>
    <x v="1"/>
    <s v="MONTERIA"/>
    <s v="Solicitud venta Directa Medicamentos de Control CUMI"/>
    <n v="202124100966592"/>
    <d v="2021-06-01T00:00:00"/>
    <x v="5"/>
    <n v="202124110871121"/>
    <d v="2021-06-04T00:00:00"/>
    <s v="JUN"/>
    <n v="-3"/>
    <s v="AUTORIZADO"/>
    <m/>
    <s v="No. 661"/>
    <d v="2019-12-20T00:00:00"/>
    <s v="Morfina HCl 10 mg/mL Solución Inyectable ampolla por 1mL"/>
    <n v="500"/>
    <n v="50"/>
    <x v="0"/>
    <x v="0"/>
    <x v="0"/>
    <x v="0"/>
    <x v="57"/>
  </r>
  <r>
    <x v="286"/>
    <s v="CLAUDIA NARVAEZ RAMIREZ"/>
    <s v="Profesional de Compras y Suministros"/>
    <s v="CLINICA UNIVERSITARIA MEDICINA INTEGRAL S.A.S"/>
    <s v="900740827-3"/>
    <s v="claudia.narvaez@cumi.com.co"/>
    <s v="Calle 44 No. 14-232"/>
    <x v="1"/>
    <s v="MONTERIA"/>
    <s v="Solicitud venta Directa Medicamentos de Control CUMI"/>
    <n v="202124100966592"/>
    <d v="2021-06-01T00:00:00"/>
    <x v="5"/>
    <n v="202124110871121"/>
    <d v="2021-06-04T00:00:00"/>
    <s v="JUN"/>
    <n v="-3"/>
    <s v="AUTORIZADO"/>
    <m/>
    <s v="No. 661"/>
    <d v="2019-12-20T00:00:00"/>
    <s v="Hidromorfona HCl 2,5 mg Tableta_cajas X 20 unidades c/u"/>
    <n v="40"/>
    <n v="2"/>
    <x v="1"/>
    <x v="9"/>
    <x v="4"/>
    <x v="4"/>
    <x v="89"/>
  </r>
  <r>
    <x v="286"/>
    <s v="CLAUDIA NARVAEZ RAMIREZ"/>
    <s v="Profesional de Compras y Suministros"/>
    <s v="CLINICA UNIVERSITARIA MEDICINA INTEGRAL S.A.S"/>
    <s v="900740827-3"/>
    <s v="claudia.narvaez@cumi.com.co"/>
    <s v="Calle 44 No. 14-232"/>
    <x v="1"/>
    <s v="MONTERIA"/>
    <s v="Solicitud venta Directa Medicamentos de Control CUMI"/>
    <n v="202124100966592"/>
    <d v="2021-06-01T00:00:00"/>
    <x v="5"/>
    <n v="202124110871121"/>
    <d v="2021-06-04T00:00:00"/>
    <s v="JUN"/>
    <n v="-3"/>
    <s v="AUTORIZADO"/>
    <m/>
    <s v="No. 661"/>
    <d v="2019-12-20T00:00:00"/>
    <s v="Hidromorfona HCl 2 mg/mL Solución Inyectable_cajas X 10 unidades c/u"/>
    <n v="60"/>
    <n v="6"/>
    <x v="1"/>
    <x v="2"/>
    <x v="0"/>
    <x v="0"/>
    <x v="81"/>
  </r>
  <r>
    <x v="287"/>
    <s v="ALICIA ESTHER FERIA RUIZ"/>
    <s v="Regente de farmacia"/>
    <s v="LA ECONOMIA DROGUERIA 688"/>
    <s v="892300678-7"/>
    <s v="dispensario574@drogaslaeconomia.com"/>
    <s v="Carrera 3 N°29-43  "/>
    <x v="1"/>
    <s v="MONTERIA"/>
    <s v="SOLICITUD DE COMPRA DE METADONA"/>
    <n v="202124100966642"/>
    <d v="2021-06-01T00:00:00"/>
    <x v="5"/>
    <n v="202124110871071"/>
    <d v="2021-06-04T00:00:00"/>
    <s v="JUN"/>
    <n v="-3"/>
    <s v="AUTORIZADO"/>
    <m/>
    <s v="No. 162"/>
    <d v="2019-06-07T00:00:00"/>
    <s v="Metadona HCl 10 mg Tableta_Cajas X 30 unidades c/u"/>
    <n v="180"/>
    <n v="6"/>
    <x v="2"/>
    <x v="3"/>
    <x v="2"/>
    <x v="2"/>
    <x v="53"/>
  </r>
  <r>
    <x v="288"/>
    <s v="YUDY ANDREA GAMBOA AGUDELO"/>
    <s v="Coordinadora de Servicio Farmaceutico"/>
    <s v="FUNDACION FOSUNAB"/>
    <s v="900330752-0"/>
    <s v="asistente.suministros3@foscal.com.co"/>
    <s v="Calle 158 No. 20 - 95"/>
    <x v="8"/>
    <s v="FLORIDABLANCA"/>
    <s v="COTIZACIÓN FUNDACIÓN FOSUNAB BUCARAMANGA"/>
    <n v="202124100966962"/>
    <d v="2021-06-01T00:00:00"/>
    <x v="5"/>
    <n v="202124110871021"/>
    <d v="2021-06-04T00:00:00"/>
    <s v="JUN"/>
    <n v="-3"/>
    <s v="AUTORIZADO"/>
    <m/>
    <s v="No. 717"/>
    <d v="2019-01-25T00:00:00"/>
    <s v="Morfina HCl 10 mg/mL Solución Inyectable ampolla por 1mL"/>
    <n v="800"/>
    <n v="80"/>
    <x v="0"/>
    <x v="0"/>
    <x v="0"/>
    <x v="0"/>
    <x v="65"/>
  </r>
  <r>
    <x v="288"/>
    <s v="YUDY ANDREA GAMBOA AGUDELO"/>
    <s v="Coordinadora de Servicio Farmaceutico"/>
    <s v="FUNDACION FOSUNAB"/>
    <s v="900330752-0"/>
    <s v="asistente.suministros3@foscal.com.co"/>
    <s v="Calle 158 No. 20 - 95"/>
    <x v="8"/>
    <s v="FLORIDABLANCA"/>
    <s v="COTIZACIÓN FUNDACIÓN FOSUNAB BUCARAMANGA"/>
    <n v="202124100966962"/>
    <d v="2021-06-01T00:00:00"/>
    <x v="5"/>
    <n v="202124110871021"/>
    <d v="2021-06-04T00:00:00"/>
    <s v="JUN"/>
    <n v="-3"/>
    <s v="AUTORIZADO"/>
    <m/>
    <s v="No. 717"/>
    <d v="2019-01-25T00:00:00"/>
    <s v="Morfina HCl 10 mg/mL Solución Inyectable ampolla por 5mL"/>
    <n v="1000"/>
    <n v="100"/>
    <x v="0"/>
    <x v="16"/>
    <x v="0"/>
    <x v="12"/>
    <x v="153"/>
  </r>
  <r>
    <x v="288"/>
    <s v="YUDY ANDREA GAMBOA AGUDELO"/>
    <s v="Coordinadora de Servicio Farmaceutico"/>
    <s v="FUNDACION FOSUNAB"/>
    <s v="900330752-0"/>
    <s v="asistente.suministros3@foscal.com.co"/>
    <s v="Calle 158 No. 20 - 95"/>
    <x v="8"/>
    <s v="FLORIDABLANCA"/>
    <s v="COTIZACIÓN FUNDACIÓN FOSUNAB BUCARAMANGA"/>
    <n v="202124100966962"/>
    <d v="2021-06-01T00:00:00"/>
    <x v="5"/>
    <n v="202124110871021"/>
    <d v="2021-06-04T00:00:00"/>
    <s v="JUN"/>
    <n v="-3"/>
    <s v="NEGADO"/>
    <m/>
    <s v="No. 717"/>
    <d v="2019-01-25T00:00:00"/>
    <s v="Metadona HCl 10 mg Tableta_Cajas X 30 unidades c/u"/>
    <n v="0"/>
    <n v="0"/>
    <x v="2"/>
    <x v="3"/>
    <x v="2"/>
    <x v="2"/>
    <x v="0"/>
  </r>
  <r>
    <x v="289"/>
    <s v="XIOMARA ROJAS SANDOVAL"/>
    <s v="NO DISPONIBLE"/>
    <s v="DISPENSARIO 6081 – ECOPETROL"/>
    <s v="NO DISPONIBLE"/>
    <s v="dispensario681@drogaslaeconomia.com"/>
    <s v="CRA 26  # 30- 86 cañaveral"/>
    <x v="8"/>
    <s v="FLORIDABLANCA"/>
    <s v="Cotizacion disp 6081 Eticos Cañaveral"/>
    <n v="202124100968352"/>
    <d v="2021-06-01T00:00:00"/>
    <x v="5"/>
    <n v="202124110876981"/>
    <d v="2021-06-09T00:00:00"/>
    <s v="JUN"/>
    <n v="-8"/>
    <s v="NEGADO"/>
    <s v="NO ADJUNTA DOCUMENTOS"/>
    <s v="NO DISPONIBLE"/>
    <s v="NO DISPONIBLE"/>
    <m/>
    <n v="0"/>
    <s v=""/>
    <x v="9"/>
    <x v="17"/>
    <x v="9"/>
    <x v="13"/>
    <x v="0"/>
  </r>
  <r>
    <x v="290"/>
    <s v="ANGEL JOHAN OJITO CHAVERRA"/>
    <s v="Director Técnico"/>
    <s v="GRUPO DAO S.A.S"/>
    <s v="817004260-0"/>
    <s v="direcciontecnica@dao.com.co"/>
    <s v="Carrera 6 CL 16N-26 "/>
    <x v="12"/>
    <s v="POPAYAN"/>
    <s v="Solicitud de autorización compra directa medicamentos de control especial monopolio del estado."/>
    <n v="202124100958002"/>
    <d v="2021-05-31T00:00:00"/>
    <x v="4"/>
    <n v="202124110870971"/>
    <m/>
    <s v="MAY"/>
    <n v="44347"/>
    <s v="AUTORIZADO"/>
    <m/>
    <s v="No. 13130-11-2019"/>
    <d v="2019-11-15T00:00:00"/>
    <s v="Fenobarbital 100 mg Tableta_cajas X 30 unidades c/u"/>
    <n v="9000"/>
    <n v="300"/>
    <x v="5"/>
    <x v="7"/>
    <x v="4"/>
    <x v="2"/>
    <x v="3"/>
  </r>
  <r>
    <x v="290"/>
    <s v="ANGEL JOHAN OJITO CHAVERRA"/>
    <s v="Director Técnico"/>
    <s v="GRUPO DAO S.A.S"/>
    <s v="817004260-0"/>
    <s v="direcciontecnica@dao.com.co"/>
    <s v="Carrera 6 CL 16N-27"/>
    <x v="12"/>
    <s v="POPAYAN"/>
    <s v="Solicitud de autorización compra directa medicamentos de control especial monopolio del estado."/>
    <n v="202124100958002"/>
    <d v="2021-05-31T00:00:00"/>
    <x v="4"/>
    <n v="202124110870971"/>
    <m/>
    <s v="MAY"/>
    <n v="44347"/>
    <s v="AUTORIZADO"/>
    <m/>
    <s v="No. 13130-11-2019"/>
    <d v="2019-11-15T00:00:00"/>
    <s v="Fenobarbital 50 mg Tableta_cajas X 30 unidades c/u"/>
    <n v="450"/>
    <n v="15"/>
    <x v="5"/>
    <x v="12"/>
    <x v="4"/>
    <x v="2"/>
    <x v="76"/>
  </r>
  <r>
    <x v="290"/>
    <s v="ANGEL JOHAN OJITO CHAVERRA"/>
    <s v="Director Técnico"/>
    <s v="GRUPO DAO S.A.S"/>
    <s v="817004260-0"/>
    <s v="direcciontecnica@dao.com.co"/>
    <s v="Carrera 6 CL 16N-28"/>
    <x v="12"/>
    <s v="POPAYAN"/>
    <s v="Solicitud de autorización compra directa medicamentos de control especial monopolio del estado."/>
    <n v="202124100958002"/>
    <d v="2021-05-31T00:00:00"/>
    <x v="4"/>
    <n v="202124110870971"/>
    <m/>
    <s v="MAY"/>
    <n v="44347"/>
    <s v="AUTORIZADO"/>
    <m/>
    <s v="No. 13130-11-2019"/>
    <d v="2019-11-15T00:00:00"/>
    <s v="Fenobarbital 0,4% Solución Oral_frascos X 120 mL c/u"/>
    <n v="65"/>
    <n v="65"/>
    <x v="5"/>
    <x v="11"/>
    <x v="1"/>
    <x v="6"/>
    <x v="154"/>
  </r>
  <r>
    <x v="290"/>
    <s v="ANGEL JOHAN OJITO CHAVERRA"/>
    <s v="Director Técnico"/>
    <s v="GRUPO DAO S.A.S"/>
    <s v="817004260-0"/>
    <s v="direcciontecnica@dao.com.co"/>
    <s v="Carrera 6 CL 16N-29"/>
    <x v="12"/>
    <s v="POPAYAN"/>
    <s v="Solicitud de autorización compra directa medicamentos de control especial monopolio del estado."/>
    <n v="202124100958002"/>
    <d v="2021-05-31T00:00:00"/>
    <x v="4"/>
    <n v="202124110870971"/>
    <m/>
    <s v="MAY"/>
    <n v="44347"/>
    <s v="AUTORIZADO"/>
    <m/>
    <s v="No. 13130-11-2019"/>
    <d v="2019-11-15T00:00:00"/>
    <s v="Hidromorfona HCl 2,5 mg Tableta_cajas X 20 unidades c/u"/>
    <n v="300"/>
    <n v="15"/>
    <x v="1"/>
    <x v="9"/>
    <x v="4"/>
    <x v="4"/>
    <x v="155"/>
  </r>
  <r>
    <x v="290"/>
    <s v="ANGEL JOHAN OJITO CHAVERRA"/>
    <s v="Director Técnico"/>
    <s v="GRUPO DAO S.A.S"/>
    <s v="817004260-0"/>
    <s v="direcciontecnica@dao.com.co"/>
    <s v="Carrera 6 CL 16N-30"/>
    <x v="12"/>
    <s v="POPAYAN"/>
    <s v="Solicitud de autorización compra directa medicamentos de control especial monopolio del estado."/>
    <n v="202124100958002"/>
    <d v="2021-05-31T00:00:00"/>
    <x v="4"/>
    <n v="202124110870971"/>
    <m/>
    <s v="MAY"/>
    <n v="44347"/>
    <s v="AUTORIZADO"/>
    <m/>
    <s v="No. 13130-11-2019"/>
    <d v="2019-11-15T00:00:00"/>
    <s v="Metadona HCl 10 mg Tableta_Cajas X 30 unidades c/u"/>
    <n v="750"/>
    <n v="25"/>
    <x v="2"/>
    <x v="3"/>
    <x v="2"/>
    <x v="2"/>
    <x v="15"/>
  </r>
  <r>
    <x v="290"/>
    <s v="ANGEL JOHAN OJITO CHAVERRA"/>
    <s v="Director Técnico"/>
    <s v="GRUPO DAO S.A.S"/>
    <s v="817004260-0"/>
    <s v="direcciontecnica@dao.com.co"/>
    <s v="Carrera 6 CL 16N-31"/>
    <x v="12"/>
    <s v="POPAYAN"/>
    <s v="Solicitud de autorización compra directa medicamentos de control especial monopolio del estado."/>
    <n v="202124100958002"/>
    <d v="2021-05-31T00:00:00"/>
    <x v="4"/>
    <n v="202124110870971"/>
    <m/>
    <s v="MAY"/>
    <n v="44347"/>
    <s v="AUTORIZADO"/>
    <m/>
    <s v="No. 13130-11-2019"/>
    <d v="2019-11-15T00:00:00"/>
    <s v="Metadona HCl 10 mg Tableta_Cajas X 30 unidades c/u"/>
    <n v="210"/>
    <n v="7"/>
    <x v="2"/>
    <x v="3"/>
    <x v="2"/>
    <x v="2"/>
    <x v="79"/>
  </r>
  <r>
    <x v="290"/>
    <s v="ANGEL JOHAN OJITO CHAVERRA"/>
    <s v="Director Técnico"/>
    <s v="GRUPO DAO S.A.S"/>
    <s v="817004260-0"/>
    <s v="direcciontecnica@dao.com.co"/>
    <s v="Carrera 6 CL 16N-32"/>
    <x v="12"/>
    <s v="POPAYAN"/>
    <s v="Solicitud de autorización compra directa medicamentos de control especial monopolio del estado."/>
    <n v="202124100958002"/>
    <d v="2021-05-31T00:00:00"/>
    <x v="4"/>
    <n v="202124110870971"/>
    <m/>
    <s v="MAY"/>
    <n v="44347"/>
    <s v="NEGADO"/>
    <s v="no hay disponibilidad"/>
    <s v="No. 13130-11-2019"/>
    <d v="2019-11-15T00:00:00"/>
    <s v="Morfina HCl 0,03 Solución Oral_frascos X 30 mL c/u"/>
    <n v="0"/>
    <n v="0"/>
    <x v="0"/>
    <x v="1"/>
    <x v="1"/>
    <x v="1"/>
    <x v="0"/>
  </r>
  <r>
    <x v="291"/>
    <s v="YEIMI PAOLA ESPINOZA"/>
    <s v="Quimica Farmacéutica"/>
    <s v="E.S.E. José María Hernandez"/>
    <s v="891200679-1"/>
    <s v="dtfarmaceutico@esehospitalmocoa.gov.co"/>
    <s v="Calle 14 No. 7 - 26"/>
    <x v="5"/>
    <s v="MOCOA"/>
    <s v="Solicitud de cotización del medicamento- Morfina"/>
    <n v="202124100979262"/>
    <d v="2021-06-02T00:00:00"/>
    <x v="5"/>
    <n v="202124110929131"/>
    <d v="2021-06-14T00:00:00"/>
    <s v="JUN"/>
    <n v="-12"/>
    <s v="NEGADO"/>
    <s v="NO ADJUNTA DOCUMENTOS"/>
    <s v="NO DISPONIBLE"/>
    <s v="NO DISPONIBLE"/>
    <s v="Morfina HCl 10 mg/mL Solución Inyectable ampolla por 1mL"/>
    <n v="0"/>
    <n v="0"/>
    <x v="0"/>
    <x v="0"/>
    <x v="0"/>
    <x v="0"/>
    <x v="0"/>
  </r>
  <r>
    <x v="292"/>
    <s v="Dora Yaniba Ahumada Silva"/>
    <s v="ND"/>
    <s v="ND"/>
    <s v="ND"/>
    <s v="doraahus@gmail.com"/>
    <s v="ND"/>
    <x v="19"/>
    <s v="PACHO"/>
    <s v="solicitud medicamentos"/>
    <n v="202124100984682"/>
    <d v="2021-06-03T00:00:00"/>
    <x v="5"/>
    <s v="Se reasigno a Daniela Martinez"/>
    <m/>
    <s v="JUN"/>
    <n v="44350"/>
    <s v="NEGADO"/>
    <s v="ES UNA PERSONA NATURAL"/>
    <s v="NO DISPONIBLE"/>
    <s v="NO DISPONIBLE"/>
    <s v="Morfina HCl 10 mg/mL Solución Inyectable ampolla por 1mL"/>
    <n v="0"/>
    <n v="0"/>
    <x v="0"/>
    <x v="0"/>
    <x v="0"/>
    <x v="0"/>
    <x v="0"/>
  </r>
  <r>
    <x v="293"/>
    <s v="JUAN PABLO OSORIO NIÑO"/>
    <s v="Director Técnico"/>
    <s v="CLINICA INTERNACIONAL DE ALTA TECNOLOGIA CLINALTEC S.A.S"/>
    <s v="900718172-6"/>
    <s v="directorfarmaceuticoclinaltec@gmail.com"/>
    <s v="Km 6 Picaleña vía Ibagué-Espinal"/>
    <x v="0"/>
    <s v="IBAGUE"/>
    <s v="_x0009_Tramite de Autorización compra MCE - Clinaltec SAS"/>
    <n v="202124100985152"/>
    <d v="2021-06-03T00:00:00"/>
    <x v="5"/>
    <n v="202124110929151"/>
    <d v="2021-06-14T00:00:00"/>
    <s v="JUN"/>
    <n v="-11"/>
    <s v="NEGADO"/>
    <m/>
    <s v="NO DISPONIBLE"/>
    <s v="NO DISPONIBLE"/>
    <s v="Hidromorfona HCl 2 mg/mL Solución Inyectable_cajas X 10 unidades c/u"/>
    <n v="0"/>
    <n v="0"/>
    <x v="1"/>
    <x v="2"/>
    <x v="0"/>
    <x v="0"/>
    <x v="0"/>
  </r>
  <r>
    <x v="294"/>
    <s v="JUAN PABLO OSORIO NIÑO"/>
    <s v="Director Técnico"/>
    <s v="CLINICA INTERNACIONAL DE ALTA TECNOLOGIA CLINALTEC S.A.S"/>
    <s v="900718172-6"/>
    <s v="directorfarmaceuticoclinaltec@gmail.com"/>
    <s v="Km 6 Picaleña vía Ibagué-Espinal"/>
    <x v="0"/>
    <s v="IBAGUE"/>
    <s v="Tramite de Autorización compra MCE - Clinaltec SAS"/>
    <n v="202124100985322"/>
    <d v="2021-06-03T00:00:00"/>
    <x v="5"/>
    <n v="202124110929171"/>
    <d v="2021-06-14T00:00:00"/>
    <s v="JUN"/>
    <n v="-11"/>
    <s v="AUTORIZADO"/>
    <m/>
    <s v="No. 1286"/>
    <d v="2016-06-20T00:00:00"/>
    <s v="Hidromorfona HCl 2 mg/mL Solución Inyectable_cajas X 10 unidades c/u"/>
    <n v="2000"/>
    <n v="200"/>
    <x v="1"/>
    <x v="2"/>
    <x v="0"/>
    <x v="0"/>
    <x v="55"/>
  </r>
  <r>
    <x v="295"/>
    <s v="EDDY AGUILAR OLAYA"/>
    <s v="Representante Legal"/>
    <s v="CORPORACION MIIPS GRANADA"/>
    <s v="822006818-7"/>
    <s v="farmaciaipsgranada@miips.com.co"/>
    <s v="Calle 14 No. 14 -13"/>
    <x v="6"/>
    <s v="GRANADA"/>
    <s v="Cotizacion medicamentos Monopolio"/>
    <n v="202124100986932"/>
    <d v="2021-06-03T00:00:00"/>
    <x v="5"/>
    <n v="202124110929181"/>
    <d v="2021-06-14T00:00:00"/>
    <s v="JUN"/>
    <n v="-11"/>
    <s v="AUTORIZADO"/>
    <m/>
    <s v="No. 044"/>
    <d v="2021-03-26T00:00:00"/>
    <s v="Fenobarbital 100 mg Tableta_cajas X 30 unidades c/u"/>
    <n v="150"/>
    <n v="5"/>
    <x v="5"/>
    <x v="7"/>
    <x v="4"/>
    <x v="2"/>
    <x v="2"/>
  </r>
  <r>
    <x v="295"/>
    <s v="EDDY AGUILAR OLAYA"/>
    <s v="Representante Legal"/>
    <s v="CORPORACION MIIPS GRANADA"/>
    <s v="822006818-7"/>
    <s v="farmaciaipsgranada@miips.com.co"/>
    <s v="Calle 14 No. 14 -13"/>
    <x v="6"/>
    <s v="GRANADA"/>
    <s v="_x0009_Cotizacion medicamentos Monopolio"/>
    <n v="202124100986932"/>
    <d v="2021-06-03T00:00:00"/>
    <x v="5"/>
    <n v="202124110929181"/>
    <d v="2021-06-14T00:00:00"/>
    <s v="JUN"/>
    <n v="-11"/>
    <s v="AUTORIZADO"/>
    <m/>
    <s v="No. 044"/>
    <d v="2021-03-26T00:00:00"/>
    <s v="Morfina HCl 0,03 Solución Oral_frascos X 30 mL c/u"/>
    <n v="5"/>
    <n v="5"/>
    <x v="0"/>
    <x v="1"/>
    <x v="1"/>
    <x v="1"/>
    <x v="6"/>
  </r>
  <r>
    <x v="295"/>
    <s v="EDDY AGUILAR OLAYA"/>
    <s v="Representante Legal"/>
    <s v="CORPORACION MIIPS GRANADA"/>
    <s v="822006818-7"/>
    <s v="farmaciaipsgranada@miips.com.co"/>
    <s v="Calle 14 No. 14 -13"/>
    <x v="6"/>
    <s v="GRANADA"/>
    <s v="_x0009_Cotizacion medicamentos Monopolio"/>
    <n v="202124100986932"/>
    <d v="2021-06-03T00:00:00"/>
    <x v="5"/>
    <n v="202124110929181"/>
    <d v="2021-06-14T00:00:00"/>
    <s v="JUN"/>
    <n v="-11"/>
    <s v="AUTORIZADO"/>
    <m/>
    <s v="No. 044"/>
    <d v="2021-03-26T00:00:00"/>
    <s v="Fenobarbital 50 mg Tableta_cajas X 30 unidades c/u"/>
    <n v="300"/>
    <n v="10"/>
    <x v="5"/>
    <x v="12"/>
    <x v="4"/>
    <x v="2"/>
    <x v="23"/>
  </r>
  <r>
    <x v="296"/>
    <s v="ANGELICA MORENO PATERLINA"/>
    <s v="Regente de farmacia"/>
    <s v="Clínica San Roque Cuidados Crónicos"/>
    <s v="901320299-6"/>
    <s v="_x0009_farmaciasanroque2020@gmail.com"/>
    <s v="Calle 24 No. 6 - 24"/>
    <x v="1"/>
    <s v="MONTERIA"/>
    <s v="Solicitud de compras de medicamentos de control"/>
    <n v="202124100989642"/>
    <d v="2021-06-03T00:00:00"/>
    <x v="5"/>
    <n v="202124110929191"/>
    <d v="2021-06-14T00:00:00"/>
    <s v="JUN"/>
    <n v="-11"/>
    <s v="AUTORIZADO"/>
    <m/>
    <s v="No. 1344"/>
    <d v="2020-10-26T00:00:00"/>
    <s v="Morfina HCl 10 mg/mL Solución Inyectable ampolla por 1mL"/>
    <n v="300"/>
    <n v="30"/>
    <x v="0"/>
    <x v="0"/>
    <x v="0"/>
    <x v="0"/>
    <x v="54"/>
  </r>
  <r>
    <x v="296"/>
    <s v="ANGELICA MORENO PATERLINA"/>
    <s v="Regente de farmacia"/>
    <s v="Clínica San Roque Cuidados Crónicos"/>
    <s v="901320299-6"/>
    <s v="_x0009_farmaciasanroque2020@gmail.com"/>
    <s v="Calle 24 No. 6 - 24"/>
    <x v="1"/>
    <s v="MONTERIA"/>
    <s v="Solicitud de compras de medicamentos de control"/>
    <n v="202124100989642"/>
    <d v="2021-06-03T00:00:00"/>
    <x v="5"/>
    <n v="202124110929191"/>
    <d v="2021-06-14T00:00:00"/>
    <s v="JUN"/>
    <n v="-11"/>
    <s v="AUTORIZADO"/>
    <m/>
    <s v="No. 1344"/>
    <d v="2020-10-26T00:00:00"/>
    <s v="Morfina HCl 0,03 Solución Oral_frascos X 30 mL c/u"/>
    <n v="2"/>
    <n v="2"/>
    <x v="0"/>
    <x v="1"/>
    <x v="1"/>
    <x v="1"/>
    <x v="156"/>
  </r>
  <r>
    <x v="297"/>
    <s v="LEONELYS CASTELLANOS"/>
    <s v="Jefe de Servicios Farmaceuticos"/>
    <s v="CLÍNICA GENERAL DEL NORTE"/>
    <s v="890102768-5"/>
    <s v="auxcompras2@clinicageneraldelnorte.com"/>
    <s v="Carrera 48 No. 70 - 38"/>
    <x v="3"/>
    <s v="BARRANQUILLA"/>
    <s v="documentos para solicitud"/>
    <n v="202124100995612"/>
    <d v="2021-06-04T00:00:00"/>
    <x v="5"/>
    <n v="202124110929211"/>
    <d v="2021-06-14T00:00:00"/>
    <s v="JUN"/>
    <n v="-10"/>
    <s v="AUTORIZADO"/>
    <m/>
    <s v="No. 436"/>
    <d v="2019-07-31T00:00:00"/>
    <s v="Morfina HCl 10 mg/mL Solución Inyectable ampolla por 1mL"/>
    <n v="1000"/>
    <n v="100"/>
    <x v="0"/>
    <x v="0"/>
    <x v="0"/>
    <x v="0"/>
    <x v="26"/>
  </r>
  <r>
    <x v="297"/>
    <s v="LEONELYS CASTELLANOS"/>
    <s v="Jefe de Servicios Farmaceuticos"/>
    <s v="CLÍNICA GENERAL DEL NORTE"/>
    <s v="890102768-5"/>
    <s v="auxcompras2@clinicageneraldelnorte.com"/>
    <s v="Carrera 48 No. 70 - 38"/>
    <x v="3"/>
    <s v="BARRANQUILLA"/>
    <s v="documentos para solicitud"/>
    <n v="202124100995612"/>
    <d v="2021-06-04T00:00:00"/>
    <x v="5"/>
    <n v="202124110929211"/>
    <d v="2021-06-14T00:00:00"/>
    <s v="JUN"/>
    <n v="-10"/>
    <s v="AUTORIZADO"/>
    <m/>
    <s v="No. 436"/>
    <d v="2019-07-31T00:00:00"/>
    <s v="Morfina HCl 10 mg/mL Solución Inyectable ampolla por 5mL"/>
    <n v="1000"/>
    <n v="100"/>
    <x v="0"/>
    <x v="16"/>
    <x v="0"/>
    <x v="12"/>
    <x v="153"/>
  </r>
  <r>
    <x v="298"/>
    <s v="VICTOR ADRIAN RAMIREZ BERRIO"/>
    <s v="Quimico Farmacéutico"/>
    <s v="COMANDO GENERAL DE LAS FUERZAS MILITARES &quot;DIREQCIQN GENERAL DE SANIDAD MILITAR&quot;. "/>
    <s v="830039670-5"/>
    <s v="v.adrian.ramirez@gmail.com"/>
    <s v="Kilometro 7 via Puerto Lopez/Meta, Vereda Apiay"/>
    <x v="6"/>
    <s v="VILLAVICENCIO"/>
    <s v="Cotización Medicamento Monopolio - Traslado"/>
    <n v="202124100997592"/>
    <d v="2021-06-04T00:00:00"/>
    <x v="5"/>
    <n v="202124110929221"/>
    <d v="2021-06-14T00:00:00"/>
    <s v="JUN"/>
    <n v="-10"/>
    <s v="NEGADO"/>
    <s v="EL FRE CUENTA CON EL MEDICAMENTO"/>
    <s v="No. 278"/>
    <d v="2020-08-27T00:00:00"/>
    <s v="Metilfenidato HCl 18 mg Tableta de Liberación Prolongada_frascos X 30 unidades c/u"/>
    <n v="0"/>
    <n v="0"/>
    <x v="4"/>
    <x v="18"/>
    <x v="7"/>
    <x v="10"/>
    <x v="0"/>
  </r>
  <r>
    <x v="298"/>
    <s v="VICTOR ADRIAN RAMIREZ BERRIO"/>
    <s v="Quimico Farmacéutico"/>
    <s v="COMANDO GENERAL DE LAS FUERZAS MILITARES &quot;DIREQCIQN GENERAL DE SANIDAD MILITAR&quot;. "/>
    <s v="830039670-5"/>
    <s v="v.adrian.ramirez@gmail.com"/>
    <s v="Kilometro 7 via Puerto Lopez/Meta, Vereda Apiay"/>
    <x v="6"/>
    <s v="VILLAVICENCIO"/>
    <s v="Cotización Medicamento Monopolio - Traslado"/>
    <n v="202124100997592"/>
    <d v="2021-06-04T00:00:00"/>
    <x v="5"/>
    <n v="202124110929221"/>
    <d v="2021-06-14T00:00:00"/>
    <s v="JUN"/>
    <n v="-10"/>
    <s v="AUTORIZADO"/>
    <m/>
    <s v="No. 278"/>
    <d v="2020-08-27T00:00:00"/>
    <s v="Metilfenidato HCl 10 mg Comprimido_cajas X 30 unidades c/u"/>
    <n v="120"/>
    <n v="4"/>
    <x v="4"/>
    <x v="3"/>
    <x v="3"/>
    <x v="2"/>
    <x v="110"/>
  </r>
  <r>
    <x v="299"/>
    <s v="ELIECER PARRA DEL TORO"/>
    <s v="Director Técnico"/>
    <s v="LA ECONOMIA DROGUERIA"/>
    <s v="892300678-7"/>
    <s v="eparra@eticos.com"/>
    <s v="Carrera 35 No. 46 - 34"/>
    <x v="8"/>
    <s v="BUCARAMANGA"/>
    <s v="Cotización"/>
    <n v="202124100993942"/>
    <d v="2021-06-04T00:00:00"/>
    <x v="5"/>
    <n v="202124110935421"/>
    <d v="2021-06-15T00:00:00"/>
    <s v="JUN"/>
    <n v="-11"/>
    <s v="AUTORIZADO"/>
    <m/>
    <s v="No. 7191"/>
    <d v="2020-09-09T00:00:00"/>
    <s v="Metilfenidato HCl 36 mg Tableta de Liberación Prolongada_frasco X 30 unidades c/u"/>
    <n v="60"/>
    <n v="2"/>
    <x v="4"/>
    <x v="14"/>
    <x v="7"/>
    <x v="10"/>
    <x v="131"/>
  </r>
  <r>
    <x v="299"/>
    <s v="ELIECER PARRA DEL TORO"/>
    <s v="Director Técnico"/>
    <s v="LA ECONOMIA DROGUERIA"/>
    <s v="892300678-7"/>
    <s v="eparra@eticos.com"/>
    <s v="Carrera 35 No. 46 - 34"/>
    <x v="8"/>
    <s v="BUCARAMANGA"/>
    <s v="Cotización"/>
    <n v="202124100993942"/>
    <d v="2021-06-04T00:00:00"/>
    <x v="5"/>
    <n v="202124110935421"/>
    <d v="2021-06-15T00:00:00"/>
    <s v="JUN"/>
    <n v="-11"/>
    <s v="AUTORIZADO"/>
    <m/>
    <s v="No. 7192"/>
    <d v="2020-09-09T00:00:00"/>
    <s v="Morfina HCl 0,03 Solución Oral_frascos X 30 mL c/u"/>
    <n v="30"/>
    <n v="30"/>
    <x v="0"/>
    <x v="1"/>
    <x v="1"/>
    <x v="1"/>
    <x v="43"/>
  </r>
  <r>
    <x v="299"/>
    <s v="ELIECER PARRA DEL TORO"/>
    <s v="Director Técnico"/>
    <s v="LA ECONOMIA DROGUERIA"/>
    <s v="892300678-7"/>
    <s v="eparra@eticos.com"/>
    <s v="Carrera 35 No. 46 - 34"/>
    <x v="8"/>
    <s v="BUCARAMANGA"/>
    <s v="Cotización"/>
    <n v="202124100993942"/>
    <d v="2021-06-04T00:00:00"/>
    <x v="5"/>
    <n v="202124110935421"/>
    <d v="2021-06-15T00:00:00"/>
    <s v="JUN"/>
    <n v="-11"/>
    <s v="AUTORIZADO"/>
    <m/>
    <s v="No. 7193"/>
    <d v="2020-09-09T00:00:00"/>
    <s v="Morfina HCl 10 mg/mL Solución Inyectable ampolla por 1mL"/>
    <n v="60"/>
    <n v="6"/>
    <x v="0"/>
    <x v="0"/>
    <x v="0"/>
    <x v="0"/>
    <x v="81"/>
  </r>
  <r>
    <x v="300"/>
    <s v="LUISA FERNANDA ALVIRA LOZADA"/>
    <s v="Coordinadora de Compras"/>
    <s v="Pharmasan"/>
    <s v="900249425-1"/>
    <s v="profesionalcompras@pharmasan.co"/>
    <s v="Carrera 26 # 32 - 53"/>
    <x v="8"/>
    <s v="GIRON"/>
    <s v="COTIZACIÓN MORFINA - SEDES BUCARAMANGA Y GIRON"/>
    <n v="202124100995422"/>
    <d v="2021-06-04T00:00:00"/>
    <x v="5"/>
    <n v="202124110935501"/>
    <d v="2021-06-15T00:00:00"/>
    <s v="JUN"/>
    <n v="-11"/>
    <s v="AUTORIZADO"/>
    <m/>
    <s v="No. 1556"/>
    <d v="2019-02-18T00:00:00"/>
    <s v="Morfina HCl 0,03 Solución Oral_frascos X 30 mL c/u"/>
    <n v="30"/>
    <n v="30"/>
    <x v="0"/>
    <x v="1"/>
    <x v="1"/>
    <x v="1"/>
    <x v="43"/>
  </r>
  <r>
    <x v="300"/>
    <s v="LUISA FERNANDA ALVIRA LOZADA"/>
    <s v="Coordinadora de Compras"/>
    <s v="Pharmasan"/>
    <s v="900249425-1"/>
    <s v="profesionalcompras@pharmasan.co"/>
    <s v="Calle 53 # 35A 07"/>
    <x v="8"/>
    <s v="BUCARAMANGA"/>
    <s v="COTIZACIÓN MORFINA - SEDES BUCARAMANGA Y GIRON"/>
    <n v="202124100995422"/>
    <d v="2021-06-04T00:00:00"/>
    <x v="5"/>
    <n v="202124110935501"/>
    <d v="2021-06-15T00:00:00"/>
    <s v="JUN"/>
    <n v="-11"/>
    <s v="AUTORIZADO"/>
    <m/>
    <s v="No. 4710"/>
    <d v="2019-04-09T00:00:00"/>
    <s v="Morfina HCl 0,03 Solución Oral_frascos X 30 mL c/u"/>
    <n v="100"/>
    <n v="100"/>
    <x v="0"/>
    <x v="1"/>
    <x v="1"/>
    <x v="1"/>
    <x v="1"/>
  </r>
  <r>
    <x v="301"/>
    <s v="LUZ ELENA CACERES JEREZ"/>
    <s v="Representante Legal"/>
    <s v="PAINFREE SAS"/>
    <s v="900808423-6"/>
    <s v="administracion@painfreesas.com"/>
    <s v="Carrera 36 No. 46-89"/>
    <x v="8"/>
    <s v="BUCARAMANGA"/>
    <s v="Compra de Medicamentos"/>
    <n v="202124101008222"/>
    <d v="2021-06-09T00:00:00"/>
    <x v="5"/>
    <n v="202124110935541"/>
    <d v="2021-06-15T00:00:00"/>
    <s v="JUN"/>
    <n v="-6"/>
    <s v="AUTORIZADO"/>
    <m/>
    <s v="No. 19832"/>
    <d v="2017-12-22T00:00:00"/>
    <s v="Morfina HCl 0,03 Solución Oral_frascos X 30 mL c/u"/>
    <n v="10"/>
    <n v="10"/>
    <x v="0"/>
    <x v="1"/>
    <x v="1"/>
    <x v="1"/>
    <x v="47"/>
  </r>
  <r>
    <x v="302"/>
    <s v="LINA MARCELA CHAPARRO GARCIA"/>
    <s v="Representante Legal"/>
    <s v="FUNDACION CARDIOVASCULAR DE COLOMBIA"/>
    <n v="900341526"/>
    <s v="socorrogomez@fcv.org"/>
    <s v="Calle: 45 No. 11- 52"/>
    <x v="8"/>
    <s v="BUCARAMANGA"/>
    <s v="SOLICITO COTIZACION MEDICAMENTOS CONTROL ESPECIAL"/>
    <n v="202124101009472"/>
    <d v="2021-06-09T00:00:00"/>
    <x v="5"/>
    <n v="202124110935611"/>
    <d v="2021-06-15T00:00:00"/>
    <s v="JUN"/>
    <n v="-6"/>
    <s v="NEGADO"/>
    <s v="No se allegan los docuemtentos requeridos para el tramite"/>
    <s v="NO DISPONIBLE"/>
    <s v="NO DISPONIBLE"/>
    <s v="Hidromorfona HCl 2 mg/mL Solución Inyectable_cajas X 10 unidades c/u"/>
    <n v="0"/>
    <n v="0"/>
    <x v="1"/>
    <x v="2"/>
    <x v="0"/>
    <x v="0"/>
    <x v="0"/>
  </r>
  <r>
    <x v="303"/>
    <s v="PAOLA ESPINOSA"/>
    <s v="Director Técnico"/>
    <s v="ESE Hospital José María Hernández"/>
    <s v="NO DISPONIBLE"/>
    <s v="dtfarmaceutico@esehospitalmocoa.gov.co"/>
    <s v="Calle 14 Nº 7 26 Av San francisco"/>
    <x v="5"/>
    <s v="MOCOA"/>
    <s v="Solicitud de cotización del medicamento- Morfina"/>
    <n v="202124101009632"/>
    <d v="2021-06-09T00:00:00"/>
    <x v="5"/>
    <n v="202124110935681"/>
    <d v="2021-06-15T00:00:00"/>
    <s v="JUN"/>
    <n v="-6"/>
    <s v="NEGADO"/>
    <s v="No se allegan los docuemtentos requeridos para el tramite"/>
    <s v="NO DISPONIBLE"/>
    <s v="NO DISPONIBLE"/>
    <s v="Morfina HCl 10 mg/mL Solución Inyectable ampolla por 1mL"/>
    <n v="0"/>
    <n v="0"/>
    <x v="0"/>
    <x v="0"/>
    <x v="0"/>
    <x v="0"/>
    <x v="0"/>
  </r>
  <r>
    <x v="304"/>
    <s v="RAMIRO FLORES SALAS"/>
    <s v="Director Técnico"/>
    <s v="SIKUANY S.A.S"/>
    <s v="830512772-6"/>
    <s v="sikuanyltda@gmail.com"/>
    <s v="Calle 33 A No.38-41 Barzal Alto"/>
    <x v="6"/>
    <s v="VILLAVICENCIO"/>
    <s v="SOLICITUD COMPRA"/>
    <n v="202124101011352"/>
    <d v="2021-06-09T00:00:00"/>
    <x v="5"/>
    <n v="202124110935771"/>
    <d v="2021-06-15T00:00:00"/>
    <s v="JUN"/>
    <n v="-6"/>
    <s v="AUTORIZADO"/>
    <m/>
    <s v="No. 564"/>
    <d v="2017-05-30T00:00:00"/>
    <s v="Fenobarbital 0,4% Solución Oral_frascos X 120 mL c/u"/>
    <n v="80"/>
    <n v="80"/>
    <x v="5"/>
    <x v="11"/>
    <x v="1"/>
    <x v="6"/>
    <x v="103"/>
  </r>
  <r>
    <x v="304"/>
    <s v="RAMIRO FLORES SALAS"/>
    <s v="Director Técnico"/>
    <s v="SIKUANY S.A.S"/>
    <s v="830512772-6"/>
    <s v="sikuanyltda@gmail.com"/>
    <s v="Calle 33 A No.38-41 Barzal Alto"/>
    <x v="6"/>
    <s v="VILLAVICENCIO"/>
    <s v="SOLICITUD COMPRA"/>
    <n v="202124101011352"/>
    <d v="2021-06-09T00:00:00"/>
    <x v="5"/>
    <n v="202124110935771"/>
    <d v="2021-06-15T00:00:00"/>
    <s v="JUN"/>
    <n v="-6"/>
    <s v="AUTORIZADO"/>
    <m/>
    <s v="No. 564"/>
    <d v="2017-05-30T00:00:00"/>
    <s v="Fenobarbital 100 mg Tableta_cajas X 30 unidades c/u"/>
    <n v="30000"/>
    <n v="1000"/>
    <x v="5"/>
    <x v="7"/>
    <x v="4"/>
    <x v="2"/>
    <x v="114"/>
  </r>
  <r>
    <x v="304"/>
    <s v="RAMIRO FLORES SALAS"/>
    <s v="Director Técnico"/>
    <s v="SIKUANY S.A.S"/>
    <s v="830512772-6"/>
    <s v="sikuanyltda@gmail.com"/>
    <s v="Calle 33 A No.38-41 Barzal Alto"/>
    <x v="6"/>
    <s v="VILLAVICENCIO"/>
    <s v="SOLICITUD COMPRA"/>
    <n v="202124101011352"/>
    <d v="2021-06-09T00:00:00"/>
    <x v="5"/>
    <n v="202124110935771"/>
    <d v="2021-06-15T00:00:00"/>
    <s v="JUN"/>
    <n v="-6"/>
    <s v="AUTORIZADO"/>
    <m/>
    <s v="No. 564"/>
    <d v="2017-05-30T00:00:00"/>
    <s v="Hidromorfona HCl 2,5 mg Tableta_cajas X 20 unidades c/u"/>
    <n v="4000"/>
    <n v="200"/>
    <x v="1"/>
    <x v="9"/>
    <x v="4"/>
    <x v="4"/>
    <x v="129"/>
  </r>
  <r>
    <x v="304"/>
    <s v="RAMIRO FLORES SALAS"/>
    <s v="Director Técnico"/>
    <s v="SIKUANY S.A.S"/>
    <s v="830512772-6"/>
    <s v="sikuanyltda@gmail.com"/>
    <s v="Calle 33 A No.38-41 Barzal Alto"/>
    <x v="6"/>
    <s v="VILLAVICENCIO"/>
    <s v="SOLICITUD COMPRA"/>
    <n v="202124101011352"/>
    <d v="2021-06-09T00:00:00"/>
    <x v="5"/>
    <n v="202124110935771"/>
    <d v="2021-06-15T00:00:00"/>
    <s v="JUN"/>
    <n v="-6"/>
    <s v="AUTORIZADO"/>
    <m/>
    <s v="No. 564"/>
    <d v="2017-05-30T00:00:00"/>
    <s v="Morfina HCl 0,03 Solución Oral_frascos X 30 mL c/u"/>
    <n v="90"/>
    <n v="90"/>
    <x v="0"/>
    <x v="1"/>
    <x v="1"/>
    <x v="1"/>
    <x v="157"/>
  </r>
  <r>
    <x v="305"/>
    <s v="ANDRES FELIPE MACIAS LOPEZ"/>
    <s v="Coordinador Servicios Farmaceuticos"/>
    <s v="Sociedad Médica De Santa Marta S.A.S. Clínica Prado"/>
    <s v="891701664-1"/>
    <s v="pradofarmacia1@gmail.com"/>
    <s v="Carrera 5 # 25-46"/>
    <x v="4"/>
    <s v="SANTA MARTA"/>
    <s v="SOLICITUD DE COMPRA DIRECTA DE MEDICAMENTOS MONOPOLIO DEL ESTADO"/>
    <n v="202124101014342"/>
    <d v="2021-06-09T00:00:00"/>
    <x v="5"/>
    <n v="202124110935821"/>
    <d v="2021-06-15T00:00:00"/>
    <s v="JUN"/>
    <n v="-6"/>
    <s v="AUTORIZADO"/>
    <m/>
    <s v="No. 979"/>
    <d v="2021-04-20T00:00:00"/>
    <s v="Meperidina HCl 100 mg/2mL Solución Inyectable_cajas X 10 unidades c/u"/>
    <n v="200"/>
    <n v="20"/>
    <x v="6"/>
    <x v="8"/>
    <x v="0"/>
    <x v="3"/>
    <x v="31"/>
  </r>
  <r>
    <x v="305"/>
    <s v="ANDRES FELIPE MACIAS LOPEZ"/>
    <s v="Coordinador Servicios Farmaceuticos"/>
    <s v="Sociedad Médica De Santa Marta S.A.S. Clínica Prado"/>
    <s v="891701664-1"/>
    <s v="pradofarmacia1@gmail.com"/>
    <s v="Carrera 5 # 25-46"/>
    <x v="4"/>
    <s v="SANTA MARTA"/>
    <s v="SOLICITUD DE COMPRA DIRECTA DE MEDICAMENTOS MONOPOLIO DEL ESTADO"/>
    <n v="202124101014342"/>
    <d v="2021-06-09T00:00:00"/>
    <x v="5"/>
    <n v="202124110935821"/>
    <d v="2021-06-15T00:00:00"/>
    <s v="JUN"/>
    <n v="-6"/>
    <s v="AUTORIZADO"/>
    <m/>
    <s v="No. 979"/>
    <d v="2021-04-20T00:00:00"/>
    <s v="Morfina HCl 10 mg/mL Solución Inyectable ampolla por 5mL"/>
    <n v="200"/>
    <n v="20"/>
    <x v="0"/>
    <x v="16"/>
    <x v="0"/>
    <x v="12"/>
    <x v="147"/>
  </r>
  <r>
    <x v="305"/>
    <s v="ANDRES FELIPE MACIAS LOPEZ"/>
    <s v="Coordinador Servicios Farmaceuticos"/>
    <s v="Sociedad Médica De Santa Marta S.A.S. Clínica Prado"/>
    <s v="891701664-1"/>
    <s v="pradofarmacia1@gmail.com"/>
    <s v="Carrera 5 # 25-46"/>
    <x v="4"/>
    <s v="SANTA MARTA"/>
    <s v="SOLICITUD DE COMPRA DIRECTA DE MEDICAMENTOS MONOPOLIO DEL ESTADO"/>
    <n v="202124101014342"/>
    <d v="2021-06-09T00:00:00"/>
    <x v="5"/>
    <n v="202124110935821"/>
    <d v="2021-06-15T00:00:00"/>
    <s v="JUN"/>
    <n v="-6"/>
    <s v="AUTORIZADO"/>
    <m/>
    <s v="No. 979"/>
    <d v="2021-04-20T00:00:00"/>
    <s v="Fenobarbital Sódico 200 mg/mL Solución Inyectable_caja X 10 ampollas c/u"/>
    <n v="50"/>
    <n v="5"/>
    <x v="3"/>
    <x v="5"/>
    <x v="0"/>
    <x v="0"/>
    <x v="17"/>
  </r>
  <r>
    <x v="305"/>
    <s v="ANDRES FELIPE MACIAS LOPEZ"/>
    <s v="Coordinador Servicios Farmaceuticos"/>
    <s v="Sociedad Médica De Santa Marta S.A.S. Clínica Prado"/>
    <s v="891701664-1"/>
    <s v="pradofarmacia1@gmail.com"/>
    <s v="Carrera 5 # 25-46"/>
    <x v="4"/>
    <s v="SANTA MARTA"/>
    <s v="SOLICITUD DE COMPRA DIRECTA DE MEDICAMENTOS MONOPOLIO DEL ESTADO"/>
    <n v="202124101014342"/>
    <d v="2021-06-09T00:00:00"/>
    <x v="5"/>
    <n v="202124110935821"/>
    <d v="2021-06-15T00:00:00"/>
    <s v="JUN"/>
    <n v="-6"/>
    <s v="NEGADO"/>
    <m/>
    <s v="No. 979"/>
    <d v="2021-04-20T00:00:00"/>
    <s v="Meperidina HCl 100 mg/2mL Solución Inyectable_cajas X 10 unidades c/u"/>
    <n v="0"/>
    <n v="0"/>
    <x v="6"/>
    <x v="8"/>
    <x v="0"/>
    <x v="3"/>
    <x v="0"/>
  </r>
  <r>
    <x v="306"/>
    <s v="CARLOS ALBERTO BARANDICA RODRÍGUEZ"/>
    <s v="Director Técnico"/>
    <s v="Clínica Chicamocha S.A."/>
    <s v="890209698-9"/>
    <s v="farmaco.vigilancia@clinicachicamocha.com"/>
    <s v="Avenida González Valencia #55 B-10"/>
    <x v="8"/>
    <s v="BUCARAMANGA"/>
    <s v="Morfina"/>
    <n v="202124101014602"/>
    <d v="2021-06-09T00:00:00"/>
    <x v="5"/>
    <n v="202124110935871"/>
    <d v="2021-06-15T00:00:00"/>
    <s v="JUN"/>
    <n v="-6"/>
    <s v="AUTORIZADO"/>
    <m/>
    <s v="No. 2526"/>
    <d v="2018-02-26T00:00:00"/>
    <s v="Morfina HCl 10 mg/mL Solución Inyectable ampolla por 1mL"/>
    <n v="3000"/>
    <n v="300"/>
    <x v="0"/>
    <x v="0"/>
    <x v="0"/>
    <x v="0"/>
    <x v="78"/>
  </r>
  <r>
    <x v="306"/>
    <s v="CARLOS ALBERTO BARANDICA RODRÍGUEZ"/>
    <s v="Director Técnico"/>
    <s v="Clínica Chicamocha S.A."/>
    <s v="890209698-9"/>
    <s v="farmaco.vigilancia@clinicachicamocha.com"/>
    <s v="NO DISPONIBLE"/>
    <x v="8"/>
    <s v="BUCARAMANGA"/>
    <s v="Morfina"/>
    <n v="202124101014602"/>
    <d v="2021-06-09T00:00:00"/>
    <x v="5"/>
    <n v="202124110935871"/>
    <d v="2021-06-15T00:00:00"/>
    <s v="JUN"/>
    <n v="-6"/>
    <s v="NEGADO"/>
    <s v="no se adjunta resolución de la sede &quot;ROSITA&quot;"/>
    <s v="NO DISPONIBLE"/>
    <s v="NO DISPONIBLE"/>
    <s v="Morfina HCl 10 mg/mL Solución Inyectable ampolla por 1mL"/>
    <n v="0"/>
    <n v="0"/>
    <x v="0"/>
    <x v="0"/>
    <x v="0"/>
    <x v="0"/>
    <x v="0"/>
  </r>
  <r>
    <x v="307"/>
    <s v="JORGE HUMBERTO GONZALEZ BAHAMON"/>
    <s v="Gerente"/>
    <s v="Hospital Departamental San vicente de Paul"/>
    <s v="891180026-5"/>
    <s v="farmacia@hospitalsvpgarzon.gov.co"/>
    <s v="Calle 7 No. 14-74"/>
    <x v="7"/>
    <s v="GARZON"/>
    <s v="Solicitud cotización de medicamentos de control especial"/>
    <n v="202124101016282"/>
    <d v="2021-06-10T00:00:00"/>
    <x v="5"/>
    <n v="202124110935901"/>
    <d v="2021-06-15T00:00:00"/>
    <s v="JUN"/>
    <n v="-5"/>
    <s v="AUTORIZADO"/>
    <m/>
    <s v="No. 1857"/>
    <d v="2016-09-29T00:00:00"/>
    <s v="Morfina HCl 10 mg/mL Solución Inyectable ampolla por 1mL"/>
    <n v="6000"/>
    <n v="600"/>
    <x v="0"/>
    <x v="0"/>
    <x v="0"/>
    <x v="0"/>
    <x v="70"/>
  </r>
  <r>
    <x v="307"/>
    <s v="JORGE HUMBERTO GONZALEZ BAHAMON"/>
    <s v="Gerente"/>
    <s v="Hospital Departamental San vicente de Paul"/>
    <s v="891180026-5"/>
    <s v="farmacia@hospitalsvpgarzon.gov.co"/>
    <s v="Calle 7 No. 14-74"/>
    <x v="7"/>
    <s v="GARZON"/>
    <s v="Solicitud cotización de medicamentos de control especial"/>
    <n v="202124101016282"/>
    <d v="2021-06-10T00:00:00"/>
    <x v="5"/>
    <n v="202124110935901"/>
    <d v="2021-06-15T00:00:00"/>
    <s v="JUN"/>
    <n v="-5"/>
    <s v="AUTORIZADO"/>
    <m/>
    <s v="No. 1857"/>
    <d v="2016-09-29T00:00:00"/>
    <s v="Meperidina HCl 100 mg/2mL Solución Inyectable_cajas X 10 unidades c/u"/>
    <n v="200"/>
    <n v="20"/>
    <x v="6"/>
    <x v="8"/>
    <x v="0"/>
    <x v="3"/>
    <x v="31"/>
  </r>
  <r>
    <x v="307"/>
    <s v="JORGE HUMBERTO GONZALEZ BAHAMON"/>
    <s v="Gerente"/>
    <s v="Hospital Departamental San vicente de Paul"/>
    <s v="891180026-5"/>
    <s v="farmacia@hospitalsvpgarzon.gov.co"/>
    <s v="Calle 7 No. 14-74"/>
    <x v="7"/>
    <s v="GARZON"/>
    <s v="Solicitud cotización de medicamentos de control especial"/>
    <n v="202124101016282"/>
    <d v="2021-06-10T00:00:00"/>
    <x v="5"/>
    <n v="202124110935901"/>
    <d v="2021-06-15T00:00:00"/>
    <s v="JUN"/>
    <n v="-5"/>
    <s v="AUTORIZADO"/>
    <m/>
    <s v="No. 1857"/>
    <d v="2016-09-29T00:00:00"/>
    <s v="Fenobarbital Sódico 40 mg/mL Solución Inyectable_caja X 10 ampollas c/u"/>
    <n v="500"/>
    <n v="50"/>
    <x v="3"/>
    <x v="6"/>
    <x v="0"/>
    <x v="0"/>
    <x v="57"/>
  </r>
  <r>
    <x v="308"/>
    <s v="MELBA CONSTANZA NIVIA RUIZ"/>
    <s v="Area de Compras"/>
    <s v="HOSPITAL FEDERICO LLERAS ACOSTA DE IBAGUE TOLIMA ESE"/>
    <s v="890700694-4"/>
    <s v="pe.compras@hflleras.gov.co"/>
    <s v="Calle 33 N°4 A-50 B/La Francia"/>
    <x v="0"/>
    <s v="IBAGUE"/>
    <s v="Solicitud cotización MORFINA CLORHIDRATO 10mg/mL Sol. Inyectable"/>
    <n v="202124101018582"/>
    <d v="2021-06-10T00:00:00"/>
    <x v="5"/>
    <n v="202124110935951"/>
    <d v="2021-06-15T00:00:00"/>
    <s v="JUN"/>
    <n v="-5"/>
    <s v="AUTORIZADO"/>
    <m/>
    <s v="No. 03226"/>
    <d v="2018-10-19T00:00:00"/>
    <s v="Morfina HCl 10 mg/mL Solución Inyectable ampolla por 1mL"/>
    <n v="12000"/>
    <n v="1200"/>
    <x v="0"/>
    <x v="0"/>
    <x v="0"/>
    <x v="0"/>
    <x v="0"/>
  </r>
  <r>
    <x v="309"/>
    <s v="ZAMIRA COGOLLO CORDERO"/>
    <s v="Quimico Farmacéutico"/>
    <s v="INSTITUTO MEDICO DE ALTA TECNOLOGIA S.A.S"/>
    <s v="901085352-0"/>
    <s v="suministros02@imatsas.com"/>
    <s v="Calle 72 No. 6A-87"/>
    <x v="1"/>
    <s v="MONTERIA"/>
    <s v="SOLICITUD DE VENTA DE MEDICAMENTOS 10-06-2021 IMAT SAS"/>
    <n v="202124101018712"/>
    <d v="2021-06-10T00:00:00"/>
    <x v="5"/>
    <n v="202124110935981"/>
    <d v="2021-06-15T00:00:00"/>
    <s v="JUN"/>
    <n v="-5"/>
    <s v="AUTORIZADO"/>
    <m/>
    <s v="No. 0670"/>
    <d v="2019-12-30T00:00:00"/>
    <s v="Morfina HCl 10 mg/mL Solución Inyectable ampolla por 1mL"/>
    <n v="6000"/>
    <n v="600"/>
    <x v="0"/>
    <x v="0"/>
    <x v="0"/>
    <x v="0"/>
    <x v="70"/>
  </r>
  <r>
    <x v="309"/>
    <s v="ZAMIRA COGOLLO CORDERO"/>
    <s v="Quimico Farmacéutico"/>
    <s v="INSTITUTO MEDICO DE ALTA TECNOLOGIA S.A.S"/>
    <s v="901085352-0"/>
    <s v="suministros02@imatsas.com"/>
    <s v="Calle 72 No. 6A-87"/>
    <x v="1"/>
    <s v="MONTERIA"/>
    <s v="SOLICITUD DE VENTA DE MEDICAMENTOS 10-06-2021 IMAT SAS"/>
    <n v="202124101018712"/>
    <d v="2021-06-10T00:00:00"/>
    <x v="5"/>
    <n v="202124110935981"/>
    <d v="2021-06-15T00:00:00"/>
    <s v="JUN"/>
    <n v="-5"/>
    <s v="AUTORIZADO"/>
    <m/>
    <s v="No. 0670"/>
    <d v="2019-12-30T00:00:00"/>
    <s v="Hidromorfona HCl 2 mg/mL Solución Inyectable_cajas X 10 unidades c/u"/>
    <n v="1200"/>
    <n v="120"/>
    <x v="1"/>
    <x v="2"/>
    <x v="0"/>
    <x v="0"/>
    <x v="158"/>
  </r>
  <r>
    <x v="309"/>
    <s v="ZAMIRA COGOLLO CORDERO"/>
    <s v="Quimico Farmacéutico"/>
    <s v="INSTITUTO MEDICO DE ALTA TECNOLOGIA S.A.S"/>
    <s v="901085352-0"/>
    <s v="suministros02@imatsas.com"/>
    <s v="Calle 72 No. 6A-87"/>
    <x v="1"/>
    <s v="MONTERIA"/>
    <s v="SOLICITUD DE VENTA DE MEDICAMENTOS 10-06-2021 IMAT SAS"/>
    <n v="202124101018712"/>
    <d v="2021-06-10T00:00:00"/>
    <x v="5"/>
    <n v="202124110935981"/>
    <d v="2021-06-15T00:00:00"/>
    <s v="JUN"/>
    <n v="-5"/>
    <s v="AUTORIZADO"/>
    <m/>
    <s v="No. 0670"/>
    <d v="2019-12-30T00:00:00"/>
    <s v="Metadona HCl 40 mg Tableta_Cajas X 30 unidades c/u"/>
    <n v="150"/>
    <n v="5"/>
    <x v="2"/>
    <x v="4"/>
    <x v="2"/>
    <x v="2"/>
    <x v="2"/>
  </r>
  <r>
    <x v="309"/>
    <s v="ZAMIRA COGOLLO CORDERO"/>
    <s v="Quimico Farmacéutico"/>
    <s v="INSTITUTO MEDICO DE ALTA TECNOLOGIA S.A.S"/>
    <s v="901085352-0"/>
    <s v="suministros02@imatsas.com"/>
    <s v="Calle 72 No. 6A-87"/>
    <x v="1"/>
    <s v="MONTERIA"/>
    <s v="SOLICITUD DE VENTA DE MEDICAMENTOS 10-06-2021 IMAT SAS"/>
    <n v="202124101018712"/>
    <d v="2021-06-10T00:00:00"/>
    <x v="5"/>
    <n v="202124110935981"/>
    <d v="2021-06-15T00:00:00"/>
    <s v="JUN"/>
    <n v="-5"/>
    <s v="AUTORIZADO"/>
    <m/>
    <s v="No. 0670"/>
    <d v="2019-12-30T00:00:00"/>
    <s v="Metadona HCl 10 mg Tableta_Cajas X 30 unidades c/u"/>
    <n v="150"/>
    <n v="5"/>
    <x v="2"/>
    <x v="3"/>
    <x v="2"/>
    <x v="2"/>
    <x v="2"/>
  </r>
  <r>
    <x v="310"/>
    <s v="MAYRA GONZÁLES REYES"/>
    <s v="Quimico Farmacéutico"/>
    <s v="UNIDAD DE CUIDADOS INTENSIVOS NEONATAL DEL BAJO SINU"/>
    <s v="900054563-1"/>
    <s v="farmaciaucinbs@gmail.com"/>
    <s v="CR 26 17 124"/>
    <x v="1"/>
    <s v="LORICA"/>
    <s v="compra de de morfina"/>
    <n v="202142301024092"/>
    <d v="2021-06-10T00:00:00"/>
    <x v="5"/>
    <n v="202124110936011"/>
    <d v="2021-06-15T00:00:00"/>
    <s v="JUN"/>
    <n v="-5"/>
    <s v="NEGADO"/>
    <m/>
    <s v="No. 267"/>
    <d v="2018-10-18T00:00:00"/>
    <s v="Morfina HCl 10 mg/mL Solución Inyectable ampolla por 1mL"/>
    <n v="0"/>
    <n v="0"/>
    <x v="0"/>
    <x v="0"/>
    <x v="0"/>
    <x v="0"/>
    <x v="0"/>
  </r>
  <r>
    <x v="311"/>
    <s v="MANUEL GONZALEZ"/>
    <s v="Analista de Compras"/>
    <s v="JERSALUD S.A.S"/>
    <s v="900622551-0"/>
    <s v="Compras@jersalud.com"/>
    <s v="Calle 40 No. 23-99"/>
    <x v="14"/>
    <s v="YOPAL"/>
    <s v="_x0009_SOLICITUD DE COTIZACIÒN URGENTE. FNE"/>
    <n v="202124101025622"/>
    <d v="2021-06-11T00:00:00"/>
    <x v="5"/>
    <n v="202124110936061"/>
    <d v="2021-06-15T00:00:00"/>
    <s v="JUN"/>
    <n v="-4"/>
    <s v="NEGADO"/>
    <m/>
    <s v="NO DISPONIBLE"/>
    <s v="NO DISPONIBLE"/>
    <s v="Hidromorfona HCl 2,5 mg Tableta_cajas X 20 unidades c/u"/>
    <n v="0"/>
    <n v="0"/>
    <x v="1"/>
    <x v="9"/>
    <x v="4"/>
    <x v="4"/>
    <x v="0"/>
  </r>
  <r>
    <x v="311"/>
    <s v="MANUEL GONZALEZ"/>
    <s v="Analista de Compras"/>
    <s v="JERSALUD S.A.S"/>
    <s v="900622551-0"/>
    <s v="Compras@jersalud.com"/>
    <s v="Calle 40 No. 23-99"/>
    <x v="14"/>
    <s v="YOPAL"/>
    <s v="_x0009_SOLICITUD DE COTIZACIÒN URGENTE. FNE"/>
    <n v="202124101025622"/>
    <d v="2021-06-11T00:00:00"/>
    <x v="5"/>
    <n v="202124110936061"/>
    <d v="2021-06-15T00:00:00"/>
    <s v="JUN"/>
    <n v="-4"/>
    <s v="NEGADO"/>
    <m/>
    <s v="NO DISPONIBLE"/>
    <s v="NO DISPONIBLE"/>
    <s v="Fenobarbital 100 mg Tableta_cajas X 30 unidades c/u"/>
    <n v="0"/>
    <n v="0"/>
    <x v="5"/>
    <x v="7"/>
    <x v="4"/>
    <x v="2"/>
    <x v="0"/>
  </r>
  <r>
    <x v="312"/>
    <s v="YOLIMA OSPINA"/>
    <s v="Regente de farmacia"/>
    <s v="Corporación mi IPS Llanos Orientales - Acacias"/>
    <s v="822006818-7"/>
    <s v="armaciaipsacacias@miips.com.co"/>
    <s v="Calle 43 No. 18 - 54"/>
    <x v="6"/>
    <s v="ACACIAS"/>
    <s v="SOLICITUD COTIZACION MEDICAMENTOS MONOPOLIO ACACIAS META"/>
    <n v="202124101026332"/>
    <d v="2021-06-11T00:00:00"/>
    <x v="5"/>
    <n v="202124110936181"/>
    <d v="2021-06-15T00:00:00"/>
    <s v="JUN"/>
    <n v="-4"/>
    <s v="AUTORIZADO"/>
    <m/>
    <s v="No. 44"/>
    <d v="2021-03-26T00:00:00"/>
    <s v="Fenobarbital 0,4% Solución Oral_frascos X 120 mL c/u"/>
    <n v="6"/>
    <n v="6"/>
    <x v="5"/>
    <x v="11"/>
    <x v="1"/>
    <x v="6"/>
    <x v="159"/>
  </r>
  <r>
    <x v="312"/>
    <s v="YOLIMA OSPINA"/>
    <s v="Regente de farmacia"/>
    <s v="Corporación mi IPS Llanos Orientales - Acacias"/>
    <s v="822006818-7"/>
    <s v="armaciaipsacacias@miips.com.co"/>
    <s v="Calle 43 No. 18 - 54"/>
    <x v="6"/>
    <s v="ACACIAS"/>
    <s v="SOLICITUD COTIZACION MEDICAMENTOS MONOPOLIO ACACIAS META"/>
    <n v="202124101026332"/>
    <d v="2021-06-11T00:00:00"/>
    <x v="5"/>
    <n v="202124110936181"/>
    <d v="2021-06-15T00:00:00"/>
    <s v="JUN"/>
    <n v="-4"/>
    <s v="AUTORIZADO"/>
    <m/>
    <s v="No. 44"/>
    <d v="2021-03-26T00:00:00"/>
    <s v="Fenobarbital 50 mg Tableta_cajas X 30 unidades c/u"/>
    <n v="420"/>
    <n v="14"/>
    <x v="5"/>
    <x v="12"/>
    <x v="4"/>
    <x v="2"/>
    <x v="160"/>
  </r>
  <r>
    <x v="312"/>
    <s v="YOLIMA OSPINA"/>
    <s v="Regente de farmacia"/>
    <s v="Corporación mi IPS Llanos Orientales - Acacias"/>
    <s v="822006818-7"/>
    <s v="armaciaipsacacias@miips.com.co"/>
    <s v="Calle 43 No. 18 - 54"/>
    <x v="6"/>
    <s v="ACACIAS"/>
    <s v="SOLICITUD COTIZACION MEDICAMENTOS MONOPOLIO ACACIAS META"/>
    <n v="202124101026332"/>
    <d v="2021-06-11T00:00:00"/>
    <x v="5"/>
    <n v="202124110936181"/>
    <d v="2021-06-15T00:00:00"/>
    <s v="JUN"/>
    <n v="-4"/>
    <s v="AUTORIZADO"/>
    <m/>
    <s v="No. 44"/>
    <d v="2021-03-26T00:00:00"/>
    <s v="Fenobarbital 100 mg Tableta_cajas X 30 unidades c/u"/>
    <n v="1080"/>
    <n v="36"/>
    <x v="5"/>
    <x v="7"/>
    <x v="4"/>
    <x v="2"/>
    <x v="161"/>
  </r>
  <r>
    <x v="312"/>
    <s v="YOLIMA OSPINA"/>
    <s v="Regente de farmacia"/>
    <s v="Corporación mi IPS Llanos Orientales - Acacias"/>
    <s v="822006818-7"/>
    <s v="armaciaipsacacias@miips.com.co"/>
    <s v="Calle 43 No. 18 - 54"/>
    <x v="6"/>
    <s v="ACACIAS"/>
    <s v="SOLICITUD COTIZACION MEDICAMENTOS MONOPOLIO ACACIAS META"/>
    <n v="202124101026332"/>
    <d v="2021-06-11T00:00:00"/>
    <x v="5"/>
    <n v="202124110936181"/>
    <d v="2021-06-15T00:00:00"/>
    <s v="JUN"/>
    <n v="-4"/>
    <s v="AUTORIZADO"/>
    <m/>
    <s v="No. 44"/>
    <d v="2021-03-26T00:00:00"/>
    <s v="Hidromorfona HCl 2,5 mg Tableta_cajas X 20 unidades c/u"/>
    <n v="1440"/>
    <n v="72"/>
    <x v="1"/>
    <x v="9"/>
    <x v="4"/>
    <x v="4"/>
    <x v="162"/>
  </r>
  <r>
    <x v="312"/>
    <s v="YOLIMA OSPINA"/>
    <s v="Regente de farmacia"/>
    <s v="Corporación mi IPS Llanos Orientales - Acacias"/>
    <s v="822006818-7"/>
    <s v="armaciaipsacacias@miips.com.co"/>
    <s v="Calle 43 No. 18 - 54"/>
    <x v="6"/>
    <s v="ACACIAS"/>
    <s v="SOLICITUD COTIZACION MEDICAMENTOS MONOPOLIO ACACIAS META"/>
    <n v="202124101026332"/>
    <d v="2021-06-11T00:00:00"/>
    <x v="5"/>
    <n v="202124110936181"/>
    <d v="2021-06-15T00:00:00"/>
    <s v="JUN"/>
    <n v="-4"/>
    <s v="AUTORIZADO"/>
    <m/>
    <s v="No. 44"/>
    <d v="2021-03-26T00:00:00"/>
    <s v="Morfina HCl 0,03 Solución Oral_frascos X 30 mL c/u"/>
    <n v="6"/>
    <n v="6"/>
    <x v="0"/>
    <x v="1"/>
    <x v="1"/>
    <x v="1"/>
    <x v="163"/>
  </r>
  <r>
    <x v="313"/>
    <s v="SILVIA ANDREA TRISTANCHO VILLAMIZAR"/>
    <s v="Director Técnico"/>
    <s v="FUNDACION CARDIOVASCULAR DE COLOMBIA"/>
    <s v="890212568-0"/>
    <s v="silviatristancho@fcv.org"/>
    <s v="Calle 155A No. 23-58"/>
    <x v="8"/>
    <s v="FLORIDABLANCA"/>
    <s v="Cotizar Medicamentos de control especial Fundación Cardiovascular de Colombia"/>
    <n v="202124101027432"/>
    <d v="2021-06-11T00:00:00"/>
    <x v="5"/>
    <n v="202124110936291"/>
    <d v="2021-06-15T00:00:00"/>
    <s v="JUN"/>
    <n v="-4"/>
    <s v="AUTORIZADO"/>
    <m/>
    <s v="No. 16233"/>
    <d v="2018-10-08T00:00:00"/>
    <s v="Morfina HCl 10 mg/mL Solución Inyectable ampolla por 5mL"/>
    <n v="3000"/>
    <n v="300"/>
    <x v="0"/>
    <x v="16"/>
    <x v="0"/>
    <x v="12"/>
    <x v="149"/>
  </r>
  <r>
    <x v="314"/>
    <s v="EDUAR YESID RIVERA"/>
    <s v="NO DISPONIBLE"/>
    <s v="ANGIOGRAFIA DE COLOMBIA"/>
    <s v="900148265-6"/>
    <s v="compras@angiografiadecolombia.com"/>
    <s v="Cra. 40 # 33 - 08"/>
    <x v="6"/>
    <s v="VILLAVICENCIO"/>
    <s v="SOLICITUD COMPRA DIRECTA DE MEDICAMENTOS MONOPOLIO DEL ESTADO- ANGIOGRAFIA DE COLOMBIA S.A.S"/>
    <n v="202124101029032"/>
    <d v="2021-06-11T00:00:00"/>
    <x v="5"/>
    <n v="202124110936331"/>
    <d v="2021-06-15T00:00:00"/>
    <s v="JUN"/>
    <n v="-4"/>
    <s v="NEGADO"/>
    <s v="No se allegan los docuemtentos requeridos para el tramite"/>
    <s v="NO DISPONIBLE"/>
    <s v="NO DISPONIBLE"/>
    <s v="Morfina HCl 10 mg/mL Solución Inyectable ampolla por 1mL"/>
    <n v="0"/>
    <n v="0"/>
    <x v="0"/>
    <x v="0"/>
    <x v="0"/>
    <x v="0"/>
    <x v="0"/>
  </r>
  <r>
    <x v="314"/>
    <s v="EDUAR YESID RIVERA"/>
    <s v="NO DISPONIBLE"/>
    <s v="ANGIOGRAFIA DE COLOMBIA"/>
    <s v="900148265-6"/>
    <s v="compras@angiografiadecolombia.com"/>
    <s v="Cra. 40 # 33 - 08"/>
    <x v="6"/>
    <s v="VILLAVICENCIO"/>
    <s v="SOLICITUD COMPRA DIRECTA DE MEDICAMENTOS MONOPOLIO DEL ESTADO- ANGIOGRAFIA DE COLOMBIA S.A.S"/>
    <n v="202124101029032"/>
    <d v="2021-06-11T00:00:00"/>
    <x v="5"/>
    <n v="202124110936331"/>
    <d v="2021-06-15T00:00:00"/>
    <s v="JUN"/>
    <n v="-4"/>
    <s v="NEGADO"/>
    <s v="No se allegan los docuemtentos requeridos para el tramite"/>
    <s v="NO DISPONIBLE"/>
    <s v="NO DISPONIBLE"/>
    <s v="Meperidina HCl 100 mg/2mL Solución Inyectable_cajas X 10 unidades c/u"/>
    <n v="0"/>
    <n v="0"/>
    <x v="6"/>
    <x v="8"/>
    <x v="0"/>
    <x v="3"/>
    <x v="0"/>
  </r>
  <r>
    <x v="315"/>
    <s v="OVEIDA PARRA NOVOA"/>
    <s v="Gerente E.S.E"/>
    <s v="E.S.E HOSPITAL SAN JOSE DEL GUAVIARE"/>
    <s v="832001966-2"/>
    <s v="almacensuministros@esehospitalguaviare.gov.co"/>
    <s v="Calle 12 Carrera 20 esquina Barrio La Esperanza "/>
    <x v="10"/>
    <s v="SAN JOSE DEL GUAVIARE"/>
    <s v="SOLICITUD DE COMPRA DIRECTA A FNE DE MEDICAMENTOS DE CONTROL ESPECIAL."/>
    <n v="202124101029642"/>
    <d v="2021-06-11T00:00:00"/>
    <x v="5"/>
    <n v="202124110936421"/>
    <d v="2021-06-15T00:00:00"/>
    <s v="JUN"/>
    <n v="-4"/>
    <s v="AUTORIZADO"/>
    <m/>
    <s v="No. 234"/>
    <d v="2020-04-21T00:00:00"/>
    <s v="Morfina HCl 10 mg/mL Solución Inyectable ampolla por 1mL"/>
    <n v="100"/>
    <n v="10"/>
    <x v="0"/>
    <x v="0"/>
    <x v="0"/>
    <x v="0"/>
    <x v="10"/>
  </r>
  <r>
    <x v="315"/>
    <s v="OVEIDA PARRA NOVOA"/>
    <s v="Gerente E.S.E"/>
    <s v="E.S.E HOSPITAL SAN JOSE DEL GUAVIARE"/>
    <s v="832001966-2"/>
    <s v="almacensuministros@esehospitalguaviare.gov.co"/>
    <s v="Calle 12 Carrera 20 esquina Barrio La Esperanza "/>
    <x v="10"/>
    <s v="SAN JOSE DEL GUAVIARE"/>
    <s v="SOLICITUD DE COMPRA DIRECTA A FNE DE MEDICAMENTOS DE CONTROL ESPECIAL."/>
    <n v="202124101029642"/>
    <d v="2021-06-11T00:00:00"/>
    <x v="5"/>
    <n v="202124110936421"/>
    <d v="2021-06-15T00:00:00"/>
    <s v="JUN"/>
    <n v="-4"/>
    <s v="AUTORIZADO"/>
    <m/>
    <s v="No. 234"/>
    <d v="2020-04-21T00:00:00"/>
    <s v="Meperidina HCl 100 mg/2mL Solución Inyectable_cajas X 10 unidades c/u"/>
    <n v="200"/>
    <n v="20"/>
    <x v="6"/>
    <x v="8"/>
    <x v="0"/>
    <x v="3"/>
    <x v="31"/>
  </r>
  <r>
    <x v="316"/>
    <s v="LEET ANTONIO MARQUEZ ESCORCIA"/>
    <s v="Quimico Farmacéutico"/>
    <s v="CLINICA GENERAL DEL NORTE S.A."/>
    <s v="890102768-5"/>
    <s v="quimicopesmag@clinicageneraldelnorte.com"/>
    <s v="Avenida Libertador No. 13-12"/>
    <x v="4"/>
    <s v="SANTA MARTA"/>
    <s v="_x0009_COTIZACION JUNIO COMPRA HIDROMORFONA TAB 2.5"/>
    <n v="202124101033892"/>
    <d v="2021-06-11T00:00:00"/>
    <x v="5"/>
    <n v="202124110957561"/>
    <d v="2021-06-18T00:00:00"/>
    <s v="JUN"/>
    <n v="-7"/>
    <s v="AUTORIZADO"/>
    <m/>
    <s v="No. 3792"/>
    <d v="2019-10-29T00:00:00"/>
    <s v="Hidromorfona HCl 2,5 mg Tableta_cajas X 20 unidades c/u"/>
    <n v="120"/>
    <n v="6"/>
    <x v="1"/>
    <x v="9"/>
    <x v="4"/>
    <x v="4"/>
    <x v="164"/>
  </r>
  <r>
    <x v="316"/>
    <s v="LEET ANTONIO MARQUEZ ESCORCIA"/>
    <s v="Quimico Farmacéutico"/>
    <s v="CLINICA GENERAL DEL NORTE S.A."/>
    <s v="890102768-5"/>
    <s v="quimicopesmag@clinicageneraldelnorte.com"/>
    <s v="Avenida Libertador No. 13-12"/>
    <x v="4"/>
    <s v="SANTA MARTA"/>
    <s v="_x0009_COTIZACION JUNIO COMPRA HIDROMORFONA TAB 2.5"/>
    <n v="202124101033892"/>
    <d v="2021-06-11T00:00:00"/>
    <x v="5"/>
    <n v="202124110957561"/>
    <d v="2021-06-18T00:00:00"/>
    <s v="JUN"/>
    <n v="-7"/>
    <s v="AUTORIZADO"/>
    <m/>
    <s v="No. 3792"/>
    <d v="2019-10-29T00:00:00"/>
    <s v="Metadona HCl 40 mg Tableta_frasco X 20 unidades c/u"/>
    <n v="60"/>
    <n v="3"/>
    <x v="2"/>
    <x v="4"/>
    <x v="6"/>
    <x v="8"/>
    <x v="165"/>
  </r>
  <r>
    <x v="316"/>
    <s v="LEET ANTONIO MARQUEZ ESCORCIA"/>
    <s v="Quimico Farmacéutico"/>
    <s v="CLINICA GENERAL DEL NORTE S.A."/>
    <s v="890102768-5"/>
    <s v="quimicopesmag@clinicageneraldelnorte.com"/>
    <s v="Avenida Libertador No. 13-12"/>
    <x v="4"/>
    <s v="SANTA MARTA"/>
    <s v="_x0009_COTIZACION JUNIO COMPRA HIDROMORFONA TAB 2.5"/>
    <n v="202124101033892"/>
    <d v="2021-06-11T00:00:00"/>
    <x v="5"/>
    <n v="202124110957561"/>
    <d v="2021-06-18T00:00:00"/>
    <s v="JUN"/>
    <n v="-7"/>
    <s v="AUTORIZADO"/>
    <m/>
    <s v="No. 3792"/>
    <d v="2019-10-29T00:00:00"/>
    <s v="Morfina HCl 0,03 Solución Oral_frascos X 30 mL c/u"/>
    <n v="3"/>
    <n v="3"/>
    <x v="0"/>
    <x v="1"/>
    <x v="1"/>
    <x v="1"/>
    <x v="28"/>
  </r>
  <r>
    <x v="317"/>
    <s v="JESUS DAVID PEREZ MERCADO"/>
    <s v="Quimico Farmacéutico"/>
    <s v="Clínica San Roque Cuidados Crónicos"/>
    <s v="901320299-6"/>
    <s v="farmaciasanroque2020@gmail.com"/>
    <s v="Calle 24 No. 6 - 24"/>
    <x v="1"/>
    <s v="MONTERIA"/>
    <s v="Compra medicamentos de control Monopolio del estado"/>
    <n v="202124101035212"/>
    <d v="2021-06-11T00:00:00"/>
    <x v="5"/>
    <n v="202124110957551"/>
    <d v="2021-06-18T00:00:00"/>
    <s v="JUN"/>
    <n v="-7"/>
    <s v="AUTORIZADO"/>
    <m/>
    <s v="No. 1344"/>
    <d v="2020-10-26T00:00:00"/>
    <s v="Morfina HCl 10 mg/mL Solución Inyectable ampolla por 1mL"/>
    <n v="50"/>
    <n v="5"/>
    <x v="0"/>
    <x v="0"/>
    <x v="0"/>
    <x v="0"/>
    <x v="17"/>
  </r>
  <r>
    <x v="317"/>
    <s v="JESUS DAVID PEREZ MERCADO"/>
    <s v="Quimico Farmacéutico"/>
    <s v="Clínica San Roque Cuidados Crónicos"/>
    <s v="901320299-6"/>
    <s v="farmaciasanroque2020@gmail.com"/>
    <s v="Calle 24 No. 6 - 24"/>
    <x v="1"/>
    <s v="MONTERIA"/>
    <s v="Compra medicamentos de control Monopolio del estado"/>
    <n v="202124101035212"/>
    <d v="2021-06-11T00:00:00"/>
    <x v="5"/>
    <n v="202124110957551"/>
    <d v="2021-06-18T00:00:00"/>
    <s v="JUN"/>
    <n v="-7"/>
    <s v="AUTORIZADO"/>
    <m/>
    <s v="No. 1344"/>
    <d v="2020-10-26T00:00:00"/>
    <s v="Morfina HCl 0,03 Solución Oral_frascos X 30 mL c/u"/>
    <n v="3"/>
    <n v="3"/>
    <x v="0"/>
    <x v="1"/>
    <x v="1"/>
    <x v="1"/>
    <x v="28"/>
  </r>
  <r>
    <x v="318"/>
    <s v="VICTOR ADRIAN RAMIREZ BERRIO"/>
    <s v="Quimico Farmacéutico"/>
    <s v="COMANDO GENERAL DE LAS FUERZAS MILITARES &quot;DIREQCIQN GENERAL DE SANIDAD MILITAR&quot;. "/>
    <s v="830039670-5"/>
    <s v="v.adrian.ramirez@gmail.com"/>
    <s v="Kilometro 7 via Puerto Lopez/Meta, Vereda Apiay"/>
    <x v="6"/>
    <s v="VILLAVICENCIO"/>
    <s v="Cotización Medicamento Monopolio - Traslado"/>
    <n v="202124101040042"/>
    <d v="2021-06-15T00:00:00"/>
    <x v="5"/>
    <n v="202124110929221"/>
    <m/>
    <s v="JUN"/>
    <n v="44362"/>
    <s v="NEGADO"/>
    <s v="Solicitud duplicada"/>
    <s v="No. 278"/>
    <d v="2020-08-27T00:00:00"/>
    <s v="Metilfenidato HCl 18 mg Tableta de Liberación Prolongada_frascos X 30 unidades c/u"/>
    <n v="0"/>
    <n v="0"/>
    <x v="4"/>
    <x v="18"/>
    <x v="7"/>
    <x v="10"/>
    <x v="0"/>
  </r>
  <r>
    <x v="318"/>
    <s v="VICTOR ADRIAN RAMIREZ BERRIO"/>
    <s v="Quimico Farmacéutico"/>
    <s v="COMANDO GENERAL DE LAS FUERZAS MILITARES &quot;DIREQCIQN GENERAL DE SANIDAD MILITAR&quot;. "/>
    <s v="830039670-5"/>
    <s v="v.adrian.ramirez@gmail.com"/>
    <s v="Kilometro 7 via Puerto Lopez/Meta, Vereda Apiay"/>
    <x v="6"/>
    <s v="VILLAVICENCIO"/>
    <s v="Cotización Medicamento Monopolio - Traslado"/>
    <n v="202124101040042"/>
    <d v="2021-06-15T00:00:00"/>
    <x v="5"/>
    <n v="202124110929221"/>
    <m/>
    <s v="JUN"/>
    <n v="44362"/>
    <s v="NEGADO"/>
    <s v="Solicitud duplicada"/>
    <s v="No. 278"/>
    <d v="2020-08-27T00:00:00"/>
    <s v="Metilfenidato HCl 10 mg Comprimido_cajas X 30 unidades c/u"/>
    <n v="0"/>
    <n v="0"/>
    <x v="4"/>
    <x v="3"/>
    <x v="3"/>
    <x v="2"/>
    <x v="0"/>
  </r>
  <r>
    <x v="319"/>
    <s v="LINA MARCELA CHAPARRO GARCIA"/>
    <s v="Representante Legal"/>
    <s v="FUNDACION CARDIOVASCULAR DE COLOMBIA"/>
    <n v="900341526"/>
    <s v="socorrogomez@fcv.org"/>
    <s v="Calle: 45 No. 11- 52"/>
    <x v="8"/>
    <s v="BUCARAMANGA"/>
    <s v="SOLICITO COTIZACION MEDICAMENTOS CONTROL ESPECIAL"/>
    <n v="202124101043512"/>
    <d v="2021-06-15T00:00:00"/>
    <x v="5"/>
    <n v="202124110935611"/>
    <d v="2021-06-18T00:00:00"/>
    <s v="JUN"/>
    <n v="-3"/>
    <s v="NEGADO"/>
    <s v="LA RESOLUCION SE ENCUENTRA VENCIDA"/>
    <s v="No. 7159"/>
    <d v="2016-05-26T00:00:00"/>
    <s v="Hidromorfona HCl 2 mg/mL Solución Inyectable_cajas X 10 unidades c/u"/>
    <n v="0"/>
    <n v="0"/>
    <x v="1"/>
    <x v="2"/>
    <x v="0"/>
    <x v="0"/>
    <x v="0"/>
  </r>
  <r>
    <x v="319"/>
    <s v="LINA MARCELA CHAPARRO GARCIA"/>
    <s v="Representante Legal"/>
    <s v="FUNDACION CARDIOVASCULAR DE COLOMBIA"/>
    <n v="900341526"/>
    <s v="socorrogomez@fcv.org"/>
    <s v="Calle: 45 No. 11- 52"/>
    <x v="8"/>
    <s v="BUCARAMANGA"/>
    <s v="SOLICITO COTIZACION MEDICAMENTOS CONTROL ESPECIAL"/>
    <n v="202124101043512"/>
    <d v="2021-06-15T00:00:00"/>
    <x v="5"/>
    <n v="202124110935611"/>
    <d v="2021-06-18T00:00:00"/>
    <s v="JUN"/>
    <n v="-3"/>
    <s v="NEGADO"/>
    <s v="LA RESOLUCION SE ENCUENTRA VENCIDA"/>
    <s v="No. 7159"/>
    <d v="2016-05-26T00:00:00"/>
    <s v="Morfina HCl 10 mg/mL Solución Inyectable ampolla por 1mL"/>
    <n v="0"/>
    <n v="0"/>
    <x v="0"/>
    <x v="0"/>
    <x v="0"/>
    <x v="0"/>
    <x v="0"/>
  </r>
  <r>
    <x v="319"/>
    <s v="LINA MARCELA CHAPARRO GARCIA"/>
    <s v="Representante Legal"/>
    <s v="FUNDACION CARDIOVASCULAR DE COLOMBIA"/>
    <n v="900341526"/>
    <s v="socorrogomez@fcv.org"/>
    <s v="Calle: 45 No. 11- 52"/>
    <x v="8"/>
    <s v="BUCARAMANGA"/>
    <s v="SOLICITO COTIZACION MEDICAMENTOS CONTROL ESPECIAL"/>
    <n v="202124101043512"/>
    <d v="2021-06-15T00:00:00"/>
    <x v="5"/>
    <n v="202124110935611"/>
    <d v="2021-06-18T00:00:00"/>
    <s v="JUN"/>
    <n v="-3"/>
    <s v="NEGADO"/>
    <s v="LA RESOLUCION SE ENCUENTRA VENCIDA"/>
    <s v="No. 7159"/>
    <d v="2016-05-26T00:00:00"/>
    <s v="Morfina HCl 0,03 Solución Oral_frascos X 30 mL c/u"/>
    <n v="0"/>
    <n v="0"/>
    <x v="0"/>
    <x v="1"/>
    <x v="1"/>
    <x v="1"/>
    <x v="0"/>
  </r>
  <r>
    <x v="320"/>
    <s v="LINA MARCELA CHAPARRO GARCIA"/>
    <s v="Representante Legal"/>
    <s v="FUNDACION CARDIOVASCULAR DE COLOMBIA"/>
    <n v="900341526"/>
    <s v="socorrogomez@fcv.org"/>
    <s v="Calle: 45 No. 11- 52"/>
    <x v="8"/>
    <s v="BUCARAMANGA"/>
    <s v="FAVOR ENVIAR AUTORIZACION DE COMPRA Y COTIZACION DE LOS MEDICAMENTOS DE CONTROL ESPECIAL."/>
    <n v="202124101043632"/>
    <d v="2021-06-15T00:00:00"/>
    <x v="5"/>
    <n v="202124110935611"/>
    <d v="2021-06-18T00:00:00"/>
    <s v="JUN"/>
    <n v="-3"/>
    <s v="NEGADO"/>
    <s v="Solicitud duplicada"/>
    <s v="No. 7159"/>
    <d v="2016-05-26T00:00:00"/>
    <s v="Hidromorfona HCl 2 mg/mL Solución Inyectable_cajas X 10 unidades c/u"/>
    <n v="0"/>
    <n v="0"/>
    <x v="1"/>
    <x v="2"/>
    <x v="0"/>
    <x v="0"/>
    <x v="0"/>
  </r>
  <r>
    <x v="320"/>
    <s v="LINA MARCELA CHAPARRO GARCIA"/>
    <s v="Representante Legal"/>
    <s v="FUNDACION CARDIOVASCULAR DE COLOMBIA"/>
    <n v="900341526"/>
    <s v="socorrogomez@fcv.org"/>
    <s v="Calle: 45 No. 11- 52"/>
    <x v="8"/>
    <s v="BUCARAMANGA"/>
    <s v="FAVOR ENVIAR AUTORIZACION DE COMPRA Y COTIZACION DE LOS MEDICAMENTOS DE CONTROL ESPECIAL."/>
    <n v="202124101043632"/>
    <d v="2021-06-15T00:00:00"/>
    <x v="5"/>
    <n v="202124110935611"/>
    <d v="2021-06-18T00:00:00"/>
    <s v="JUN"/>
    <n v="-3"/>
    <s v="NEGADO"/>
    <s v="Solicitud duplicada"/>
    <s v="No. 7159"/>
    <d v="2016-05-26T00:00:00"/>
    <s v="Morfina HCl 10 mg/mL Solución Inyectable ampolla por 1mL"/>
    <n v="0"/>
    <n v="0"/>
    <x v="0"/>
    <x v="0"/>
    <x v="0"/>
    <x v="0"/>
    <x v="0"/>
  </r>
  <r>
    <x v="320"/>
    <s v="LINA MARCELA CHAPARRO GARCIA"/>
    <s v="Representante Legal"/>
    <s v="FUNDACION CARDIOVASCULAR DE COLOMBIA"/>
    <n v="900341526"/>
    <s v="socorrogomez@fcv.org"/>
    <s v="Calle: 45 No. 11- 52"/>
    <x v="8"/>
    <s v="BUCARAMANGA"/>
    <s v="FAVOR ENVIAR AUTORIZACION DE COMPRA Y COTIZACION DE LOS MEDICAMENTOS DE CONTROL ESPECIAL."/>
    <n v="202124101043632"/>
    <d v="2021-06-15T00:00:00"/>
    <x v="5"/>
    <n v="202124110935611"/>
    <d v="2021-06-18T00:00:00"/>
    <s v="JUN"/>
    <n v="-3"/>
    <s v="NEGADO"/>
    <s v="Solicitud duplicada"/>
    <s v="No. 7159"/>
    <d v="2016-05-26T00:00:00"/>
    <s v="Morfina HCl 0,03 Solución Oral_frascos X 30 mL c/u"/>
    <n v="0"/>
    <n v="0"/>
    <x v="0"/>
    <x v="1"/>
    <x v="1"/>
    <x v="1"/>
    <x v="0"/>
  </r>
  <r>
    <x v="321"/>
    <s v="LINA MARCELA CHAPARRO GARCIA"/>
    <s v="Representante Legal"/>
    <s v="FUNDACION CARDIOVASCULAR DE COLOMBIA"/>
    <n v="900341526"/>
    <s v="socorrogomez@fcv.org"/>
    <s v="Calle: 45 No. 11- 52"/>
    <x v="8"/>
    <s v="BUCARAMANGA"/>
    <s v="SOLICITO COTIZACION MEDICAMENTOS CONTROL ESPECIAL"/>
    <n v="202124101043652"/>
    <d v="2021-06-15T00:00:00"/>
    <x v="5"/>
    <n v="202124110935611"/>
    <d v="2021-06-18T00:00:00"/>
    <s v="JUN"/>
    <n v="-3"/>
    <s v="NEGADO"/>
    <s v="Solicitud duplicada"/>
    <s v="No. 7159"/>
    <d v="2016-05-26T00:00:00"/>
    <s v="Hidromorfona HCl 2 mg/mL Solución Inyectable_cajas X 10 unidades c/u"/>
    <n v="0"/>
    <n v="0"/>
    <x v="1"/>
    <x v="2"/>
    <x v="0"/>
    <x v="0"/>
    <x v="0"/>
  </r>
  <r>
    <x v="321"/>
    <s v="LINA MARCELA CHAPARRO GARCIA"/>
    <s v="Representante Legal"/>
    <s v="FUNDACION CARDIOVASCULAR DE COLOMBIA"/>
    <n v="900341526"/>
    <s v="socorrogomez@fcv.org"/>
    <s v="Calle: 45 No. 11- 52"/>
    <x v="8"/>
    <s v="BUCARAMANGA"/>
    <s v="SOLICITO COTIZACION MEDICAMENTOS CONTROL ESPECIAL"/>
    <n v="202124101043652"/>
    <d v="2021-06-15T00:00:00"/>
    <x v="5"/>
    <n v="202124110935611"/>
    <d v="2021-06-18T00:00:00"/>
    <s v="JUN"/>
    <n v="-3"/>
    <s v="NEGADO"/>
    <s v="Solicitud duplicada"/>
    <s v="No. 7159"/>
    <d v="2016-05-26T00:00:00"/>
    <s v="Morfina HCl 10 mg/mL Solución Inyectable ampolla por 1mL"/>
    <n v="0"/>
    <n v="0"/>
    <x v="0"/>
    <x v="0"/>
    <x v="0"/>
    <x v="0"/>
    <x v="0"/>
  </r>
  <r>
    <x v="321"/>
    <s v="LINA MARCELA CHAPARRO GARCIA"/>
    <s v="Representante Legal"/>
    <s v="FUNDACION CARDIOVASCULAR DE COLOMBIA"/>
    <n v="900341526"/>
    <s v="socorrogomez@fcv.org"/>
    <s v="Calle: 45 No. 11- 52"/>
    <x v="8"/>
    <s v="BUCARAMANGA"/>
    <s v="SOLICITO COTIZACION MEDICAMENTOS CONTROL ESPECIAL"/>
    <n v="202124101043652"/>
    <d v="2021-06-15T00:00:00"/>
    <x v="5"/>
    <n v="202124110935611"/>
    <d v="2021-06-18T00:00:00"/>
    <s v="JUN"/>
    <n v="-3"/>
    <s v="NEGADO"/>
    <s v="Solicitud duplicada"/>
    <s v="No. 7159"/>
    <d v="2016-05-26T00:00:00"/>
    <s v="Morfina HCl 0,03 Solución Oral_frascos X 30 mL c/u"/>
    <n v="0"/>
    <n v="0"/>
    <x v="0"/>
    <x v="1"/>
    <x v="1"/>
    <x v="1"/>
    <x v="0"/>
  </r>
  <r>
    <x v="322"/>
    <s v="YUDELY ASMITH MEDINA PÉREZ"/>
    <s v="Directora Tecnica"/>
    <s v="ETICOS UT 2020"/>
    <s v="901381381-3"/>
    <s v="qffarmacia10505@eticos.com "/>
    <s v="Vía 40 No 71-124"/>
    <x v="2"/>
    <s v="CARTAGENA"/>
    <s v="Solicitud de cotización y generación de factura para compra de Fenobarbital 100 mg"/>
    <n v="202124101046022"/>
    <d v="2021-06-15T00:00:00"/>
    <x v="5"/>
    <s v="Reasignación a don Pedro Rubio por competencia"/>
    <m/>
    <s v="JUN"/>
    <n v="44362"/>
    <s v="AUTORIZADO"/>
    <m/>
    <s v="No. 323"/>
    <d v="2020-07-06T00:00:00"/>
    <s v="Fenobarbital 100 mg Tableta_cajas X 30 unidades c/u"/>
    <n v="600"/>
    <n v="20"/>
    <x v="5"/>
    <x v="7"/>
    <x v="4"/>
    <x v="2"/>
    <x v="7"/>
  </r>
  <r>
    <x v="322"/>
    <s v="YUDELY ASMITH MEDINA PÉREZ"/>
    <s v="Directora Tecnica"/>
    <s v="ETICOS UT 2020"/>
    <s v="901381381-3"/>
    <s v="qffarmacia10505@eticos.com "/>
    <s v="Vía 40 No 71-124"/>
    <x v="2"/>
    <s v="CARTAGENA"/>
    <s v="Solicitud de cotización y generación de factura para compra de Fenobarbital 100 mg"/>
    <n v="202124101046022"/>
    <d v="2021-06-15T00:00:00"/>
    <x v="5"/>
    <s v="Reasignación a don Pedro Rubio por competencia"/>
    <m/>
    <s v="JUN"/>
    <n v="44362"/>
    <s v="AUTORIZADO"/>
    <m/>
    <s v="No. 323"/>
    <d v="2020-07-06T00:00:00"/>
    <s v="Hidromorfona HCl 2 mg/mL Solución Inyectable_cajas X 10 unidades c/u"/>
    <n v="10"/>
    <n v="1"/>
    <x v="1"/>
    <x v="2"/>
    <x v="0"/>
    <x v="0"/>
    <x v="11"/>
  </r>
  <r>
    <x v="322"/>
    <s v="YUDELY ASMITH MEDINA PÉREZ"/>
    <s v="Directora Tecnica"/>
    <s v="ETICOS UT 2020"/>
    <s v="901381381-3"/>
    <s v="qffarmacia10505@eticos.com "/>
    <s v="Vía 40 No 71-124"/>
    <x v="2"/>
    <s v="CARTAGENA"/>
    <s v="Solicitud de cotización y generación de factura para compra de Fenobarbital 100 mg"/>
    <n v="202124101046022"/>
    <d v="2021-06-15T00:00:00"/>
    <x v="5"/>
    <s v="Reasignación a don Pedro Rubio por competencia"/>
    <m/>
    <s v="JUN"/>
    <n v="44362"/>
    <s v="AUTORIZADO"/>
    <m/>
    <s v="No. 323"/>
    <d v="2020-07-06T00:00:00"/>
    <s v="Meperidina HCl 100 mg/2mL Solución Inyectable_cajas X 10 unidades c/u"/>
    <n v="10"/>
    <n v="1"/>
    <x v="6"/>
    <x v="8"/>
    <x v="0"/>
    <x v="3"/>
    <x v="145"/>
  </r>
  <r>
    <x v="322"/>
    <s v="YUDELY ASMITH MEDINA PÉREZ"/>
    <s v="Directora Tecnica"/>
    <s v="ETICOS UT 2020"/>
    <s v="901381381-3"/>
    <s v="qffarmacia10505@eticos.com "/>
    <s v="Vía 40 No 71-124"/>
    <x v="2"/>
    <s v="CARTAGENA"/>
    <s v="Solicitud de cotización y generación de factura para compra de Fenobarbital 100 mg"/>
    <n v="202124101046022"/>
    <d v="2021-06-15T00:00:00"/>
    <x v="5"/>
    <s v="Reasignación a don Pedro Rubio por competencia"/>
    <m/>
    <s v="JUN"/>
    <n v="44362"/>
    <s v="AUTORIZADO"/>
    <m/>
    <s v="No. 323"/>
    <d v="2020-07-06T00:00:00"/>
    <s v="Metilfenidato HCl 18 mg Tableta de Liberación Prolongada_frascos X 30 unidades c/u"/>
    <n v="30"/>
    <n v="1"/>
    <x v="4"/>
    <x v="18"/>
    <x v="7"/>
    <x v="10"/>
    <x v="166"/>
  </r>
  <r>
    <x v="322"/>
    <s v="YUDELY ASMITH MEDINA PÉREZ"/>
    <s v="Directora Tecnica"/>
    <s v="ETICOS UT 2020"/>
    <s v="901381381-3"/>
    <s v="qffarmacia10505@eticos.com "/>
    <s v="Vía 40 No 71-124"/>
    <x v="2"/>
    <s v="CARTAGENA"/>
    <s v="Solicitud de cotización y generación de factura para compra de Fenobarbital 100 mg"/>
    <n v="202124101046022"/>
    <d v="2021-06-15T00:00:00"/>
    <x v="5"/>
    <s v="Reasignación a don Pedro Rubio por competencia"/>
    <m/>
    <s v="JUN"/>
    <n v="44362"/>
    <s v="AUTORIZADO"/>
    <m/>
    <s v="No. 323"/>
    <d v="2020-07-06T00:00:00"/>
    <s v="Morfina HCl 10 mg/mL Solución Inyectable ampolla por 1mL"/>
    <n v="10"/>
    <n v="1"/>
    <x v="0"/>
    <x v="0"/>
    <x v="0"/>
    <x v="0"/>
    <x v="11"/>
  </r>
  <r>
    <x v="323"/>
    <s v="CARLOS MARIO GUETE VARGAS"/>
    <s v="JEFE DE COMPRAS"/>
    <s v="Compañia Colombiana De Salud - Clínica Mar Caribe"/>
    <s v="819002176-8"/>
    <s v="jefecompras@clinicamarcaribe.com"/>
    <s v="Calle 21 Nª 18A-103"/>
    <x v="4"/>
    <s v="SANTA MARTA"/>
    <s v="OTIZAR MEDICAMENTOS -- COLSALUD CLINICA MAR CARIBE"/>
    <n v="202124101046322"/>
    <d v="2021-06-15T00:00:00"/>
    <x v="5"/>
    <n v="202124110957531"/>
    <d v="2021-06-18T00:00:00"/>
    <s v="JUN"/>
    <n v="-3"/>
    <s v="AUTORIZADO"/>
    <m/>
    <s v="No. 4145"/>
    <d v="2019-11-27T00:00:00"/>
    <s v="Fenobarbital Sódico 40 mg/mL Solución Inyectable_caja X 10 ampollas c/u"/>
    <n v="50"/>
    <n v="5"/>
    <x v="3"/>
    <x v="6"/>
    <x v="0"/>
    <x v="0"/>
    <x v="17"/>
  </r>
  <r>
    <x v="323"/>
    <s v="CARLOS MARIO GUETE VARGAS"/>
    <s v="JEFE DE COMPRAS"/>
    <s v="Compañia Colombiana De Salud - Clínica Mar Caribe"/>
    <s v="819002176-8"/>
    <s v="jefecompras@clinicamarcaribe.com"/>
    <s v="Calle 21 Nª 18A-103"/>
    <x v="4"/>
    <s v="SANTA MARTA"/>
    <s v="OTIZAR MEDICAMENTOS -- COLSALUD CLINICA MAR CARIBE"/>
    <n v="202124101046322"/>
    <d v="2021-06-15T00:00:00"/>
    <x v="5"/>
    <n v="202124110957531"/>
    <d v="2021-06-18T00:00:00"/>
    <s v="JUN"/>
    <n v="-3"/>
    <s v="AUTORIZADO"/>
    <m/>
    <s v="No. 4145"/>
    <d v="2019-11-27T00:00:00"/>
    <s v="Fenobarbital 50 mg Tableta_cajas X 30 unidades c/u"/>
    <n v="30"/>
    <n v="1"/>
    <x v="5"/>
    <x v="12"/>
    <x v="4"/>
    <x v="2"/>
    <x v="8"/>
  </r>
  <r>
    <x v="323"/>
    <s v="CARLOS MARIO GUETE VARGAS"/>
    <s v="JEFE DE COMPRAS"/>
    <s v="Compañia Colombiana De Salud - Clínica Mar Caribe"/>
    <s v="819002176-8"/>
    <s v="jefecompras@clinicamarcaribe.com"/>
    <s v="Calle 21 Nª 18A-103"/>
    <x v="4"/>
    <s v="SANTA MARTA"/>
    <s v="OTIZAR MEDICAMENTOS -- COLSALUD CLINICA MAR CARIBE"/>
    <n v="202124101046322"/>
    <d v="2021-06-15T00:00:00"/>
    <x v="5"/>
    <n v="202124110957531"/>
    <d v="2021-06-18T00:00:00"/>
    <s v="JUN"/>
    <n v="-3"/>
    <s v="AUTORIZADO"/>
    <m/>
    <s v="No. 4145"/>
    <d v="2019-11-27T00:00:00"/>
    <s v="Morfina HCl 10 mg/mL Solución Inyectable ampolla por 1mL"/>
    <n v="200"/>
    <n v="20"/>
    <x v="0"/>
    <x v="0"/>
    <x v="0"/>
    <x v="0"/>
    <x v="18"/>
  </r>
  <r>
    <x v="323"/>
    <s v="CARLOS MARIO GUETE VARGAS"/>
    <s v="JEFE DE COMPRAS"/>
    <s v="Compañia Colombiana De Salud - Clínica Mar Caribe"/>
    <s v="819002176-8"/>
    <s v="jefecompras@clinicamarcaribe.com"/>
    <s v="Calle 21 Nª 18A-103"/>
    <x v="4"/>
    <s v="SANTA MARTA"/>
    <s v="OTIZAR MEDICAMENTOS -- COLSALUD CLINICA MAR CARIBE"/>
    <n v="202124101046322"/>
    <d v="2021-06-15T00:00:00"/>
    <x v="5"/>
    <n v="202124110957531"/>
    <d v="2021-06-18T00:00:00"/>
    <s v="JUN"/>
    <n v="-3"/>
    <s v="AUTORIZADO"/>
    <m/>
    <s v="No. 4145"/>
    <d v="2019-11-27T00:00:00"/>
    <s v="Morfina HCl 0,03 Solución Oral_frascos X 30 mL c/u"/>
    <n v="3"/>
    <n v="3"/>
    <x v="0"/>
    <x v="1"/>
    <x v="1"/>
    <x v="1"/>
    <x v="28"/>
  </r>
  <r>
    <x v="324"/>
    <s v="NATHALIA JAIMES VELASCO"/>
    <s v="Regente auxiliar de compras"/>
    <s v="FUNDACIÓN CARDIOVASCULAR DE COLOMBIA "/>
    <s v="890.212.568-0"/>
    <s v="nathaliajaimes@fcv.org"/>
    <s v="Cll 155A No. 23-58"/>
    <x v="8"/>
    <s v="FLORIDABLANCA"/>
    <s v="Solicitud Autorización Compra Medicamentos Monopolio del Estado"/>
    <n v="202124101051892"/>
    <d v="2021-06-16T00:00:00"/>
    <x v="5"/>
    <n v="202124110992581"/>
    <d v="2021-06-16T00:00:00"/>
    <s v="JUN"/>
    <n v="0"/>
    <s v="AUTORIZADO"/>
    <m/>
    <s v="No. 16233"/>
    <d v="2018-10-08T00:00:00"/>
    <s v="Morfina HCl 10 mg/mL Solución Inyectable ampolla por 5mL"/>
    <n v="400"/>
    <n v="40"/>
    <x v="0"/>
    <x v="16"/>
    <x v="0"/>
    <x v="12"/>
    <x v="167"/>
  </r>
  <r>
    <x v="325"/>
    <s v="FERNEY CHACON PORTILLA"/>
    <s v="Asistente de compras"/>
    <s v="FOSUNAB"/>
    <s v="900.330.752-0"/>
    <s v="asistente.suministros3@foscal.com.co"/>
    <s v="Cll 158 No. 20-95"/>
    <x v="8"/>
    <s v="FLORIDABLANCA"/>
    <s v="Solicitud Autorización Compra Medicamentos Monopolio del Estado"/>
    <n v="202124101051972"/>
    <d v="2021-06-16T00:00:00"/>
    <x v="5"/>
    <n v="202124110997451"/>
    <d v="2021-06-24T00:00:00"/>
    <s v="JUN"/>
    <n v="-8"/>
    <m/>
    <m/>
    <s v="No. 717"/>
    <d v="2019-01-25T00:00:00"/>
    <m/>
    <m/>
    <s v=""/>
    <x v="9"/>
    <x v="17"/>
    <x v="9"/>
    <x v="13"/>
    <x v="0"/>
  </r>
  <r>
    <x v="326"/>
    <s v="JOSÉ LUCAS RODRIGUEZ MORA"/>
    <s v="Director Técnico"/>
    <s v="SUMINISTROS Y DOTACIONES DE COLOMBIA S.A"/>
    <s v="802.000.608-7"/>
    <s v="quimicobta@syd.com.co"/>
    <s v="Cra 43 No. 80"/>
    <x v="6"/>
    <s v="VILLAVICENCIO"/>
    <s v="Solicitud Autorización Compra Medicamentos Monopolio del Estado"/>
    <n v="202124101052012"/>
    <d v="2021-06-16T00:00:00"/>
    <x v="5"/>
    <n v="202124110993041"/>
    <d v="2021-06-24T00:00:00"/>
    <s v="JUN"/>
    <n v="-8"/>
    <s v="NEGADO"/>
    <s v="No adjuntan resolución de inscripción del operador logístico"/>
    <s v="No. 515"/>
    <d v="2020-11-10T00:00:00"/>
    <s v="Fenobarbital 100 mg Tableta_cajas X 30 unidades c/u"/>
    <n v="0"/>
    <n v="0"/>
    <x v="5"/>
    <x v="7"/>
    <x v="4"/>
    <x v="2"/>
    <x v="0"/>
  </r>
  <r>
    <x v="326"/>
    <s v="JOSÉ LUCAS RODRIGUEZ MORA"/>
    <s v="Director Técnico"/>
    <s v="SUMINISTROS Y DOTACIONES DE COLOMBIA S.A"/>
    <s v="802.000.608-7"/>
    <s v="quimicobta@syd.com.co"/>
    <s v="Cra 43 No. 80"/>
    <x v="6"/>
    <s v="VILLAVICENCIO"/>
    <s v="Solicitud Autorización Compra Medicamentos Monopolio del Estado"/>
    <n v="202124101052012"/>
    <d v="2021-06-16T00:00:00"/>
    <x v="5"/>
    <n v="202124110993041"/>
    <d v="2021-06-24T00:00:00"/>
    <s v="JUN"/>
    <n v="-8"/>
    <s v="NEGADO"/>
    <s v="No adjuntan resolución de inscripción del operador logístico"/>
    <s v="No. 515"/>
    <d v="2020-11-10T00:00:00"/>
    <s v="Fenobarbital Sódico 40 mg/mL Solución Inyectable_caja X 10 ampollas c/u"/>
    <n v="0"/>
    <n v="0"/>
    <x v="3"/>
    <x v="6"/>
    <x v="0"/>
    <x v="0"/>
    <x v="0"/>
  </r>
  <r>
    <x v="326"/>
    <s v="JOSÉ LUCAS RODRIGUEZ MORA"/>
    <s v="Director Técnico"/>
    <s v="SUMINISTROS Y DOTACIONES DE COLOMBIA S.A"/>
    <s v="802.000.608-7"/>
    <s v="quimicobta@syd.com.co"/>
    <s v="Cra 43 No. 80"/>
    <x v="6"/>
    <s v="VILLAVICENCIO"/>
    <s v="Solicitud Autorización Compra Medicamentos Monopolio del Estado"/>
    <n v="202124101052012"/>
    <d v="2021-06-16T00:00:00"/>
    <x v="5"/>
    <n v="202124110993041"/>
    <d v="2021-06-24T00:00:00"/>
    <s v="JUN"/>
    <n v="-8"/>
    <s v="NEGADO"/>
    <s v="No adjuntan resolución de inscripción del operador logístico"/>
    <s v="No. 515"/>
    <d v="2020-11-10T00:00:00"/>
    <s v="Fenobarbital Sódico 200 mg/mL Solución Inyectable_caja X 10 ampollas c/u"/>
    <n v="0"/>
    <n v="0"/>
    <x v="3"/>
    <x v="5"/>
    <x v="0"/>
    <x v="0"/>
    <x v="0"/>
  </r>
  <r>
    <x v="326"/>
    <s v="JOSÉ LUCAS RODRIGUEZ MORA"/>
    <s v="Director Técnico"/>
    <s v="SUMINISTROS Y DOTACIONES DE COLOMBIA S.A"/>
    <s v="802.000.608-7"/>
    <s v="quimicobta@syd.com.co"/>
    <s v="Cra 43 No. 80"/>
    <x v="6"/>
    <s v="VILLAVICENCIO"/>
    <s v="Solicitud Autorización Compra Medicamentos Monopolio del Estado"/>
    <n v="202124101052012"/>
    <d v="2021-06-16T00:00:00"/>
    <x v="5"/>
    <n v="202124110993041"/>
    <d v="2021-06-24T00:00:00"/>
    <s v="JUN"/>
    <n v="-8"/>
    <s v="NEGADO"/>
    <s v="No adjuntan resolución de inscripción del operador logístico"/>
    <s v="No. 515"/>
    <d v="2020-11-10T00:00:00"/>
    <s v="Fenobarbital 0,4% Solución Oral_frascos X 120 mL c/u"/>
    <n v="0"/>
    <n v="0"/>
    <x v="5"/>
    <x v="11"/>
    <x v="1"/>
    <x v="6"/>
    <x v="0"/>
  </r>
  <r>
    <x v="326"/>
    <s v="JOSÉ LUCAS RODRIGUEZ MORA"/>
    <s v="Director Técnico"/>
    <s v="SUMINISTROS Y DOTACIONES DE COLOMBIA S.A"/>
    <s v="802.000.608-7"/>
    <s v="quimicobta@syd.com.co"/>
    <s v="Cra 43 No. 80"/>
    <x v="6"/>
    <s v="VILLAVICENCIO"/>
    <s v="Solicitud Autorización Compra Medicamentos Monopolio del Estado"/>
    <n v="202124101052012"/>
    <d v="2021-06-16T00:00:00"/>
    <x v="5"/>
    <n v="202124110993041"/>
    <d v="2021-06-24T00:00:00"/>
    <s v="JUN"/>
    <n v="-8"/>
    <s v="NEGADO"/>
    <s v="No adjuntan resolución de inscripción del operador logístico"/>
    <s v="No. 515"/>
    <d v="2020-11-10T00:00:00"/>
    <s v="Meperidina HCl 100 mg/2mL Solución Inyectable_cajas X 10 unidades c/u"/>
    <n v="0"/>
    <n v="0"/>
    <x v="6"/>
    <x v="8"/>
    <x v="0"/>
    <x v="3"/>
    <x v="0"/>
  </r>
  <r>
    <x v="326"/>
    <s v="JOSÉ LUCAS RODRIGUEZ MORA"/>
    <s v="Director Técnico"/>
    <s v="SUMINISTROS Y DOTACIONES DE COLOMBIA S.A"/>
    <s v="802.000.608-7"/>
    <s v="quimicobta@syd.com.co"/>
    <s v="Cra 43 No. 80"/>
    <x v="6"/>
    <s v="VILLAVICENCIO"/>
    <s v="Solicitud Autorización Compra Medicamentos Monopolio del Estado"/>
    <n v="202124101052012"/>
    <d v="2021-06-16T00:00:00"/>
    <x v="5"/>
    <n v="202124110993041"/>
    <d v="2021-06-24T00:00:00"/>
    <s v="JUN"/>
    <n v="-8"/>
    <s v="NEGADO"/>
    <s v="No adjuntan resolución de inscripción del operador logístico"/>
    <s v="No. 515"/>
    <d v="2020-11-10T00:00:00"/>
    <s v="Morfina HCl 10 mg/mL Solución Inyectable ampolla por 1mL"/>
    <n v="0"/>
    <n v="0"/>
    <x v="0"/>
    <x v="0"/>
    <x v="0"/>
    <x v="0"/>
    <x v="0"/>
  </r>
  <r>
    <x v="326"/>
    <s v="JOSÉ LUCAS RODRIGUEZ MORA"/>
    <s v="Director Técnico"/>
    <s v="SUMINISTROS Y DOTACIONES DE COLOMBIA S.A"/>
    <s v="802.000.608-7"/>
    <s v="quimicobta@syd.com.co"/>
    <s v="Cra 43 No. 80"/>
    <x v="6"/>
    <s v="VILLAVICENCIO"/>
    <s v="Solicitud Autorización Compra Medicamentos Monopolio del Estado"/>
    <n v="202124101052012"/>
    <d v="2021-06-16T00:00:00"/>
    <x v="5"/>
    <n v="202124110993041"/>
    <d v="2021-06-24T00:00:00"/>
    <s v="JUN"/>
    <n v="-8"/>
    <s v="NEGADO"/>
    <s v="No adjuntan resolución de inscripción del operador logístico"/>
    <s v="No. 515"/>
    <d v="2020-11-10T00:00:00"/>
    <s v="Morfina HCl 0,03 Solución Oral_frascos X 30 mL c/u"/>
    <n v="0"/>
    <n v="0"/>
    <x v="0"/>
    <x v="1"/>
    <x v="1"/>
    <x v="1"/>
    <x v="0"/>
  </r>
  <r>
    <x v="327"/>
    <s v="LUIS ALBERTO FRANCO MORENO"/>
    <s v="Representante Legal"/>
    <s v="SERVIMEDICOS S.A.S"/>
    <s v="800.162.035-4"/>
    <s v="servimedicosfarmacia@gmail.com"/>
    <s v="Cll 32 No. 40-40"/>
    <x v="6"/>
    <s v="VILLAVICENCIO"/>
    <s v="Solicitud Autorización Compra Medicamentos Monopolio del Estado"/>
    <n v="202124101054672"/>
    <d v="2021-06-16T00:00:00"/>
    <x v="5"/>
    <n v="202124110993181"/>
    <d v="2021-06-24T00:00:00"/>
    <s v="JUN"/>
    <n v="-8"/>
    <s v="AUTORIZADO"/>
    <m/>
    <s v="No. 005"/>
    <d v="2020-01-14T00:00:00"/>
    <s v="Morfina HCl 0,03 Solución Oral_frascos X 30 mL c/u"/>
    <n v="6"/>
    <n v="6"/>
    <x v="0"/>
    <x v="1"/>
    <x v="1"/>
    <x v="1"/>
    <x v="163"/>
  </r>
  <r>
    <x v="327"/>
    <s v="LUIS ALBERTO FRANCO MORENO"/>
    <s v="Representante Legal"/>
    <s v="SERVIMEDICOS S.A.S"/>
    <s v="800.162.035-4"/>
    <s v="servimedicosfarmacia@gmail.com"/>
    <s v="Cll 32 No. 40-40"/>
    <x v="6"/>
    <s v="VILLAVICENCIO"/>
    <s v="Solicitud Autorización Compra Medicamentos Monopolio del Estado"/>
    <n v="202124101054672"/>
    <d v="2021-06-16T00:00:00"/>
    <x v="5"/>
    <n v="202124110993181"/>
    <d v="2021-06-24T00:00:00"/>
    <s v="JUN"/>
    <n v="-8"/>
    <s v="AUTORIZADO"/>
    <m/>
    <s v="No. 005"/>
    <d v="2020-01-14T00:00:00"/>
    <s v="Morfina HCl 10 mg/mL Solución Inyectable ampolla por 1mL"/>
    <n v="300"/>
    <n v="30"/>
    <x v="0"/>
    <x v="0"/>
    <x v="0"/>
    <x v="0"/>
    <x v="54"/>
  </r>
  <r>
    <x v="328"/>
    <s v="Yurany Beltran Piñeros"/>
    <s v="Regente de farmacia"/>
    <s v="CORPORACION MI IPS LLANOS-PARQUE"/>
    <s v="822.006.818-7"/>
    <s v="farmaciaipselparque@miips.com.co"/>
    <s v="CARRERA 40 # 32-06 BARZAL"/>
    <x v="6"/>
    <s v="VILLAVICENCIO"/>
    <s v="Solicitud Autorización Compra Medicamentos Monopolio del Estado"/>
    <n v="202124101056822"/>
    <d v="2021-06-16T00:00:00"/>
    <x v="5"/>
    <n v="202124110993501"/>
    <d v="2021-06-24T00:00:00"/>
    <s v="JUN"/>
    <n v="-8"/>
    <s v="AUTORIZADO"/>
    <m/>
    <s v="No. 044"/>
    <d v="2021-03-26T00:00:00"/>
    <s v="Morfina HCl 10 mg/mL Solución Inyectable ampolla por 1mL"/>
    <n v="300"/>
    <n v="30"/>
    <x v="0"/>
    <x v="0"/>
    <x v="0"/>
    <x v="0"/>
    <x v="54"/>
  </r>
  <r>
    <x v="329"/>
    <s v="ANDRÉS FELIPE MACÍAS LÓPEZ "/>
    <s v="Coordinador del Servicio Farmacéutico"/>
    <s v="SOCIEDAD MÉDICA DE SANTA MARTA"/>
    <s v="891.701.664-1"/>
    <s v="pradofarmacia1@gmail.com"/>
    <s v="Cra 5 No. 25-46"/>
    <x v="4"/>
    <s v="SANTA MARTA"/>
    <s v="Solicitud Autorización Compra Medicamentos Monopolio del Estado"/>
    <n v="202124101057202"/>
    <d v="2021-06-16T00:00:00"/>
    <x v="5"/>
    <n v="202124110993911"/>
    <d v="2021-06-24T00:00:00"/>
    <s v="JUN"/>
    <n v="-8"/>
    <s v="AUTORIZADO"/>
    <m/>
    <s v="No. 979"/>
    <d v="2021-04-20T00:00:00"/>
    <s v="Meperidina HCl 100 mg/2mL Solución Inyectable_cajas X 10 unidades c/u"/>
    <n v="200"/>
    <n v="20"/>
    <x v="6"/>
    <x v="8"/>
    <x v="0"/>
    <x v="3"/>
    <x v="31"/>
  </r>
  <r>
    <x v="329"/>
    <s v="ANDRÉS FELIPE MACÍAS LÓPEZ "/>
    <s v="Coordinador del Servicio Farmacéutico"/>
    <s v="SOCIEDAD MÉDICA DE SANTA MARTA"/>
    <s v="891.701.664-1"/>
    <s v="pradofarmacia1@gmail.com"/>
    <s v="Cra 5 No. 25-46"/>
    <x v="4"/>
    <s v="SANTA MARTA"/>
    <s v="Solicitud Autorización Compra Medicamentos Monopolio del Estado"/>
    <n v="202124101057202"/>
    <d v="2021-06-16T00:00:00"/>
    <x v="5"/>
    <n v="202124110993911"/>
    <d v="2021-06-24T00:00:00"/>
    <s v="JUN"/>
    <n v="-8"/>
    <s v="AUTORIZADO"/>
    <m/>
    <s v="No. 979"/>
    <d v="2021-04-20T00:00:00"/>
    <s v="Morfina HCl 10 mg/mL Solución Inyectable ampolla por 1mL"/>
    <n v="200"/>
    <n v="20"/>
    <x v="0"/>
    <x v="0"/>
    <x v="0"/>
    <x v="0"/>
    <x v="18"/>
  </r>
  <r>
    <x v="329"/>
    <s v="ANDRÉS FELIPE MACÍAS LÓPEZ "/>
    <s v="Coordinador del Servicio Farmacéutico"/>
    <s v="SOCIEDAD MÉDICA DE SANTA MARTA"/>
    <s v="891.701.664-1"/>
    <s v="pradofarmacia1@gmail.com"/>
    <s v="Cra 5 No. 25-46"/>
    <x v="4"/>
    <s v="SANTA MARTA"/>
    <s v="Solicitud Autorización Compra Medicamentos Monopolio del Estado"/>
    <n v="202124101057202"/>
    <d v="2021-06-16T00:00:00"/>
    <x v="5"/>
    <n v="202124110993911"/>
    <d v="2021-06-24T00:00:00"/>
    <s v="JUN"/>
    <n v="-8"/>
    <s v="AUTORIZADO"/>
    <m/>
    <s v="No. 979"/>
    <d v="2021-04-20T00:00:00"/>
    <s v="Fenobarbital Sódico 200 mg/mL Solución Inyectable_caja X 10 ampollas c/u"/>
    <n v="50"/>
    <n v="5"/>
    <x v="3"/>
    <x v="5"/>
    <x v="0"/>
    <x v="0"/>
    <x v="17"/>
  </r>
  <r>
    <x v="329"/>
    <s v="ANDRÉS FELIPE MACÍAS LÓPEZ "/>
    <s v="Coordinador del Servicio Farmacéutico"/>
    <s v="SOCIEDAD MÉDICA DE SANTA MARTA"/>
    <s v="891.701.664-1"/>
    <s v="pradofarmacia1@gmail.com"/>
    <s v="Cra 5 No. 25-46"/>
    <x v="4"/>
    <s v="SANTA MARTA"/>
    <s v="Solicitud Autorización Compra Medicamentos Monopolio del Estado"/>
    <n v="202124101057202"/>
    <d v="2021-06-16T00:00:00"/>
    <x v="5"/>
    <n v="202124110993911"/>
    <d v="2021-06-24T00:00:00"/>
    <s v="JUN"/>
    <n v="-8"/>
    <s v="AUTORIZADO"/>
    <m/>
    <s v="No. 979"/>
    <d v="2021-04-20T00:00:00"/>
    <s v="Fenobarbital Sódico 40 mg/mL Solución Inyectable_caja X 10 ampollas c/u"/>
    <n v="50"/>
    <n v="5"/>
    <x v="3"/>
    <x v="6"/>
    <x v="0"/>
    <x v="0"/>
    <x v="17"/>
  </r>
  <r>
    <x v="330"/>
    <s v="CRISTIAN CAMILO FUENTES ARROYAVE"/>
    <s v="Coordinador del Servicio Farmacéutico"/>
    <s v="CLÍNICA PUTUMAYO S.A.S. ZOMAC "/>
    <s v="901.201.887-7"/>
    <s v="coordinacionfarmacia@clinicaputumayo.com.co"/>
    <s v="Cra 48 No. 10-29"/>
    <x v="5"/>
    <s v="PUERTO ASIS"/>
    <s v="Solicitud Autorización Compra Medicamentos Monopolio del Estado"/>
    <n v="202124101062102"/>
    <d v="2021-06-17T00:00:00"/>
    <x v="5"/>
    <n v="202124110994901"/>
    <d v="2021-06-24T00:00:00"/>
    <s v="JUN"/>
    <n v="-7"/>
    <s v="NEGADO"/>
    <s v="El FRE realizó adquisición del MME"/>
    <s v="No. 159"/>
    <d v="2021-03-23T00:00:00"/>
    <s v="Morfina HCl 10 mg/mL Solución Inyectable ampolla por 1mL"/>
    <n v="0"/>
    <n v="0"/>
    <x v="0"/>
    <x v="0"/>
    <x v="0"/>
    <x v="0"/>
    <x v="0"/>
  </r>
  <r>
    <x v="331"/>
    <s v="EINAR ALBERTO CAICEDO"/>
    <s v="Director Técnico"/>
    <s v="CLÍNICA ZAYMA S.A.S"/>
    <s v="800.074.112-6"/>
    <s v="quimico.sfi@clinicazayma.org"/>
    <s v="Cll 28 No. 7-11"/>
    <x v="1"/>
    <s v="MONTERIA"/>
    <s v="Solicitud Autorización Compra Medicamentos Monopolio del Estado"/>
    <n v="202124101063882"/>
    <d v="2021-06-17T00:00:00"/>
    <x v="5"/>
    <n v="202124110994751"/>
    <d v="2021-06-24T00:00:00"/>
    <s v="JUN"/>
    <n v="-7"/>
    <s v="AUTORIZADO"/>
    <m/>
    <s v="No. 71"/>
    <d v="2018-06-05T00:00:00"/>
    <s v="Morfina HCl 10 mg/mL Solución Inyectable ampolla por 1mL"/>
    <n v="400"/>
    <n v="40"/>
    <x v="0"/>
    <x v="0"/>
    <x v="0"/>
    <x v="0"/>
    <x v="63"/>
  </r>
  <r>
    <x v="331"/>
    <s v="EINAR ALBERTO CAICEDO"/>
    <s v="Director Técnico"/>
    <s v="CLÍNICA ZAYMA S.A.S"/>
    <s v="800.074.112-6"/>
    <s v="quimico.sfi@clinicazayma.org"/>
    <s v="Cll 28 No. 7-11"/>
    <x v="1"/>
    <s v="MONTERIA"/>
    <s v="Solicitud Autorización Compra Medicamentos Monopolio del Estado"/>
    <n v="202124101063882"/>
    <d v="2021-06-17T00:00:00"/>
    <x v="5"/>
    <n v="202124110994751"/>
    <d v="2021-06-24T00:00:00"/>
    <s v="JUN"/>
    <n v="-7"/>
    <s v="AUTORIZADO"/>
    <m/>
    <s v="No. 71"/>
    <d v="2018-06-05T00:00:00"/>
    <s v="Meperidina HCl 100 mg/2mL Solución Inyectable_cajas X 10 unidades c/u"/>
    <n v="150"/>
    <n v="15"/>
    <x v="6"/>
    <x v="8"/>
    <x v="0"/>
    <x v="3"/>
    <x v="20"/>
  </r>
  <r>
    <x v="332"/>
    <s v="BEATRIZ EUGENIA GALLO VÉLEZ"/>
    <s v="Jefe Servicio Farmacéutico"/>
    <s v="Angiografía de Colombia S.A.S"/>
    <s v="900.148.265-6"/>
    <s v="compras@angiografiadecolombia.com"/>
    <s v="Cra 40 No. 33-08"/>
    <x v="6"/>
    <s v="VILLAVICENCIO"/>
    <s v="Solicitud Autorización Compra Medicamentos Monopolio del Estado"/>
    <n v="202124101064752"/>
    <d v="2021-06-17T00:00:00"/>
    <x v="5"/>
    <n v="202124110995161"/>
    <d v="2021-06-24T00:00:00"/>
    <s v="JUN"/>
    <n v="-7"/>
    <s v="AUTORIZADO"/>
    <m/>
    <s v="No. 290"/>
    <d v="2020-11-28T00:00:00"/>
    <s v="Morfina HCl 10 mg/mL Solución Inyectable ampolla por 1mL"/>
    <n v="300"/>
    <n v="30"/>
    <x v="0"/>
    <x v="0"/>
    <x v="0"/>
    <x v="0"/>
    <x v="54"/>
  </r>
  <r>
    <x v="332"/>
    <s v="BEATRIZ EUGENIA GALLO VÉLEZ"/>
    <s v="Jefe Servicio Farmacéutico"/>
    <s v="Angiografía de Colombia S.A.S"/>
    <s v="900.148.265-6"/>
    <s v="compras@angiografiadecolombia.com"/>
    <s v="Cra 40 No. 33-08"/>
    <x v="6"/>
    <s v="VILLAVICENCIO"/>
    <s v="Solicitud Autorización Compra Medicamentos Monopolio del Estado"/>
    <n v="202124101064752"/>
    <d v="2021-06-17T00:00:00"/>
    <x v="5"/>
    <n v="202124110995161"/>
    <d v="2021-06-24T00:00:00"/>
    <s v="JUN"/>
    <n v="-7"/>
    <s v="AUTORIZADO"/>
    <m/>
    <s v="No. 290"/>
    <d v="2020-11-28T00:00:00"/>
    <s v="Meperidina HCl 100 mg/2mL Solución Inyectable_cajas X 10 unidades c/u"/>
    <n v="40"/>
    <n v="4"/>
    <x v="6"/>
    <x v="8"/>
    <x v="0"/>
    <x v="3"/>
    <x v="150"/>
  </r>
  <r>
    <x v="333"/>
    <s v="JULIETH CAROLINA GONZALEZ"/>
    <s v="Regente de farmacia"/>
    <s v="NEUROMÉDICA"/>
    <s v="900.699.359-9"/>
    <s v="regentefarmanorte@neuromedica.com.co"/>
    <s v="Cra 52 No. 65-91"/>
    <x v="13"/>
    <s v="MEDELLIN"/>
    <s v="Solicitud Autorización Compra Medicamentos Monopolio del Estado"/>
    <n v="202124101065142"/>
    <d v="2021-06-17T00:00:00"/>
    <x v="5"/>
    <n v="202124110995161"/>
    <d v="2021-06-24T00:00:00"/>
    <s v="JUN"/>
    <n v="-7"/>
    <s v="AUTORIZADO"/>
    <m/>
    <s v="No. 2019060037241"/>
    <d v="2019-03-06T00:00:00"/>
    <s v="Metilfenidato HCl 18 mg Tableta de Liberación Prolongada_frascos X 30 unidades c/u"/>
    <n v="720"/>
    <n v="24"/>
    <x v="4"/>
    <x v="18"/>
    <x v="7"/>
    <x v="10"/>
    <x v="168"/>
  </r>
  <r>
    <x v="333"/>
    <s v="JULIETH CAROLINA GONZALEZ"/>
    <s v="Regente de farmacia"/>
    <s v="NEUROMÉDICA"/>
    <s v="900.699.359-9"/>
    <s v="regentefarmanorte@neuromedica.com.co"/>
    <s v="Cra 52 No. 65-91"/>
    <x v="13"/>
    <s v="MEDELLIN"/>
    <s v="Solicitud Autorización Compra Medicamentos Monopolio del Estado"/>
    <n v="202124101065142"/>
    <d v="2021-06-17T00:00:00"/>
    <x v="5"/>
    <n v="202124110995161"/>
    <d v="2021-06-24T00:00:00"/>
    <s v="JUN"/>
    <n v="-7"/>
    <s v="AUTORIZADO"/>
    <m/>
    <s v="No. 2019060037241"/>
    <d v="2019-03-06T00:00:00"/>
    <s v="Metilfenidato HCl 36 mg Tableta de Liberación Prolongada_frasco X 30 unidades c/u"/>
    <n v="1110"/>
    <n v="37"/>
    <x v="4"/>
    <x v="14"/>
    <x v="7"/>
    <x v="10"/>
    <x v="169"/>
  </r>
  <r>
    <x v="334"/>
    <s v="KAREN RODRIGEZ A"/>
    <s v="Regente de farmacia"/>
    <s v="CORPORACIÓN MI IPS LLANOS ORIENTALES"/>
    <s v="822.006.818-7"/>
    <s v="farmaciaipspuertogaitan@miips.com.co"/>
    <s v="Calle 8 N° 7 -05 Barrio Triunfo"/>
    <x v="6"/>
    <s v="VILLAVICENCIO"/>
    <s v="Solicitud Autorización Compra Medicamentos Monopolio del Estado"/>
    <n v="202124101066432"/>
    <d v="2021-06-17T00:00:00"/>
    <x v="5"/>
    <n v="202124110995621"/>
    <d v="2021-06-24T00:00:00"/>
    <s v="JUN"/>
    <n v="-7"/>
    <s v="NEGADO"/>
    <s v="No adjuntan cantidad a cotizar del medicamento"/>
    <s v="No. 044"/>
    <d v="2021-03-26T00:00:00"/>
    <s v="Fenobarbital 100 mg Tableta_cajas X 30 unidades c/u"/>
    <n v="0"/>
    <n v="0"/>
    <x v="5"/>
    <x v="7"/>
    <x v="4"/>
    <x v="2"/>
    <x v="0"/>
  </r>
  <r>
    <x v="335"/>
    <s v="DINA ESTHER PEÑALOZA DÍAZ"/>
    <s v="Cordinador Regional"/>
    <s v="ASSALUD"/>
    <s v="804011768-1"/>
    <s v="dina.penaloza@assalud.com"/>
    <s v="Calle 09 N° 07 - 10"/>
    <x v="4"/>
    <s v="CIENAGA"/>
    <s v="Solicitud Autorización Compra Medicamentos Monopolio del Estado"/>
    <n v="202124101068322"/>
    <d v="2021-06-17T00:00:00"/>
    <x v="5"/>
    <n v="202124110996941"/>
    <d v="2021-06-24T00:00:00"/>
    <s v="JUN"/>
    <n v="-7"/>
    <s v="AUTORIZADO"/>
    <m/>
    <s v="No. 4087"/>
    <d v="2019-11-18T00:00:00"/>
    <s v="Fenobarbital 100 mg Tableta_cajas X 30 unidades c/u"/>
    <n v="5220"/>
    <n v="174"/>
    <x v="5"/>
    <x v="7"/>
    <x v="4"/>
    <x v="2"/>
    <x v="170"/>
  </r>
  <r>
    <x v="336"/>
    <s v="DINA ESTHER PEÑALOZA DÍAZ"/>
    <s v="Cordinador Regional"/>
    <s v="ASSALUD"/>
    <s v="804011768-1"/>
    <s v="dina.penaloza@assalud.com"/>
    <s v="Calle 14 N° 11 - 61"/>
    <x v="4"/>
    <s v="PIVIJAY"/>
    <s v="Solicitud Autorización Compra Medicamentos Monopolio del Estado"/>
    <n v="202124101068322"/>
    <d v="2021-06-17T00:00:00"/>
    <x v="5"/>
    <n v="202124110996991"/>
    <d v="2021-06-24T00:00:00"/>
    <s v="JUN"/>
    <n v="-7"/>
    <s v="AUTORIZADO"/>
    <m/>
    <s v="No. 816"/>
    <d v="2020-06-19T00:00:00"/>
    <s v="Fenobarbital 100 mg Tableta_cajas X 30 unidades c/u"/>
    <n v="3000"/>
    <n v="100"/>
    <x v="5"/>
    <x v="7"/>
    <x v="4"/>
    <x v="2"/>
    <x v="32"/>
  </r>
  <r>
    <x v="337"/>
    <s v="DINA ESTHER PEÑALOZA DÍAZ"/>
    <s v="Cordinador Regional"/>
    <s v="ASSALUD"/>
    <s v="804011768-1"/>
    <s v="dina.penaloza@assalud.com"/>
    <s v="Cra 16 No 14-44"/>
    <x v="4"/>
    <s v="PLATO"/>
    <s v="Solicitud Autorización Compra Medicamentos Monopolio del Estado"/>
    <n v="202124101068322"/>
    <d v="2021-06-17T00:00:00"/>
    <x v="5"/>
    <n v="202124110997011"/>
    <d v="2021-06-24T00:00:00"/>
    <s v="JUN"/>
    <n v="-7"/>
    <s v="AUTORIZADO"/>
    <m/>
    <s v="No. 4086"/>
    <d v="2019-11-18T00:00:00"/>
    <s v="Fenobarbital 100 mg Tableta_cajas X 30 unidades c/u"/>
    <n v="900"/>
    <n v="30"/>
    <x v="5"/>
    <x v="7"/>
    <x v="4"/>
    <x v="2"/>
    <x v="56"/>
  </r>
  <r>
    <x v="338"/>
    <s v="ZAMIRA COGOLLO CORDERO"/>
    <s v="Quimica Farmacéutica"/>
    <s v="ONCOMÉDICA S.A."/>
    <s v="812.007.194-8"/>
    <s v="asuministros01@imatoncomedica.com"/>
    <s v="CR 6 72 34"/>
    <x v="1"/>
    <s v="MONTERIA"/>
    <s v="Solicitud Autorización Compra Medicamentos Monopolio del Estado"/>
    <n v="202124101071872"/>
    <d v="2021-06-18T00:00:00"/>
    <x v="5"/>
    <n v="202124110997151"/>
    <d v="2021-06-24T00:00:00"/>
    <s v="JUN"/>
    <n v="-6"/>
    <s v="NEGADO"/>
    <s v="No adjuntan resolución "/>
    <s v="-"/>
    <s v="-"/>
    <s v="Morfina HCl 10 mg/mL Solución Inyectable ampolla por 1mL"/>
    <n v="0"/>
    <n v="0"/>
    <x v="0"/>
    <x v="0"/>
    <x v="0"/>
    <x v="0"/>
    <x v="0"/>
  </r>
  <r>
    <x v="338"/>
    <s v="ZAMIRA COGOLLO CORDERO"/>
    <s v="Quimica Farmacéutica"/>
    <s v="ONCOMÉDICA S.A."/>
    <s v="812.007.194-8"/>
    <s v="asuministros01@imatoncomedica.com"/>
    <s v="CR 6 72 34"/>
    <x v="1"/>
    <s v="MONTERIA"/>
    <s v="Solicitud Autorización Compra Medicamentos Monopolio del Estado"/>
    <n v="202124101071872"/>
    <d v="2021-06-18T00:00:00"/>
    <x v="5"/>
    <n v="202124110997151"/>
    <d v="2021-06-24T00:00:00"/>
    <s v="JUN"/>
    <n v="-6"/>
    <s v="NEGADO"/>
    <s v="No adjuntan resolución "/>
    <s v="-"/>
    <s v="-"/>
    <s v="Hidromorfona HCl 2,5 mg Tableta_cajas X 20 unidades c/u"/>
    <n v="0"/>
    <n v="0"/>
    <x v="1"/>
    <x v="9"/>
    <x v="4"/>
    <x v="4"/>
    <x v="0"/>
  </r>
  <r>
    <x v="339"/>
    <s v="HOLMES HOLGUIN TUMAY"/>
    <s v="Regente de farmacia"/>
    <s v="JERSALUD"/>
    <s v="900.622.551-0"/>
    <s v="Compras@jersalud.com"/>
    <s v="Avenida 40 carrera 40 No 30-26"/>
    <x v="6"/>
    <s v="VILLAVICENCIO"/>
    <s v="Solicitud Autorización Compra Medicamentos Monopolio del Estado"/>
    <n v="202124101078052"/>
    <d v="2021-06-18T00:00:00"/>
    <x v="5"/>
    <n v="202124110997291"/>
    <d v="2021-06-24T00:00:00"/>
    <s v="JUN"/>
    <n v="-6"/>
    <s v="AUTORIZADO"/>
    <m/>
    <s v="No. 610"/>
    <d v="2021-01-15T00:00:00"/>
    <s v="Hidromorfona HCl 2,5 mg Tableta_cajas X 20 unidades c/u"/>
    <n v="2000"/>
    <n v="100"/>
    <x v="1"/>
    <x v="9"/>
    <x v="4"/>
    <x v="4"/>
    <x v="171"/>
  </r>
  <r>
    <x v="339"/>
    <s v="HOLMES HOLGUIN TUMAY"/>
    <s v="Regente de farmacia"/>
    <s v="JERSALUD"/>
    <s v="900.622.551-0"/>
    <s v="Compras@jersalud.com"/>
    <s v="Avenida 40 carrera 40 No 30-26"/>
    <x v="6"/>
    <s v="VILLAVICENCIO"/>
    <s v="Solicitud Autorización Compra Medicamentos Monopolio del Estado"/>
    <n v="202124101078052"/>
    <d v="2021-06-18T00:00:00"/>
    <x v="5"/>
    <n v="202124110997291"/>
    <d v="2021-06-24T00:00:00"/>
    <s v="JUN"/>
    <n v="-6"/>
    <s v="AUTORIZADO"/>
    <m/>
    <s v="No. 610"/>
    <d v="2021-01-15T00:00:00"/>
    <s v="Fenobarbital 100 mg Tableta_cajas X 30 unidades c/u"/>
    <n v="3600"/>
    <n v="120"/>
    <x v="5"/>
    <x v="7"/>
    <x v="4"/>
    <x v="2"/>
    <x v="80"/>
  </r>
  <r>
    <x v="340"/>
    <s v="DARLYNTON MIRANDA"/>
    <s v="Director Técnico"/>
    <s v="ÉTICOS SERRANO"/>
    <s v="892.300.678-2"/>
    <s v="dispensario686@drogaslaeconomia.com"/>
    <s v="Vía 40 No 71-124"/>
    <x v="4"/>
    <s v="SANTA MARTA"/>
    <s v="Solicitud Autorización Compra Medicamentos Monopolio del Estado"/>
    <n v="202124101082012"/>
    <d v="2021-06-21T00:00:00"/>
    <x v="5"/>
    <n v="202124110998281"/>
    <d v="2021-06-24T00:00:00"/>
    <s v="JUN"/>
    <n v="-3"/>
    <s v="AUTORIZADO"/>
    <m/>
    <s v="No.616"/>
    <d v="2018-03-08T00:00:00"/>
    <s v="Fenobarbital 100 mg Tableta_cajas X 30 unidades c/u"/>
    <n v="6000"/>
    <n v="200"/>
    <x v="5"/>
    <x v="7"/>
    <x v="4"/>
    <x v="2"/>
    <x v="172"/>
  </r>
  <r>
    <x v="340"/>
    <s v="DARLYNTON MIRANDA"/>
    <s v="Director Técnico"/>
    <s v="ÉTICOS SERRANO"/>
    <s v="892.300.678-2"/>
    <s v="dispensario686@drogaslaeconomia.com"/>
    <s v="Vía 40 No 71-124"/>
    <x v="4"/>
    <s v="SANTA MARTA"/>
    <s v="Solicitud Autorización Compra Medicamentos Monopolio del Estado"/>
    <n v="202124101082012"/>
    <d v="2021-06-21T00:00:00"/>
    <x v="5"/>
    <n v="202124110998281"/>
    <d v="2021-06-24T00:00:00"/>
    <s v="JUN"/>
    <n v="-3"/>
    <s v="AUTORIZADO"/>
    <m/>
    <s v="No.616"/>
    <d v="2018-03-08T00:00:00"/>
    <s v="Morfina HCl 0,03 Solución Oral_frascos X 30 mL c/u"/>
    <n v="15"/>
    <n v="15"/>
    <x v="0"/>
    <x v="1"/>
    <x v="1"/>
    <x v="1"/>
    <x v="105"/>
  </r>
  <r>
    <x v="341"/>
    <s v="OMAR MOLINA MENDEZ"/>
    <s v="Representante Legal"/>
    <s v="CLÍNICA MATERNO INFANTIL"/>
    <s v="812.004.935-5"/>
    <s v="coordinadordefarmacia@clinicacasadelnino.com"/>
    <s v="Cll 39 No.06-15"/>
    <x v="1"/>
    <s v="MONTERIA"/>
    <s v="Solicitud Autorización Compra Medicamentos Monopolio del Estado"/>
    <n v="202124101090932"/>
    <d v="2021-06-21T00:00:00"/>
    <x v="5"/>
    <n v="202124111001421"/>
    <d v="2021-06-24T00:00:00"/>
    <s v="JUN"/>
    <n v="-3"/>
    <s v="AUTORIZADO"/>
    <m/>
    <s v="No. 92"/>
    <d v="2018-06-12T00:00:00"/>
    <s v="Morfina HCl 10 mg/mL Solución Inyectable ampolla por 1mL"/>
    <n v="300"/>
    <n v="30"/>
    <x v="0"/>
    <x v="0"/>
    <x v="0"/>
    <x v="0"/>
    <x v="54"/>
  </r>
  <r>
    <x v="341"/>
    <s v="OMAR MOLINA MENDEZ"/>
    <s v="Representante Legal"/>
    <s v="CLÍNICA MATERNO INFANTIL"/>
    <s v="812.004.935-5"/>
    <s v="coordinadordefarmacia@clinicacasadelnino.com"/>
    <s v="Cll 39 No.06-15"/>
    <x v="1"/>
    <s v="MONTERIA"/>
    <s v="Solicitud Autorización Compra Medicamentos Monopolio del Estado"/>
    <n v="202124101090932"/>
    <d v="2021-06-21T00:00:00"/>
    <x v="5"/>
    <n v="202124111001421"/>
    <d v="2021-06-24T00:00:00"/>
    <s v="JUN"/>
    <n v="-3"/>
    <s v="AUTORIZADO"/>
    <m/>
    <s v="No. 92"/>
    <d v="2018-06-12T00:00:00"/>
    <s v="Meperidina HCl 100 mg/2mL Solución Inyectable_cajas X 10 unidades c/u"/>
    <n v="100"/>
    <n v="10"/>
    <x v="6"/>
    <x v="8"/>
    <x v="0"/>
    <x v="3"/>
    <x v="27"/>
  </r>
  <r>
    <x v="341"/>
    <s v="OMAR MOLINA MENDEZ"/>
    <s v="Representante Legal"/>
    <s v="CLÍNICA MATERNO INFANTIL"/>
    <s v="812.004.935-5"/>
    <s v="coordinadordefarmacia@clinicacasadelnino.com"/>
    <s v="Cll 39 No.06-15"/>
    <x v="1"/>
    <s v="MONTERIA"/>
    <s v="Solicitud Autorización Compra Medicamentos Monopolio del Estado"/>
    <n v="202124101090932"/>
    <d v="2021-06-21T00:00:00"/>
    <x v="5"/>
    <n v="202124111001421"/>
    <d v="2021-06-24T00:00:00"/>
    <s v="JUN"/>
    <n v="-3"/>
    <s v="AUTORIZADO"/>
    <m/>
    <s v="No. 92"/>
    <d v="2018-06-12T00:00:00"/>
    <s v="Fenobarbital Sódico 200 mg/mL Solución Inyectable_caja X 10 ampollas c/u"/>
    <n v="500"/>
    <n v="50"/>
    <x v="3"/>
    <x v="5"/>
    <x v="0"/>
    <x v="0"/>
    <x v="57"/>
  </r>
  <r>
    <x v="341"/>
    <s v="OMAR MOLINA MENDEZ"/>
    <s v="Representante Legal"/>
    <s v="CLÍNICA MATERNO INFANTIL"/>
    <s v="812.004.935-5"/>
    <s v="coordinadordefarmacia@clinicacasadelnino.com"/>
    <s v="Cll 39 No.06-15"/>
    <x v="1"/>
    <s v="MONTERIA"/>
    <s v="Solicitud Autorización Compra Medicamentos Monopolio del Estado"/>
    <n v="202124101090932"/>
    <d v="2021-06-21T00:00:00"/>
    <x v="5"/>
    <n v="202124111001421"/>
    <d v="2021-06-24T00:00:00"/>
    <s v="JUN"/>
    <n v="-3"/>
    <s v="AUTORIZADO"/>
    <m/>
    <s v="No. 92"/>
    <d v="2018-06-12T00:00:00"/>
    <s v="Fenobarbital 0,4% Solución Oral_frascos X 120 mL c/u"/>
    <n v="20"/>
    <n v="20"/>
    <x v="5"/>
    <x v="11"/>
    <x v="1"/>
    <x v="6"/>
    <x v="77"/>
  </r>
  <r>
    <x v="342"/>
    <s v="SILVIA ANDREA TRISTANCHO VILLAMIZAR"/>
    <s v="Directora Técnica"/>
    <s v="FUNDACIÓN CARDIOVASCULAR DE COLOMBIA "/>
    <s v="890.212.568-0"/>
    <s v="silviatristancho@fcv.org"/>
    <s v="Cll 155A No. 23-58"/>
    <x v="8"/>
    <s v="FLORIDABLANCA"/>
    <s v="Solicitud Autorización Compra Medicamentos Monopolio del Estado"/>
    <n v="202124101101342"/>
    <d v="2021-06-22T00:00:00"/>
    <x v="5"/>
    <n v="202124111006251"/>
    <d v="2021-06-25T00:00:00"/>
    <s v="JUN"/>
    <n v="-3"/>
    <s v="NEGADO"/>
    <s v="El FRE ya cuenta con disponibilidad del medicamento"/>
    <s v="No. 16233"/>
    <d v="2018-10-08T00:00:00"/>
    <s v="Morfina HCl 10 mg/mL Solución Inyectable ampolla por 5mL"/>
    <n v="0"/>
    <n v="0"/>
    <x v="0"/>
    <x v="16"/>
    <x v="0"/>
    <x v="12"/>
    <x v="0"/>
  </r>
  <r>
    <x v="342"/>
    <s v="SILVIA ANDREA TRISTANCHO VILLAMIZAR"/>
    <s v="Directora Técnica"/>
    <s v="FUNDACIÓN CARDIOVASCULAR DE COLOMBIA "/>
    <s v="890.212.568-0"/>
    <s v="silviatristancho@fcv.org"/>
    <s v="Cll 155A No. 23-58"/>
    <x v="8"/>
    <s v="FLORIDABLANCA"/>
    <s v="Solicitud Autorización Compra Medicamentos Monopolio del Estado"/>
    <n v="202124101101342"/>
    <d v="2021-06-22T00:00:00"/>
    <x v="5"/>
    <n v="202124111006251"/>
    <d v="2021-06-25T00:00:00"/>
    <s v="JUN"/>
    <n v="-3"/>
    <s v="NEGADO"/>
    <s v="El FRE ya cuenta con disponibilidad del medicamento"/>
    <s v="No. 16233"/>
    <d v="2018-10-08T00:00:00"/>
    <s v="Metadona HCl 10 mg Tableta_Cajas X 30 unidades c/u"/>
    <n v="0"/>
    <n v="0"/>
    <x v="2"/>
    <x v="3"/>
    <x v="2"/>
    <x v="2"/>
    <x v="0"/>
  </r>
  <r>
    <x v="343"/>
    <s v="ALVARO ENRIQUE MORALES RIVERA"/>
    <s v="Gerente Hospital"/>
    <s v="HOSPITAL MANUEL ELKIN PATARROLLO IPS S.A.S"/>
    <s v="901.242.654-3"/>
    <s v="coordinacionadmon.hmep@gmail.com"/>
    <s v="Cra 9 No. 16-14"/>
    <x v="20"/>
    <s v="INIRIDA"/>
    <s v="Solicitud Autorización Compra Medicamentos Monopolio del Estado"/>
    <n v="202124101102792"/>
    <d v="2021-06-22T00:00:00"/>
    <x v="5"/>
    <n v="202124111006451"/>
    <d v="2021-06-25T00:00:00"/>
    <s v="JUN"/>
    <n v="-3"/>
    <s v="AUTORIZADO"/>
    <m/>
    <s v="No. 004"/>
    <d v="2019-05-17T00:00:00"/>
    <s v="Fenobarbital 100 mg Tableta_cajas X 30 unidades c/u"/>
    <n v="3600"/>
    <n v="120"/>
    <x v="5"/>
    <x v="7"/>
    <x v="4"/>
    <x v="2"/>
    <x v="80"/>
  </r>
  <r>
    <x v="343"/>
    <s v="ALVARO ENRIQUE MORALES RIVERA"/>
    <s v="Gerente Hospital"/>
    <s v="HOSPITAL MANUEL ELKIN PATARROLLO IPS S.A.S"/>
    <s v="901.242.654-3"/>
    <s v="coordinacionadmon.hmep@gmail.com"/>
    <s v="Cra 9 No. 16-14"/>
    <x v="20"/>
    <s v="INIRIDA"/>
    <s v="Solicitud Autorización Compra Medicamentos Monopolio del Estado"/>
    <n v="202124101102792"/>
    <d v="2021-06-22T00:00:00"/>
    <x v="5"/>
    <n v="202124111006451"/>
    <d v="2021-06-25T00:00:00"/>
    <s v="JUN"/>
    <n v="-3"/>
    <s v="AUTORIZADO"/>
    <m/>
    <s v="No. 004"/>
    <d v="2019-05-17T00:00:00"/>
    <s v="Fenobarbital 50 mg Tableta_cajas X 30 unidades c/u"/>
    <n v="3600"/>
    <n v="120"/>
    <x v="5"/>
    <x v="12"/>
    <x v="4"/>
    <x v="2"/>
    <x v="80"/>
  </r>
  <r>
    <x v="343"/>
    <s v="ALVARO ENRIQUE MORALES RIVERA"/>
    <s v="Gerente Hospital"/>
    <s v="HOSPITAL MANUEL ELKIN PATARROLLO IPS S.A.S"/>
    <s v="901.242.654-3"/>
    <s v="coordinacionadmon.hmep@gmail.com"/>
    <s v="Cra 9 No. 16-14"/>
    <x v="20"/>
    <s v="INIRIDA"/>
    <s v="Solicitud Autorización Compra Medicamentos Monopolio del Estado"/>
    <n v="202124101102792"/>
    <d v="2021-06-22T00:00:00"/>
    <x v="5"/>
    <n v="202124111006451"/>
    <d v="2021-06-25T00:00:00"/>
    <s v="JUN"/>
    <n v="-3"/>
    <s v="AUTORIZADO"/>
    <m/>
    <s v="No. 004"/>
    <d v="2019-05-17T00:00:00"/>
    <s v="Fenobarbital Sódico 40 mg/mL Solución Inyectable_caja X 10 ampollas c/u"/>
    <n v="500"/>
    <n v="50"/>
    <x v="3"/>
    <x v="6"/>
    <x v="0"/>
    <x v="0"/>
    <x v="57"/>
  </r>
  <r>
    <x v="343"/>
    <s v="ALVARO ENRIQUE MORALES RIVERA"/>
    <s v="Gerente Hospital"/>
    <s v="HOSPITAL MANUEL ELKIN PATARROLLO IPS S.A.S"/>
    <s v="901.242.654-3"/>
    <s v="coordinacionadmon.hmep@gmail.com"/>
    <s v="Cra 9 No. 16-14"/>
    <x v="20"/>
    <s v="INIRIDA"/>
    <s v="Solicitud Autorización Compra Medicamentos Monopolio del Estado"/>
    <n v="202124101102792"/>
    <d v="2021-06-22T00:00:00"/>
    <x v="5"/>
    <n v="202124111006451"/>
    <d v="2021-06-25T00:00:00"/>
    <s v="JUN"/>
    <n v="-3"/>
    <s v="AUTORIZADO"/>
    <m/>
    <s v="No. 004"/>
    <d v="2019-05-17T00:00:00"/>
    <s v="Fenobarbital Sódico 200 mg/mL Solución Inyectable_caja X 10 ampollas c/u"/>
    <n v="100"/>
    <n v="10"/>
    <x v="3"/>
    <x v="5"/>
    <x v="0"/>
    <x v="0"/>
    <x v="10"/>
  </r>
  <r>
    <x v="343"/>
    <s v="ALVARO ENRIQUE MORALES RIVERA"/>
    <s v="Gerente Hospital"/>
    <s v="HOSPITAL MANUEL ELKIN PATARROLLO IPS S.A.S"/>
    <s v="901.242.654-3"/>
    <s v="coordinacionadmon.hmep@gmail.com"/>
    <s v="Cra 9 No. 16-14"/>
    <x v="20"/>
    <s v="INIRIDA"/>
    <s v="Solicitud Autorización Compra Medicamentos Monopolio del Estado"/>
    <n v="202124101102792"/>
    <d v="2021-06-22T00:00:00"/>
    <x v="5"/>
    <n v="202124111006451"/>
    <d v="2021-06-25T00:00:00"/>
    <s v="JUN"/>
    <n v="-3"/>
    <s v="AUTORIZADO"/>
    <m/>
    <s v="No. 004"/>
    <d v="2019-05-17T00:00:00"/>
    <s v="Fenobarbital 0,4% Solución Oral_frascos X 120 mL c/u"/>
    <n v="12"/>
    <n v="12"/>
    <x v="5"/>
    <x v="11"/>
    <x v="1"/>
    <x v="6"/>
    <x v="36"/>
  </r>
  <r>
    <x v="343"/>
    <s v="ALVARO ENRIQUE MORALES RIVERA"/>
    <s v="Gerente Hospital"/>
    <s v="HOSPITAL MANUEL ELKIN PATARROLLO IPS S.A.S"/>
    <s v="901.242.654-3"/>
    <s v="coordinacionadmon.hmep@gmail.com"/>
    <s v="Cra 9 No. 16-14"/>
    <x v="20"/>
    <s v="INIRIDA"/>
    <s v="Solicitud Autorización Compra Medicamentos Monopolio del Estado"/>
    <n v="202124101102792"/>
    <d v="2021-06-22T00:00:00"/>
    <x v="5"/>
    <n v="202124111006451"/>
    <d v="2021-06-25T00:00:00"/>
    <s v="JUN"/>
    <n v="-3"/>
    <s v="AUTORIZADO"/>
    <m/>
    <s v="No. 004"/>
    <d v="2019-05-17T00:00:00"/>
    <s v="Fenobarbital 10 mg Tableta_cajas X 30 unidades c/u"/>
    <n v="1800"/>
    <n v="60"/>
    <x v="5"/>
    <x v="3"/>
    <x v="4"/>
    <x v="2"/>
    <x v="22"/>
  </r>
  <r>
    <x v="343"/>
    <s v="ALVARO ENRIQUE MORALES RIVERA"/>
    <s v="Gerente Hospital"/>
    <s v="HOSPITAL MANUEL ELKIN PATARROLLO IPS S.A.S"/>
    <s v="901.242.654-3"/>
    <s v="coordinacionadmon.hmep@gmail.com"/>
    <s v="Cra 9 No. 16-14"/>
    <x v="20"/>
    <s v="INIRIDA"/>
    <s v="Solicitud Autorización Compra Medicamentos Monopolio del Estado"/>
    <n v="202124101102792"/>
    <d v="2021-06-22T00:00:00"/>
    <x v="5"/>
    <n v="202124111006451"/>
    <d v="2021-06-25T00:00:00"/>
    <s v="JUN"/>
    <n v="-3"/>
    <s v="AUTORIZADO"/>
    <m/>
    <s v="No. 004"/>
    <d v="2019-05-17T00:00:00"/>
    <s v="Morfina HCl 10 mg/mL Solución Inyectable ampolla por 1mL"/>
    <n v="300"/>
    <n v="30"/>
    <x v="0"/>
    <x v="0"/>
    <x v="0"/>
    <x v="0"/>
    <x v="54"/>
  </r>
  <r>
    <x v="343"/>
    <s v="ALVARO ENRIQUE MORALES RIVERA"/>
    <s v="Gerente Hospital"/>
    <s v="HOSPITAL MANUEL ELKIN PATARROLLO IPS S.A.S"/>
    <s v="901.242.654-3"/>
    <s v="coordinacionadmon.hmep@gmail.com"/>
    <s v="Cra 9 No. 16-14"/>
    <x v="20"/>
    <s v="INIRIDA"/>
    <s v="Solicitud Autorización Compra Medicamentos Monopolio del Estado"/>
    <n v="202124101102792"/>
    <d v="2021-06-22T00:00:00"/>
    <x v="5"/>
    <n v="202124111006451"/>
    <d v="2021-06-25T00:00:00"/>
    <s v="JUN"/>
    <n v="-3"/>
    <s v="AUTORIZADO"/>
    <m/>
    <s v="No. 004"/>
    <d v="2019-05-17T00:00:00"/>
    <s v="Morfina HCl 0,03 Solución Oral_frascos X 30 mL c/u"/>
    <n v="48"/>
    <n v="48"/>
    <x v="0"/>
    <x v="1"/>
    <x v="1"/>
    <x v="1"/>
    <x v="173"/>
  </r>
  <r>
    <x v="343"/>
    <s v="ALVARO ENRIQUE MORALES RIVERA"/>
    <s v="Gerente Hospital"/>
    <s v="HOSPITAL MANUEL ELKIN PATARROLLO IPS S.A.S"/>
    <s v="901.242.654-3"/>
    <s v="coordinacionadmon.hmep@gmail.com"/>
    <s v="Cra 9 No. 16-14"/>
    <x v="20"/>
    <s v="INIRIDA"/>
    <s v="Solicitud Autorización Compra Medicamentos Monopolio del Estado"/>
    <n v="202124101102792"/>
    <d v="2021-06-22T00:00:00"/>
    <x v="5"/>
    <n v="202124111006451"/>
    <d v="2021-06-25T00:00:00"/>
    <s v="JUN"/>
    <n v="-3"/>
    <s v="AUTORIZADO"/>
    <m/>
    <s v="No. 004"/>
    <d v="2019-05-17T00:00:00"/>
    <s v="Hidromorfona HCl 2 mg/mL Solución Inyectable_cajas X 10 unidades c/u"/>
    <n v="300"/>
    <n v="30"/>
    <x v="1"/>
    <x v="2"/>
    <x v="0"/>
    <x v="0"/>
    <x v="54"/>
  </r>
  <r>
    <x v="343"/>
    <s v="ALVARO ENRIQUE MORALES RIVERA"/>
    <s v="Gerente Hospital"/>
    <s v="HOSPITAL MANUEL ELKIN PATARROLLO IPS S.A.S"/>
    <s v="901.242.654-3"/>
    <s v="coordinacionadmon.hmep@gmail.com"/>
    <s v="Cra 9 No. 16-14"/>
    <x v="20"/>
    <s v="INIRIDA"/>
    <s v="Solicitud Autorización Compra Medicamentos Monopolio del Estado"/>
    <n v="202124101102792"/>
    <d v="2021-06-22T00:00:00"/>
    <x v="5"/>
    <n v="202124111006451"/>
    <d v="2021-06-25T00:00:00"/>
    <s v="JUN"/>
    <n v="-3"/>
    <s v="AUTORIZADO"/>
    <m/>
    <s v="No. 004"/>
    <d v="2019-05-17T00:00:00"/>
    <s v="Hidromorfona HCl 2,5 mg Tableta_cajas X 20 unidades c/u"/>
    <n v="720"/>
    <n v="36"/>
    <x v="1"/>
    <x v="9"/>
    <x v="4"/>
    <x v="4"/>
    <x v="113"/>
  </r>
  <r>
    <x v="344"/>
    <s v="LINA MARCELA CHAPARRO GARCIA"/>
    <s v="Representante Legal"/>
    <s v="FUNDACIÓN CARDIOVASCULAR DE COLOMBIA ZONA FRANCA S.A.S"/>
    <s v="900.341.526-1"/>
    <s v="socorrogomez@fcv.org"/>
    <s v="Km 7 Vía Piedecuesta - Floridablanca"/>
    <x v="8"/>
    <s v="PIEDECUESTA"/>
    <s v="Solicitud Autorización Compra Medicamentos Monopolio del Estado"/>
    <n v="202124101102982"/>
    <d v="2021-06-22T00:00:00"/>
    <x v="5"/>
    <n v="202124111007261"/>
    <d v="2021-06-25T00:00:00"/>
    <s v="JUN"/>
    <n v="-3"/>
    <s v="NEGADO"/>
    <s v="La resolución adjunta está vencida"/>
    <s v="No. 7159"/>
    <d v="2016-05-26T00:00:00"/>
    <s v="Hidromorfona HCl 2 mg/mL Solución Inyectable_cajas X 10 unidades c/u"/>
    <n v="0"/>
    <n v="0"/>
    <x v="1"/>
    <x v="2"/>
    <x v="0"/>
    <x v="0"/>
    <x v="0"/>
  </r>
  <r>
    <x v="344"/>
    <s v="LINA MARCELA CHAPARRO GARCIA"/>
    <s v="Representante Legal"/>
    <s v="FUNDACIÓN CARDIOVASCULAR DE COLOMBIA ZONA FRANCA S.A.S"/>
    <s v="900.341.526-1"/>
    <s v="socorrogomez@fcv.org"/>
    <s v="Km 7 Vía Piedecuesta - Floridablanca"/>
    <x v="8"/>
    <s v="PIEDECUESTA"/>
    <s v="Solicitud Autorización Compra Medicamentos Monopolio del Estado"/>
    <n v="202124101102982"/>
    <d v="2021-06-22T00:00:00"/>
    <x v="5"/>
    <n v="202124111007261"/>
    <d v="2021-06-25T00:00:00"/>
    <s v="JUN"/>
    <n v="-3"/>
    <s v="NEGADO"/>
    <s v="La resolución adjunta está vencida"/>
    <s v="No. 7159"/>
    <d v="2016-05-26T00:00:00"/>
    <s v="Morfina HCl 10 mg/mL Solución Inyectable ampolla por 1mL"/>
    <n v="0"/>
    <n v="0"/>
    <x v="0"/>
    <x v="0"/>
    <x v="0"/>
    <x v="0"/>
    <x v="0"/>
  </r>
  <r>
    <x v="344"/>
    <s v="LINA MARCELA CHAPARRO GARCIA"/>
    <s v="Representante Legal"/>
    <s v="FUNDACIÓN CARDIOVASCULAR DE COLOMBIA ZONA FRANCA S.A.S"/>
    <s v="900.341.526-1"/>
    <s v="socorrogomez@fcv.org"/>
    <s v="Km 7 Vía Piedecuesta - Floridablanca"/>
    <x v="8"/>
    <s v="PIEDECUESTA"/>
    <s v="Solicitud Autorización Compra Medicamentos Monopolio del Estado"/>
    <n v="202124101102982"/>
    <d v="2021-06-22T00:00:00"/>
    <x v="5"/>
    <n v="202124111007261"/>
    <d v="2021-06-25T00:00:00"/>
    <s v="JUN"/>
    <n v="-3"/>
    <s v="NEGADO"/>
    <s v="La resolución adjunta está vencida"/>
    <s v="No. 7159"/>
    <d v="2016-05-26T00:00:00"/>
    <s v="Morfina HCl 0,03 Solución Oral_frascos X 30 mL c/u"/>
    <n v="0"/>
    <n v="0"/>
    <x v="0"/>
    <x v="1"/>
    <x v="1"/>
    <x v="1"/>
    <x v="0"/>
  </r>
  <r>
    <x v="345"/>
    <s v="FRANK ALEXANDER RIVERA MIRA"/>
    <s v="Representante Legal"/>
    <s v="SOCIEDAD CLÍNICA CASANARE LTDA"/>
    <s v="891.855.847-3"/>
    <s v="consumofrecasanare@gmail.com"/>
    <s v="Calle 13 # 29-36"/>
    <x v="14"/>
    <s v="YOPAL"/>
    <s v="Solicitud Autorización Compra Medicamentos Monopolio del Estado"/>
    <n v="202124101112842"/>
    <d v="2021-06-23T00:00:00"/>
    <x v="5"/>
    <n v="202124111007401"/>
    <d v="2021-06-25T00:00:00"/>
    <s v="JUN"/>
    <n v="-2"/>
    <s v="AUTORIZADO"/>
    <m/>
    <s v="No. 0611"/>
    <d v="2019-05-30T00:00:00"/>
    <s v="Morfina HCl 10 mg/mL Solución Inyectable ampolla por 1mL"/>
    <n v="750"/>
    <n v="75"/>
    <x v="0"/>
    <x v="0"/>
    <x v="0"/>
    <x v="0"/>
    <x v="174"/>
  </r>
  <r>
    <x v="346"/>
    <s v="RAÚL BELTRÁN PORTELA "/>
    <s v="Director técnico"/>
    <s v="CLÍNICA PIEDECUESTA S.A"/>
    <s v="800.090.749-4"/>
    <s v="qfclinipiedecuesta@gmail.com"/>
    <s v="Cra 11 No. 6-48"/>
    <x v="8"/>
    <s v="PIEDECUESTA"/>
    <s v="Solicitud Autorización Compra Medicamentos Monopolio del Estado"/>
    <n v="202124101081362"/>
    <d v="2021-06-21T00:00:00"/>
    <x v="5"/>
    <n v="202124111007491"/>
    <d v="2021-06-25T00:00:00"/>
    <s v="JUN"/>
    <n v="-4"/>
    <s v="NEGADO"/>
    <s v="El FRE ya cuenta con disponibilidad del medicamento"/>
    <s v="No. 8329"/>
    <d v="2019-06-14T00:00:00"/>
    <s v="Morfina HCl 10 mg/mL Solución Inyectable ampolla por 1mL"/>
    <n v="0"/>
    <n v="0"/>
    <x v="0"/>
    <x v="0"/>
    <x v="0"/>
    <x v="0"/>
    <x v="0"/>
  </r>
  <r>
    <x v="346"/>
    <s v="RAÚL BELTRÁN PORTELA "/>
    <s v="Director técnico"/>
    <s v="CLÍNICA PIEDECUESTA S.A"/>
    <s v="800.090.749-4"/>
    <s v="qfclinipiedecuesta@gmail.com"/>
    <s v="Cra 11 No. 6-48"/>
    <x v="8"/>
    <s v="PIEDECUESTA"/>
    <s v="Solicitud Autorización Compra Medicamentos Monopolio del Estado"/>
    <n v="202124101081362"/>
    <d v="2021-06-21T00:00:00"/>
    <x v="5"/>
    <n v="202124111007491"/>
    <d v="2021-06-25T00:00:00"/>
    <s v="JUN"/>
    <n v="-4"/>
    <s v="NEGADO"/>
    <s v="El FRE ya cuenta con disponibilidad del medicamento"/>
    <s v="No. 8329"/>
    <d v="2019-06-14T00:00:00"/>
    <s v="Fenobarbital Sódico 200 mg/mL Solución Inyectable_caja X 10 ampollas c/u"/>
    <n v="0"/>
    <n v="0"/>
    <x v="3"/>
    <x v="5"/>
    <x v="0"/>
    <x v="0"/>
    <x v="0"/>
  </r>
  <r>
    <x v="347"/>
    <s v="CARLOS ALBERTO BARANDICA RODRIGUEZ"/>
    <s v="Director técnico"/>
    <s v="CLINICA CHICAMOCHA S.A"/>
    <s v="890.209.698-9"/>
    <s v="farmaco.vigilancia@clinicachicamocha.com"/>
    <s v="Calle 40 N°.27a-22"/>
    <x v="8"/>
    <s v="BUCARAMANGA"/>
    <s v="Solicitud Autorización Compra Medicamentos Monopolio del Estado"/>
    <n v="202124101063682"/>
    <d v="2021-06-17T00:00:00"/>
    <x v="5"/>
    <n v="202124111007661"/>
    <d v="2021-06-25T00:00:00"/>
    <s v="JUN"/>
    <n v="-8"/>
    <s v="NEGADO"/>
    <s v="El FRE ya cuenta con disponibilidad del medicamento"/>
    <s v="No. 8196"/>
    <d v="2017-06-02T00:00:00"/>
    <s v="Morfina HCl 10 mg/mL Solución Inyectable ampolla por 1mL"/>
    <n v="0"/>
    <n v="0"/>
    <x v="0"/>
    <x v="0"/>
    <x v="0"/>
    <x v="0"/>
    <x v="0"/>
  </r>
  <r>
    <x v="348"/>
    <s v="ADALBERTO MORALES DIZ"/>
    <s v="Representante Legal"/>
    <s v="CENTRO CARDIO INFANTIL IPS S.A.S"/>
    <s v="900.090.247-1"/>
    <s v="farmacia@centrocardioinfantil.com"/>
    <s v="Calle 22 Carrera 17 No. 16-30 Casasuan"/>
    <x v="1"/>
    <s v="MONTERIA"/>
    <s v="Solicitud Autorización Compra Medicamentos Monopolio del Estado"/>
    <n v="202124101117462"/>
    <d v="2021-06-24T00:00:00"/>
    <x v="5"/>
    <n v="202124111044021"/>
    <d v="2021-07-01T00:00:00"/>
    <s v="JUN"/>
    <n v="-7"/>
    <s v="AUTORIZADO"/>
    <m/>
    <s v="No. 1898"/>
    <d v="2020-12-21T00:00:00"/>
    <s v="Morfina HCl 10 mg/mL Solución Inyectable ampolla por 1mL"/>
    <n v="200"/>
    <n v="20"/>
    <x v="0"/>
    <x v="0"/>
    <x v="0"/>
    <x v="0"/>
    <x v="18"/>
  </r>
  <r>
    <x v="349"/>
    <s v="ZAMIRA COGOLLO CORDERO"/>
    <s v="Quimica Farmacéutica"/>
    <s v="ONCOMÉDICA S.A."/>
    <s v="812.007.194-8"/>
    <s v="asuministros01@imatoncomedica.com"/>
    <s v="Carrera 6 No. 72-34"/>
    <x v="1"/>
    <s v="MONTERIA"/>
    <s v="Solicitud Autorizacion Compra Directa ONCOMEDICA S.A"/>
    <n v="202124101128012"/>
    <d v="2021-06-25T00:00:00"/>
    <x v="5"/>
    <n v="202124111044131"/>
    <d v="2021-07-01T00:00:00"/>
    <s v="JUN"/>
    <n v="-6"/>
    <s v="AUTORIZADO"/>
    <m/>
    <s v="No. 0669"/>
    <d v="2019-12-30T00:00:00"/>
    <s v="Morfina HCl 10 mg/mL Solución Inyectable ampolla por 1mL"/>
    <n v="1500"/>
    <n v="150"/>
    <x v="0"/>
    <x v="0"/>
    <x v="0"/>
    <x v="0"/>
    <x v="107"/>
  </r>
  <r>
    <x v="349"/>
    <s v="ZAMIRA COGOLLO CORDERO"/>
    <s v="Quimica Farmacéutica"/>
    <s v="ONCOMÉDICA S.A."/>
    <s v="812.007.194-8"/>
    <s v="asuministros01@imatoncomedica.com"/>
    <s v="Carrera 6 No. 72-34"/>
    <x v="1"/>
    <s v="MONTERIA"/>
    <s v="Solicitud Autorizacion Compra Directa ONCOMEDICA S.A"/>
    <n v="202124101128012"/>
    <d v="2021-06-25T00:00:00"/>
    <x v="5"/>
    <n v="202124111044131"/>
    <d v="2021-07-01T00:00:00"/>
    <s v="JUN"/>
    <n v="-6"/>
    <s v="AUTORIZADO"/>
    <m/>
    <s v="No. 0669"/>
    <d v="2019-12-30T00:00:00"/>
    <s v="Hidromorfona HCl 2,5 mg Tableta_cajas X 20 unidades c/u"/>
    <n v="3000"/>
    <n v="150"/>
    <x v="1"/>
    <x v="9"/>
    <x v="4"/>
    <x v="4"/>
    <x v="127"/>
  </r>
  <r>
    <x v="350"/>
    <s v="MARÍA EUGENIA PÉREZ ARRIETA"/>
    <s v="Regente de Farmacia"/>
    <s v="ETICO UT 2020-BRIGADA DE INFANTERÍA DE MARINA No. 1"/>
    <s v="901.381.381-3"/>
    <s v="farmacia10506@eticos.com"/>
    <s v="Av. Troncal de Occidente Kilómetro 2 salida a Sincelejo"/>
    <x v="21"/>
    <s v="COROZAL"/>
    <s v="SOLICITUD AUTORIZACION COMPRA DE CONCERTA DE 36 MG"/>
    <n v="202124101129762"/>
    <d v="2021-06-25T00:00:00"/>
    <x v="5"/>
    <n v="202124111044191"/>
    <d v="2021-07-01T00:00:00"/>
    <s v="JUN"/>
    <n v="-6"/>
    <s v="AUTORIZADO"/>
    <m/>
    <s v="No. 491"/>
    <d v="2020-07-13T00:00:00"/>
    <s v="Metilfenidato HCl 36 mg Tableta de Liberación Prolongada_frasco X 30 unidades c/u"/>
    <n v="60"/>
    <n v="2"/>
    <x v="4"/>
    <x v="14"/>
    <x v="7"/>
    <x v="10"/>
    <x v="131"/>
  </r>
  <r>
    <x v="351"/>
    <s v="HOLMES HOLGUIN TUMAY"/>
    <s v="Regente de farmacia"/>
    <s v="JERSALUD"/>
    <s v="900.622.551-0"/>
    <s v="Compras@jersalud.com"/>
    <s v="Avenida 40 carrera 40 No 30-26"/>
    <x v="6"/>
    <s v="VILLAVICENCIO"/>
    <s v="Solicitud Autorización Compra Medicamentos Monopolio del Estado"/>
    <n v="202124101137772"/>
    <d v="2021-06-28T00:00:00"/>
    <x v="5"/>
    <m/>
    <m/>
    <s v="JUN"/>
    <n v="44375"/>
    <s v="AUTORIZADO"/>
    <m/>
    <s v="No. 610"/>
    <d v="2021-01-15T00:00:00"/>
    <s v="Hidromorfona HCl 2,5 mg Tableta_cajas X 20 unidades c/u"/>
    <n v="600"/>
    <n v="30"/>
    <x v="1"/>
    <x v="9"/>
    <x v="4"/>
    <x v="4"/>
    <x v="144"/>
  </r>
  <r>
    <x v="351"/>
    <s v="HOLMES HOLGUIN TUMAY"/>
    <s v="Regente de farmacia"/>
    <s v="JERSALUD"/>
    <s v="900.622.551-0"/>
    <s v="Compras@jersalud.com"/>
    <s v="Avenida 40 carrera 40 No 30-26"/>
    <x v="6"/>
    <s v="VILLAVICENCIO"/>
    <s v="Solicitud Autorización Compra Medicamentos Monopolio del Estado"/>
    <n v="202124101137772"/>
    <d v="2021-06-28T00:00:00"/>
    <x v="5"/>
    <m/>
    <m/>
    <s v="JUN"/>
    <n v="44375"/>
    <s v="AUTORIZADO"/>
    <m/>
    <s v="No. 610"/>
    <d v="2021-01-15T00:00:00"/>
    <s v="Fenobarbital 100 mg Tableta_cajas X 30 unidades c/u"/>
    <n v="120"/>
    <n v="4"/>
    <x v="5"/>
    <x v="7"/>
    <x v="4"/>
    <x v="2"/>
    <x v="110"/>
  </r>
  <r>
    <x v="352"/>
    <s v="DISNEY MORENO"/>
    <s v="Area de farmacia"/>
    <s v="HOSPITAL MUNICIPAL DE ACACIAS E.S.E"/>
    <s v="892.000.264-4"/>
    <s v="farmacia@hospitaldeacacias.gov.co"/>
    <s v="Diagonal 15 No. 26-21 Barrio San José"/>
    <x v="6"/>
    <s v="ACACIAS"/>
    <s v="Solicitud Autorización Compra Medicamentos Monopolio del Estado"/>
    <n v="202124101137952"/>
    <d v="2021-06-28T00:00:00"/>
    <x v="5"/>
    <n v="202124111079291"/>
    <d v="2021-07-08T00:00:00"/>
    <s v="JUN"/>
    <n v="-10"/>
    <s v="AUTORIZADO"/>
    <m/>
    <s v="No. 479"/>
    <d v="2020-11-30T00:00:00"/>
    <s v="Meperidina HCl 100 mg/2mL Solución Inyectable_cajas X 10 unidades c/u"/>
    <n v="250"/>
    <n v="25"/>
    <x v="6"/>
    <x v="8"/>
    <x v="0"/>
    <x v="3"/>
    <x v="143"/>
  </r>
  <r>
    <x v="352"/>
    <s v="DISNEY MORENO"/>
    <s v="Area de farmacia"/>
    <s v="HOSPITAL MUNICIPAL DE ACACIAS E.S.E"/>
    <s v="892.000.264-4"/>
    <s v="farmacia@hospitaldeacacias.gov.co"/>
    <s v="Diagonal 15 No. 26-21 Barrio San José"/>
    <x v="6"/>
    <s v="ACACIAS"/>
    <s v="Solicitud Autorización Compra Medicamentos Monopolio del Estado"/>
    <n v="202124101137952"/>
    <d v="2021-06-28T00:00:00"/>
    <x v="5"/>
    <n v="202124111079291"/>
    <d v="2021-07-08T00:00:00"/>
    <s v="JUN"/>
    <n v="-10"/>
    <s v="AUTORIZADO"/>
    <m/>
    <s v="No. 479"/>
    <d v="2020-11-30T00:00:00"/>
    <s v="Morfina HCl 10 mg/mL Solución Inyectable ampolla por 1mL"/>
    <n v="200"/>
    <n v="20"/>
    <x v="0"/>
    <x v="0"/>
    <x v="0"/>
    <x v="0"/>
    <x v="18"/>
  </r>
  <r>
    <x v="353"/>
    <s v="MELBA CONSTANZA NIVIA RUIZ"/>
    <s v="Area de Compras"/>
    <s v="HOSPITAL FEDERICO LLERAS ACOSTA"/>
    <s v="890706833-9"/>
    <s v="pe.compras@hflleras.gov.co"/>
    <s v="Calle 33 No.4A-50"/>
    <x v="0"/>
    <s v="IBAGUE"/>
    <s v="Solicitud Autorización Compra Directa medicamentos monopolio del Estado"/>
    <n v="202124101063722"/>
    <d v="2021-06-17T00:00:00"/>
    <x v="5"/>
    <n v="202124111044631"/>
    <d v="2021-07-01T00:00:00"/>
    <s v="JUN"/>
    <n v="-14"/>
    <s v="NEGADO"/>
    <m/>
    <s v="No. 03226"/>
    <d v="2018-10-19T00:00:00"/>
    <s v="Morfina HCl 10 mg/mL Solución Inyectable ampolla por 1mL"/>
    <n v="800"/>
    <n v="80"/>
    <x v="0"/>
    <x v="0"/>
    <x v="0"/>
    <x v="0"/>
    <x v="65"/>
  </r>
  <r>
    <x v="354"/>
    <s v="FRANK ALEXANDER RIVERA MIRA"/>
    <s v="Representante Legal"/>
    <s v="SOCIEDAD CLÍNICA CASANARE LTDA"/>
    <s v="891.855.847-3"/>
    <s v="farmaclinicacasanare@gmail.com"/>
    <s v="Calle 13 # 29-36"/>
    <x v="14"/>
    <s v="YOPAL"/>
    <s v="Solicitud Autorización Compra Medicamentos Monopolio del Estado"/>
    <n v="202124101107542"/>
    <d v="2021-06-23T00:00:00"/>
    <x v="5"/>
    <m/>
    <m/>
    <s v="JUN"/>
    <n v="44370"/>
    <s v="AUTORIZADO"/>
    <m/>
    <s v="No. 0611"/>
    <d v="2021-05-30T00:00:00"/>
    <m/>
    <n v="750"/>
    <s v=""/>
    <x v="9"/>
    <x v="17"/>
    <x v="9"/>
    <x v="13"/>
    <x v="0"/>
  </r>
  <r>
    <x v="355"/>
    <s v="IMELDA CARVAJAL HERNANDEZ "/>
    <s v="Asistente de compras medicamentos"/>
    <s v="CLÍNICA FOSCAL"/>
    <s v="890.205.361-4"/>
    <s v="asistente.suministros5@foscal.com.co "/>
    <s v="Avenida El Bosque No. 23-60 Torre CAL Piso 3"/>
    <x v="8"/>
    <s v="FLORIDABLANCA"/>
    <s v="Solicitud Autorización Compra Medicamentos Monopolio del Estado"/>
    <n v="202124101130892"/>
    <d v="2021-06-25T00:00:00"/>
    <x v="5"/>
    <n v="202124111079361"/>
    <d v="2021-07-08T00:00:00"/>
    <s v="JUN"/>
    <n v="-13"/>
    <s v="NEGADO"/>
    <m/>
    <m/>
    <m/>
    <m/>
    <m/>
    <s v=""/>
    <x v="9"/>
    <x v="17"/>
    <x v="9"/>
    <x v="13"/>
    <x v="0"/>
  </r>
  <r>
    <x v="356"/>
    <s v="AYLIN YOMARA SOLIS BOLIVAR"/>
    <s v="Dirección técnica del servicio farmacéutica"/>
    <s v="NEUROMEDICA"/>
    <s v="900.699.359-3"/>
    <s v="quimicafarmaceutica@neuromedica.com.co"/>
    <s v="Carrera 43A No. 34-95 Local 1B"/>
    <x v="13"/>
    <s v="MEDELLIN"/>
    <s v="SOLICITUD DE COTIZACION- NEUROMÉDICA"/>
    <n v="202124101134012"/>
    <d v="2021-06-28T00:00:00"/>
    <x v="5"/>
    <n v="202124111079381"/>
    <d v="2021-07-08T00:00:00"/>
    <s v="JUN"/>
    <n v="-10"/>
    <s v="AUTORIZADO"/>
    <m/>
    <s v="No. 2021060007994"/>
    <d v="2021-04-15T00:00:00"/>
    <s v="Metilfenidato HCl 18 mg Tableta de Liberación Prolongada_frascos X 30 unidades c/u"/>
    <n v="2850"/>
    <n v="95"/>
    <x v="4"/>
    <x v="18"/>
    <x v="7"/>
    <x v="10"/>
    <x v="175"/>
  </r>
  <r>
    <x v="356"/>
    <s v="AYLIN YOMARA SOLIS BOLIVAR"/>
    <s v="Dirección técnica del servicio farmacéutica"/>
    <s v="NEUROMEDICA"/>
    <s v="900.699.359-3"/>
    <s v="quimicafarmaceutica@neuromedica.com.co"/>
    <s v="Carrera 43A No. 34-95 Local 1B"/>
    <x v="13"/>
    <s v="MEDELLIN"/>
    <s v="SOLICITUD DE COTIZACION- NEUROMÉDICA"/>
    <n v="202124101134012"/>
    <d v="2021-06-28T00:00:00"/>
    <x v="5"/>
    <n v="202124111079381"/>
    <d v="2021-07-08T00:00:00"/>
    <s v="JUN"/>
    <n v="-10"/>
    <s v="AUTORIZADO"/>
    <m/>
    <s v="No. 2021060007994"/>
    <d v="2021-04-15T00:00:00"/>
    <s v="Metilfenidato HCl 36 mg Tableta de Liberación Prolongada_frasco X 30 unidades c/u"/>
    <n v="2850"/>
    <n v="95"/>
    <x v="4"/>
    <x v="14"/>
    <x v="7"/>
    <x v="10"/>
    <x v="175"/>
  </r>
  <r>
    <x v="357"/>
    <s v="JOHN JAVIER ESPINOSA"/>
    <s v="Regente de farmacia"/>
    <s v="MEDLIFE S.A.S"/>
    <s v="804.010.795-6"/>
    <s v="dispensacionibaguemedlife@gmail.com"/>
    <s v="Carrera 4D No. 36-46/Cádiz"/>
    <x v="0"/>
    <s v="IBAGUE"/>
    <s v="COTIZACIÓN"/>
    <n v="202124101137642"/>
    <d v="2021-06-28T00:00:00"/>
    <x v="5"/>
    <n v="202124111079431"/>
    <d v="2021-07-08T00:00:00"/>
    <s v="JUN"/>
    <n v="-10"/>
    <s v="AUTORIZADO"/>
    <m/>
    <s v="No. 2641"/>
    <d v="2020-12-21T00:00:00"/>
    <s v="Fenobarbital 100 mg Tableta_cajas X 30 unidades c/u"/>
    <n v="1800"/>
    <n v="60"/>
    <x v="5"/>
    <x v="7"/>
    <x v="4"/>
    <x v="2"/>
    <x v="22"/>
  </r>
  <r>
    <x v="357"/>
    <s v="JOHN JAVIER ESPINOSA"/>
    <s v="Regente de farmacia"/>
    <s v="MEDLIFE S.A.S"/>
    <s v="804.010.795-6"/>
    <s v="dispensacionibaguemedlife@gmail.com"/>
    <s v="Carrera 4D No. 36-46/Cádiz"/>
    <x v="0"/>
    <s v="IBAGUE"/>
    <s v="COTIZACIÓN"/>
    <n v="202124101137642"/>
    <d v="2021-06-28T00:00:00"/>
    <x v="5"/>
    <n v="202124111079431"/>
    <d v="2021-07-08T00:00:00"/>
    <s v="JUN"/>
    <n v="-10"/>
    <s v="AUTORIZADO"/>
    <m/>
    <s v="No. 2641"/>
    <d v="2020-12-21T00:00:00"/>
    <s v="Morfina HCl 0,03 Solución Oral_frascos X 30 mL c/u"/>
    <n v="45"/>
    <n v="45"/>
    <x v="0"/>
    <x v="1"/>
    <x v="1"/>
    <x v="1"/>
    <x v="176"/>
  </r>
  <r>
    <x v="357"/>
    <s v="JOHN JAVIER ESPINOSA"/>
    <s v="Regente de farmacia"/>
    <s v="MEDLIFE S.A.S"/>
    <s v="804.010.795-6"/>
    <s v="dispensacionibaguemedlife@gmail.com"/>
    <s v="Carrera 4D No. 36-46/Cádiz"/>
    <x v="0"/>
    <s v="IBAGUE"/>
    <s v="COTIZACIÓN"/>
    <n v="202124101137642"/>
    <d v="2021-06-28T00:00:00"/>
    <x v="5"/>
    <n v="202124111079431"/>
    <d v="2021-07-08T00:00:00"/>
    <s v="JUN"/>
    <n v="-10"/>
    <s v="AUTORIZADO"/>
    <m/>
    <s v="No. 2641"/>
    <d v="2020-12-21T00:00:00"/>
    <s v="Morfina HCl 10 mg/mL Solución Inyectable ampolla por 5mL"/>
    <n v="240"/>
    <n v="24"/>
    <x v="0"/>
    <x v="16"/>
    <x v="0"/>
    <x v="12"/>
    <x v="177"/>
  </r>
  <r>
    <x v="357"/>
    <s v="JOHN JAVIER ESPINOSA"/>
    <s v="Regente de farmacia"/>
    <s v="MEDLIFE S.A.S"/>
    <s v="804.010.795-6"/>
    <s v="dispensacionibaguemedlife@gmail.com"/>
    <s v="Carrera 4D No. 36-46/Cádiz"/>
    <x v="0"/>
    <s v="IBAGUE"/>
    <s v="COTIZACIÓN"/>
    <n v="202124101137642"/>
    <d v="2021-06-28T00:00:00"/>
    <x v="5"/>
    <n v="202124111079431"/>
    <d v="2021-07-08T00:00:00"/>
    <s v="JUN"/>
    <n v="-10"/>
    <s v="AUTORIZADO"/>
    <m/>
    <s v="No. 2641"/>
    <d v="2020-12-21T00:00:00"/>
    <s v="Metilfenidato HCl 10 mg Comprimido_cajas X 30 unidades c/u"/>
    <n v="1800"/>
    <n v="60"/>
    <x v="4"/>
    <x v="3"/>
    <x v="3"/>
    <x v="2"/>
    <x v="22"/>
  </r>
  <r>
    <x v="357"/>
    <s v="JOHN JAVIER ESPINOSA"/>
    <s v="Regente de farmacia"/>
    <s v="MEDLIFE S.A.S"/>
    <s v="804.010.795-6"/>
    <s v="dispensacionibaguemedlife@gmail.com"/>
    <s v="Carrera 4D No. 36-46/Cádiz"/>
    <x v="0"/>
    <s v="IBAGUE"/>
    <s v="COTIZACIÓN"/>
    <n v="202124101137642"/>
    <d v="2021-06-28T00:00:00"/>
    <x v="5"/>
    <n v="202124111079431"/>
    <d v="2021-07-08T00:00:00"/>
    <s v="JUN"/>
    <n v="-10"/>
    <s v="AUTORIZADO"/>
    <m/>
    <s v="No. 2641"/>
    <d v="2020-12-21T00:00:00"/>
    <s v="Morfina HCl 10 mg/mL Solución Inyectable ampolla por 1mL"/>
    <n v="500"/>
    <n v="50"/>
    <x v="0"/>
    <x v="0"/>
    <x v="0"/>
    <x v="0"/>
    <x v="57"/>
  </r>
  <r>
    <x v="358"/>
    <s v="VILMA MARINA BERRIO CANOLES"/>
    <s v="Directora técnica"/>
    <s v="COLSALUD CLINICA MAR CARIBE"/>
    <s v="819.002.176-8"/>
    <s v="jefecompras@clinicamarcaribe.com"/>
    <s v="Calle 21 Nª 18A-103"/>
    <x v="4"/>
    <s v="SANTA MARTA"/>
    <s v="COTIZAR MEDICAMENTOS -- COLSALUD CLINICA MAR CARIBE"/>
    <n v="202124101141022"/>
    <d v="2021-06-28T00:00:00"/>
    <x v="5"/>
    <n v="202124111079491"/>
    <d v="2021-07-08T00:00:00"/>
    <s v="JUN"/>
    <n v="-10"/>
    <s v="NEGADO"/>
    <m/>
    <s v="No. 4145"/>
    <d v="2019-10-27T00:00:00"/>
    <s v="Fenobarbital Sódico 40 mg/mL Solución Inyectable_caja X 10 ampollas c/u"/>
    <n v="50"/>
    <n v="5"/>
    <x v="3"/>
    <x v="6"/>
    <x v="0"/>
    <x v="0"/>
    <x v="17"/>
  </r>
  <r>
    <x v="358"/>
    <s v="VILMA MARINA BERRIO CANOLES"/>
    <s v="Directora técnica"/>
    <s v="COLSALUD CLINICA MAR CARIBE"/>
    <s v="819.002.176-8"/>
    <s v="jefecompras@clinicamarcaribe.com"/>
    <s v="Calle 21 Nª 18A-103"/>
    <x v="4"/>
    <s v="SANTA MARTA"/>
    <s v="COTIZAR MEDICAMENTOS -- COLSALUD CLINICA MAR CARIBE"/>
    <n v="202124101141022"/>
    <d v="2021-06-28T00:00:00"/>
    <x v="5"/>
    <n v="202124111079491"/>
    <d v="2021-07-08T00:00:00"/>
    <s v="JUN"/>
    <n v="-10"/>
    <s v="NEGADO"/>
    <m/>
    <s v="No. 4145"/>
    <d v="2019-10-27T00:00:00"/>
    <s v="Fenobarbital 50 mg Tableta_cajas X 30 unidades c/u"/>
    <n v="30"/>
    <n v="1"/>
    <x v="5"/>
    <x v="12"/>
    <x v="4"/>
    <x v="2"/>
    <x v="8"/>
  </r>
  <r>
    <x v="358"/>
    <s v="VILMA MARINA BERRIO CANOLES"/>
    <s v="Directora técnica"/>
    <s v="COLSALUD CLINICA MAR CARIBE"/>
    <s v="819.002.176-8"/>
    <s v="jefecompras@clinicamarcaribe.com"/>
    <s v="Calle 21 Nª 18A-103"/>
    <x v="4"/>
    <s v="SANTA MARTA"/>
    <s v="COTIZAR MEDICAMENTOS -- COLSALUD CLINICA MAR CARIBE"/>
    <n v="202124101141022"/>
    <d v="2021-06-28T00:00:00"/>
    <x v="5"/>
    <n v="202124111079491"/>
    <d v="2021-07-08T00:00:00"/>
    <s v="JUN"/>
    <n v="-10"/>
    <s v="NEGADO"/>
    <m/>
    <s v="No. 4145"/>
    <d v="2019-10-27T00:00:00"/>
    <s v="Morfina HCl 10 mg/mL Solución Inyectable ampolla por 1mL"/>
    <n v="200"/>
    <n v="20"/>
    <x v="0"/>
    <x v="0"/>
    <x v="0"/>
    <x v="0"/>
    <x v="18"/>
  </r>
  <r>
    <x v="358"/>
    <s v="VILMA MARINA BERRIO CANOLES"/>
    <s v="Directora técnica"/>
    <s v="COLSALUD CLINICA MAR CARIBE"/>
    <s v="819.002.176-8"/>
    <s v="jefecompras@clinicamarcaribe.com"/>
    <s v="Calle 21 Nª 18A-103"/>
    <x v="4"/>
    <s v="SANTA MARTA"/>
    <s v="COTIZAR MEDICAMENTOS -- COLSALUD CLINICA MAR CARIBE"/>
    <n v="202124101141022"/>
    <d v="2021-06-28T00:00:00"/>
    <x v="5"/>
    <n v="202124111079491"/>
    <d v="2021-07-08T00:00:00"/>
    <s v="JUN"/>
    <n v="-10"/>
    <s v="NEGADO"/>
    <m/>
    <s v="No. 4145"/>
    <d v="2019-10-27T00:00:00"/>
    <s v="Morfina HCl 0,03 Solución Oral_frascos X 30 mL c/u"/>
    <n v="3"/>
    <n v="3"/>
    <x v="0"/>
    <x v="1"/>
    <x v="1"/>
    <x v="1"/>
    <x v="28"/>
  </r>
  <r>
    <x v="359"/>
    <s v="MONICA MONTES USTA"/>
    <s v="Gerencia"/>
    <s v="COOPERATIVA DE ENTIDADES DE SALUD DE CORDOBA"/>
    <s v="812.001.561-0"/>
    <s v="tecnica@coodescor.org.co"/>
    <s v="Calle 28A No.23-03 Bario San Jose"/>
    <x v="1"/>
    <s v="MONTERIA"/>
    <s v="Solicitud medicamentos monopolio"/>
    <n v="202124101142372"/>
    <d v="2021-06-28T00:00:00"/>
    <x v="5"/>
    <n v="202124111079611"/>
    <d v="2021-07-08T00:00:00"/>
    <s v="JUN"/>
    <n v="-10"/>
    <s v="NEGADO"/>
    <m/>
    <s v="No. 20170019"/>
    <d v="2017-06-14T00:00:00"/>
    <s v="Fenobarbital 0,4% Solución Oral_frascos X 120 mL c/u"/>
    <n v="2"/>
    <n v="2"/>
    <x v="5"/>
    <x v="11"/>
    <x v="1"/>
    <x v="6"/>
    <x v="108"/>
  </r>
  <r>
    <x v="359"/>
    <s v="MONICA MONTES USTA"/>
    <s v="Gerencia"/>
    <s v="COOPERATIVA DE ENTIDADES DE SALUD DE CORDOBA"/>
    <s v="812.001.561-0"/>
    <s v="tecnica@coodescor.org.co"/>
    <s v="Calle 28A No.23-03 Bario San Jose"/>
    <x v="1"/>
    <s v="MONTERIA"/>
    <s v="Solicitud medicamentos monopolio"/>
    <n v="202124101142372"/>
    <d v="2021-06-28T00:00:00"/>
    <x v="5"/>
    <n v="202124111079611"/>
    <d v="2021-07-08T00:00:00"/>
    <s v="JUN"/>
    <n v="-10"/>
    <s v="NEGADO"/>
    <m/>
    <s v="No. 20170019"/>
    <d v="2017-06-14T00:00:00"/>
    <s v="Metilfenidato HCl 10 mg Comprimido_cajas X 30 unidades c/u"/>
    <n v="60"/>
    <n v="2"/>
    <x v="4"/>
    <x v="3"/>
    <x v="3"/>
    <x v="2"/>
    <x v="90"/>
  </r>
  <r>
    <x v="359"/>
    <s v="MONICA MONTES USTA"/>
    <s v="Gerencia"/>
    <s v="COOPERATIVA DE ENTIDADES DE SALUD DE CORDOBA"/>
    <s v="812.001.561-0"/>
    <s v="tecnica@coodescor.org.co"/>
    <s v="Calle 28A No.23-03 Bario San Jose"/>
    <x v="1"/>
    <s v="MONTERIA"/>
    <s v="Solicitud medicamentos monopolio"/>
    <n v="202124101142372"/>
    <d v="2021-06-28T00:00:00"/>
    <x v="5"/>
    <n v="202124111079611"/>
    <d v="2021-07-08T00:00:00"/>
    <s v="JUN"/>
    <n v="-10"/>
    <s v="NEGADO"/>
    <m/>
    <s v="No. 20170019"/>
    <d v="2017-06-14T00:00:00"/>
    <s v="Metadona HCl 10 mg Tableta_Cajas X 30 unidades c/u"/>
    <n v="30"/>
    <n v="1"/>
    <x v="2"/>
    <x v="3"/>
    <x v="2"/>
    <x v="2"/>
    <x v="8"/>
  </r>
  <r>
    <x v="359"/>
    <s v="MONICA MONTES USTA"/>
    <s v="Gerencia"/>
    <s v="COOPERATIVA DE ENTIDADES DE SALUD DE CORDOBA"/>
    <s v="812.001.561-0"/>
    <s v="tecnica@coodescor.org.co"/>
    <s v="Calle 28A No.23-03 Bario San Jose"/>
    <x v="1"/>
    <s v="MONTERIA"/>
    <s v="Solicitud medicamentos monopolio"/>
    <n v="202124101142372"/>
    <d v="2021-06-28T00:00:00"/>
    <x v="5"/>
    <n v="202124111079611"/>
    <d v="2021-07-08T00:00:00"/>
    <s v="JUN"/>
    <n v="-10"/>
    <s v="NEGADO"/>
    <m/>
    <s v="No. 20170019"/>
    <d v="2017-06-14T00:00:00"/>
    <s v="Morfina HCl 0,03 Solución Oral_frascos X 30 mL c/u"/>
    <n v="10"/>
    <n v="10"/>
    <x v="0"/>
    <x v="1"/>
    <x v="1"/>
    <x v="1"/>
    <x v="47"/>
  </r>
  <r>
    <x v="360"/>
    <s v="FELIPE MEJIA ESCOBAR"/>
    <s v="Representante Legal"/>
    <s v="CORPORACION CLINICA"/>
    <s v="900.213.617-3"/>
    <s v="regenteadministrativo@clinicaprimavera.com"/>
    <s v="Calle 36 No.35-70 BARZAL"/>
    <x v="6"/>
    <s v="VILLAVICENCIO"/>
    <s v="SOLICITUD COMPRA MEDICAMENTOS DE CONTROL"/>
    <n v="202124101146802"/>
    <d v="2021-06-29T00:00:00"/>
    <x v="5"/>
    <n v="202124111090921"/>
    <d v="2021-07-09T00:00:00"/>
    <s v="JUN"/>
    <n v="-10"/>
    <s v="AUTORIZADO"/>
    <m/>
    <s v="No. 0003"/>
    <d v="2020-01-14T00:00:00"/>
    <s v="Morfina HCl 10 mg/mL Solución Inyectable ampolla por 1mL"/>
    <n v="900"/>
    <n v="90"/>
    <x v="0"/>
    <x v="0"/>
    <x v="0"/>
    <x v="0"/>
    <x v="178"/>
  </r>
  <r>
    <x v="360"/>
    <s v="FELIPE MEJIA ESCOBAR"/>
    <s v="Representante Legal"/>
    <s v="CORPORACION CLINICA"/>
    <s v="900.213.617-3"/>
    <s v="regenteadministrativo@clinicaprimavera.com"/>
    <s v="Calle 36 No.35-70 BARZAL"/>
    <x v="6"/>
    <s v="VILLAVICENCIO"/>
    <s v="SOLICITUD COMPRA MEDICAMENTOS DE CONTROL"/>
    <n v="202124101146802"/>
    <d v="2021-06-29T00:00:00"/>
    <x v="5"/>
    <n v="202124111090921"/>
    <d v="2021-07-09T00:00:00"/>
    <s v="JUN"/>
    <n v="-10"/>
    <s v="AUTORIZADO"/>
    <m/>
    <s v="No. 0003"/>
    <d v="2020-01-14T00:00:00"/>
    <s v="Fenobarbital 100 mg Tableta_cajas X 30 unidades c/u"/>
    <n v="120"/>
    <n v="4"/>
    <x v="5"/>
    <x v="7"/>
    <x v="4"/>
    <x v="2"/>
    <x v="110"/>
  </r>
  <r>
    <x v="360"/>
    <s v="FELIPE MEJIA ESCOBAR"/>
    <s v="Representante Legal"/>
    <s v="CORPORACION CLINICA"/>
    <s v="900.213.617-3"/>
    <s v="regenteadministrativo@clinicaprimavera.com"/>
    <s v="Calle 36 No.35-70 BARZAL"/>
    <x v="6"/>
    <s v="VILLAVICENCIO"/>
    <s v="SOLICITUD COMPRA MEDICAMENTOS DE CONTROL"/>
    <n v="202124101146802"/>
    <d v="2021-06-29T00:00:00"/>
    <x v="5"/>
    <n v="202124111090921"/>
    <d v="2021-07-09T00:00:00"/>
    <s v="JUN"/>
    <n v="-10"/>
    <s v="AUTORIZADO"/>
    <m/>
    <s v="No. 0003"/>
    <d v="2020-01-14T00:00:00"/>
    <s v="Hidromorfona HCl 2,5 mg Tableta_cajas X 20 unidades c/u"/>
    <n v="120"/>
    <n v="6"/>
    <x v="1"/>
    <x v="9"/>
    <x v="4"/>
    <x v="4"/>
    <x v="164"/>
  </r>
  <r>
    <x v="361"/>
    <s v="VALENTINA LOPEZ"/>
    <s v="Regente de Farmacia"/>
    <s v="NEUROMEDICA S.A.S"/>
    <s v="900.699.359-9"/>
    <s v="neuromedicafarmasur@gmail.com"/>
    <s v="Carrera 41 No. 35sur-14"/>
    <x v="13"/>
    <s v="ENVIGADO"/>
    <s v="Solicitud MCE Neuromedica Farmasur"/>
    <n v="202124101159682"/>
    <d v="2021-06-30T00:00:00"/>
    <x v="5"/>
    <n v="202124111108201"/>
    <d v="2021-07-13T00:00:00"/>
    <s v="JUN"/>
    <n v="-13"/>
    <s v="NEGADO"/>
    <m/>
    <s v="No. 2016060090172"/>
    <d v="2020-02-20T00:00:00"/>
    <s v="Metilfenidato HCl 36 mg Tableta de Liberación Prolongada_frasco X 30 unidades c/u"/>
    <m/>
    <n v="0"/>
    <x v="4"/>
    <x v="14"/>
    <x v="7"/>
    <x v="10"/>
    <x v="0"/>
  </r>
  <r>
    <x v="362"/>
    <s v="JOHN JAVIER ESPINOSA"/>
    <s v="Regente de farmacia"/>
    <s v="MEDLIFE S.A.S"/>
    <s v="804.010.795-6"/>
    <s v="dispensacionibaguemedlife@gmail.com"/>
    <s v="Carrera 4D No. 36-46/Cádiz"/>
    <x v="0"/>
    <s v="IBAGUE"/>
    <s v="COTIZACIÓN"/>
    <n v="202124101167432"/>
    <d v="2021-07-01T00:00:00"/>
    <x v="6"/>
    <n v="202124111108291"/>
    <d v="2021-07-13T00:00:00"/>
    <s v="JUL"/>
    <n v="-12"/>
    <s v="NEGADO"/>
    <m/>
    <s v="No. 2641"/>
    <d v="2020-12-21T00:00:00"/>
    <s v="Fenobarbital 100 mg Tableta_cajas X 30 unidades c/u"/>
    <m/>
    <n v="0"/>
    <x v="5"/>
    <x v="7"/>
    <x v="4"/>
    <x v="2"/>
    <x v="0"/>
  </r>
  <r>
    <x v="362"/>
    <s v="JOHN JAVIER ESPINOSA"/>
    <s v="Regente de farmacia"/>
    <s v="MEDLIFE S.A.S"/>
    <s v="804.010.795-6"/>
    <s v="dispensacionibaguemedlife@gmail.com"/>
    <s v="Carrera 4D No. 36-46/Cádiz"/>
    <x v="0"/>
    <s v="IBAGUE"/>
    <s v="COTIZACIÓN"/>
    <n v="202124101167432"/>
    <d v="2021-07-01T00:00:00"/>
    <x v="6"/>
    <n v="202124111108291"/>
    <d v="2021-07-13T00:00:00"/>
    <s v="JUL"/>
    <n v="-12"/>
    <s v="NEGADO"/>
    <m/>
    <s v="No. 2641"/>
    <d v="2020-12-21T00:00:00"/>
    <s v="Metilfenidato HCl 10 mg Comprimido_cajas X 30 unidades c/u"/>
    <m/>
    <n v="0"/>
    <x v="4"/>
    <x v="3"/>
    <x v="3"/>
    <x v="2"/>
    <x v="0"/>
  </r>
  <r>
    <x v="362"/>
    <s v="JOHN JAVIER ESPINOSA"/>
    <s v="Regente de farmacia"/>
    <s v="MEDLIFE S.A.S"/>
    <s v="804.010.795-6"/>
    <s v="dispensacionibaguemedlife@gmail.com"/>
    <s v="Carrera 4D No. 36-46/Cádiz"/>
    <x v="0"/>
    <s v="IBAGUE"/>
    <s v="COTIZACIÓN"/>
    <n v="202124101167432"/>
    <d v="2021-07-01T00:00:00"/>
    <x v="6"/>
    <n v="202124111108291"/>
    <d v="2021-07-13T00:00:00"/>
    <s v="JUL"/>
    <n v="-12"/>
    <s v="AUTORIZADO"/>
    <m/>
    <s v="No. 2641"/>
    <d v="2020-12-21T00:00:00"/>
    <s v="Morfina HCl 0,03 Solución Oral_frascos X 30 mL c/u"/>
    <n v="45"/>
    <n v="45"/>
    <x v="0"/>
    <x v="1"/>
    <x v="1"/>
    <x v="1"/>
    <x v="176"/>
  </r>
  <r>
    <x v="362"/>
    <s v="JOHN JAVIER ESPINOSA"/>
    <s v="Regente de farmacia"/>
    <s v="MEDLIFE S.A.S"/>
    <s v="804.010.795-6"/>
    <s v="dispensacionibaguemedlife@gmail.com"/>
    <s v="Carrera 4D No. 36-46/Cádiz"/>
    <x v="0"/>
    <s v="IBAGUE"/>
    <s v="COTIZACIÓN"/>
    <n v="202124101167432"/>
    <d v="2021-07-01T00:00:00"/>
    <x v="6"/>
    <n v="202124111108291"/>
    <d v="2021-07-13T00:00:00"/>
    <s v="JUL"/>
    <n v="-12"/>
    <s v="NEGADO"/>
    <m/>
    <s v="No. 2641"/>
    <d v="2020-12-21T00:00:00"/>
    <s v="Morfina HCl 10 mg/mL Solución Inyectable ampolla por 5mL"/>
    <m/>
    <n v="0"/>
    <x v="0"/>
    <x v="16"/>
    <x v="0"/>
    <x v="12"/>
    <x v="0"/>
  </r>
  <r>
    <x v="362"/>
    <s v="JOHN JAVIER ESPINOSA"/>
    <s v="Regente de farmacia"/>
    <s v="MEDLIFE S.A.S"/>
    <s v="804.010.795-6"/>
    <s v="dispensacionibaguemedlife@gmail.com"/>
    <s v="Carrera 4D No. 36-46/Cádiz"/>
    <x v="0"/>
    <s v="IBAGUE"/>
    <s v="COTIZACIÓN"/>
    <n v="202124101167432"/>
    <d v="2021-07-01T00:00:00"/>
    <x v="6"/>
    <n v="202124111108291"/>
    <d v="2021-07-13T00:00:00"/>
    <s v="JUL"/>
    <n v="-12"/>
    <s v="AUTORIZADO"/>
    <m/>
    <s v="No. 2641"/>
    <d v="2020-12-21T00:00:00"/>
    <s v="Morfina HCl 10 mg/mL Solución Inyectable ampolla por 1mL"/>
    <n v="50"/>
    <n v="5"/>
    <x v="0"/>
    <x v="0"/>
    <x v="0"/>
    <x v="0"/>
    <x v="17"/>
  </r>
  <r>
    <x v="363"/>
    <s v="YURANY BELTRAN PIÑEROS"/>
    <s v="Regente de farmacia"/>
    <s v="CORPORACIÓN MI IPS LLANOS-PARQUE"/>
    <s v="822.006.818-7"/>
    <s v="farmaciaipselparque@miips.com.co"/>
    <s v="Carrera 40 No. 32-06 Barzal"/>
    <x v="6"/>
    <s v="VILLAVICENCIO"/>
    <s v="SOLICITUD COMPRA DIRECTA URGENTE"/>
    <n v="202124101172822"/>
    <d v="2021-07-01T00:00:00"/>
    <x v="6"/>
    <n v="202124111108341"/>
    <d v="2021-07-13T00:00:00"/>
    <s v="JUL"/>
    <n v="-12"/>
    <s v="AUTORIZADO"/>
    <m/>
    <s v="No. 044"/>
    <d v="2021-05-26T00:00:00"/>
    <s v="Morfina HCl 10 mg/mL Solución Inyectable ampolla por 1mL"/>
    <n v="1200"/>
    <n v="120"/>
    <x v="0"/>
    <x v="0"/>
    <x v="0"/>
    <x v="0"/>
    <x v="158"/>
  </r>
  <r>
    <x v="364"/>
    <s v="JOSÉ LUCAS RODRÍGUEZ MORA"/>
    <s v="Director Tecnico"/>
    <s v="HOSPITAL DEPARTAMENTAL DE VILLAVICENCIO-ESE"/>
    <s v="892.000.501-5"/>
    <s v="andrelu93@hotmail.com"/>
    <s v="Calle 37A No. 28-53 Brr Barzal Alto"/>
    <x v="6"/>
    <s v="VILLAVICENCIO"/>
    <s v="COMPRA MEDICAMENTOS MONOPOLIO DEL ESTADO HDV"/>
    <n v="202124101170152"/>
    <d v="2021-07-01T00:00:00"/>
    <x v="6"/>
    <n v="202124111108311"/>
    <d v="2021-07-13T00:00:00"/>
    <s v="JUL"/>
    <n v="44378"/>
    <s v="NEGADO"/>
    <m/>
    <s v="No. 514"/>
    <d v="2020-10-10T00:00:00"/>
    <s v="Fenobarbital 100 mg Tableta_cajas X 30 unidades c/u"/>
    <n v="700"/>
    <n v="23"/>
    <x v="5"/>
    <x v="7"/>
    <x v="4"/>
    <x v="2"/>
    <x v="179"/>
  </r>
  <r>
    <x v="364"/>
    <s v="JOSÉ LUCAS RODRÍGUEZ MORA"/>
    <s v="Director Tecnico"/>
    <s v="HOSPITAL DEPARTAMENTAL DE VILLAVICENCIO-ESE"/>
    <s v="892.000.501-5"/>
    <s v="andrelu93@hotmail.com"/>
    <s v="Calle 37A No. 28-53 Brr Barzal Alto"/>
    <x v="6"/>
    <s v="VILLAVICENCIO"/>
    <s v="COMPRA MEDICAMENTOS MONOPOLIO DEL ESTADO HDV"/>
    <n v="202124101170152"/>
    <d v="2021-07-01T00:00:00"/>
    <x v="6"/>
    <n v="202124111108311"/>
    <d v="2021-07-13T00:00:00"/>
    <s v="JUL"/>
    <n v="44378"/>
    <s v="NEGADO"/>
    <m/>
    <s v="No. 514"/>
    <d v="2020-10-10T00:00:00"/>
    <s v="Fenobarbital Sódico 40 mg/mL Solución Inyectable_caja X 10 ampollas c/u"/>
    <n v="800"/>
    <n v="80"/>
    <x v="3"/>
    <x v="6"/>
    <x v="0"/>
    <x v="0"/>
    <x v="65"/>
  </r>
  <r>
    <x v="364"/>
    <s v="JOSÉ LUCAS RODRÍGUEZ MORA"/>
    <s v="Director Tecnico"/>
    <s v="HOSPITAL DEPARTAMENTAL DE VILLAVICENCIO-ESE"/>
    <s v="892.000.501-5"/>
    <s v="andrelu93@hotmail.com"/>
    <s v="Calle 37A No. 28-53 Brr Barzal Alto"/>
    <x v="6"/>
    <s v="VILLAVICENCIO"/>
    <s v="COMPRA MEDICAMENTOS MONOPOLIO DEL ESTADO HDV"/>
    <n v="202124101170152"/>
    <d v="2021-07-01T00:00:00"/>
    <x v="6"/>
    <n v="202124111108311"/>
    <d v="2021-07-13T00:00:00"/>
    <s v="JUL"/>
    <n v="44378"/>
    <s v="NEGADO"/>
    <m/>
    <s v="No. 514"/>
    <d v="2020-10-10T00:00:00"/>
    <s v="Fenobarbital Sódico 200 mg/mL Solución Inyectable_caja X 10 ampollas c/u"/>
    <n v="800"/>
    <n v="80"/>
    <x v="3"/>
    <x v="5"/>
    <x v="0"/>
    <x v="0"/>
    <x v="65"/>
  </r>
  <r>
    <x v="364"/>
    <s v="JOSÉ LUCAS RODRÍGUEZ MORA"/>
    <s v="Director Tecnico"/>
    <s v="HOSPITAL DEPARTAMENTAL DE VILLAVICENCIO-ESE"/>
    <s v="892.000.501-5"/>
    <s v="andrelu93@hotmail.com"/>
    <s v="Calle 37A No. 28-53 Brr Barzal Alto"/>
    <x v="6"/>
    <s v="VILLAVICENCIO"/>
    <s v="COMPRA MEDICAMENTOS MONOPOLIO DEL ESTADO HDV"/>
    <n v="202124101170152"/>
    <d v="2021-07-01T00:00:00"/>
    <x v="6"/>
    <n v="202124111108311"/>
    <d v="2021-07-13T00:00:00"/>
    <s v="JUL"/>
    <n v="44378"/>
    <s v="NEGADO"/>
    <m/>
    <s v="No. 514"/>
    <d v="2020-10-10T00:00:00"/>
    <s v="Fenobarbital 0,4% Solución Oral_frascos X 120 mL c/u"/>
    <n v="80"/>
    <n v="80"/>
    <x v="5"/>
    <x v="11"/>
    <x v="1"/>
    <x v="6"/>
    <x v="103"/>
  </r>
  <r>
    <x v="364"/>
    <s v="JOSÉ LUCAS RODRÍGUEZ MORA"/>
    <s v="Director Tecnico"/>
    <s v="HOSPITAL DEPARTAMENTAL DE VILLAVICENCIO-ESE"/>
    <s v="892.000.501-5"/>
    <s v="andrelu93@hotmail.com"/>
    <s v="Calle 37A No. 28-53 Brr Barzal Alto"/>
    <x v="6"/>
    <s v="VILLAVICENCIO"/>
    <s v="COMPRA MEDICAMENTOS MONOPOLIO DEL ESTADO HDV"/>
    <n v="202124101170152"/>
    <d v="2021-07-01T00:00:00"/>
    <x v="6"/>
    <n v="202124111108311"/>
    <d v="2021-07-13T00:00:00"/>
    <s v="JUL"/>
    <n v="44378"/>
    <s v="NEGADO"/>
    <m/>
    <s v="No. 514"/>
    <d v="2020-10-10T00:00:00"/>
    <s v="Meperidina HCl 100 mg/2mL Solución Inyectable_cajas X 10 unidades c/u"/>
    <n v="1200"/>
    <n v="120"/>
    <x v="6"/>
    <x v="8"/>
    <x v="0"/>
    <x v="3"/>
    <x v="104"/>
  </r>
  <r>
    <x v="364"/>
    <s v="JOSÉ LUCAS RODRÍGUEZ MORA"/>
    <s v="Director Tecnico"/>
    <s v="HOSPITAL DEPARTAMENTAL DE VILLAVICENCIO-ESE"/>
    <s v="892.000.501-5"/>
    <s v="andrelu93@hotmail.com"/>
    <s v="Calle 37A No. 28-53 Brr Barzal Alto"/>
    <x v="6"/>
    <s v="VILLAVICENCIO"/>
    <s v="COMPRA MEDICAMENTOS MONOPOLIO DEL ESTADO HDV"/>
    <n v="202124101170152"/>
    <d v="2021-07-01T00:00:00"/>
    <x v="6"/>
    <n v="202124111108311"/>
    <d v="2021-07-13T00:00:00"/>
    <s v="JUL"/>
    <n v="44378"/>
    <s v="NEGADO"/>
    <m/>
    <s v="No. 514"/>
    <d v="2020-10-10T00:00:00"/>
    <s v="Morfina HCl 10 mg/mL Solución Inyectable ampolla por 1mL"/>
    <n v="6000"/>
    <n v="600"/>
    <x v="0"/>
    <x v="0"/>
    <x v="0"/>
    <x v="0"/>
    <x v="70"/>
  </r>
  <r>
    <x v="364"/>
    <s v="JOSÉ LUCAS RODRÍGUEZ MORA"/>
    <s v="Director Tecnico"/>
    <s v="HOSPITAL DEPARTAMENTAL DE VILLAVICENCIO-ESE"/>
    <s v="892.000.501-5"/>
    <s v="andrelu93@hotmail.com"/>
    <s v="Calle 37A No. 28-53 Brr Barzal Alto"/>
    <x v="6"/>
    <s v="VILLAVICENCIO"/>
    <s v="COMPRA MEDICAMENTOS MONOPOLIO DEL ESTADO HDV"/>
    <n v="202124101170152"/>
    <d v="2021-07-01T00:00:00"/>
    <x v="6"/>
    <n v="202124111108311"/>
    <d v="2021-07-13T00:00:00"/>
    <s v="JUL"/>
    <n v="44378"/>
    <s v="NEGADO"/>
    <m/>
    <s v="No. 514"/>
    <d v="2020-10-10T00:00:00"/>
    <s v="Morfina HCl 0,03 Solución Oral_frascos X 30 mL c/u"/>
    <n v="20"/>
    <n v="20"/>
    <x v="0"/>
    <x v="1"/>
    <x v="1"/>
    <x v="1"/>
    <x v="138"/>
  </r>
  <r>
    <x v="365"/>
    <s v="YURANY BELTRAN PIÑEROS"/>
    <s v="Regente de farmacia"/>
    <s v="CORPORACIÓN MI IPS LLANOS-PARQUE"/>
    <s v="822.006.818-7"/>
    <s v="farmaciaipselparque@miips.com.co"/>
    <s v="Carrera 40 No. 32-06 Barzal"/>
    <x v="6"/>
    <s v="VILLAVICENCIO"/>
    <s v="SOLICITUD COMPRA DIRECTA URGENTE"/>
    <n v="202124101172862"/>
    <d v="2021-07-01T00:00:00"/>
    <x v="6"/>
    <m/>
    <m/>
    <s v="JUL"/>
    <n v="44378"/>
    <s v="NEGADO"/>
    <s v="Asociado con radicado 202124101172822"/>
    <s v="No. 044"/>
    <d v="2021-05-26T00:00:00"/>
    <s v="Morfina HCl 10 mg/mL Solución Inyectable ampolla por 1mL"/>
    <m/>
    <n v="0"/>
    <x v="0"/>
    <x v="0"/>
    <x v="0"/>
    <x v="0"/>
    <x v="0"/>
  </r>
  <r>
    <x v="366"/>
    <s v="BENJAMIN SALAS FORTICH"/>
    <s v="D.T. Servicio Farmaceutico"/>
    <s v="FUNDACIÓN AMIGOS DE LA SALUD"/>
    <s v="812.005.522-1"/>
    <s v="farmacia@Fundacionamigosdelasalud.com"/>
    <s v="Calle 27 # 11-35"/>
    <x v="1"/>
    <s v="MONTERIA"/>
    <s v="Solicitud de cotización de medicamentos y recetarios de control especial"/>
    <n v="202124101173982"/>
    <d v="2021-07-01T00:00:00"/>
    <x v="6"/>
    <n v="202124111108571"/>
    <d v="2021-07-13T00:00:00"/>
    <s v="JUL"/>
    <n v="-12"/>
    <s v="NEGADO"/>
    <m/>
    <m/>
    <m/>
    <m/>
    <m/>
    <s v=""/>
    <x v="9"/>
    <x v="17"/>
    <x v="9"/>
    <x v="13"/>
    <x v="0"/>
  </r>
  <r>
    <x v="367"/>
    <s v="SILVIA ANDREA TRISTANCHO VILLAMIZAR"/>
    <s v="Directora Técnica"/>
    <s v="FUNDACIÓN CARDIOVASCULAR DE COLOMBIA "/>
    <s v="890.212.568-0"/>
    <s v="silviatristancho@fcv.org"/>
    <s v="Cll 155A No. 23-58"/>
    <x v="8"/>
    <s v="FLORIDABLANCA"/>
    <s v="SOLICITUD DE COMPRA DIRECTA DE MEDICAMENTOS MONOPOLIO DEL ESTADO"/>
    <n v="202124101174452"/>
    <d v="2021-07-01T00:00:00"/>
    <x v="6"/>
    <n v="202124111108651"/>
    <d v="2021-07-13T00:00:00"/>
    <s v="JUL"/>
    <n v="-12"/>
    <s v="NEGADO"/>
    <m/>
    <s v="No. 16233"/>
    <d v="2018-10-08T00:00:00"/>
    <s v="Morfina HCl 10 mg/mL Solución Inyectable ampolla por 5mL"/>
    <n v="3000"/>
    <n v="300"/>
    <x v="0"/>
    <x v="16"/>
    <x v="0"/>
    <x v="12"/>
    <x v="149"/>
  </r>
  <r>
    <x v="367"/>
    <s v="SILVIA ANDREA TRISTANCHO VILLAMIZAR"/>
    <s v="Directora Técnica"/>
    <s v="FUNDACIÓN CARDIOVASCULAR DE COLOMBIA "/>
    <s v="890.212.568-0"/>
    <s v="silviatristancho@fcv.org"/>
    <s v="Cll 155A No. 23-58"/>
    <x v="8"/>
    <s v="FLORIDABLANCA"/>
    <s v="SOLICITUD DE COMPRA DIRECTA DE MEDICAMENTOS MONOPOLIO DEL ESTADO"/>
    <n v="202124101174452"/>
    <d v="2021-07-01T00:00:00"/>
    <x v="6"/>
    <n v="202124111108651"/>
    <d v="2021-07-13T00:00:00"/>
    <s v="JUL"/>
    <n v="-12"/>
    <s v="NEGADO"/>
    <m/>
    <s v="No. 16233"/>
    <d v="2018-10-08T00:00:00"/>
    <s v="Morfina HCl 10 mg/mL Solución Inyectable ampolla por 1mL"/>
    <n v="3000"/>
    <n v="300"/>
    <x v="0"/>
    <x v="0"/>
    <x v="0"/>
    <x v="0"/>
    <x v="78"/>
  </r>
  <r>
    <x v="367"/>
    <s v="SILVIA ANDREA TRISTANCHO VILLAMIZAR"/>
    <s v="Directora Técnica"/>
    <s v="FUNDACIÓN CARDIOVASCULAR DE COLOMBIA "/>
    <s v="890.212.568-0"/>
    <s v="silviatristancho@fcv.org"/>
    <s v="Cll 155A No. 23-58"/>
    <x v="8"/>
    <s v="FLORIDABLANCA"/>
    <s v="SOLICITUD DE COMPRA DIRECTA DE MEDICAMENTOS MONOPOLIO DEL ESTADO"/>
    <n v="202124101174452"/>
    <d v="2021-07-01T00:00:00"/>
    <x v="6"/>
    <n v="202124111108651"/>
    <d v="2021-07-13T00:00:00"/>
    <s v="JUL"/>
    <n v="-12"/>
    <s v="NEGADO"/>
    <m/>
    <s v="No. 16233"/>
    <d v="2018-10-08T00:00:00"/>
    <s v="Morfina HCl 0,03 Solución Oral_frascos X 30 mL c/u"/>
    <n v="20"/>
    <n v="20"/>
    <x v="0"/>
    <x v="1"/>
    <x v="1"/>
    <x v="1"/>
    <x v="138"/>
  </r>
  <r>
    <x v="367"/>
    <s v="SILVIA ANDREA TRISTANCHO VILLAMIZAR"/>
    <s v="Directora Técnica"/>
    <s v="FUNDACIÓN CARDIOVASCULAR DE COLOMBIA "/>
    <s v="890.212.568-0"/>
    <s v="silviatristancho@fcv.org"/>
    <s v="Cll 155A No. 23-58"/>
    <x v="8"/>
    <s v="FLORIDABLANCA"/>
    <s v="SOLICITUD DE COMPRA DIRECTA DE MEDICAMENTOS MONOPOLIO DEL ESTADO"/>
    <n v="202124101174452"/>
    <d v="2021-07-01T00:00:00"/>
    <x v="6"/>
    <n v="202124111108651"/>
    <d v="2021-07-13T00:00:00"/>
    <s v="JUL"/>
    <n v="-12"/>
    <s v="NEGADO"/>
    <m/>
    <s v="No. 16233"/>
    <d v="2018-10-08T00:00:00"/>
    <s v="Metadona HCl 10 mg Tableta_Cajas X 30 unidades c/u"/>
    <n v="4000"/>
    <n v="133"/>
    <x v="2"/>
    <x v="3"/>
    <x v="2"/>
    <x v="2"/>
    <x v="180"/>
  </r>
  <r>
    <x v="368"/>
    <s v="ZAMIRA COGOLLO CORDERO"/>
    <s v="Quimica Farmacéutica"/>
    <s v="ONCOMÉDICA S.A."/>
    <s v="812.007.194-8"/>
    <s v="asuministros01@imatoncomedica.com"/>
    <s v="Carrera 6 No. 72-34"/>
    <x v="1"/>
    <s v="MONTERIA"/>
    <s v="Solicitud Autorizacion Compra Directa ONCOMEDICA S.A"/>
    <n v="202124101175562"/>
    <d v="2021-07-01T00:00:00"/>
    <x v="6"/>
    <n v="202124111108671"/>
    <d v="2021-07-13T00:00:00"/>
    <s v="JUL"/>
    <n v="-12"/>
    <s v="NEGADO"/>
    <m/>
    <s v="No. 0669"/>
    <d v="2019-12-30T00:00:00"/>
    <s v="Morfina HCl 10 mg/mL Solución Inyectable ampolla por 1mL"/>
    <n v="1500"/>
    <n v="150"/>
    <x v="0"/>
    <x v="0"/>
    <x v="0"/>
    <x v="0"/>
    <x v="107"/>
  </r>
  <r>
    <x v="368"/>
    <s v="ZAMIRA COGOLLO CORDERO"/>
    <s v="Quimica Farmacéutica"/>
    <s v="ONCOMÉDICA S.A."/>
    <s v="812.007.194-8"/>
    <s v="asuministros01@imatoncomedica.com"/>
    <s v="Carrera 6 No. 72-34"/>
    <x v="1"/>
    <s v="MONTERIA"/>
    <s v="Solicitud Autorizacion Compra Directa ONCOMEDICA S.A"/>
    <n v="202124101175562"/>
    <d v="2021-07-01T00:00:00"/>
    <x v="6"/>
    <n v="202124111108671"/>
    <d v="2021-07-13T00:00:00"/>
    <s v="JUL"/>
    <n v="-12"/>
    <s v="NEGADO"/>
    <m/>
    <s v="No. 0669"/>
    <d v="2019-12-30T00:00:00"/>
    <s v="Hidromorfona HCl 2,5 mg Tableta_cajas X 20 unidades c/u"/>
    <n v="3000"/>
    <n v="150"/>
    <x v="1"/>
    <x v="9"/>
    <x v="4"/>
    <x v="4"/>
    <x v="127"/>
  </r>
  <r>
    <x v="369"/>
    <s v="YAMITH PRECIADO BONILLA"/>
    <s v="Director Técnico"/>
    <s v="MESSER COLOMBIA S.A"/>
    <s v="860005114-4"/>
    <s v="yamith.preciado@messer-co.com"/>
    <s v="Carrera 49C No. 80-148"/>
    <x v="3"/>
    <s v="BARRANQUILLA"/>
    <s v="AUTORIZACION COMPRA DE MORFINA SOLUCION ORAL AL 3%"/>
    <n v="202124101179562"/>
    <d v="2021-07-02T00:00:00"/>
    <x v="6"/>
    <n v="202124111108721"/>
    <d v="2021-07-13T00:00:00"/>
    <s v="JUL"/>
    <n v="-11"/>
    <s v="AUTORIZADO"/>
    <m/>
    <s v="No. 4001"/>
    <d v="2020-12-21T00:00:00"/>
    <s v="Morfina HCl 0,03 Solución Oral_frascos X 30 mL c/u"/>
    <n v="2"/>
    <n v="2"/>
    <x v="0"/>
    <x v="1"/>
    <x v="1"/>
    <x v="1"/>
    <x v="156"/>
  </r>
  <r>
    <x v="370"/>
    <s v="CLAUDIA MILENA MARTÍNEZ CAMPO"/>
    <s v="Representante Legal"/>
    <s v="SERVICIOS INTEGRALES DE SALUD DEL MAGDALENA S.A.S"/>
    <s v="900018045-5"/>
    <s v="serviciosintegrales_saludmagdale@yahoo.com"/>
    <s v="Calle 24 #18A-101 Santa Catalina"/>
    <x v="4"/>
    <s v="SANTA MARTA"/>
    <s v="AUTORIZACION PARA COMPRA DIRECTA "/>
    <n v="202124101199992"/>
    <d v="2021-07-06T00:00:00"/>
    <x v="6"/>
    <n v="202124111108781"/>
    <d v="2021-07-13T00:00:00"/>
    <s v="JUL"/>
    <n v="-7"/>
    <s v="AUTORIZADO"/>
    <m/>
    <s v="No. 4125"/>
    <d v="2017-12-12T00:00:00"/>
    <s v="Metilfenidato HCl 10 mg Comprimido_cajas X 30 unidades c/u"/>
    <n v="1200"/>
    <n v="40"/>
    <x v="4"/>
    <x v="3"/>
    <x v="3"/>
    <x v="2"/>
    <x v="33"/>
  </r>
  <r>
    <x v="370"/>
    <s v="CLAUDIA MILENA MARTÍNEZ CAMPO"/>
    <s v="Representante Legal"/>
    <s v="SERVICIOS INTEGRALES DE SALUD DEL MAGDALENA S.A.S"/>
    <s v="900018045-5"/>
    <s v="serviciosintegrales_saludmagdale@yahoo.com"/>
    <s v="Calle 24 #18A-101 Santa Catalina"/>
    <x v="4"/>
    <s v="SANTA MARTA"/>
    <s v="AUTORIZACION PARA COMPRA DIRECTA "/>
    <n v="202124101199992"/>
    <d v="2021-07-06T00:00:00"/>
    <x v="6"/>
    <n v="202124111108781"/>
    <d v="2021-07-13T00:00:00"/>
    <s v="JUL"/>
    <n v="-7"/>
    <s v="AUTORIZADO"/>
    <m/>
    <s v="No. 4125"/>
    <d v="2017-12-12T00:00:00"/>
    <s v="Hidromorfona HCl 2,5 mg Tableta_cajas X 20 unidades c/u"/>
    <n v="720"/>
    <n v="36"/>
    <x v="1"/>
    <x v="9"/>
    <x v="4"/>
    <x v="4"/>
    <x v="113"/>
  </r>
  <r>
    <x v="371"/>
    <s v="EINAR ALBERTO CAICEDO"/>
    <s v="Director Técnico"/>
    <s v="CLÍNICA ZAYMA S.A.S"/>
    <s v="800.074.112-6"/>
    <s v="quimico.sfi@clinicazayma.org"/>
    <s v="Cll 28 No. 7-11"/>
    <x v="1"/>
    <s v="MONTERIA"/>
    <s v="Solictud de cotizacion medicamento de control monopolio del estado"/>
    <n v="202124101175612"/>
    <d v="2021-07-07T00:00:00"/>
    <x v="6"/>
    <n v="202124111108701"/>
    <d v="2021-07-13T00:00:00"/>
    <s v="JUL"/>
    <n v="-6"/>
    <m/>
    <s v="COTIZACIÓN ENVIADA 202124101063882 del 17/06/2021"/>
    <m/>
    <m/>
    <m/>
    <m/>
    <s v=""/>
    <x v="9"/>
    <x v="17"/>
    <x v="9"/>
    <x v="13"/>
    <x v="0"/>
  </r>
  <r>
    <x v="372"/>
    <s v="JOHN JAIME ZAPATA FERIA"/>
    <s v="Director Técnico"/>
    <s v="SUMINISTROS Y DOTACIONES DE COLOMBIA S.A"/>
    <s v="802.000.608-7"/>
    <s v="johnjaimezapata01@gmail.com"/>
    <s v="Calle 15 No 7-95"/>
    <x v="14"/>
    <s v="YOPAL"/>
    <s v="Solicitud de cotización de MCE"/>
    <n v="202124101210142"/>
    <d v="2021-07-07T00:00:00"/>
    <x v="6"/>
    <n v="202124111108791"/>
    <d v="2021-07-13T00:00:00"/>
    <s v="JUL"/>
    <n v="-6"/>
    <s v="AUTORIZADO"/>
    <m/>
    <s v="No. 28"/>
    <d v="2021-01-27T00:00:00"/>
    <s v="Fenobarbital Sódico 200 mg/mL Solución Inyectable_caja X 10 ampollas c/u"/>
    <n v="100"/>
    <n v="10"/>
    <x v="3"/>
    <x v="5"/>
    <x v="0"/>
    <x v="0"/>
    <x v="10"/>
  </r>
  <r>
    <x v="372"/>
    <s v="JOHN JAIME ZAPATA FERIA"/>
    <s v="Director Técnico"/>
    <s v="SUMINISTROS Y DOTACIONES DE COLOMBIA S.A"/>
    <s v="802.000.608-7"/>
    <s v="johnjaimezapata01@gmail.com"/>
    <s v="Calle 15 No 7-95"/>
    <x v="14"/>
    <s v="YOPAL"/>
    <s v="Solicitud de cotización de MCE"/>
    <n v="202124101210142"/>
    <d v="2021-07-07T00:00:00"/>
    <x v="6"/>
    <n v="202124111108791"/>
    <d v="2021-07-13T00:00:00"/>
    <s v="JUL"/>
    <n v="-6"/>
    <s v="AUTORIZADO"/>
    <m/>
    <s v="No. 28"/>
    <d v="2021-01-27T00:00:00"/>
    <s v="Meperidina HCl 100 mg/2mL Solución Inyectable_cajas X 10 unidades c/u"/>
    <n v="300"/>
    <n v="30"/>
    <x v="6"/>
    <x v="8"/>
    <x v="0"/>
    <x v="3"/>
    <x v="124"/>
  </r>
  <r>
    <x v="372"/>
    <s v="JOHN JAIME ZAPATA FERIA"/>
    <s v="Director Técnico"/>
    <s v="SUMINISTROS Y DOTACIONES DE COLOMBIA S.A"/>
    <s v="802.000.608-7"/>
    <s v="johnjaimezapata01@gmail.com"/>
    <s v="Calle 15 No 7-95"/>
    <x v="14"/>
    <s v="YOPAL"/>
    <s v="Solicitud de cotización de MCE"/>
    <n v="202124101210142"/>
    <d v="2021-07-07T00:00:00"/>
    <x v="6"/>
    <n v="202124111108791"/>
    <d v="2021-07-13T00:00:00"/>
    <s v="JUL"/>
    <n v="-6"/>
    <s v="AUTORIZADO"/>
    <m/>
    <s v="No. 28"/>
    <d v="2021-01-27T00:00:00"/>
    <s v="Morfina HCl 10 mg/mL Solución Inyectable ampolla por 1mL"/>
    <n v="2000"/>
    <n v="200"/>
    <x v="0"/>
    <x v="0"/>
    <x v="0"/>
    <x v="0"/>
    <x v="55"/>
  </r>
  <r>
    <x v="372"/>
    <s v="JOHN JAIME ZAPATA FERIA"/>
    <s v="Director Técnico"/>
    <s v="SUMINISTROS Y DOTACIONES DE COLOMBIA S.A"/>
    <s v="802.000.608-7"/>
    <s v="johnjaimezapata01@gmail.com"/>
    <s v="Calle 15 No 7-95"/>
    <x v="14"/>
    <s v="YOPAL"/>
    <s v="Solicitud de cotización de MCE"/>
    <n v="202124101210142"/>
    <d v="2021-07-07T00:00:00"/>
    <x v="6"/>
    <n v="202124111108791"/>
    <d v="2021-07-13T00:00:00"/>
    <s v="JUL"/>
    <n v="-6"/>
    <s v="AUTORIZADO"/>
    <m/>
    <s v="No. 28"/>
    <d v="2021-01-27T00:00:00"/>
    <s v="Morfina HCl 10 mg/mL Solución Inyectable ampolla por 5mL"/>
    <n v="4000"/>
    <n v="400"/>
    <x v="0"/>
    <x v="16"/>
    <x v="0"/>
    <x v="12"/>
    <x v="152"/>
  </r>
  <r>
    <x v="373"/>
    <s v="JORGE HUMBERTO GONZALEZ BAHAMON"/>
    <s v="Gerente"/>
    <s v="Hospital Departamental San Vicente de Paul"/>
    <s v="891.180.026-5"/>
    <s v="farmacia@hospitalsvpgarzon.gov.co"/>
    <s v="Calle 7 No. 14-74"/>
    <x v="7"/>
    <s v="GARZON"/>
    <s v="SOLICITUD DE COMPRA + AUTORIZACIÓN DE RETIRO DE MEDICAMENTOS DE CONTROL ESPECIAL"/>
    <n v="202124101219912"/>
    <d v="2021-07-08T00:00:00"/>
    <x v="6"/>
    <n v="202124111108801"/>
    <d v="2021-07-13T00:00:00"/>
    <s v="JUL"/>
    <n v="-5"/>
    <s v="AUTORIZADO"/>
    <m/>
    <s v="No. 1857"/>
    <d v="2016-09-26T00:00:00"/>
    <s v="Meperidina HCl 100 mg/2mL Solución Inyectable_cajas X 10 unidades c/u"/>
    <n v="200"/>
    <n v="20"/>
    <x v="6"/>
    <x v="8"/>
    <x v="0"/>
    <x v="3"/>
    <x v="31"/>
  </r>
  <r>
    <x v="373"/>
    <s v="JORGE HUMBERTO GONZALEZ BAHAMON"/>
    <s v="Gerente"/>
    <s v="Hospital Departamental San Vicente de Paul"/>
    <s v="891.180.026-5"/>
    <s v="farmacia@hospitalsvpgarzon.gov.co"/>
    <s v="Calle 7 No. 14-74"/>
    <x v="7"/>
    <s v="GARZON"/>
    <s v="SOLICITUD DE COMPRA + AUTORIZACIÓN DE RETIRO DE MEDICAMENTOS DE CONTROL ESPECIAL"/>
    <n v="202124101219912"/>
    <d v="2021-07-08T00:00:00"/>
    <x v="6"/>
    <n v="202124111108801"/>
    <d v="2021-07-13T00:00:00"/>
    <s v="JUL"/>
    <n v="-5"/>
    <s v="NEGADO"/>
    <m/>
    <s v="No. 1857"/>
    <d v="2016-09-26T00:00:00"/>
    <s v="Morfina HCl 10 mg/mL Solución Inyectable ampolla por 1mL"/>
    <m/>
    <n v="0"/>
    <x v="0"/>
    <x v="0"/>
    <x v="0"/>
    <x v="0"/>
    <x v="0"/>
  </r>
  <r>
    <x v="373"/>
    <s v="JORGE HUMBERTO GONZALEZ BAHAMON"/>
    <s v="Gerente"/>
    <s v="Hospital Departamental San Vicente de Paul"/>
    <s v="891.180.026-5"/>
    <s v="farmacia@hospitalsvpgarzon.gov.co"/>
    <s v="Calle 7 No. 14-74"/>
    <x v="7"/>
    <s v="GARZON"/>
    <s v="SOLICITUD DE COMPRA + AUTORIZACIÓN DE RETIRO DE MEDICAMENTOS DE CONTROL ESPECIAL"/>
    <n v="202124101219912"/>
    <d v="2021-07-08T00:00:00"/>
    <x v="6"/>
    <n v="202124111108801"/>
    <d v="2021-07-13T00:00:00"/>
    <s v="JUL"/>
    <n v="-5"/>
    <s v="NEGADO"/>
    <m/>
    <s v="No. 1857"/>
    <d v="2016-09-26T00:00:00"/>
    <s v="Fenobarbital Sódico 40 mg/mL Solución Inyectable_caja X 10 ampollas c/u"/>
    <m/>
    <n v="0"/>
    <x v="3"/>
    <x v="6"/>
    <x v="0"/>
    <x v="0"/>
    <x v="0"/>
  </r>
  <r>
    <x v="374"/>
    <s v="ELIANA MARÍA CORREA ESTUPIÑÁN"/>
    <s v="Director Técnico servicio farmacéutico"/>
    <s v="Clínica Medicenter Ficubo SAS"/>
    <s v="900.685.235-8"/>
    <s v="seguridad.paciente@clinicamedicenterficubo.com"/>
    <s v="Carrera 23 # 12-43"/>
    <x v="14"/>
    <s v="YOPAL"/>
    <s v="SOLICITUD AUTORIZACION COMPRA MORFINA"/>
    <n v="202124101222762"/>
    <d v="2021-07-09T00:00:00"/>
    <x v="6"/>
    <n v="202124111124421"/>
    <d v="2021-07-13T00:00:00"/>
    <s v="JUL"/>
    <n v="-4"/>
    <s v="AUTORIZADO"/>
    <m/>
    <s v="No. 1239"/>
    <d v="2020-10-30T00:00:00"/>
    <s v="Morfina HCl 10 mg/mL Solución Inyectable ampolla por 1mL"/>
    <n v="300"/>
    <n v="30"/>
    <x v="0"/>
    <x v="0"/>
    <x v="0"/>
    <x v="0"/>
    <x v="54"/>
  </r>
  <r>
    <x v="375"/>
    <s v="ANGEL JOHAN OJITO CHAVERRA"/>
    <s v="Químico Farmacéutico – Director Técnico General"/>
    <s v="Droguería Alianza de Occidente 085 Ibagué"/>
    <s v="817.004.260-0"/>
    <s v="direcciontecnica@dao.com.co"/>
    <s v="Carrera 4k No. 31A -9 Barrio Cádiz"/>
    <x v="0"/>
    <s v="IBAGUE"/>
    <s v="Solicitud de autorización compra directa Medicamentos de control Especial Monopolio del Estado."/>
    <n v="202124101225692"/>
    <d v="2021-07-09T00:00:00"/>
    <x v="6"/>
    <n v="202124111116421"/>
    <d v="2021-07-14T00:00:00"/>
    <s v="JUL"/>
    <n v="-5"/>
    <s v="NEGADO"/>
    <m/>
    <s v="No. 2030"/>
    <d v="2020-10-08T00:00:00"/>
    <s v="Fenobarbital 100 mg Tableta_cajas X 30 unidades c/u"/>
    <m/>
    <n v="0"/>
    <x v="5"/>
    <x v="7"/>
    <x v="4"/>
    <x v="2"/>
    <x v="0"/>
  </r>
  <r>
    <x v="375"/>
    <s v="ANGEL JOHAN OJITO CHAVERRA"/>
    <s v="Químico Farmacéutico – Director Técnico General"/>
    <s v="Droguería Alianza de Occidente 085 Ibagué"/>
    <s v="817.004.260-0"/>
    <s v="direcciontecnica@dao.com.co"/>
    <s v="Carrera 4k No. 31A -9 Barrio Cádiz"/>
    <x v="0"/>
    <s v="IBAGUE"/>
    <s v="Solicitud de autorización compra directa Medicamentos de control Especial Monopolio del Estado."/>
    <n v="202124101225692"/>
    <d v="2021-07-09T00:00:00"/>
    <x v="6"/>
    <n v="202124111116421"/>
    <d v="2021-07-14T00:00:00"/>
    <s v="JUL"/>
    <n v="-5"/>
    <s v="AUTORIZADO"/>
    <m/>
    <s v="No. 2030"/>
    <d v="2020-10-08T00:00:00"/>
    <s v="Morfina HCl 0,03 Solución Oral_frascos X 30 mL c/u"/>
    <n v="30"/>
    <n v="30"/>
    <x v="0"/>
    <x v="1"/>
    <x v="1"/>
    <x v="1"/>
    <x v="43"/>
  </r>
  <r>
    <x v="375"/>
    <s v="ANGEL JOHAN OJITO CHAVERRA"/>
    <s v="Químico Farmacéutico – Director Técnico General"/>
    <s v="Droguería Alianza de Occidente 085 Ibagué"/>
    <s v="817.004.260-0"/>
    <s v="direcciontecnica@dao.com.co"/>
    <s v="Carrera 4k No. 31A -9 Barrio Cádiz"/>
    <x v="0"/>
    <s v="IBAGUE"/>
    <s v="Solicitud de autorización compra directa Medicamentos de control Especial Monopolio del Estado."/>
    <n v="202124101225692"/>
    <d v="2021-07-09T00:00:00"/>
    <x v="6"/>
    <n v="202124111116421"/>
    <d v="2021-07-14T00:00:00"/>
    <s v="JUL"/>
    <n v="-5"/>
    <s v="NEGADO"/>
    <m/>
    <s v="No. 2030"/>
    <d v="2020-10-08T00:00:00"/>
    <s v="Hidromorfona HCl 2,5 mg Tableta_cajas X 20 unidades c/u"/>
    <m/>
    <n v="0"/>
    <x v="1"/>
    <x v="9"/>
    <x v="4"/>
    <x v="4"/>
    <x v="0"/>
  </r>
  <r>
    <x v="376"/>
    <s v="GUSTAVO ADOLFO VILLA TARRIBA"/>
    <s v="Director Técnico"/>
    <s v="Centro Hospitalario Serena del Mar S.A"/>
    <s v="900.482.242-8"/>
    <s v="gina.ojito@chsm.com"/>
    <s v="Vía al Mar Km 8"/>
    <x v="2"/>
    <s v="CARTAGENA"/>
    <s v="Solicitud Medicamentos Centro Hospitalario Serena del Mar"/>
    <n v="202124101229232"/>
    <d v="2021-07-09T00:00:00"/>
    <x v="6"/>
    <n v="202124111116451"/>
    <d v="2021-07-14T00:00:00"/>
    <s v="JUL"/>
    <n v="-5"/>
    <s v="AUTORIZADO"/>
    <m/>
    <s v="No. 018"/>
    <d v="2021-02-08T00:00:00"/>
    <s v="Morfina HCl 10 mg/mL Solución Inyectable ampolla por 1mL"/>
    <n v="600"/>
    <n v="60"/>
    <x v="0"/>
    <x v="0"/>
    <x v="0"/>
    <x v="0"/>
    <x v="42"/>
  </r>
  <r>
    <x v="376"/>
    <s v="GUSTAVO ADOLFO VILLA TARRIBA"/>
    <s v="Director Técnico"/>
    <s v="Centro Hospitalario Serena del Mar S.A"/>
    <s v="900.482.242-8"/>
    <s v="gina.ojito@chsm.com"/>
    <s v="Vía al Mar Km 8"/>
    <x v="2"/>
    <s v="CARTAGENA"/>
    <s v="Solicitud Medicamentos Centro Hospitalario Serena del Mar"/>
    <n v="202124101229232"/>
    <d v="2021-07-09T00:00:00"/>
    <x v="6"/>
    <n v="202124111116451"/>
    <d v="2021-07-14T00:00:00"/>
    <s v="JUL"/>
    <n v="-5"/>
    <s v="NEGADO"/>
    <m/>
    <s v="No. 018"/>
    <d v="2021-02-08T00:00:00"/>
    <s v="Fenobarbital Sódico 40 mg/mL Solución Inyectable_caja X 10 ampollas c/u"/>
    <m/>
    <n v="0"/>
    <x v="3"/>
    <x v="6"/>
    <x v="0"/>
    <x v="0"/>
    <x v="0"/>
  </r>
  <r>
    <x v="377"/>
    <s v="RAUL BELTRAN PORTELA"/>
    <s v="Quimico Farmacéutico"/>
    <s v="CLINICA PIEDECUESTA S.A"/>
    <s v="800090749-4"/>
    <s v="qfclinipiedecuesta@gmail.com"/>
    <s v="Carrera 11 No. 6-48"/>
    <x v="8"/>
    <s v="PIEDECUESTA"/>
    <s v="SOLICITUD COTIZACIÓN MORFINAS Y FENOBARBITAL"/>
    <n v="202124101229832"/>
    <d v="2021-07-09T00:00:00"/>
    <x v="6"/>
    <n v="202124111116481"/>
    <d v="2021-07-14T00:00:00"/>
    <s v="JUL"/>
    <n v="-5"/>
    <s v="NEGADO"/>
    <m/>
    <s v="No. 8328"/>
    <d v="2019-06-14T00:00:00"/>
    <s v="Morfina HCl 10 mg/mL Solución Inyectable ampolla por 1mL"/>
    <m/>
    <n v="0"/>
    <x v="0"/>
    <x v="0"/>
    <x v="0"/>
    <x v="0"/>
    <x v="0"/>
  </r>
  <r>
    <x v="377"/>
    <s v="RAUL BELTRAN PORTELA"/>
    <s v="Quimico Farmacéutico"/>
    <s v="CLINICA PIEDECUESTA S.A"/>
    <s v="800090749-4"/>
    <s v="qfclinipiedecuesta@gmail.com"/>
    <s v="Carrera 11 No. 6-48"/>
    <x v="8"/>
    <s v="PIEDECUESTA"/>
    <s v="SOLICITUD COTIZACIÓN MORFINAS Y FENOBARBITAL"/>
    <n v="202124101229832"/>
    <d v="2021-07-09T00:00:00"/>
    <x v="6"/>
    <n v="202124111116481"/>
    <d v="2021-07-14T00:00:00"/>
    <s v="JUL"/>
    <n v="-5"/>
    <s v="AUTORIZADO"/>
    <m/>
    <s v="No. 8328"/>
    <d v="2019-06-14T00:00:00"/>
    <s v="Fenobarbital Sódico 200 mg/mL Solución Inyectable_caja X 10 ampollas c/u"/>
    <n v="500"/>
    <n v="50"/>
    <x v="3"/>
    <x v="5"/>
    <x v="0"/>
    <x v="0"/>
    <x v="57"/>
  </r>
  <r>
    <x v="378"/>
    <s v="JOSÉ FERNANDO CAÑIZALES RUBIO"/>
    <s v="Director Técnico"/>
    <s v="ESE HOSPITAL UNIVERSITARIO HERNANDO MONCALEANO PERDOMO"/>
    <s v="891.180.268-0"/>
    <s v="alexandra.mosquera@huhmp.gov.co"/>
    <s v="Calle 9 No. 15-25 "/>
    <x v="7"/>
    <s v="NEIVA"/>
    <s v="SOLICITUD DE COTIZACION DE MEDICAMENTOS DE MONOPOLIO DEL ESTADO"/>
    <n v="202124101230342"/>
    <d v="2021-07-09T00:00:00"/>
    <x v="6"/>
    <n v="202124111116541"/>
    <d v="2021-07-14T00:00:00"/>
    <s v="JUL"/>
    <n v="-5"/>
    <s v="AUTORIZADO"/>
    <m/>
    <s v="No. 0483"/>
    <d v="2017-04-06T00:00:00"/>
    <s v="Meperidina HCl 100 mg/2mL Solución Inyectable_cajas X 10 unidades c/u"/>
    <n v="400"/>
    <n v="40"/>
    <x v="6"/>
    <x v="8"/>
    <x v="0"/>
    <x v="3"/>
    <x v="64"/>
  </r>
  <r>
    <x v="379"/>
    <s v="ROSA MARIA JIMENEZ BAQUERO"/>
    <s v="Gerente"/>
    <s v="HOSPITAL CASTILLA LA NUEVA E.S.E."/>
    <s v="900.004.059-7"/>
    <s v="farmaciaesecastillalanueva@gmail.com"/>
    <s v="Carrera 8 No.15 Vía Cacayal"/>
    <x v="6"/>
    <s v="CASTILLA LA NUEVA"/>
    <s v="SOLICITUD COMPRA MEDICAMENTOS FNE"/>
    <n v="202124101236442"/>
    <d v="2021-07-12T00:00:00"/>
    <x v="6"/>
    <n v="202124111116561"/>
    <d v="2021-07-14T00:00:00"/>
    <s v="JUL"/>
    <n v="-2"/>
    <s v="AUTORIZADO"/>
    <m/>
    <s v="No. 0012"/>
    <d v="2020-01-14T00:00:00"/>
    <s v="Fenobarbital 100 mg Tableta_cajas X 30 unidades c/u"/>
    <n v="240"/>
    <n v="8"/>
    <x v="5"/>
    <x v="7"/>
    <x v="4"/>
    <x v="2"/>
    <x v="96"/>
  </r>
  <r>
    <x v="379"/>
    <s v="ROSA MARIA JIMENEZ BAQUERO"/>
    <s v="Gerente"/>
    <s v="HOSPITAL CASTILLA LA NUEVA E.S.E."/>
    <s v="900.004.059-7"/>
    <s v="farmaciaesecastillalanueva@gmail.com"/>
    <s v="Carrera 8 No.15 Vía Cacayal"/>
    <x v="6"/>
    <s v="CASTILLA LA NUEVA"/>
    <s v="SOLICITUD COMPRA MEDICAMENTOS FNE"/>
    <n v="202124101236442"/>
    <d v="2021-07-12T00:00:00"/>
    <x v="6"/>
    <n v="202124111116561"/>
    <d v="2021-07-14T00:00:00"/>
    <s v="JUL"/>
    <n v="-2"/>
    <s v="AUTORIZADO"/>
    <m/>
    <s v="No. 0012"/>
    <d v="2020-01-14T00:00:00"/>
    <s v="Morfina HCl 10 mg/mL Solución Inyectable ampolla por 1mL"/>
    <n v="50"/>
    <n v="5"/>
    <x v="0"/>
    <x v="0"/>
    <x v="0"/>
    <x v="0"/>
    <x v="17"/>
  </r>
  <r>
    <x v="379"/>
    <s v="ROSA MARIA JIMENEZ BAQUERO"/>
    <s v="Gerente"/>
    <s v="HOSPITAL CASTILLA LA NUEVA E.S.E."/>
    <s v="900.004.059-7"/>
    <s v="farmaciaesecastillalanueva@gmail.com"/>
    <s v="Carrera 8 No.15 Vía Cacayal"/>
    <x v="6"/>
    <s v="CASTILLA LA NUEVA"/>
    <s v="SOLICITUD COMPRA MEDICAMENTOS FNE"/>
    <n v="202124101236442"/>
    <d v="2021-07-12T00:00:00"/>
    <x v="6"/>
    <n v="202124111116561"/>
    <d v="2021-07-14T00:00:00"/>
    <s v="JUL"/>
    <n v="-2"/>
    <s v="AUTORIZADO"/>
    <m/>
    <s v="No. 0012"/>
    <d v="2020-01-14T00:00:00"/>
    <s v="Meperidina HCl 100 mg/2mL Solución Inyectable_cajas X 10 unidades c/u"/>
    <n v="50"/>
    <n v="5"/>
    <x v="6"/>
    <x v="8"/>
    <x v="0"/>
    <x v="3"/>
    <x v="9"/>
  </r>
  <r>
    <x v="380"/>
    <s v="YAMITH PRECIADO BONILLA"/>
    <s v="Director Técnico"/>
    <s v="MESSER COLOMBIA S.A"/>
    <s v="860.005.114-4"/>
    <s v="yamith.preciado@messer-co.com"/>
    <s v="Carrera 49C No. 80-148"/>
    <x v="3"/>
    <s v="BARRANQUILLA"/>
    <s v="AUTORIZACION COMPRA MORFINA SOL INYECTABLE"/>
    <n v="202124101237342"/>
    <d v="2021-07-12T00:00:00"/>
    <x v="6"/>
    <n v="202124111116601"/>
    <d v="2021-07-14T00:00:00"/>
    <s v="JUL"/>
    <n v="-2"/>
    <s v="AUTORIZADO"/>
    <m/>
    <s v="No. 4001"/>
    <d v="2020-12-21T00:00:00"/>
    <s v="Morfina HCl 10 mg/mL Solución Inyectable ampolla por 1mL"/>
    <n v="60"/>
    <n v="6"/>
    <x v="0"/>
    <x v="0"/>
    <x v="0"/>
    <x v="0"/>
    <x v="81"/>
  </r>
  <r>
    <x v="381"/>
    <s v="CINDY JOHANNA HERRERA FLOREZ"/>
    <s v="Adm. y Regente de Farmacia."/>
    <s v="DISPENSARIO ETICOS 698"/>
    <s v="892.300.678-7"/>
    <s v="dispensario698@drogaslaeconomia.com"/>
    <s v="Calle 30 No. 03-28 Barrio Centro"/>
    <x v="1"/>
    <s v="MONTERIA"/>
    <s v="Solicitud de compra medicamento fne. urgnte"/>
    <n v="202124101240602"/>
    <d v="2021-07-12T00:00:00"/>
    <x v="6"/>
    <n v="202124111116631"/>
    <d v="2021-07-14T00:00:00"/>
    <s v="JUL"/>
    <n v="-2"/>
    <s v="NEGADO"/>
    <m/>
    <s v="No. 664"/>
    <d v="2019-12-20T00:00:00"/>
    <s v="Morfina HCl 0,03 Solución Oral_frascos X 30 mL c/u"/>
    <n v="0"/>
    <n v="0"/>
    <x v="0"/>
    <x v="1"/>
    <x v="1"/>
    <x v="1"/>
    <x v="0"/>
  </r>
  <r>
    <x v="381"/>
    <s v="CINDY JOHANNA HERRERA FLOREZ"/>
    <s v="Adm. y Regente de Farmacia."/>
    <s v="DISPENSARIO ETICOS 698"/>
    <s v="892.300.678-7"/>
    <s v="dispensario698@drogaslaeconomia.com"/>
    <s v="Calle 30 No. 03-28 Barrio Centro"/>
    <x v="1"/>
    <s v="MONTERIA"/>
    <s v="Solicitud de compra medicamento fne. urgnte"/>
    <n v="202124101240602"/>
    <d v="2021-07-12T00:00:00"/>
    <x v="6"/>
    <n v="202124111116631"/>
    <d v="2021-07-14T00:00:00"/>
    <s v="JUL"/>
    <n v="-2"/>
    <s v="NEGADO"/>
    <m/>
    <s v="No. 664"/>
    <d v="2019-12-20T00:00:00"/>
    <s v="Metilfenidato HCl 10 mg Comprimido_cajas X 30 unidades c/u"/>
    <n v="0"/>
    <n v="0"/>
    <x v="4"/>
    <x v="3"/>
    <x v="3"/>
    <x v="2"/>
    <x v="0"/>
  </r>
  <r>
    <x v="381"/>
    <s v="CINDY JOHANNA HERRERA FLOREZ"/>
    <s v="Adm. y Regente de Farmacia."/>
    <s v="DISPENSARIO ETICOS 698"/>
    <s v="892.300.678-7"/>
    <s v="dispensario698@drogaslaeconomia.com"/>
    <s v="Calle 30 No. 03-28 Barrio Centro"/>
    <x v="1"/>
    <s v="MONTERIA"/>
    <s v="Solicitud de compra medicamento fne. urgnte"/>
    <n v="202124101240602"/>
    <d v="2021-07-12T00:00:00"/>
    <x v="6"/>
    <n v="202124111116631"/>
    <d v="2021-07-14T00:00:00"/>
    <s v="JUL"/>
    <n v="-2"/>
    <s v="NEGADO"/>
    <m/>
    <s v="No. 664"/>
    <d v="2019-12-20T00:00:00"/>
    <s v="Hidromorfona HCl 2,5 mg Tableta_cajas X 20 unidades c/u"/>
    <n v="0"/>
    <n v="0"/>
    <x v="1"/>
    <x v="9"/>
    <x v="4"/>
    <x v="4"/>
    <x v="0"/>
  </r>
  <r>
    <x v="382"/>
    <s v="JOHN JAVIER ESPINOSA"/>
    <s v="Regente de farmacia"/>
    <s v="MEDLIFE S.A.S"/>
    <s v="804.010.795-6"/>
    <s v="dispensacionibaguemedlife@gmail.com"/>
    <s v="Carrera 4D No. 36-46/Cádiz"/>
    <x v="0"/>
    <s v="IBAGUE"/>
    <s v="COTIZACIÓN"/>
    <n v="202124101241262"/>
    <d v="2021-07-12T00:00:00"/>
    <x v="6"/>
    <n v="202124111116671"/>
    <d v="2021-07-14T00:00:00"/>
    <s v="JUL"/>
    <n v="-2"/>
    <s v="NEGADO"/>
    <m/>
    <s v="No. 2641"/>
    <d v="2020-12-21T00:00:00"/>
    <s v="Fenobarbital 100 mg Tableta_cajas X 30 unidades c/u"/>
    <m/>
    <n v="0"/>
    <x v="5"/>
    <x v="7"/>
    <x v="4"/>
    <x v="2"/>
    <x v="0"/>
  </r>
  <r>
    <x v="382"/>
    <s v="JOHN JAVIER ESPINOSA"/>
    <s v="Regente de farmacia"/>
    <s v="MEDLIFE S.A.S"/>
    <s v="804.010.795-6"/>
    <s v="dispensacionibaguemedlife@gmail.com"/>
    <s v="Carrera 4D No. 36-46/Cádiz"/>
    <x v="0"/>
    <s v="IBAGUE"/>
    <s v="COTIZACIÓN"/>
    <n v="202124101241262"/>
    <d v="2021-07-12T00:00:00"/>
    <x v="6"/>
    <n v="202124111116671"/>
    <d v="2021-07-14T00:00:00"/>
    <s v="JUL"/>
    <n v="-2"/>
    <s v="NEGADO"/>
    <m/>
    <s v="No. 2641"/>
    <d v="2020-12-21T00:00:00"/>
    <s v="Metilfenidato HCl 10 mg Comprimido_cajas X 30 unidades c/u"/>
    <m/>
    <n v="0"/>
    <x v="4"/>
    <x v="3"/>
    <x v="3"/>
    <x v="2"/>
    <x v="0"/>
  </r>
  <r>
    <x v="382"/>
    <s v="JOHN JAVIER ESPINOSA"/>
    <s v="Regente de farmacia"/>
    <s v="MEDLIFE S.A.S"/>
    <s v="804.010.795-6"/>
    <s v="dispensacionibaguemedlife@gmail.com"/>
    <s v="Carrera 4D No. 36-46/Cádiz"/>
    <x v="0"/>
    <s v="IBAGUE"/>
    <s v="COTIZACIÓN"/>
    <n v="202124101241262"/>
    <d v="2021-07-12T00:00:00"/>
    <x v="6"/>
    <n v="202124111116671"/>
    <d v="2021-07-14T00:00:00"/>
    <s v="JUL"/>
    <n v="-2"/>
    <s v="NEGADO"/>
    <m/>
    <s v="No. 2641"/>
    <d v="2020-12-21T00:00:00"/>
    <s v="Morfina HCl 0,03 Solución Oral_frascos X 30 mL c/u"/>
    <m/>
    <n v="0"/>
    <x v="0"/>
    <x v="1"/>
    <x v="1"/>
    <x v="1"/>
    <x v="0"/>
  </r>
  <r>
    <x v="382"/>
    <s v="JOHN JAVIER ESPINOSA"/>
    <s v="Regente de farmacia"/>
    <s v="MEDLIFE S.A.S"/>
    <s v="804.010.795-6"/>
    <s v="dispensacionibaguemedlife@gmail.com"/>
    <s v="Carrera 4D No. 36-46/Cádiz"/>
    <x v="0"/>
    <s v="IBAGUE"/>
    <s v="COTIZACIÓN"/>
    <n v="202124101241262"/>
    <d v="2021-07-12T00:00:00"/>
    <x v="6"/>
    <n v="202124111116671"/>
    <d v="2021-07-14T00:00:00"/>
    <s v="JUL"/>
    <n v="-2"/>
    <s v="NEGADO"/>
    <m/>
    <s v="No. 2641"/>
    <d v="2020-12-21T00:00:00"/>
    <s v="Metadona HCl 10 mg Tableta_Cajas X 30 unidades c/u"/>
    <m/>
    <n v="0"/>
    <x v="2"/>
    <x v="3"/>
    <x v="2"/>
    <x v="2"/>
    <x v="0"/>
  </r>
  <r>
    <x v="382"/>
    <s v="JOHN JAVIER ESPINOSA"/>
    <s v="Regente de farmacia"/>
    <s v="MEDLIFE S.A.S"/>
    <s v="804.010.795-6"/>
    <s v="dispensacionibaguemedlife@gmail.com"/>
    <s v="Carrera 4D No. 36-46/Cádiz"/>
    <x v="0"/>
    <s v="IBAGUE"/>
    <s v="COTIZACIÓN"/>
    <n v="202124101241262"/>
    <d v="2021-07-12T00:00:00"/>
    <x v="6"/>
    <n v="202124111116671"/>
    <d v="2021-07-14T00:00:00"/>
    <s v="JUL"/>
    <n v="-2"/>
    <s v="AUTORIZADO"/>
    <m/>
    <s v="No. 2641"/>
    <d v="2020-12-21T00:00:00"/>
    <s v="Morfina HCl 10 mg/mL Solución Inyectable ampolla por 1mL"/>
    <n v="700"/>
    <n v="70"/>
    <x v="0"/>
    <x v="0"/>
    <x v="0"/>
    <x v="0"/>
    <x v="14"/>
  </r>
  <r>
    <x v="383"/>
    <s v="MARYENIS BAUTISTA URUETA"/>
    <s v="Química Farmacéutica"/>
    <s v="UROCADIZ ESPECIALIDADES MEDICO QUIRURGICAS S.A.S"/>
    <s v="809.012.505-4"/>
    <s v="farmacia@urocadiz.com"/>
    <s v="Cra. 4D N. 32-11 Cádiz"/>
    <x v="0"/>
    <s v="IBAGUE"/>
    <s v="SOLICITUD CLINICA UROCADIZ"/>
    <n v="202124101243712"/>
    <d v="2021-07-12T00:00:00"/>
    <x v="6"/>
    <n v="202124111116701"/>
    <d v="2021-07-14T00:00:00"/>
    <s v="JUL"/>
    <n v="-2"/>
    <s v="AUTORIZADO"/>
    <m/>
    <s v="No. 905"/>
    <d v="2018-03-23T00:00:00"/>
    <s v="Morfina HCl 10 mg/mL Solución Inyectable ampolla por 1mL"/>
    <n v="150"/>
    <n v="15"/>
    <x v="0"/>
    <x v="0"/>
    <x v="0"/>
    <x v="0"/>
    <x v="19"/>
  </r>
  <r>
    <x v="384"/>
    <s v="LUISA FERNANDA GARCIA"/>
    <s v="Representante Legal"/>
    <s v="CORPORACION MI IPS LLANOS ORIENTALES"/>
    <s v="822.006.818-7"/>
    <s v="farmaciaipselparque@miips.com.co"/>
    <s v="CARRERA 40 # 32-06 BARZAL"/>
    <x v="6"/>
    <s v="VILLAVICENCIO"/>
    <s v="SOLICITUD COMPRA DIRECTA"/>
    <n v="202124101245102"/>
    <d v="2021-07-13T00:00:00"/>
    <x v="6"/>
    <n v="202124111116731"/>
    <d v="2021-07-14T00:00:00"/>
    <s v="JUL"/>
    <n v="-1"/>
    <s v="AUTORIZADO"/>
    <m/>
    <s v="No. 044"/>
    <d v="2021-03-26T00:00:00"/>
    <s v="Morfina HCl 10 mg/mL Solución Inyectable ampolla por 1mL"/>
    <n v="1800"/>
    <n v="180"/>
    <x v="0"/>
    <x v="0"/>
    <x v="0"/>
    <x v="0"/>
    <x v="181"/>
  </r>
  <r>
    <x v="384"/>
    <s v="LUISA FERNANDA GARCIA"/>
    <s v="Representante Legal"/>
    <s v="CORPORACION MI IPS LLANOS ORIENTALES"/>
    <s v="822.006.818-7"/>
    <s v="farmaciaipselparque@miips.com.co"/>
    <s v="CARRERA 40 # 32-06 BARZAL"/>
    <x v="6"/>
    <s v="VILLAVICENCIO"/>
    <s v="SOLICITUD COMPRA DIRECTA"/>
    <n v="202124101245102"/>
    <d v="2021-07-13T00:00:00"/>
    <x v="6"/>
    <n v="202124111116731"/>
    <d v="2021-07-14T00:00:00"/>
    <s v="JUL"/>
    <n v="-1"/>
    <s v="AUTORIZADO"/>
    <m/>
    <s v="No. 044"/>
    <d v="2021-03-26T00:00:00"/>
    <s v="Morfina HCl 0,03 Solución Oral_frascos X 30 mL c/u"/>
    <n v="10"/>
    <n v="10"/>
    <x v="0"/>
    <x v="1"/>
    <x v="1"/>
    <x v="1"/>
    <x v="47"/>
  </r>
  <r>
    <x v="384"/>
    <s v="LUISA FERNANDA GARCIA"/>
    <s v="Representante Legal"/>
    <s v="CORPORACION MI IPS LLANOS ORIENTALES"/>
    <s v="822.006.818-7"/>
    <s v="farmaciaipselparque@miips.com.co"/>
    <s v="CARRERA 40 # 32-06 BARZAL"/>
    <x v="6"/>
    <s v="VILLAVICENCIO"/>
    <s v="SOLICITUD COMPRA DIRECTA"/>
    <n v="202124101245102"/>
    <d v="2021-07-13T00:00:00"/>
    <x v="6"/>
    <n v="202124111116731"/>
    <d v="2021-07-14T00:00:00"/>
    <s v="JUL"/>
    <n v="-1"/>
    <s v="AUTORIZADO"/>
    <m/>
    <s v="No. 044"/>
    <d v="2021-03-26T00:00:00"/>
    <s v="Fenobarbital 0,4% Solución Oral_frascos X 120 mL c/u"/>
    <n v="15"/>
    <n v="15"/>
    <x v="5"/>
    <x v="11"/>
    <x v="1"/>
    <x v="6"/>
    <x v="100"/>
  </r>
  <r>
    <x v="384"/>
    <s v="LUISA FERNANDA GARCIA"/>
    <s v="Representante Legal"/>
    <s v="CORPORACION MI IPS LLANOS ORIENTALES"/>
    <s v="822.006.818-7"/>
    <s v="farmaciaipselparque@miips.com.co"/>
    <s v="CARRERA 40 # 32-06 BARZAL"/>
    <x v="6"/>
    <s v="VILLAVICENCIO"/>
    <s v="SOLICITUD COMPRA DIRECTA"/>
    <n v="202124101245102"/>
    <d v="2021-07-13T00:00:00"/>
    <x v="6"/>
    <n v="202124111116731"/>
    <d v="2021-07-14T00:00:00"/>
    <s v="JUL"/>
    <n v="-1"/>
    <s v="AUTORIZADO"/>
    <m/>
    <s v="No. 044"/>
    <d v="2021-03-26T00:00:00"/>
    <s v="Fenobarbital 50 mg Tableta_cajas X 30 unidades c/u"/>
    <n v="700"/>
    <n v="23"/>
    <x v="5"/>
    <x v="12"/>
    <x v="4"/>
    <x v="2"/>
    <x v="179"/>
  </r>
  <r>
    <x v="384"/>
    <s v="LUISA FERNANDA GARCIA"/>
    <s v="Representante Legal"/>
    <s v="CORPORACION MI IPS LLANOS ORIENTALES"/>
    <s v="822.006.818-7"/>
    <s v="farmaciaipselparque@miips.com.co"/>
    <s v="CARRERA 40 # 32-06 BARZAL"/>
    <x v="6"/>
    <s v="VILLAVICENCIO"/>
    <s v="SOLICITUD COMPRA DIRECTA"/>
    <n v="202124101245102"/>
    <d v="2021-07-13T00:00:00"/>
    <x v="6"/>
    <n v="202124111116731"/>
    <d v="2021-07-14T00:00:00"/>
    <s v="JUL"/>
    <n v="-1"/>
    <s v="AUTORIZADO"/>
    <m/>
    <s v="No. 044"/>
    <d v="2021-03-26T00:00:00"/>
    <s v="Fenobarbital 100 mg Tableta_cajas X 30 unidades c/u"/>
    <n v="800"/>
    <n v="26"/>
    <x v="5"/>
    <x v="7"/>
    <x v="4"/>
    <x v="2"/>
    <x v="182"/>
  </r>
  <r>
    <x v="385"/>
    <s v="ANDRÉS FELIPE MACÍAS LÓPEZ"/>
    <s v="Coordinador Servicio Farmacéutico"/>
    <s v="CLINICA PRADO"/>
    <s v="891.701.664-1"/>
    <s v="pradofarmacia1@gmail.com"/>
    <s v="CARRERA 5 # 25-46 esquina Barrio el Prado"/>
    <x v="4"/>
    <s v="SANTA MARTA"/>
    <s v="SOLICITUD DE COMPRA DIRECTA DE MEDICAMENTOS MONOPOLIO DEL ESTADO"/>
    <n v="202124101245532"/>
    <d v="2021-07-13T00:00:00"/>
    <x v="6"/>
    <n v="202124111116751"/>
    <d v="2021-07-14T00:00:00"/>
    <s v="JUL"/>
    <n v="-1"/>
    <s v="AUTORIZADO"/>
    <m/>
    <s v="No. 0979"/>
    <d v="2021-04-20T00:00:00"/>
    <s v="Morfina HCl 10 mg/mL Solución Inyectable ampolla por 1mL"/>
    <n v="300"/>
    <n v="30"/>
    <x v="0"/>
    <x v="0"/>
    <x v="0"/>
    <x v="0"/>
    <x v="54"/>
  </r>
  <r>
    <x v="385"/>
    <s v="ANDRÉS FELIPE MACÍAS LÓPEZ"/>
    <s v="Coordinador Servicio Farmacéutico"/>
    <s v="CLINICA PRADO"/>
    <s v="891.701.664-1"/>
    <s v="pradofarmacia1@gmail.com"/>
    <s v="CARRERA 5 # 25-46 esquina Barrio el Prado"/>
    <x v="4"/>
    <s v="SANTA MARTA"/>
    <s v="SOLICITUD DE COMPRA DIRECTA DE MEDICAMENTOS MONOPOLIO DEL ESTADO"/>
    <n v="202124101245532"/>
    <d v="2021-07-13T00:00:00"/>
    <x v="6"/>
    <n v="202124111116751"/>
    <d v="2021-07-14T00:00:00"/>
    <s v="JUL"/>
    <n v="-1"/>
    <s v="AUTORIZADO"/>
    <m/>
    <s v="No. 0979"/>
    <d v="2021-04-20T00:00:00"/>
    <s v="Fenobarbital Sódico 200 mg/mL Solución Inyectable_caja X 10 ampollas c/u"/>
    <n v="100"/>
    <n v="10"/>
    <x v="3"/>
    <x v="5"/>
    <x v="0"/>
    <x v="0"/>
    <x v="10"/>
  </r>
  <r>
    <x v="385"/>
    <s v="ANDRÉS FELIPE MACÍAS LÓPEZ"/>
    <s v="Coordinador Servicio Farmacéutico"/>
    <s v="CLINICA PRADO"/>
    <s v="891.701.664-1"/>
    <s v="pradofarmacia1@gmail.com"/>
    <s v="CARRERA 5 # 25-46 esquina Barrio el Prado"/>
    <x v="4"/>
    <s v="SANTA MARTA"/>
    <s v="SOLICITUD DE COMPRA DIRECTA DE MEDICAMENTOS MONOPOLIO DEL ESTADO"/>
    <n v="202124101245532"/>
    <d v="2021-07-13T00:00:00"/>
    <x v="6"/>
    <n v="202124111116751"/>
    <d v="2021-07-14T00:00:00"/>
    <s v="JUL"/>
    <n v="-1"/>
    <s v="AUTORIZADO"/>
    <m/>
    <s v="No. 0979"/>
    <d v="2021-04-20T00:00:00"/>
    <s v="Fenobarbital Sódico 40 mg/mL Solución Inyectable_caja X 10 ampollas c/u"/>
    <n v="50"/>
    <n v="5"/>
    <x v="3"/>
    <x v="6"/>
    <x v="0"/>
    <x v="0"/>
    <x v="17"/>
  </r>
  <r>
    <x v="386"/>
    <s v="JOHN JAVIER ESPINOSA"/>
    <s v="Regente de farmacia"/>
    <s v="MEDLIFE S.A.S"/>
    <s v="804.010.795-6"/>
    <s v="dispensacionibaguemedlife@gmail.com"/>
    <s v="Carrera 4D No. 36-46/Cádiz"/>
    <x v="0"/>
    <s v="IBAGUE"/>
    <s v="COTIZACIÓN"/>
    <n v="202124101248152"/>
    <d v="2021-07-12T00:00:00"/>
    <x v="6"/>
    <m/>
    <m/>
    <s v="JUL"/>
    <n v="44389"/>
    <s v="AUTORIZADO"/>
    <s v="Se dio respuesta en el radicado  202124101241262"/>
    <s v="No. 2641"/>
    <d v="2020-12-21T00:00:00"/>
    <m/>
    <m/>
    <s v=""/>
    <x v="9"/>
    <x v="17"/>
    <x v="9"/>
    <x v="13"/>
    <x v="0"/>
  </r>
  <r>
    <x v="387"/>
    <s v="VICTOR AVILA LAGARES"/>
    <s v="Quimico Farmacéutico"/>
    <s v="MEDICINA INTEGRAL S.A"/>
    <s v="800.250.634-3"/>
    <s v="victor.avila@medicinaintegralsa.com"/>
    <s v="Calle 44 No.14-282 Barrio Portal de Almeria"/>
    <x v="1"/>
    <s v="MONTERIA"/>
    <s v="Compra directa medicamentos medicina integral"/>
    <n v="202124101255762"/>
    <d v="2021-07-14T00:00:00"/>
    <x v="6"/>
    <n v="202124111135821"/>
    <d v="2021-07-19T00:00:00"/>
    <s v="JUL"/>
    <n v="-5"/>
    <s v="NEGADO"/>
    <m/>
    <s v="No. 0631"/>
    <d v="2020-05-11T00:00:00"/>
    <s v="Morfina HCl 0,03 Solución Oral_frascos X 30 mL c/u"/>
    <n v="20"/>
    <n v="20"/>
    <x v="0"/>
    <x v="1"/>
    <x v="1"/>
    <x v="1"/>
    <x v="138"/>
  </r>
  <r>
    <x v="387"/>
    <s v="VICTOR AVILA LAGARES"/>
    <s v="Quimico Farmacéutico"/>
    <s v="MEDICINA INTEGRAL S.A"/>
    <s v="800.250.634-3"/>
    <s v="victor.avila@medicinaintegralsa.com"/>
    <s v="Calle 44 No.14-282 Barrio Portal de Almeria"/>
    <x v="1"/>
    <s v="MONTERIA"/>
    <s v="Compra directa medicamentos medicina integral"/>
    <n v="202124101255762"/>
    <d v="2021-07-14T00:00:00"/>
    <x v="6"/>
    <n v="202124111135821"/>
    <d v="2021-07-19T00:00:00"/>
    <s v="JUL"/>
    <n v="-5"/>
    <s v="NEGADO"/>
    <m/>
    <s v="No. 0631"/>
    <d v="2020-05-11T00:00:00"/>
    <s v="Metilfenidato HCl 10 mg Comprimido_cajas X 30 unidades c/u"/>
    <n v="900"/>
    <n v="30"/>
    <x v="4"/>
    <x v="3"/>
    <x v="3"/>
    <x v="2"/>
    <x v="56"/>
  </r>
  <r>
    <x v="387"/>
    <s v="VICTOR AVILA LAGARES"/>
    <s v="Quimico Farmacéutico"/>
    <s v="MEDICINA INTEGRAL S.A"/>
    <s v="800.250.634-3"/>
    <s v="victor.avila@medicinaintegralsa.com"/>
    <s v="Calle 44 No.14-282 Barrio Portal de Almeria"/>
    <x v="1"/>
    <s v="MONTERIA"/>
    <s v="Compra directa medicamentos medicina integral"/>
    <n v="202124101255762"/>
    <d v="2021-07-14T00:00:00"/>
    <x v="6"/>
    <n v="202124111135821"/>
    <d v="2021-07-19T00:00:00"/>
    <s v="JUL"/>
    <n v="-5"/>
    <s v="NEGADO"/>
    <m/>
    <s v="No. 0631"/>
    <d v="2020-05-11T00:00:00"/>
    <s v="Hidromorfona HCl 2 mg/mL Solución Inyectable_cajas X 10 unidades c/u"/>
    <n v="10"/>
    <n v="1"/>
    <x v="1"/>
    <x v="2"/>
    <x v="0"/>
    <x v="0"/>
    <x v="11"/>
  </r>
  <r>
    <x v="387"/>
    <s v="VICTOR AVILA LAGARES"/>
    <s v="Quimico Farmacéutico"/>
    <s v="MEDICINA INTEGRAL S.A"/>
    <s v="800.250.634-3"/>
    <s v="victor.avila@medicinaintegralsa.com"/>
    <s v="Calle 44 No.14-282 Barrio Portal de Almeria"/>
    <x v="1"/>
    <s v="MONTERIA"/>
    <s v="Compra directa medicamentos medicina integral"/>
    <n v="202124101255762"/>
    <d v="2021-07-14T00:00:00"/>
    <x v="6"/>
    <n v="202124111135821"/>
    <d v="2021-07-19T00:00:00"/>
    <s v="JUL"/>
    <n v="-5"/>
    <s v="NEGADO"/>
    <m/>
    <s v="No. 0631"/>
    <d v="2020-05-11T00:00:00"/>
    <s v="Morfina HCl 10 mg/mL Solución Inyectable ampolla por 1mL"/>
    <n v="200"/>
    <n v="20"/>
    <x v="0"/>
    <x v="0"/>
    <x v="0"/>
    <x v="0"/>
    <x v="18"/>
  </r>
  <r>
    <x v="388"/>
    <s v="JUAN CAMILO AGUILAR"/>
    <s v="Director Técnico"/>
    <s v="HOSPITAL DEPARTAMENTAL DE GRANADA"/>
    <s v="800.037.021-7"/>
    <s v="ufun_farmacia@hospitalgranada.gov.co"/>
    <s v="Calle 15 entre 2 y 4"/>
    <x v="6"/>
    <s v="GRANADA"/>
    <s v="SOLICITUD COTIZACIÓN COMPARA MEDICAMENTOS MONOPOLIO DEL ESTADO HOSPITAL DEPARTAMENTAL DE GRANADA ESE"/>
    <n v="202124101255902"/>
    <d v="2021-07-14T00:00:00"/>
    <x v="6"/>
    <n v="202124111135901"/>
    <d v="2021-07-19T00:00:00"/>
    <s v="JUL"/>
    <n v="-5"/>
    <s v="AUTORIZADO"/>
    <m/>
    <s v="No. 1706"/>
    <d v="2016-10-06T00:00:00"/>
    <s v="Fenobarbital Sódico 40 mg/mL Solución Inyectable_caja X 10 ampollas c/u"/>
    <n v="150"/>
    <n v="15"/>
    <x v="3"/>
    <x v="6"/>
    <x v="0"/>
    <x v="0"/>
    <x v="19"/>
  </r>
  <r>
    <x v="388"/>
    <s v="JUAN CAMILO AGUILAR"/>
    <s v="Director Técnico"/>
    <s v="HOSPITAL DEPARTAMENTAL DE GRANADA"/>
    <s v="800.037.021-7"/>
    <s v="ufun_farmacia@hospitalgranada.gov.co"/>
    <s v="Calle 15 entre 2 y 4"/>
    <x v="6"/>
    <s v="GRANADA"/>
    <s v="SOLICITUD COTIZACIÓN COMPARA MEDICAMENTOS MONOPOLIO DEL ESTADO HOSPITAL DEPARTAMENTAL DE GRANADA ESE"/>
    <n v="202124101255902"/>
    <d v="2021-07-14T00:00:00"/>
    <x v="6"/>
    <n v="202124111135901"/>
    <d v="2021-07-19T00:00:00"/>
    <s v="JUL"/>
    <n v="-5"/>
    <s v="AUTORIZADO"/>
    <m/>
    <s v="No. 1706"/>
    <d v="2016-10-06T00:00:00"/>
    <s v="Fenobarbital 100 mg Tableta_cajas X 30 unidades c/u"/>
    <n v="600"/>
    <n v="20"/>
    <x v="5"/>
    <x v="7"/>
    <x v="4"/>
    <x v="2"/>
    <x v="7"/>
  </r>
  <r>
    <x v="388"/>
    <s v="JUAN CAMILO AGUILAR"/>
    <s v="Director Técnico"/>
    <s v="HOSPITAL DEPARTAMENTAL DE GRANADA"/>
    <s v="800.037.021-7"/>
    <s v="ufun_farmacia@hospitalgranada.gov.co"/>
    <s v="Calle 15 entre 2 y 4"/>
    <x v="6"/>
    <s v="GRANADA"/>
    <s v="SOLICITUD COTIZACIÓN COMPARA MEDICAMENTOS MONOPOLIO DEL ESTADO HOSPITAL DEPARTAMENTAL DE GRANADA ESE"/>
    <n v="202124101255902"/>
    <d v="2021-07-14T00:00:00"/>
    <x v="6"/>
    <n v="202124111135901"/>
    <d v="2021-07-19T00:00:00"/>
    <s v="JUL"/>
    <n v="-5"/>
    <s v="AUTORIZADO"/>
    <m/>
    <s v="No. 1706"/>
    <d v="2016-10-06T00:00:00"/>
    <s v="Morfina HCl 10 mg/mL Solución Inyectable ampolla por 1mL"/>
    <n v="400"/>
    <n v="40"/>
    <x v="0"/>
    <x v="0"/>
    <x v="0"/>
    <x v="0"/>
    <x v="63"/>
  </r>
  <r>
    <x v="388"/>
    <s v="JUAN CAMILO AGUILAR"/>
    <s v="Director Técnico"/>
    <s v="HOSPITAL DEPARTAMENTAL DE GRANADA"/>
    <s v="800.037.021-7"/>
    <s v="ufun_farmacia@hospitalgranada.gov.co"/>
    <s v="Calle 15 entre 2 y 4"/>
    <x v="6"/>
    <s v="GRANADA"/>
    <s v="SOLICITUD COTIZACIÓN COMPARA MEDICAMENTOS MONOPOLIO DEL ESTADO HOSPITAL DEPARTAMENTAL DE GRANADA ESE"/>
    <n v="202124101255902"/>
    <d v="2021-07-14T00:00:00"/>
    <x v="6"/>
    <n v="202124111135901"/>
    <d v="2021-07-19T00:00:00"/>
    <s v="JUL"/>
    <n v="-5"/>
    <s v="AUTORIZADO"/>
    <m/>
    <s v="No. 1706"/>
    <d v="2016-10-06T00:00:00"/>
    <s v="Meperidina HCl 100 mg/2mL Solución Inyectable_cajas X 10 unidades c/u"/>
    <n v="100"/>
    <n v="10"/>
    <x v="6"/>
    <x v="8"/>
    <x v="0"/>
    <x v="3"/>
    <x v="27"/>
  </r>
  <r>
    <x v="389"/>
    <s v="TIRSO PACHECO MOLINA"/>
    <s v="Director Técnico"/>
    <s v="CLINICA LA ASUNCIÓN"/>
    <s v="890.102.140-0"/>
    <s v="tirso.pacheco@clinicalaasuncion.com"/>
    <s v="Calle 70B No. 41-93"/>
    <x v="3"/>
    <s v="BARRANQUILLA"/>
    <s v="SOLICITUD MEDICAMENTOS CLINICA LA ASUNCION"/>
    <n v="202124101261132"/>
    <d v="2021-07-14T00:00:00"/>
    <x v="6"/>
    <n v="202124111117161"/>
    <d v="2021-07-14T00:00:00"/>
    <s v="JUL"/>
    <n v="0"/>
    <s v="AUTORIZADO"/>
    <m/>
    <s v="No. 7574"/>
    <d v="2017-12-29T00:00:00"/>
    <s v="Morfina HCl 10 mg/mL Solución Inyectable ampolla por 1mL"/>
    <n v="2000"/>
    <n v="200"/>
    <x v="0"/>
    <x v="0"/>
    <x v="0"/>
    <x v="0"/>
    <x v="55"/>
  </r>
  <r>
    <x v="389"/>
    <s v="TIRSO PACHECO MOLINA"/>
    <s v="Director Técnico"/>
    <s v="CLINICA LA ASUNCIÓN"/>
    <s v="890.102.140-0"/>
    <s v="tirso.pacheco@clinicalaasuncion.com"/>
    <s v="Calle 70B No. 41-93"/>
    <x v="3"/>
    <s v="BARRANQUILLA"/>
    <s v="SOLICITUD MEDICAMENTOS CLINICA LA ASUNCION"/>
    <n v="202124101261132"/>
    <d v="2021-07-14T00:00:00"/>
    <x v="6"/>
    <n v="202124111117161"/>
    <d v="2021-07-14T00:00:00"/>
    <s v="JUL"/>
    <n v="0"/>
    <s v="AUTORIZADO"/>
    <m/>
    <s v="No. 7574"/>
    <d v="2017-12-29T00:00:00"/>
    <s v="Morfina HCl 0,03 Solución Oral_frascos X 30 mL c/u"/>
    <n v="10"/>
    <n v="10"/>
    <x v="0"/>
    <x v="1"/>
    <x v="1"/>
    <x v="1"/>
    <x v="47"/>
  </r>
  <r>
    <x v="390"/>
    <s v="HOLMES NEY HOLGUIN TUMAY"/>
    <s v="Regente de farmacia"/>
    <s v="JERSALUD SAS"/>
    <s v="900.622.551-0"/>
    <s v="Compras@jersalud.com"/>
    <s v="CL 183 45 03 OF 610 CC SANTAFE"/>
    <x v="9"/>
    <s v="BOGOTA"/>
    <s v=" Tramite a la solicitud del Ciudadano Radicado No. 202124101078052 Ministerio de Salud y Proteccion"/>
    <n v="202124101256642"/>
    <d v="2021-07-14T00:00:00"/>
    <x v="6"/>
    <n v="202124111136331"/>
    <d v="2021-07-19T00:00:00"/>
    <s v="JUL"/>
    <n v="-5"/>
    <m/>
    <s v="Se dio respuesta en el radicado  202124110997291"/>
    <s v="No. 610"/>
    <d v="2021-01-15T00:00:00"/>
    <s v="Hidromorfona HCl 2,5 mg Tableta_cajas X 20 unidades c/u"/>
    <n v="600"/>
    <n v="30"/>
    <x v="1"/>
    <x v="9"/>
    <x v="4"/>
    <x v="4"/>
    <x v="144"/>
  </r>
  <r>
    <x v="390"/>
    <s v="HOLMES NEY HOLGUIN TUMAY"/>
    <s v="Regente de farmacia"/>
    <s v="JERSALUD SAS"/>
    <s v="900.622.551-0"/>
    <s v="Compras@jersalud.com"/>
    <s v="CL 183 45 03 OF 610 CC SANTAFE"/>
    <x v="9"/>
    <s v="BOGOTA"/>
    <s v=" Tramite a la solicitud del Ciudadano Radicado No. 202124101078052 Ministerio de Salud y Proteccion"/>
    <n v="202124101256642"/>
    <d v="2021-07-14T00:00:00"/>
    <x v="6"/>
    <n v="202124111136331"/>
    <d v="2021-07-19T00:00:00"/>
    <s v="JUL"/>
    <n v="-5"/>
    <m/>
    <s v="Se dio respuesta en el radicado  202124110997291"/>
    <s v="No. 610"/>
    <d v="2021-01-15T00:00:00"/>
    <s v="Fenobarbital 100 mg Tableta_cajas X 30 unidades c/u"/>
    <n v="120"/>
    <n v="4"/>
    <x v="5"/>
    <x v="7"/>
    <x v="4"/>
    <x v="2"/>
    <x v="110"/>
  </r>
  <r>
    <x v="391"/>
    <s v="SILVIA ANDREA TRISTANCHO VILLAMIZAR"/>
    <s v="Directora Técnica"/>
    <s v="FUNDACIÓN CARDIOVASCULAR DE COLOMBIA "/>
    <s v="890.212.568-0"/>
    <s v="silviatristancho@fcv.org"/>
    <s v="Cll 155A No. 23-58"/>
    <x v="8"/>
    <s v="FLORIDABLANCA"/>
    <s v="SOLICITUD DE COMPRA DIRECTA DE MEDICAMENTOS MONOPOLIO DEL ESTADO"/>
    <n v="202124101260482"/>
    <d v="2021-07-14T00:00:00"/>
    <x v="6"/>
    <n v="202124111136421"/>
    <d v="2021-07-19T00:00:00"/>
    <s v="JUL"/>
    <n v="-5"/>
    <s v="NEGADO"/>
    <m/>
    <m/>
    <m/>
    <m/>
    <m/>
    <s v=""/>
    <x v="9"/>
    <x v="17"/>
    <x v="9"/>
    <x v="13"/>
    <x v="0"/>
  </r>
  <r>
    <x v="392"/>
    <s v="RAUL BELTRAN PORTELA"/>
    <s v="Quimico Farmacéutico"/>
    <s v="CLINICA PIEDECUESTA S.A"/>
    <s v="800.090.749-4"/>
    <s v="qfclinipiedecuesta@gmail.com"/>
    <s v="Carrera 11 No. 6-48"/>
    <x v="8"/>
    <s v="PIEDECUESTA"/>
    <s v="SOLICITUD COTIZACIÓN MORFINAS Y FENOBARBITAL"/>
    <n v="202124101262812"/>
    <d v="2021-07-14T00:00:00"/>
    <x v="6"/>
    <m/>
    <m/>
    <s v="JUL"/>
    <n v="44391"/>
    <s v="AUTORIZADO"/>
    <s v="Solicitud duplicada se dio respuesta en el radicado 202124111116481"/>
    <s v="No. 8328"/>
    <d v="2019-06-14T00:00:00"/>
    <s v="Morfina HCl 10 mg/mL Solución Inyectable ampolla por 1mL"/>
    <n v="2000"/>
    <n v="200"/>
    <x v="0"/>
    <x v="0"/>
    <x v="0"/>
    <x v="0"/>
    <x v="55"/>
  </r>
  <r>
    <x v="392"/>
    <s v="RAUL BELTRAN PORTELA"/>
    <s v="Quimico Farmacéutico"/>
    <s v="CLINICA PIEDECUESTA S.A"/>
    <s v="800.090.749-4"/>
    <s v="qfclinipiedecuesta@gmail.com"/>
    <s v="Carrera 11 No. 6-48"/>
    <x v="8"/>
    <s v="PIEDECUESTA"/>
    <s v="SOLICITUD COTIZACIÓN MORFINAS Y FENOBARBITAL"/>
    <n v="202124101262812"/>
    <d v="2021-07-14T00:00:00"/>
    <x v="6"/>
    <m/>
    <m/>
    <s v="JUL"/>
    <n v="44391"/>
    <s v="AUTORIZADO"/>
    <s v="Solicitud duplicada se dio respuesta en el radicado 202124111116481"/>
    <s v="No. 8328"/>
    <d v="2019-06-14T00:00:00"/>
    <s v="Fenobarbital Sódico 200 mg/mL Solución Inyectable_caja X 10 ampollas c/u"/>
    <n v="500"/>
    <n v="50"/>
    <x v="3"/>
    <x v="5"/>
    <x v="0"/>
    <x v="0"/>
    <x v="57"/>
  </r>
  <r>
    <x v="393"/>
    <s v="ZAMIRA COGOLLO CORDERO"/>
    <s v="Quimica Farmacéutica"/>
    <s v="INSTITUTO MEDICO DE ALTA TECNOLOGIA S.A.S"/>
    <s v="901.085.352-0"/>
    <s v="suministros02@imatsas.com"/>
    <s v="Calle 72 No.6A-87"/>
    <x v="1"/>
    <s v="MONTERIA"/>
    <s v="SOLICITUD DE VENTA DE MEDICAMENTOS 14-07-2021 IMAT SAS"/>
    <n v="202124101263262"/>
    <d v="2021-07-14T00:00:00"/>
    <x v="6"/>
    <n v="202124111135961"/>
    <d v="2021-07-19T00:00:00"/>
    <s v="JUL"/>
    <n v="-5"/>
    <s v="AUTORIZADO"/>
    <m/>
    <s v="No. 0670"/>
    <d v="2019-12-30T00:00:00"/>
    <s v="Morfina HCl 10 mg/mL Solución Inyectable ampolla por 1mL"/>
    <n v="500"/>
    <n v="50"/>
    <x v="0"/>
    <x v="0"/>
    <x v="0"/>
    <x v="0"/>
    <x v="57"/>
  </r>
  <r>
    <x v="393"/>
    <s v="ZAMIRA COGOLLO CORDERO"/>
    <s v="Quimica Farmacéutica"/>
    <s v="INSTITUTO MEDICO DE ALTA TECNOLOGIA S.A.S"/>
    <s v="901.085.352-0"/>
    <s v="suministros02@imatsas.com"/>
    <s v="Calle 72 No.6A-87"/>
    <x v="1"/>
    <s v="MONTERIA"/>
    <s v="SOLICITUD DE VENTA DE MEDICAMENTOS 14-07-2021 IMAT SAS"/>
    <n v="202124101263262"/>
    <d v="2021-07-14T00:00:00"/>
    <x v="6"/>
    <n v="202124111135961"/>
    <d v="2021-07-19T00:00:00"/>
    <s v="JUL"/>
    <n v="-5"/>
    <s v="AUTORIZADO"/>
    <m/>
    <s v="No. 0670"/>
    <d v="2019-12-30T00:00:00"/>
    <s v="Morfina HCl 0,03 Solución Oral_frascos X 30 mL c/u"/>
    <n v="50"/>
    <n v="50"/>
    <x v="0"/>
    <x v="1"/>
    <x v="1"/>
    <x v="1"/>
    <x v="99"/>
  </r>
  <r>
    <x v="394"/>
    <s v="LINA MARCELA CHAPARRO GARCIA"/>
    <s v="Representante Legal"/>
    <s v="FUNDACIÓN CARDIO VASCULAR DE COLOMBIA"/>
    <s v="890.212.568-0"/>
    <s v="socorrogomez@fcv.org"/>
    <s v="Km 7 Vía Piedecuesta - Floridablanca"/>
    <x v="8"/>
    <s v="PIEDECUESTA"/>
    <s v="SOLICITUD COTIZACIÓN MEDICAMENTOS DE CONTROL ESPECIAL HOSPITAL INTERNACONAL"/>
    <n v="202124101265242"/>
    <d v="2021-07-15T00:00:00"/>
    <x v="6"/>
    <n v="202124101265242"/>
    <d v="2021-07-19T00:00:00"/>
    <s v="JUL"/>
    <n v="-4"/>
    <s v="NEGADO"/>
    <s v="La resolución adjunta está vencida"/>
    <s v="No. 7159"/>
    <d v="2016-05-26T00:00:00"/>
    <m/>
    <m/>
    <s v=""/>
    <x v="9"/>
    <x v="17"/>
    <x v="9"/>
    <x v="13"/>
    <x v="0"/>
  </r>
  <r>
    <x v="395"/>
    <s v="YUDY ANDREA GAMBOA AGUDELO"/>
    <s v="Coordinador de Farmacia"/>
    <s v="FUNDACION FOSUNAB"/>
    <s v="900.330.752-0"/>
    <s v="compras.medicamentosfi@foscal.com.co"/>
    <s v="Calle 158 No. 20 - 95"/>
    <x v="8"/>
    <s v="FLORIDABLANCA"/>
    <s v="COTIZACIÓN FUNDACIÓN FOSUNAB BUCARAMANGA"/>
    <n v="202124101266132"/>
    <d v="2021-07-15T00:00:00"/>
    <x v="6"/>
    <n v="202124111136101"/>
    <d v="2021-07-19T00:00:00"/>
    <s v="JUL"/>
    <n v="-4"/>
    <s v="AUTORIZADO"/>
    <m/>
    <s v="No. 717"/>
    <d v="2019-01-25T00:00:00"/>
    <s v="Metadona HCl 10 mg Tableta_Cajas X 30 unidades c/u"/>
    <n v="3000"/>
    <n v="100"/>
    <x v="2"/>
    <x v="3"/>
    <x v="2"/>
    <x v="2"/>
    <x v="32"/>
  </r>
  <r>
    <x v="396"/>
    <s v="JULIA KATRIN RHENALS BERROCAL"/>
    <s v="Coordinadora Zonal"/>
    <s v="LOGIFARMA S.A.S"/>
    <s v="900.073.223-3"/>
    <s v="coordinadorcordoba@logifarma.co"/>
    <s v="Carrera 7 No. 25-27"/>
    <x v="1"/>
    <s v="MONTERIA"/>
    <s v="Solicitud autorización de compra medicamentos Monopolio del Estado Logifarma Montería Al Fondo Nacional De Estupefacientes"/>
    <n v="202124101267632"/>
    <d v="2021-07-15T00:00:00"/>
    <x v="6"/>
    <n v="202124111136111"/>
    <d v="2021-07-19T00:00:00"/>
    <s v="JUL"/>
    <n v="-4"/>
    <s v="NEGADO"/>
    <m/>
    <s v="No. 142"/>
    <d v="2020-09-01T00:00:00"/>
    <s v="Morfina HCl 0,03 Solución Oral_frascos X 30 mL c/u"/>
    <n v="15"/>
    <n v="15"/>
    <x v="0"/>
    <x v="1"/>
    <x v="1"/>
    <x v="1"/>
    <x v="105"/>
  </r>
  <r>
    <x v="396"/>
    <s v="JULIA KATRIN RHENALS BERROCAL"/>
    <s v="Coordinadora Zonal"/>
    <s v="LOGIFARMA S.A.S"/>
    <s v="900.073.223-3"/>
    <s v="coordinadorcordoba@logifarma.co"/>
    <s v="Carrera 7 No. 25-27"/>
    <x v="1"/>
    <s v="MONTERIA"/>
    <s v="Solicitud autorización de compra medicamentos Monopolio del Estado Logifarma Montería Al Fondo Nacional De Estupefacientes"/>
    <n v="202124101267632"/>
    <d v="2021-07-15T00:00:00"/>
    <x v="6"/>
    <n v="202124111136111"/>
    <d v="2021-07-19T00:00:00"/>
    <s v="JUL"/>
    <n v="-4"/>
    <s v="NEGADO"/>
    <m/>
    <s v="No. 142"/>
    <d v="2020-09-01T00:00:00"/>
    <s v="Fenobarbital 0,4% Solución Oral_frascos X 120 mL c/u"/>
    <n v="10"/>
    <n v="10"/>
    <x v="5"/>
    <x v="11"/>
    <x v="1"/>
    <x v="6"/>
    <x v="69"/>
  </r>
  <r>
    <x v="396"/>
    <s v="JULIA KATRIN RHENALS BERROCAL"/>
    <s v="Coordinadora Zonal"/>
    <s v="LOGIFARMA S.A.S"/>
    <s v="900.073.223-3"/>
    <s v="coordinadorcordoba@logifarma.co"/>
    <s v="Carrera 7 No. 25-27"/>
    <x v="1"/>
    <s v="MONTERIA"/>
    <s v="Solicitud autorización de compra medicamentos Monopolio del Estado Logifarma Montería Al Fondo Nacional De Estupefacientes"/>
    <n v="202124101267632"/>
    <d v="2021-07-15T00:00:00"/>
    <x v="6"/>
    <n v="202124111136111"/>
    <d v="2021-07-19T00:00:00"/>
    <s v="JUL"/>
    <n v="-4"/>
    <s v="NEGADO"/>
    <m/>
    <s v="No. 142"/>
    <d v="2020-09-01T00:00:00"/>
    <s v="Metadona HCl 40 mg Tableta_Cajas X 30 unidades c/u"/>
    <n v="60"/>
    <n v="2"/>
    <x v="2"/>
    <x v="4"/>
    <x v="2"/>
    <x v="2"/>
    <x v="90"/>
  </r>
  <r>
    <x v="397"/>
    <s v="WILSON RENE SALINAS RODRIGUEZ"/>
    <s v="Regente de farmacia"/>
    <s v="E.S.E. HOSPITAL LOCAL DE PUERTO LOPEZ"/>
    <s v="800.037.979-7"/>
    <s v="almacen@esehospitalocal-puertolopez-meta.gov.co"/>
    <s v="Calle 8 No. 6-50 Barrio Gaitan"/>
    <x v="6"/>
    <s v="PUERTO LOPEZ"/>
    <s v="SOLICITUD DE COTIZACION"/>
    <n v="202124101275072"/>
    <d v="2021-07-16T00:00:00"/>
    <x v="6"/>
    <n v="202124111136181"/>
    <d v="2021-07-19T00:00:00"/>
    <s v="JUL"/>
    <n v="-3"/>
    <s v="AUTORIZADO"/>
    <m/>
    <s v="No. 203"/>
    <d v="2020-06-12T00:00:00"/>
    <s v="Meperidina HCl 100 mg/2mL Solución Inyectable_cajas X 10 unidades c/u"/>
    <n v="140"/>
    <n v="14"/>
    <x v="6"/>
    <x v="8"/>
    <x v="0"/>
    <x v="3"/>
    <x v="183"/>
  </r>
  <r>
    <x v="397"/>
    <s v="WILSON RENE SALINAS RODRIGUEZ"/>
    <s v="Regente de farmacia"/>
    <s v="E.S.E. HOSPITAL LOCAL DE PUERTO LOPEZ"/>
    <s v="800.037.979-7"/>
    <s v="almacen@esehospitalocal-puertolopez-meta.gov.co"/>
    <s v="Calle 8 No. 6-50 Barrio Gaitan"/>
    <x v="6"/>
    <s v="PUERTO LOPEZ"/>
    <s v="SOLICITUD DE COTIZACION"/>
    <n v="202124101275072"/>
    <d v="2021-07-16T00:00:00"/>
    <x v="6"/>
    <n v="202124111136181"/>
    <d v="2021-07-19T00:00:00"/>
    <s v="JUL"/>
    <n v="-3"/>
    <s v="AUTORIZADO"/>
    <m/>
    <s v="No. 203"/>
    <d v="2020-06-12T00:00:00"/>
    <s v="Morfina HCl 10 mg/mL Solución Inyectable ampolla por 1mL"/>
    <n v="140"/>
    <n v="14"/>
    <x v="0"/>
    <x v="0"/>
    <x v="0"/>
    <x v="0"/>
    <x v="184"/>
  </r>
  <r>
    <x v="398"/>
    <s v="ERIKA JANNETH LONDOÑO URIBE"/>
    <s v="Representante Legal"/>
    <s v="LOS COMUNEROS HOSPITAL UNIVERSITARIO DE BUCARAMANGA S.A."/>
    <s v="900.240.018-6"/>
    <s v="dmartinezc@Minsalud.gov.co; adriana.chaves@loscomuneroshub.com"/>
    <s v="Carrera 27 No. 30-15"/>
    <x v="8"/>
    <s v="BUCARAMANGA"/>
    <s v="LOS COMUNEROS HOSPITAL UNIVERSITARIO DE BUCARAMANGA S.A."/>
    <n v="202124101278252"/>
    <d v="2021-07-16T00:00:00"/>
    <x v="6"/>
    <n v="202124111144591"/>
    <d v="2021-07-21T00:00:00"/>
    <s v="JUL"/>
    <n v="-5"/>
    <s v="AUTORIZADO"/>
    <m/>
    <s v="No. 5531"/>
    <d v="2019-04-26T00:00:00"/>
    <s v="Morfina HCl 10 mg/mL Solución Inyectable ampolla por 1mL"/>
    <n v="4200"/>
    <n v="420"/>
    <x v="0"/>
    <x v="0"/>
    <x v="0"/>
    <x v="0"/>
    <x v="185"/>
  </r>
  <r>
    <x v="399"/>
    <s v="CELMIRA HERRERA MONTEJO"/>
    <s v="Director Técnico"/>
    <s v="DROGERÍA MARCAZSALUD RC SAS"/>
    <s v="900.928.565-8"/>
    <s v="luis.ratia@marcazsalud.com.co;  shirley.rojas@marcazsalud.com.co"/>
    <s v="CALLE 19 No. 23-14 BARRIO BICENTENARIO"/>
    <x v="14"/>
    <s v="YOPAL"/>
    <s v="Solicitud"/>
    <n v="202124101284262"/>
    <d v="2021-07-19T00:00:00"/>
    <x v="6"/>
    <n v="202124111144821"/>
    <d v="2021-07-21T00:00:00"/>
    <s v="JUL"/>
    <n v="-2"/>
    <s v="AUTORIZADO"/>
    <m/>
    <s v="No. 026"/>
    <d v="2021-01-27T00:00:00"/>
    <s v="Hidromorfona HCl 2,5 mg Tableta_cajas X 20 unidades c/u"/>
    <n v="250"/>
    <n v="12"/>
    <x v="1"/>
    <x v="9"/>
    <x v="4"/>
    <x v="4"/>
    <x v="186"/>
  </r>
  <r>
    <x v="399"/>
    <s v="CELMIRA HERRERA MONTEJO"/>
    <s v="Director Técnico"/>
    <s v="DROGERÍA MARCAZSALUD RC SAS"/>
    <s v="900.928.565-8"/>
    <s v="luis.ratia@marcazsalud.com.co;  shirley.rojas@marcazsalud.com.co"/>
    <s v="CALLE 19 No. 23-14 BARRIO BICENTENARIO"/>
    <x v="14"/>
    <s v="YOPAL"/>
    <s v="Solicitud"/>
    <n v="202124101284262"/>
    <d v="2021-07-19T00:00:00"/>
    <x v="6"/>
    <n v="202124111144821"/>
    <d v="2021-07-21T00:00:00"/>
    <s v="JUL"/>
    <n v="-2"/>
    <s v="AUTORIZADO"/>
    <m/>
    <s v="No. 026"/>
    <d v="2021-01-27T00:00:00"/>
    <s v="Morfina HCl 10 mg/mL Solución Inyectable ampolla por 1mL"/>
    <n v="200"/>
    <n v="20"/>
    <x v="0"/>
    <x v="0"/>
    <x v="0"/>
    <x v="0"/>
    <x v="18"/>
  </r>
  <r>
    <x v="399"/>
    <s v="CELMIRA HERRERA MONTEJO"/>
    <s v="Director Técnico"/>
    <s v="DROGERÍA MARCAZSALUD RC SAS"/>
    <s v="900.928.565-8"/>
    <s v="luis.ratia@marcazsalud.com.co;  shirley.rojas@marcazsalud.com.co"/>
    <s v="CALLE 19 No. 23-14 BARRIO BICENTENARIO"/>
    <x v="14"/>
    <s v="YOPAL"/>
    <s v="Solicitud"/>
    <n v="202124101284262"/>
    <d v="2021-07-19T00:00:00"/>
    <x v="6"/>
    <n v="202124111144821"/>
    <d v="2021-07-21T00:00:00"/>
    <s v="JUL"/>
    <n v="-2"/>
    <s v="AUTORIZADO"/>
    <m/>
    <s v="No. 026"/>
    <d v="2021-01-27T00:00:00"/>
    <s v="Fenobarbital 100 mg Tableta_cajas X 30 unidades c/u"/>
    <n v="300"/>
    <n v="10"/>
    <x v="5"/>
    <x v="7"/>
    <x v="4"/>
    <x v="2"/>
    <x v="23"/>
  </r>
  <r>
    <x v="399"/>
    <s v="CELMIRA HERRERA MONTEJO"/>
    <s v="Director Técnico"/>
    <s v="DROGERÍA MARCAZSALUD RC SAS"/>
    <s v="900.928.565-8"/>
    <s v="luis.ratia@marcazsalud.com.co;  shirley.rojas@marcazsalud.com.co"/>
    <s v="CALLE 19 No. 23-14 BARRIO BICENTENARIO"/>
    <x v="14"/>
    <s v="YOPAL"/>
    <s v="Solicitud"/>
    <n v="202124101284262"/>
    <d v="2021-07-19T00:00:00"/>
    <x v="6"/>
    <n v="202124111144821"/>
    <d v="2021-07-21T00:00:00"/>
    <s v="JUL"/>
    <n v="-2"/>
    <s v="AUTORIZADO"/>
    <m/>
    <s v="No. 026"/>
    <d v="2021-01-27T00:00:00"/>
    <s v="Morfina HCl 0,03 Solución Oral_frascos X 30 mL c/u"/>
    <n v="10"/>
    <n v="10"/>
    <x v="0"/>
    <x v="1"/>
    <x v="1"/>
    <x v="1"/>
    <x v="47"/>
  </r>
  <r>
    <x v="400"/>
    <s v="NELSY SOFIA MANOTAS G."/>
    <s v="Director Tecnico"/>
    <s v="ETICOS UT 2020"/>
    <s v="901.381.381-3"/>
    <s v="qffarmacia10504@eticos.com"/>
    <s v="Vía 40 No 71-124"/>
    <x v="2"/>
    <s v="CARTAGENA"/>
    <s v="Solicitud de autorización para la compra directa medicamentos Monopolio del estado"/>
    <n v="202124101293262"/>
    <d v="2021-07-19T00:00:00"/>
    <x v="6"/>
    <m/>
    <m/>
    <s v="JUL"/>
    <n v="44396"/>
    <s v="AUTORIZADO"/>
    <m/>
    <s v="No. 611"/>
    <d v="2020-09-21T00:00:00"/>
    <s v="Morfina HCl 10 mg/mL Solución Inyectable ampolla por 1mL"/>
    <n v="100"/>
    <n v="10"/>
    <x v="0"/>
    <x v="0"/>
    <x v="0"/>
    <x v="0"/>
    <x v="10"/>
  </r>
  <r>
    <x v="400"/>
    <s v="NELSY SOFIA MANOTAS G."/>
    <s v="Director Tecnico"/>
    <s v="ETICOS UT 2020"/>
    <s v="901.381.381-3"/>
    <s v="qffarmacia10504@eticos.com"/>
    <s v="Vía 40 No 71-124"/>
    <x v="2"/>
    <s v="CARTAGENA"/>
    <s v="Solicitud de autorización para la compra directa medicamentos Monopolio del estado"/>
    <n v="202124101293262"/>
    <d v="2021-07-19T00:00:00"/>
    <x v="6"/>
    <m/>
    <m/>
    <s v="JUL"/>
    <n v="44396"/>
    <s v="NEGADO"/>
    <m/>
    <s v="No. 611"/>
    <d v="2020-09-21T00:00:00"/>
    <s v="Meperidina HCl 100 mg/2mL Solución Inyectable_cajas X 10 unidades c/u"/>
    <n v="0"/>
    <n v="0"/>
    <x v="6"/>
    <x v="8"/>
    <x v="0"/>
    <x v="3"/>
    <x v="0"/>
  </r>
  <r>
    <x v="401"/>
    <s v="PEDRO P. RODRIGUEZ MARQUEZ"/>
    <s v="Químico Farmacéutico"/>
    <s v="HOSPITAL SAN CRISTOBAL DE CIENAGA EMPRESA SOCIAL DEL ESTADO"/>
    <s v="800.130.625-2"/>
    <s v="peparo29@hotmail.com"/>
    <s v="Calle 5 Carrera 21 Av San Cristobal"/>
    <x v="4"/>
    <s v="CIENAGA"/>
    <s v="COTIZACIÓN PARA COMPRA DE MEDICAMENTOS DE CONTROL"/>
    <n v="202124101297012"/>
    <d v="2021-07-21T00:00:00"/>
    <x v="6"/>
    <m/>
    <m/>
    <s v="JUL"/>
    <n v="44398"/>
    <s v="AUTORIZADO"/>
    <m/>
    <s v="No. 1171"/>
    <d v="2020-10-06T00:00:00"/>
    <s v="Fenobarbital Sódico 40 mg/mL Solución Inyectable_caja X 10 ampollas c/u"/>
    <n v="60"/>
    <n v="6"/>
    <x v="3"/>
    <x v="6"/>
    <x v="0"/>
    <x v="0"/>
    <x v="81"/>
  </r>
  <r>
    <x v="401"/>
    <s v="PEDRO P. RODRIGUEZ MARQUEZ"/>
    <s v="Químico Farmacéutico"/>
    <s v="HOSPITAL SAN CRISTOBAL DE CIENAGA EMPRESA SOCIAL DEL ESTADO"/>
    <s v="800.130.625-2"/>
    <s v="peparo29@hotmail.com"/>
    <s v="Calle 5 Carrera 21 Av San Cristobal"/>
    <x v="4"/>
    <s v="CIENAGA"/>
    <s v="COTIZACIÓN PARA COMPRA DE MEDICAMENTOS DE CONTROL"/>
    <n v="202124101297012"/>
    <d v="2021-07-21T00:00:00"/>
    <x v="6"/>
    <m/>
    <m/>
    <s v="JUL"/>
    <n v="44398"/>
    <s v="AUTORIZADO"/>
    <m/>
    <s v="No. 1171"/>
    <d v="2020-10-06T00:00:00"/>
    <s v="Fenobarbital Sódico 200 mg/mL Solución Inyectable_caja X 10 ampollas c/u"/>
    <n v="150"/>
    <n v="15"/>
    <x v="3"/>
    <x v="5"/>
    <x v="0"/>
    <x v="0"/>
    <x v="19"/>
  </r>
  <r>
    <x v="401"/>
    <s v="PEDRO P. RODRIGUEZ MARQUEZ"/>
    <s v="Químico Farmacéutico"/>
    <s v="HOSPITAL SAN CRISTOBAL DE CIENAGA EMPRESA SOCIAL DEL ESTADO"/>
    <s v="800.130.625-2"/>
    <s v="peparo29@hotmail.com"/>
    <s v="Calle 5 Carrera 21 Av San Cristobal"/>
    <x v="4"/>
    <s v="CIENAGA"/>
    <s v="COTIZACIÓN PARA COMPRA DE MEDICAMENTOS DE CONTROL"/>
    <n v="202124101297012"/>
    <d v="2021-07-21T00:00:00"/>
    <x v="6"/>
    <m/>
    <m/>
    <s v="JUL"/>
    <n v="44398"/>
    <s v="AUTORIZADO"/>
    <m/>
    <s v="No. 1171"/>
    <d v="2020-10-06T00:00:00"/>
    <s v="Morfina HCl 10 mg/mL Solución Inyectable ampolla por 1mL"/>
    <n v="200"/>
    <n v="20"/>
    <x v="0"/>
    <x v="0"/>
    <x v="0"/>
    <x v="0"/>
    <x v="18"/>
  </r>
  <r>
    <x v="401"/>
    <s v="PEDRO P. RODRIGUEZ MARQUEZ"/>
    <s v="Químico Farmacéutico"/>
    <s v="HOSPITAL SAN CRISTOBAL DE CIENAGA EMPRESA SOCIAL DEL ESTADO"/>
    <s v="800.130.625-2"/>
    <s v="peparo29@hotmail.com"/>
    <s v="Calle 5 Carrera 21 Av San Cristobal"/>
    <x v="4"/>
    <s v="CIENAGA"/>
    <s v="COTIZACIÓN PARA COMPRA DE MEDICAMENTOS DE CONTROL"/>
    <n v="202124101297012"/>
    <d v="2021-07-21T00:00:00"/>
    <x v="6"/>
    <m/>
    <m/>
    <s v="JUL"/>
    <n v="44398"/>
    <s v="AUTORIZADO"/>
    <m/>
    <s v="No. 1171"/>
    <d v="2020-10-06T00:00:00"/>
    <s v="Meperidina HCl 100 mg/2mL Solución Inyectable_cajas X 10 unidades c/u"/>
    <n v="300"/>
    <n v="30"/>
    <x v="6"/>
    <x v="8"/>
    <x v="0"/>
    <x v="3"/>
    <x v="124"/>
  </r>
  <r>
    <x v="402"/>
    <s v="LINA MARCELA CHAPARRO GARCIA"/>
    <s v="Directora Técnica"/>
    <s v="FUNDACIÓN CARDIOVASCULAR DE COLOMBIA"/>
    <s v="900.341.526-1"/>
    <s v="socorrogomez@fcv.org"/>
    <s v="Km 7 Vía Piedecuesta - Floridablanca"/>
    <x v="8"/>
    <s v="FLORIDABLANCA"/>
    <s v="Solicitud Autorización Compra Medicamentos Monopolio del Estado"/>
    <n v="202124101302412"/>
    <d v="2021-07-21T00:00:00"/>
    <x v="6"/>
    <m/>
    <m/>
    <s v="JUL"/>
    <n v="44398"/>
    <s v="AUTORIZADO"/>
    <m/>
    <s v="No. 7036"/>
    <d v="2021-07-01T00:00:00"/>
    <s v="Hidromorfona HCl 2 mg/mL Solución Inyectable_cajas X 10 unidades c/u"/>
    <n v="500"/>
    <n v="50"/>
    <x v="1"/>
    <x v="2"/>
    <x v="0"/>
    <x v="0"/>
    <x v="57"/>
  </r>
  <r>
    <x v="402"/>
    <s v="LINA MARCELA CHAPARRO GARCIA"/>
    <s v="Directora Técnica"/>
    <s v="FUNDACIÓN CARDIOVASCULAR DE COLOMBIA"/>
    <s v="900.341.526-1"/>
    <s v="socorrogomez@fcv.org"/>
    <s v="Km 7 Vía Piedecuesta - Floridablanca"/>
    <x v="8"/>
    <s v="FLORIDABLANCA"/>
    <s v="Solicitud Autorización Compra Medicamentos Monopolio del Estado"/>
    <n v="202124101302412"/>
    <d v="2021-07-21T00:00:00"/>
    <x v="6"/>
    <m/>
    <m/>
    <s v="JUL"/>
    <n v="44398"/>
    <s v="AUTORIZADO"/>
    <m/>
    <s v="No. 7036"/>
    <d v="2021-07-01T00:00:00"/>
    <s v="Metadona HCl 10 mg Tableta_frascos X 20 unidades c/u"/>
    <n v="1000"/>
    <n v="50"/>
    <x v="2"/>
    <x v="3"/>
    <x v="6"/>
    <x v="8"/>
    <x v="187"/>
  </r>
  <r>
    <x v="402"/>
    <s v="LINA MARCELA CHAPARRO GARCIA"/>
    <s v="Directora Técnica"/>
    <s v="FUNDACIÓN CARDIOVASCULAR DE COLOMBIA"/>
    <s v="900.341.526-1"/>
    <s v="socorrogomez@fcv.org"/>
    <s v="Km 7 Vía Piedecuesta - Floridablanca"/>
    <x v="8"/>
    <s v="FLORIDABLANCA"/>
    <s v="Solicitud Autorización Compra Medicamentos Monopolio del Estado"/>
    <n v="202124101302412"/>
    <d v="2021-07-21T00:00:00"/>
    <x v="6"/>
    <m/>
    <m/>
    <s v="JUL"/>
    <n v="44398"/>
    <s v="AUTORIZADO"/>
    <m/>
    <s v="No. 7036"/>
    <d v="2021-07-01T00:00:00"/>
    <s v="Morfina HCl 10 mg/mL Solución Inyectable ampolla por 5mL"/>
    <n v="600"/>
    <n v="60"/>
    <x v="0"/>
    <x v="16"/>
    <x v="0"/>
    <x v="12"/>
    <x v="188"/>
  </r>
  <r>
    <x v="402"/>
    <s v="LINA MARCELA CHAPARRO GARCIA"/>
    <s v="Directora Técnica"/>
    <s v="FUNDACIÓN CARDIOVASCULAR DE COLOMBIA"/>
    <s v="900.341.526-1"/>
    <s v="socorrogomez@fcv.org"/>
    <s v="Km 7 Vía Piedecuesta - Floridablanca"/>
    <x v="8"/>
    <s v="FLORIDABLANCA"/>
    <s v="Solicitud Autorización Compra Medicamentos Monopolio del Estado"/>
    <n v="202124101302412"/>
    <d v="2021-07-21T00:00:00"/>
    <x v="6"/>
    <m/>
    <m/>
    <s v="JUL"/>
    <n v="44398"/>
    <s v="AUTORIZADO"/>
    <m/>
    <s v="No. 7036"/>
    <d v="2021-07-01T00:00:00"/>
    <s v="Morfina HCl 0,03 Solución Oral_frascos X 30 mL c/u"/>
    <n v="400"/>
    <n v="400"/>
    <x v="0"/>
    <x v="1"/>
    <x v="1"/>
    <x v="1"/>
    <x v="21"/>
  </r>
  <r>
    <x v="403"/>
    <s v="JORGE RICARDO LEON FRANCO"/>
    <s v="Director General"/>
    <s v="FUNDACIÓN OFTALMOLOGICA DE SANTANDER - FOSCAL"/>
    <s v="890.205.361-4"/>
    <s v="compras.medicamentos@foscal.com.co"/>
    <s v="Calle 155A No. 23-09"/>
    <x v="8"/>
    <s v="FLORIDABLANCA"/>
    <s v="SOLICITUD"/>
    <n v="202124101305352"/>
    <d v="2021-07-21T00:00:00"/>
    <x v="6"/>
    <m/>
    <m/>
    <s v="JUL"/>
    <n v="44398"/>
    <s v="AUTORIZADO"/>
    <m/>
    <s v="No. 18094"/>
    <d v="2017-10-22T00:00:00"/>
    <s v="Fenobarbital Sódico 200 mg/mL Solución Inyectable_caja X 10 ampollas c/u"/>
    <n v="20"/>
    <n v="2"/>
    <x v="3"/>
    <x v="5"/>
    <x v="0"/>
    <x v="0"/>
    <x v="5"/>
  </r>
  <r>
    <x v="403"/>
    <s v="JORGE RICARDO LEON FRANCO"/>
    <s v="Director General"/>
    <s v="FUNDACIÓN OFTALMOLOGICA DE SANTANDER - FOSCAL"/>
    <s v="890.205.361-4"/>
    <s v="compras.medicamentos@foscal.com.co"/>
    <s v="Calle 155A No. 23-09"/>
    <x v="8"/>
    <s v="FLORIDABLANCA"/>
    <s v="SOLICITUD"/>
    <n v="202124101305352"/>
    <d v="2021-07-21T00:00:00"/>
    <x v="6"/>
    <m/>
    <m/>
    <s v="JUL"/>
    <n v="44398"/>
    <s v="AUTORIZADO"/>
    <m/>
    <s v="No. 18094"/>
    <d v="2017-10-22T00:00:00"/>
    <s v="Hidromorfona HCl 2 mg/mL Solución Inyectable_cajas X 10 unidades c/u"/>
    <n v="500"/>
    <n v="50"/>
    <x v="1"/>
    <x v="2"/>
    <x v="0"/>
    <x v="0"/>
    <x v="57"/>
  </r>
  <r>
    <x v="403"/>
    <s v="JORGE RICARDO LEON FRANCO"/>
    <s v="Director General"/>
    <s v="FUNDACIÓN OFTALMOLOGICA DE SANTANDER - FOSCAL"/>
    <s v="890.205.361-4"/>
    <s v="compras.medicamentos@foscal.com.co"/>
    <s v="Calle 155A No. 23-09"/>
    <x v="8"/>
    <s v="FLORIDABLANCA"/>
    <s v="SOLICITUD"/>
    <n v="202124101305352"/>
    <d v="2021-07-21T00:00:00"/>
    <x v="6"/>
    <m/>
    <m/>
    <s v="JUL"/>
    <n v="44398"/>
    <s v="AUTORIZADO"/>
    <m/>
    <s v="No. 18094"/>
    <d v="2017-10-22T00:00:00"/>
    <s v="Metadona HCl 10 mg Tableta_Cajas X 30 unidades c/u"/>
    <n v="1800"/>
    <n v="60"/>
    <x v="2"/>
    <x v="3"/>
    <x v="2"/>
    <x v="2"/>
    <x v="22"/>
  </r>
  <r>
    <x v="403"/>
    <s v="JORGE RICARDO LEON FRANCO"/>
    <s v="Director General"/>
    <s v="FUNDACIÓN OFTALMOLOGICA DE SANTANDER - FOSCAL"/>
    <s v="890.205.361-4"/>
    <s v="compras.medicamentos@foscal.com.co"/>
    <s v="Calle 155A No. 23-09"/>
    <x v="8"/>
    <s v="FLORIDABLANCA"/>
    <s v="SOLICITUD"/>
    <n v="202124101305352"/>
    <d v="2021-07-21T00:00:00"/>
    <x v="6"/>
    <m/>
    <m/>
    <s v="JUL"/>
    <n v="44398"/>
    <s v="AUTORIZADO"/>
    <m/>
    <s v="No. 18094"/>
    <d v="2017-10-22T00:00:00"/>
    <s v="Morfina HCl 10 mg/mL Solución Inyectable ampolla por 5mL"/>
    <n v="600"/>
    <n v="60"/>
    <x v="0"/>
    <x v="16"/>
    <x v="0"/>
    <x v="12"/>
    <x v="188"/>
  </r>
  <r>
    <x v="403"/>
    <s v="JORGE RICARDO LEON FRANCO"/>
    <s v="Director General"/>
    <s v="FUNDACIÓN OFTALMOLOGICA DE SANTANDER - FOSCAL"/>
    <s v="890.205.361-4"/>
    <s v="compras.medicamentos@foscal.com.co"/>
    <s v="Calle 155A No. 23-09"/>
    <x v="8"/>
    <s v="FLORIDABLANCA"/>
    <s v="SOLICITUD"/>
    <n v="202124101305352"/>
    <d v="2021-07-21T00:00:00"/>
    <x v="6"/>
    <m/>
    <m/>
    <s v="JUL"/>
    <n v="44398"/>
    <s v="AUTORIZADO"/>
    <m/>
    <s v="No. 18094"/>
    <d v="2017-10-22T00:00:00"/>
    <s v="Morfina HCl 0,03 Solución Oral_frascos X 30 mL c/u"/>
    <n v="15"/>
    <n v="15"/>
    <x v="0"/>
    <x v="1"/>
    <x v="1"/>
    <x v="1"/>
    <x v="105"/>
  </r>
  <r>
    <x v="404"/>
    <s v="CARLOS JOSE IRIARTE ROSA"/>
    <s v="Jefe de Logística y Suministros "/>
    <s v="CLINICA AVIDANTI SANTA MARTA"/>
    <s v="800.185.449-9"/>
    <s v="carlosiriarte@avidanti.com"/>
    <s v="Carrera 4 No. 62A-71"/>
    <x v="4"/>
    <s v="SANTA MARTA"/>
    <s v="SOLICITUD COMPRA DIRECTA DE MEDICAMENTOS MONOPOLIO DEL ESTADO"/>
    <n v="202124101310072"/>
    <d v="2021-07-22T00:00:00"/>
    <x v="6"/>
    <m/>
    <m/>
    <s v="JUL"/>
    <n v="44399"/>
    <s v="NEGADO"/>
    <m/>
    <s v="No. 3911"/>
    <d v="2019-10-07T00:00:00"/>
    <s v="Morfina HCl 10 mg/mL Solución Inyectable ampolla por 1mL"/>
    <n v="500"/>
    <n v="50"/>
    <x v="0"/>
    <x v="0"/>
    <x v="0"/>
    <x v="0"/>
    <x v="57"/>
  </r>
  <r>
    <x v="405"/>
    <s v="FLOR MARÍA ALDANA GONZÁLEZ"/>
    <s v="Coordinadora Proceso Servicio Farmacéutico"/>
    <s v="HOSPITAL FEDERICO LLERAS ACOSTA E.S.E."/>
    <s v="890706833-9"/>
    <s v="pu.farmacia@hflleras.gov.co"/>
    <s v="Calle 33 No.4A-50"/>
    <x v="0"/>
    <s v="IBAGUE"/>
    <s v="SOLICITUD DE COTIZACION DE MEDICAMENTOS MONOPOLIO DEL ESTADO"/>
    <n v="202124101308442"/>
    <d v="2021-07-22T00:00:00"/>
    <x v="6"/>
    <m/>
    <m/>
    <s v="JUL"/>
    <n v="44399"/>
    <s v="AUTORIZADO"/>
    <m/>
    <s v="No. 3226"/>
    <d v="2018-10-19T00:00:00"/>
    <s v="Morfina HCl 10 mg/mL Solución Inyectable ampolla por 1mL"/>
    <n v="1000"/>
    <n v="100"/>
    <x v="0"/>
    <x v="0"/>
    <x v="0"/>
    <x v="0"/>
    <x v="26"/>
  </r>
  <r>
    <x v="405"/>
    <s v="FLOR MARÍA ALDANA GONZÁLEZ"/>
    <s v="Coordinadora Proceso Servicio Farmacéutico"/>
    <s v="HOSPITAL FEDERICO LLERAS ACOSTA E.S.E."/>
    <s v="890706833-9"/>
    <s v="pu.farmacia@hflleras.gov.co"/>
    <s v="Calle 33 No.4A-50"/>
    <x v="0"/>
    <s v="IBAGUE"/>
    <s v="SOLICITUD DE COTIZACION DE MEDICAMENTOS MONOPOLIO DEL ESTADO"/>
    <n v="202124101308442"/>
    <d v="2021-07-22T00:00:00"/>
    <x v="6"/>
    <m/>
    <m/>
    <s v="JUL"/>
    <n v="44399"/>
    <s v="AUTORIZADO"/>
    <m/>
    <s v="No. 3226"/>
    <d v="2018-10-19T00:00:00"/>
    <s v="Hidromorfona HCl 2 mg/mL Solución Inyectable_cajas X 10 unidades c/u"/>
    <n v="1000"/>
    <n v="100"/>
    <x v="1"/>
    <x v="2"/>
    <x v="0"/>
    <x v="0"/>
    <x v="26"/>
  </r>
  <r>
    <x v="405"/>
    <s v="FLOR MARÍA ALDANA GONZÁLEZ"/>
    <s v="Coordinadora Proceso Servicio Farmacéutico"/>
    <s v="HOSPITAL FEDERICO LLERAS ACOSTA E.S.E."/>
    <s v="890706833-9"/>
    <s v="pu.farmacia@hflleras.gov.co"/>
    <s v="Calle 33 No.4A-50"/>
    <x v="0"/>
    <s v="IBAGUE"/>
    <s v="SOLICITUD DE COTIZACION DE MEDICAMENTOS MONOPOLIO DEL ESTADO"/>
    <n v="202124101308442"/>
    <d v="2021-07-22T00:00:00"/>
    <x v="6"/>
    <m/>
    <m/>
    <s v="JUL"/>
    <n v="44399"/>
    <s v="AUTORIZADO"/>
    <m/>
    <s v="No. 3226"/>
    <d v="2018-10-19T00:00:00"/>
    <s v="Fenobarbital Sódico 200 mg/mL Solución Inyectable_caja X 10 ampollas c/u"/>
    <n v="0"/>
    <n v="0"/>
    <x v="3"/>
    <x v="5"/>
    <x v="0"/>
    <x v="0"/>
    <x v="0"/>
  </r>
  <r>
    <x v="406"/>
    <s v="SILVIA ANDREA TRISTANCHO VILLAMIZAR"/>
    <s v="Directora Técnica"/>
    <s v="FUNDACIÓN CARDIOVASCULAR DE COLOMBIA"/>
    <s v="890.212.568-0"/>
    <s v="silviatristancho@fcv.org"/>
    <s v="Calle 155A No.23-58 Urb El Borque"/>
    <x v="8"/>
    <s v="FLORIDABLANCA"/>
    <s v="Solicitud de compra directa medicamentos de contol especial"/>
    <n v="202124101312482"/>
    <d v="2021-07-22T00:00:00"/>
    <x v="6"/>
    <m/>
    <m/>
    <s v="JUL"/>
    <n v="44399"/>
    <s v="AUTORIZADO"/>
    <m/>
    <s v="No. 16233"/>
    <d v="2018-10-08T00:00:00"/>
    <s v="Morfina HCl 10 mg/mL Solución Inyectable ampolla por 5mL"/>
    <n v="3000"/>
    <n v="300"/>
    <x v="0"/>
    <x v="16"/>
    <x v="0"/>
    <x v="12"/>
    <x v="149"/>
  </r>
  <r>
    <x v="406"/>
    <s v="SILVIA ANDREA TRISTANCHO VILLAMIZAR"/>
    <s v="Directora Técnica"/>
    <s v="FUNDACIÓN CARDIOVASCULAR DE COLOMBIA"/>
    <s v="890.212.568-0"/>
    <s v="silviatristancho@fcv.org"/>
    <s v="Calle 155A No.23-58 Urb El Borque"/>
    <x v="8"/>
    <s v="FLORIDABLANCA"/>
    <s v="Solicitud de compra directa medicamentos de contol especial"/>
    <n v="202124101312482"/>
    <d v="2021-07-22T00:00:00"/>
    <x v="6"/>
    <m/>
    <m/>
    <s v="JUL"/>
    <n v="44399"/>
    <s v="AUTORIZADO"/>
    <m/>
    <s v="No. 16233"/>
    <d v="2018-10-08T00:00:00"/>
    <s v="Morfina HCl 10 mg/mL Solución Inyectable ampolla por 1mL"/>
    <n v="3000"/>
    <n v="300"/>
    <x v="0"/>
    <x v="0"/>
    <x v="0"/>
    <x v="0"/>
    <x v="78"/>
  </r>
  <r>
    <x v="406"/>
    <s v="SILVIA ANDREA TRISTANCHO VILLAMIZAR"/>
    <s v="Directora Técnica"/>
    <s v="FUNDACIÓN CARDIOVASCULAR DE COLOMBIA"/>
    <s v="890.212.568-0"/>
    <s v="silviatristancho@fcv.org"/>
    <s v="Calle 155A No.23-58 Urb El Borque"/>
    <x v="8"/>
    <s v="FLORIDABLANCA"/>
    <s v="Solicitud de compra directa medicamentos de contol especial"/>
    <n v="202124101312482"/>
    <d v="2021-07-22T00:00:00"/>
    <x v="6"/>
    <m/>
    <m/>
    <s v="JUL"/>
    <n v="44399"/>
    <s v="AUTORIZADO"/>
    <m/>
    <s v="No. 16233"/>
    <d v="2018-10-08T00:00:00"/>
    <s v="Metadona HCl 10 mg Tableta_Cajas X 30 unidades c/u"/>
    <n v="3000"/>
    <n v="100"/>
    <x v="2"/>
    <x v="3"/>
    <x v="2"/>
    <x v="2"/>
    <x v="32"/>
  </r>
  <r>
    <x v="407"/>
    <s v="ERIKA VANESSA MARÍN ROJAS"/>
    <s v="Quimico Farmacéutico"/>
    <s v="CLINICA DE LA MUJER S.A"/>
    <s v="819.000.364-7"/>
    <s v="quimicofarmaceutico@clinicadelamujersa.com.co"/>
    <s v="Calle 22 # 21 - 16"/>
    <x v="4"/>
    <s v="SANTA MARTA"/>
    <s v="Solicitud Autorización Compra Directa medicamento monopolio del Estado."/>
    <n v="202124101333962"/>
    <d v="2021-07-26T00:00:00"/>
    <x v="6"/>
    <m/>
    <m/>
    <s v="JUL"/>
    <n v="44403"/>
    <s v="AUTORIZADO"/>
    <m/>
    <s v="No. 2903"/>
    <d v="2019-09-05T00:00:00"/>
    <s v="Fenobarbital Sódico 40 mg/mL Solución Inyectable_caja X 10 ampollas c/u"/>
    <n v="100"/>
    <n v="10"/>
    <x v="3"/>
    <x v="6"/>
    <x v="0"/>
    <x v="0"/>
    <x v="10"/>
  </r>
  <r>
    <x v="408"/>
    <s v="LAURA CAROLINA PABON HERRERA"/>
    <s v="Quimico Farmacéutico"/>
    <s v="CORPORACIÓN MI IPS LLANOS RESTREPO"/>
    <s v="822.006.818-7"/>
    <s v="farmaciaipsrestrepo@miips.com.co"/>
    <s v="Carrera 7 No. 8-23 La Acacias"/>
    <x v="6"/>
    <s v="VILLAVICENCIO"/>
    <s v="COMPRA DE MEDICAMENTO"/>
    <n v="202124101334262"/>
    <d v="2021-07-26T00:00:00"/>
    <x v="6"/>
    <m/>
    <m/>
    <s v="JUL"/>
    <n v="44403"/>
    <s v="AUTORIZADO"/>
    <m/>
    <s v="No. 044"/>
    <d v="2021-03-26T00:00:00"/>
    <s v="Fenobarbital 100 mg Tableta_cajas X 30 unidades c/u"/>
    <n v="360"/>
    <n v="12"/>
    <x v="5"/>
    <x v="7"/>
    <x v="4"/>
    <x v="2"/>
    <x v="66"/>
  </r>
  <r>
    <x v="408"/>
    <s v="LAURA CAROLINA PABON HERRERA"/>
    <s v="Quimico Farmacéutico"/>
    <s v="CORPORACIÓN MI IPS LLANOS RESTREPO"/>
    <s v="822.006.818-7"/>
    <s v="farmaciaipsrestrepo@miips.com.co"/>
    <s v="Carrera 7 No. 8-23 La Acacias"/>
    <x v="6"/>
    <s v="VILLAVICENCIO"/>
    <s v="COMPRA DE MEDICAMENTO"/>
    <n v="202124101334262"/>
    <d v="2021-07-26T00:00:00"/>
    <x v="6"/>
    <m/>
    <m/>
    <s v="JUL"/>
    <n v="44403"/>
    <s v="AUTORIZADO"/>
    <m/>
    <s v="No. 044"/>
    <d v="2021-03-26T00:00:00"/>
    <s v="Morfina HCl 0,03 Solución Oral_frascos X 30 mL c/u"/>
    <n v="30"/>
    <n v="30"/>
    <x v="0"/>
    <x v="1"/>
    <x v="1"/>
    <x v="1"/>
    <x v="43"/>
  </r>
  <r>
    <x v="409"/>
    <s v="LEET ANTONIO MARQUEZ ESCORCIA"/>
    <s v="Quimico Farmacéutico"/>
    <s v="CLINICA GENERAL DEL NORTE S.A."/>
    <s v="890102768-5"/>
    <s v="quimicopesmag@clinicageneraldelnorte.com"/>
    <s v="Avenida Libertador No. 13-12"/>
    <x v="4"/>
    <s v="SANTA MARTA"/>
    <s v="COTIZACION COMPRA DIRECTA"/>
    <n v="202124101334462"/>
    <d v="2021-07-26T00:00:00"/>
    <x v="6"/>
    <m/>
    <m/>
    <s v="JUL"/>
    <n v="44403"/>
    <s v="AUTORIZADO"/>
    <m/>
    <s v="No. 3792"/>
    <d v="2019-10-29T00:00:00"/>
    <s v="Metilfenidato HCl 10 mg Comprimido_cajas X 30 unidades c/u"/>
    <n v="60"/>
    <n v="2"/>
    <x v="4"/>
    <x v="3"/>
    <x v="3"/>
    <x v="2"/>
    <x v="90"/>
  </r>
  <r>
    <x v="409"/>
    <s v="LEET ANTONIO MARQUEZ ESCORCIA"/>
    <s v="Quimico Farmacéutico"/>
    <s v="CLINICA GENERAL DEL NORTE S.A."/>
    <s v="890102768-5"/>
    <s v="quimicopesmag@clinicageneraldelnorte.com"/>
    <s v="Avenida Libertador No. 13-12"/>
    <x v="4"/>
    <s v="SANTA MARTA"/>
    <s v="COTIZACION COMPRA DIRECTA"/>
    <n v="202124101334462"/>
    <d v="2021-07-26T00:00:00"/>
    <x v="6"/>
    <m/>
    <m/>
    <s v="JUL"/>
    <n v="44403"/>
    <s v="NEGADO"/>
    <s v="El FRE cuenta con disponibilidad del medicamento"/>
    <s v="No. 3792"/>
    <d v="2019-10-29T00:00:00"/>
    <s v="Metadona HCl 40 mg Tableta_frasco X 20 unidades c/u"/>
    <n v="0"/>
    <n v="0"/>
    <x v="2"/>
    <x v="4"/>
    <x v="6"/>
    <x v="8"/>
    <x v="0"/>
  </r>
  <r>
    <x v="409"/>
    <s v="LEET ANTONIO MARQUEZ ESCORCIA"/>
    <s v="Quimico Farmacéutico"/>
    <s v="CLINICA GENERAL DEL NORTE S.A."/>
    <s v="890102768-5"/>
    <s v="quimicopesmag@clinicageneraldelnorte.com"/>
    <s v="Avenida Libertador No. 13-12"/>
    <x v="4"/>
    <s v="SANTA MARTA"/>
    <s v="COTIZACION COMPRA DIRECTA"/>
    <n v="202124101334462"/>
    <d v="2021-07-26T00:00:00"/>
    <x v="6"/>
    <m/>
    <m/>
    <s v="JUL"/>
    <n v="44403"/>
    <s v="AUTORIZADO"/>
    <m/>
    <s v="No. 3792"/>
    <d v="2019-10-29T00:00:00"/>
    <s v="Morfina HCl 0,03 Solución Oral_frascos X 30 mL c/u"/>
    <n v="3"/>
    <n v="3"/>
    <x v="0"/>
    <x v="1"/>
    <x v="1"/>
    <x v="1"/>
    <x v="28"/>
  </r>
  <r>
    <x v="410"/>
    <s v="GLORIA STELLA ARENAS"/>
    <s v="Director Técnico"/>
    <s v="MESSER COLOMBIA AGENCIA BUCARAMANGA"/>
    <s v="860.005.114-4"/>
    <s v="gloria.stella.arenas@messer-co.com"/>
    <s v="Carrera 28 No. 58-80 "/>
    <x v="8"/>
    <s v="BUCARAMANGA"/>
    <s v="cotización de Fenobarbital jarabe"/>
    <n v="202124101343292"/>
    <d v="2021-07-26T00:00:00"/>
    <x v="6"/>
    <m/>
    <m/>
    <s v="JUL"/>
    <n v="44403"/>
    <s v="AUTORIZADO"/>
    <m/>
    <s v="No. 7944"/>
    <d v="2021-06-17T00:00:00"/>
    <s v="Fenobarbital 0,4% Solución Oral_frascos X 120 mL c/u"/>
    <n v="20"/>
    <n v="20"/>
    <x v="5"/>
    <x v="11"/>
    <x v="1"/>
    <x v="6"/>
    <x v="77"/>
  </r>
  <r>
    <x v="411"/>
    <s v="SARA MILENA RODIRGUEZ"/>
    <s v="Regente de farmacia"/>
    <s v="FUNDACIÓN CARDIOVASCULAR DE COLOMBIA"/>
    <s v="890212568-0"/>
    <s v="sararodriguez@fcv.org"/>
    <s v="Calle 155A No. 23-58"/>
    <x v="8"/>
    <s v="FLORIDABLANCA"/>
    <s v="cotizacion medicamento de control"/>
    <n v="202124101349962"/>
    <d v="2021-07-27T00:00:00"/>
    <x v="6"/>
    <m/>
    <m/>
    <s v="JUL"/>
    <n v="44404"/>
    <s v="NEGADO"/>
    <s v="Se dio respuesta en el radicado No. 202124101312482, se asocia"/>
    <s v="No. 16233"/>
    <d v="2018-10-08T00:00:00"/>
    <s v="Morfina HCl 10 mg/mL Solución Inyectable ampolla por 1mL"/>
    <n v="0"/>
    <n v="0"/>
    <x v="0"/>
    <x v="0"/>
    <x v="0"/>
    <x v="0"/>
    <x v="0"/>
  </r>
  <r>
    <x v="411"/>
    <s v="SARA MILENA RODIRGUEZ"/>
    <s v="Regente de farmacia"/>
    <s v="FUNDACIÓN CARDIOVASCULAR DE COLOMBIA"/>
    <s v="890212568-0"/>
    <s v="sararodriguez@fcv.org"/>
    <s v="Calle 155A No. 23-58"/>
    <x v="8"/>
    <s v="FLORIDABLANCA"/>
    <s v="cotizacion medicamento de control"/>
    <n v="202124101349962"/>
    <d v="2021-07-27T00:00:00"/>
    <x v="6"/>
    <m/>
    <m/>
    <s v="JUL"/>
    <n v="44404"/>
    <s v="NEGADO"/>
    <s v="Se dio respuesta en el radicado No. 202124101312482, se asocia"/>
    <s v="No. 16233"/>
    <d v="2018-10-08T00:00:00"/>
    <s v="Morfina HCl 10 mg/mL Solución Inyectable ampolla por 5mL"/>
    <n v="0"/>
    <n v="0"/>
    <x v="0"/>
    <x v="16"/>
    <x v="0"/>
    <x v="12"/>
    <x v="0"/>
  </r>
  <r>
    <x v="411"/>
    <s v="SARA MILENA RODIRGUEZ"/>
    <s v="Regente de farmacia"/>
    <s v="FUNDACIÓN CARDIOVASCULAR DE COLOMBIA"/>
    <s v="890212568-0"/>
    <s v="sararodriguez@fcv.org"/>
    <s v="Calle 155A No. 23-58"/>
    <x v="8"/>
    <s v="FLORIDABLANCA"/>
    <s v="cotizacion medicamento de control"/>
    <n v="202124101349962"/>
    <d v="2021-07-27T00:00:00"/>
    <x v="6"/>
    <m/>
    <m/>
    <s v="JUL"/>
    <n v="44404"/>
    <s v="NEGADO"/>
    <s v="Se dio respuesta en el radicado No. 202124101312482, se asocia"/>
    <s v="No. 16233"/>
    <d v="2018-10-08T00:00:00"/>
    <s v="Metadona HCl 10 mg Tableta_Cajas X 30 unidades c/u"/>
    <n v="0"/>
    <n v="0"/>
    <x v="2"/>
    <x v="3"/>
    <x v="2"/>
    <x v="2"/>
    <x v="0"/>
  </r>
  <r>
    <x v="412"/>
    <s v="YESENIA PUELLO PACHECO"/>
    <s v="Coordinadora de Compras"/>
    <s v="MEDIHELP SERVICES COLOMBIA"/>
    <s v="830066626-5"/>
    <s v="compras@clinicamedihelp.com"/>
    <s v="Carrera 6 No. 5-101"/>
    <x v="2"/>
    <s v="CARTAGENA"/>
    <s v="Solicitud compra de morfina"/>
    <n v="202124101350722"/>
    <d v="2021-07-27T00:00:00"/>
    <x v="6"/>
    <m/>
    <m/>
    <s v="JUL"/>
    <n v="44404"/>
    <s v="AUTORIZADO"/>
    <m/>
    <s v="No. 1677"/>
    <d v="2016-12-06T00:00:00"/>
    <s v="Morfina HCl 10 mg/mL Solución Inyectable ampolla por 1mL"/>
    <n v="150"/>
    <n v="15"/>
    <x v="0"/>
    <x v="0"/>
    <x v="0"/>
    <x v="0"/>
    <x v="19"/>
  </r>
  <r>
    <x v="413"/>
    <s v="DIANA MARCELA ESTEBAN DURAN"/>
    <s v="Regente de farmacia"/>
    <s v="DISTRIFAR DEL ORIENTE"/>
    <s v="91211831-0"/>
    <s v="bodega.distrifar@outlook.com"/>
    <s v="Carrera 34 No. 37-13"/>
    <x v="8"/>
    <s v="BUCARAMANGA"/>
    <s v="solicitud de cotización distrifar del oriente punto prado bucaramanga"/>
    <n v="202124101352492"/>
    <d v="2021-07-27T00:00:00"/>
    <x v="6"/>
    <m/>
    <m/>
    <s v="JUL"/>
    <n v="44404"/>
    <s v="AUTORIZADO"/>
    <m/>
    <s v="No. 18956"/>
    <d v="2018-10-21T00:00:00"/>
    <s v="Metadona HCl 10 mg Tableta_Cajas X 30 unidades c/u"/>
    <n v="300"/>
    <n v="10"/>
    <x v="2"/>
    <x v="3"/>
    <x v="2"/>
    <x v="2"/>
    <x v="23"/>
  </r>
  <r>
    <x v="414"/>
    <s v="JULIETH ALVAREZ"/>
    <s v="Regente de farmacia"/>
    <s v="IPS INDIGENA MATSULUDANI UNUMA LTDA"/>
    <s v="900.306.711-1"/>
    <s v="farmaciamatsuludani@gmail.com"/>
    <s v="Carrera 13 No 13D-21 Barrio Manacacias"/>
    <x v="6"/>
    <s v="PUERTO GAITAN"/>
    <s v="Cotizacion"/>
    <n v="202124101355602"/>
    <d v="2021-07-28T00:00:00"/>
    <x v="6"/>
    <m/>
    <m/>
    <s v="JUL"/>
    <n v="44405"/>
    <s v="AUTORIZADO"/>
    <m/>
    <s v="No. 478"/>
    <d v="2020-10-30T00:00:00"/>
    <s v="Fenobarbital 0,4% Solución Oral_frascos X 120 mL c/u"/>
    <n v="2"/>
    <n v="2"/>
    <x v="5"/>
    <x v="11"/>
    <x v="1"/>
    <x v="6"/>
    <x v="108"/>
  </r>
  <r>
    <x v="415"/>
    <s v="MYREYA AGUDELO ROJAS"/>
    <s v="Regente de farmacia"/>
    <s v="EMPRESA LOCAL DEL ESTADO HOSPITAL LOCAL DE SAN MARTIN DE LOS LLANOS"/>
    <s v="892.000.458-6"/>
    <s v="farmacia@hospitalsanmartinmeta.gov.co"/>
    <s v="Calle 4 No. 7 – 34 Barrio Camoa "/>
    <x v="6"/>
    <s v="SAN MARTIN"/>
    <s v="SOLICITUD DE COMPRA DE MEDICAMENTOS DE CONTROL ESPECIAL"/>
    <n v="202124101359412"/>
    <d v="2021-07-28T00:00:00"/>
    <x v="6"/>
    <m/>
    <m/>
    <s v="JUL"/>
    <n v="44405"/>
    <s v="NEGADO"/>
    <s v="El FRE cuenta con disponibilidad del medicamento"/>
    <s v="No. 588"/>
    <d v="2018-06-07T00:00:00"/>
    <s v="Morfina HCl 10 mg/mL Solución Inyectable ampolla por 1mL"/>
    <n v="0"/>
    <n v="0"/>
    <x v="0"/>
    <x v="0"/>
    <x v="0"/>
    <x v="0"/>
    <x v="0"/>
  </r>
  <r>
    <x v="415"/>
    <s v="MYREYA AGUDELO ROJAS"/>
    <s v="Regente de farmacia"/>
    <s v="EMPRESA LOCAL DEL ESTADO HOSPITAL LOCAL DE SAN MARTIN DE LOS LLANOS"/>
    <s v="892.000.458-6"/>
    <s v="farmacia@hospitalsanmartinmeta.gov.co"/>
    <s v="Calle 4 No. 7 – 34 Barrio Camoa "/>
    <x v="6"/>
    <s v="SAN MARTIN"/>
    <s v="SOLICITUD DE COMPRA DE MEDICAMENTOS DE CONTROL ESPECIAL"/>
    <n v="202124101359412"/>
    <d v="2021-07-28T00:00:00"/>
    <x v="6"/>
    <m/>
    <m/>
    <s v="JUL"/>
    <n v="44405"/>
    <s v="NEGADO"/>
    <s v="El FRE cuenta con disponibilidad del medicamento"/>
    <s v="No. 588"/>
    <d v="2018-06-07T00:00:00"/>
    <s v="Fenobarbital Sódico 200 mg/mL Solución Inyectable_caja X 10 ampollas c/u"/>
    <n v="0"/>
    <n v="0"/>
    <x v="3"/>
    <x v="5"/>
    <x v="0"/>
    <x v="0"/>
    <x v="0"/>
  </r>
  <r>
    <x v="415"/>
    <s v="MYREYA AGUDELO ROJAS"/>
    <s v="Regente de farmacia"/>
    <s v="EMPRESA LOCAL DEL ESTADO HOSPITAL LOCAL DE SAN MARTIN DE LOS LLANOS"/>
    <s v="892.000.458-6"/>
    <s v="farmacia@hospitalsanmartinmeta.gov.co"/>
    <s v="Calle 4 No. 7 – 34 Barrio Camoa "/>
    <x v="6"/>
    <s v="SAN MARTIN"/>
    <s v="SOLICITUD DE COMPRA DE MEDICAMENTOS DE CONTROL ESPECIAL"/>
    <n v="202124101359412"/>
    <d v="2021-07-28T00:00:00"/>
    <x v="6"/>
    <m/>
    <m/>
    <s v="JUL"/>
    <n v="44405"/>
    <s v="NEGADO"/>
    <s v="El FRE cuenta con disponibilidad del medicamento"/>
    <s v="No. 588"/>
    <d v="2018-06-07T00:00:00"/>
    <s v="Meperidina HCl 100 mg/2mL Solución Inyectable_cajas X 10 unidades c/u"/>
    <n v="0"/>
    <n v="0"/>
    <x v="6"/>
    <x v="8"/>
    <x v="0"/>
    <x v="3"/>
    <x v="0"/>
  </r>
  <r>
    <x v="416"/>
    <s v="GLORIA STELLA ARENAS"/>
    <s v="Director Técnico"/>
    <s v="MESSER COLOMBIA AGENCIA BUCARAMANGA"/>
    <s v="860.005.114-4"/>
    <s v="gloria.stella.arenas@messer-co.com"/>
    <s v="Carrera 28 No. 58-80 "/>
    <x v="8"/>
    <s v="BUCARAMANGA"/>
    <s v="cotización de Fenobarbital jarabe"/>
    <n v="202124101361102"/>
    <d v="2021-07-28T00:00:00"/>
    <x v="6"/>
    <m/>
    <m/>
    <s v="JUL"/>
    <n v="44405"/>
    <s v="NEGADO"/>
    <s v="Solicitud duplicada"/>
    <s v="No. 7944"/>
    <d v="2021-06-17T00:00:00"/>
    <s v="Fenobarbital 0,4% Solución Oral_frascos X 120 mL c/u"/>
    <n v="0"/>
    <n v="0"/>
    <x v="5"/>
    <x v="11"/>
    <x v="1"/>
    <x v="6"/>
    <x v="0"/>
  </r>
  <r>
    <x v="417"/>
    <s v="LEET ANTONIO MARQUEZ ESCORCIA"/>
    <s v="Quimico Farmacéutico"/>
    <s v="CLINICA GENERAL DEL NORTE S.A."/>
    <s v="890102768-5"/>
    <s v="quimicopesmag@clinicageneraldelnorte.com"/>
    <s v="Avenida Libertador No. 13-12"/>
    <x v="4"/>
    <s v="SANTA MARTA"/>
    <s v="TRAMITE COTIZACION Y AUTORIZACION COMPRA HIDROMORFONA"/>
    <n v="202124101382472"/>
    <d v="2021-07-30T00:00:00"/>
    <x v="6"/>
    <m/>
    <m/>
    <s v="JUL"/>
    <n v="44407"/>
    <s v="AUTORIZADO"/>
    <m/>
    <s v="No. 3792"/>
    <d v="2019-10-29T00:00:00"/>
    <s v="Hidromorfona HCl 2,5 mg Tableta_cajas X 20 unidades c/u"/>
    <n v="240"/>
    <n v="12"/>
    <x v="1"/>
    <x v="9"/>
    <x v="4"/>
    <x v="4"/>
    <x v="186"/>
  </r>
  <r>
    <x v="417"/>
    <s v="LEET ANTONIO MARQUEZ ESCORCIA"/>
    <s v="Quimico Farmacéutico"/>
    <s v="CLINICA GENERAL DEL NORTE S.A."/>
    <s v="890102768-5"/>
    <s v="quimicopesmag@clinicageneraldelnorte.com"/>
    <s v="Avenida Libertador No. 13-12"/>
    <x v="4"/>
    <s v="SANTA MARTA"/>
    <s v="TRAMITE COTIZACION Y AUTORIZACION COMPRA HIDROMORFONA"/>
    <n v="202124101382472"/>
    <d v="2021-07-30T00:00:00"/>
    <x v="6"/>
    <m/>
    <m/>
    <s v="JUL"/>
    <n v="44407"/>
    <s v="AUTORIZADO"/>
    <m/>
    <s v="No. 3792"/>
    <d v="2019-10-29T00:00:00"/>
    <s v="Morfina HCl 0,03 Solución Oral_frascos X 30 mL c/u"/>
    <n v="2"/>
    <n v="2"/>
    <x v="0"/>
    <x v="1"/>
    <x v="1"/>
    <x v="1"/>
    <x v="156"/>
  </r>
  <r>
    <x v="418"/>
    <s v="MANUEL ALFONSO GONZALEZ CANTOR"/>
    <s v="Gerente"/>
    <s v="HOSPITAL SAN JUAN DE DIOS DE HONDA E.S.E"/>
    <s v="890700666-8"/>
    <s v="farmacia@hsjd.gov.co"/>
    <s v="Calle 9 No 16-38-Avenida Centenario "/>
    <x v="0"/>
    <s v="HONDA"/>
    <s v="Solicitud Pedido"/>
    <n v="202124101384922"/>
    <d v="2021-07-30T00:00:00"/>
    <x v="6"/>
    <m/>
    <m/>
    <s v="ENE"/>
    <n v="44407"/>
    <s v="NEGADO"/>
    <m/>
    <s v="No. 2956"/>
    <d v="2019-09-26T00:00:00"/>
    <s v="Meperidina HCl 100 mg/2mL Solución Inyectable_cajas X 10 unidades c/u"/>
    <n v="0"/>
    <n v="0"/>
    <x v="6"/>
    <x v="8"/>
    <x v="0"/>
    <x v="3"/>
    <x v="0"/>
  </r>
  <r>
    <x v="418"/>
    <s v="MANUEL ALFONSO GONZALEZ CANTOR"/>
    <s v="Gerente"/>
    <s v="HOSPITAL SAN JUAN DE DIOS DE HONDA E.S.E"/>
    <s v="890700666-8"/>
    <s v="farmacia@hsjd.gov.co"/>
    <s v="Calle 9 No 16-38-Avenida Centenario "/>
    <x v="0"/>
    <s v="HONDA"/>
    <s v="Solicitud Pedido"/>
    <n v="202124101384922"/>
    <d v="2021-07-30T00:00:00"/>
    <x v="6"/>
    <m/>
    <m/>
    <s v="ENE"/>
    <n v="44407"/>
    <s v="AUTORIZADO"/>
    <m/>
    <s v="No. 2956"/>
    <d v="2019-09-26T00:00:00"/>
    <s v="Morfina HCl 10 mg/mL Solución Inyectable ampolla por 1mL"/>
    <n v="400"/>
    <n v="40"/>
    <x v="0"/>
    <x v="0"/>
    <x v="0"/>
    <x v="0"/>
    <x v="63"/>
  </r>
  <r>
    <x v="418"/>
    <s v="MANUEL ALFONSO GONZALEZ CANTOR"/>
    <s v="Gerente"/>
    <s v="HOSPITAL SAN JUAN DE DIOS DE HONDA E.S.E"/>
    <s v="890700666-8"/>
    <s v="farmacia@hsjd.gov.co"/>
    <s v="Calle 9 No 16-38-Avenida Centenario "/>
    <x v="0"/>
    <s v="HONDA"/>
    <s v="Solicitud Pedido"/>
    <n v="202124101384922"/>
    <d v="2021-07-30T00:00:00"/>
    <x v="6"/>
    <m/>
    <m/>
    <s v="ENE"/>
    <n v="44407"/>
    <s v="NEGADO"/>
    <m/>
    <s v="No. 2956"/>
    <d v="2019-09-26T00:00:00"/>
    <s v="Fenobarbital 100 mg Tableta_cajas X 30 unidades c/u"/>
    <n v="0"/>
    <n v="0"/>
    <x v="5"/>
    <x v="7"/>
    <x v="4"/>
    <x v="2"/>
    <x v="0"/>
  </r>
  <r>
    <x v="418"/>
    <s v="MANUEL ALFONSO GONZALEZ CANTOR"/>
    <s v="Gerente"/>
    <s v="HOSPITAL SAN JUAN DE DIOS DE HONDA E.S.E"/>
    <s v="890700666-8"/>
    <s v="farmacia@hsjd.gov.co"/>
    <s v="Calle 9 No 16-38-Avenida Centenario "/>
    <x v="0"/>
    <s v="HONDA"/>
    <s v="Solicitud Pedido"/>
    <n v="202124101384922"/>
    <d v="2021-07-30T00:00:00"/>
    <x v="6"/>
    <m/>
    <m/>
    <s v="ENE"/>
    <n v="44407"/>
    <s v="NEGADO"/>
    <m/>
    <s v="No. 2956"/>
    <d v="2019-09-26T00:00:00"/>
    <s v="Morfina HCl 0,03 Solución Oral_frascos X 30 mL c/u"/>
    <n v="0"/>
    <n v="0"/>
    <x v="0"/>
    <x v="1"/>
    <x v="1"/>
    <x v="1"/>
    <x v="0"/>
  </r>
  <r>
    <x v="418"/>
    <s v="MANUEL ALFONSO GONZALEZ CANTOR"/>
    <s v="Gerente"/>
    <s v="HOSPITAL SAN JUAN DE DIOS DE HONDA E.S.E"/>
    <s v="890700666-8"/>
    <s v="farmacia@hsjd.gov.co"/>
    <s v="Calle 9 No 16-38-Avenida Centenario "/>
    <x v="0"/>
    <s v="HONDA"/>
    <s v="Solicitud Pedido"/>
    <n v="202124101384922"/>
    <d v="2021-07-30T00:00:00"/>
    <x v="6"/>
    <m/>
    <m/>
    <s v="ENE"/>
    <n v="44407"/>
    <s v="NEGADO"/>
    <m/>
    <s v="No. 2956"/>
    <d v="2019-09-26T00:00:00"/>
    <s v="Fenobarbital Sódico 40 mg/mL Solución Inyectable_caja X 10 ampollas c/u"/>
    <n v="0"/>
    <n v="0"/>
    <x v="3"/>
    <x v="6"/>
    <x v="0"/>
    <x v="0"/>
    <x v="0"/>
  </r>
  <r>
    <x v="419"/>
    <s v="JACKELINE PARRADO MURCIA"/>
    <s v="Regente de farmacia"/>
    <s v="CORPORACIÓN MI IPS LLANOS ORIENTALES "/>
    <s v="822006818-7"/>
    <s v="farmaciaipslospinos@miips.com.co"/>
    <s v="Carrera 41 No. 33B-37 Barrio Barzal"/>
    <x v="6"/>
    <s v="VILLAVICENCIO"/>
    <s v="COTIZACIÓN FNE IPS LOS PINOS"/>
    <n v="202124101394852"/>
    <d v="2021-08-02T00:00:00"/>
    <x v="7"/>
    <n v="202124111225771"/>
    <d v="2021-08-04T00:00:00"/>
    <s v="ENE"/>
    <n v="-2"/>
    <s v="AUTORIZADO"/>
    <m/>
    <s v="No. 044"/>
    <d v="2021-03-26T00:00:00"/>
    <s v="Morfina HCl 0,03 Solución Oral_frascos X 30 mL c/u"/>
    <n v="60"/>
    <n v="60"/>
    <x v="0"/>
    <x v="1"/>
    <x v="1"/>
    <x v="1"/>
    <x v="40"/>
  </r>
  <r>
    <x v="420"/>
    <s v="LINA VIVIANA GUZMAN BARRETO"/>
    <s v="Dir. Técnico Servicio Farmacéutico "/>
    <s v="CLÍNICA TOLIMA S.A."/>
    <s v="890703630-7"/>
    <s v="pcortes@minsalud.gov.co"/>
    <s v="Carrera 1 No.12-22"/>
    <x v="0"/>
    <s v="IBAGUE"/>
    <s v="AUTORIZACIÓN COMPRA MEDICAMENTOS MONOPOLIO DE ESTADO - CLINICA TOLIMA S.A."/>
    <n v="202124101404502"/>
    <d v="2021-08-03T00:00:00"/>
    <x v="7"/>
    <m/>
    <m/>
    <s v="ENE"/>
    <n v="44411"/>
    <s v="NEGADO"/>
    <s v="Solicitud duplicada se dio respuesta en el radicado 202124111225841"/>
    <s v="No. 01992"/>
    <d v="2018-06-22T00:00:00"/>
    <s v="Morfina HCl 10 mg/mL Solución Inyectable ampolla por 1mL"/>
    <n v="0"/>
    <n v="0"/>
    <x v="0"/>
    <x v="0"/>
    <x v="0"/>
    <x v="0"/>
    <x v="0"/>
  </r>
  <r>
    <x v="421"/>
    <s v="LINA VIVIANA GUZMAN BARRETO"/>
    <s v="Dir. Técnico Servicio Farmacéutico "/>
    <s v="CLÍNICA TOLIMA S.A."/>
    <s v="890703630-7"/>
    <s v="pcortes@minsalud.gov.co"/>
    <s v="Carrera 1 No.12-22"/>
    <x v="0"/>
    <s v="IBAGUE"/>
    <s v="AUTORIZACIÓN COMPRA MEDICAMENTOS MONOPOLIO DE ESTADO - CLINICA TOLIMA S.A."/>
    <n v="202124101405322"/>
    <d v="2021-08-03T00:00:00"/>
    <x v="7"/>
    <n v="202124111225841"/>
    <d v="2021-08-04T00:00:00"/>
    <s v="ENE"/>
    <n v="-1"/>
    <s v="AUTORIZADO"/>
    <m/>
    <s v="No. 01992"/>
    <d v="2018-06-22T00:00:00"/>
    <s v="Morfina HCl 10 mg/mL Solución Inyectable ampolla por 1mL"/>
    <n v="800"/>
    <n v="80"/>
    <x v="0"/>
    <x v="0"/>
    <x v="0"/>
    <x v="0"/>
    <x v="65"/>
  </r>
  <r>
    <x v="422"/>
    <s v="ADRIANA YEPEZ TERRILL"/>
    <s v="Coord. Dirección Técnica"/>
    <s v="IPS CLÍNICA BLAS DE LEZO SAS"/>
    <s v="890400693-1"/>
    <s v="coordfarmaciadt@clinicablasdelezo.com.co"/>
    <s v="Av. Del Bosque Transversal 54 No.47-57"/>
    <x v="2"/>
    <s v="CARTAGENA"/>
    <s v="Solicitud de Medicamentos CBL"/>
    <n v="202124101405952"/>
    <d v="2021-08-03T00:00:00"/>
    <x v="7"/>
    <n v="202124111225871"/>
    <d v="2021-08-04T00:00:00"/>
    <s v="ENE"/>
    <n v="-1"/>
    <s v="AUTORIZADO"/>
    <m/>
    <s v="No. 545"/>
    <d v="2029-04-23T00:00:00"/>
    <s v="Morfina HCl 10 mg/mL Solución Inyectable ampolla por 1mL"/>
    <n v="200"/>
    <n v="20"/>
    <x v="0"/>
    <x v="0"/>
    <x v="0"/>
    <x v="0"/>
    <x v="18"/>
  </r>
  <r>
    <x v="423"/>
    <s v="JULIETH CAROLINA GONZALEZ"/>
    <s v="Regente de farmacia"/>
    <s v="NEUROMÉDICA"/>
    <s v="900.699.359-9"/>
    <s v="regentefarmanorte@neuromedica.com.co"/>
    <s v="Cra 52 No. 65-91"/>
    <x v="13"/>
    <s v="MEDELLIN"/>
    <s v="SOLICITUD AUTORIZACION COMPRA DIRECTA"/>
    <n v="202124101407902"/>
    <d v="2021-08-03T00:00:00"/>
    <x v="7"/>
    <n v="202124111237961"/>
    <d v="2021-08-06T00:00:00"/>
    <s v="ENE"/>
    <n v="-3"/>
    <s v="AUTORIZADO"/>
    <m/>
    <s v="No. 2019060037241"/>
    <d v="2019-03-06T00:00:00"/>
    <s v="Metilfenidato HCl 18 mg Tableta de Liberación Prolongada_frascos X 30 unidades c/u"/>
    <n v="1200"/>
    <n v="40"/>
    <x v="4"/>
    <x v="18"/>
    <x v="7"/>
    <x v="10"/>
    <x v="189"/>
  </r>
  <r>
    <x v="424"/>
    <s v="RUBEN DARIO BAÑOS SOLANO"/>
    <s v="Coordinador Servicio Farmaceutico"/>
    <s v="CLINICA MATERNO INFANTIL SAN LUIS S.A."/>
    <s v="890.208.758-8"/>
    <s v="direccion.farmacia@clinicasanluis.com.co"/>
    <s v="Calle 48 No. 25-56 Sotomayor"/>
    <x v="8"/>
    <s v="BUCARAMANGA"/>
    <s v="COTIZACION DE MEDICAMENTOS DE CONTROL ESPECIAL"/>
    <n v="202124101414122"/>
    <d v="2021-08-04T00:00:00"/>
    <x v="7"/>
    <n v="202124111270151"/>
    <d v="2021-08-11T00:00:00"/>
    <s v="ENE"/>
    <n v="-7"/>
    <s v="NEGADO"/>
    <s v="No adjuntan documentos"/>
    <m/>
    <m/>
    <s v="Metadona HCl 10 mg Tableta_Cajas X 30 unidades c/u"/>
    <n v="0"/>
    <n v="0"/>
    <x v="2"/>
    <x v="3"/>
    <x v="2"/>
    <x v="2"/>
    <x v="0"/>
  </r>
  <r>
    <x v="424"/>
    <s v="RUBEN DARIO BAÑOS SOLANO"/>
    <s v="Coordinador Servicio Farmaceutico"/>
    <s v="CLINICA MATERNO INFANTIL SAN LUIS S.A."/>
    <s v="890.208.758-8"/>
    <s v="direccion.farmacia@clinicasanluis.com.co"/>
    <s v="Calle 48 No. 25-56 Sotomayor"/>
    <x v="8"/>
    <s v="BUCARAMANGA"/>
    <s v="COTIZACION DE MEDICAMENTOS DE CONTROL ESPECIAL"/>
    <n v="202124101414122"/>
    <d v="2021-08-04T00:00:00"/>
    <x v="7"/>
    <n v="202124111270151"/>
    <d v="2021-08-11T00:00:00"/>
    <s v="ENE"/>
    <n v="-7"/>
    <s v="NEGADO"/>
    <s v="No adjuntan documentos"/>
    <m/>
    <m/>
    <s v="Morfina HCl 10 mg/mL Solución Inyectable ampolla por 1mL"/>
    <n v="0"/>
    <n v="0"/>
    <x v="0"/>
    <x v="0"/>
    <x v="0"/>
    <x v="0"/>
    <x v="0"/>
  </r>
  <r>
    <x v="425"/>
    <s v="LUIS ROJAS CATALÁN"/>
    <s v="Coordinador Servicio Farmaceutico"/>
    <s v="PROMOSALUD IPS SEDE HOSPITALARIA CLINICA EL PRADO"/>
    <m/>
    <s v="luis.rojas@promosaludips.com"/>
    <s v="Calle 59 N° 50 – 10"/>
    <x v="3"/>
    <s v="BARRANQUILLA"/>
    <s v="Solicitud compra de medicamentos monopolio del estado"/>
    <n v="202124101426412"/>
    <d v="2021-08-05T00:00:00"/>
    <x v="7"/>
    <n v="202124111265811"/>
    <d v="2021-08-11T00:00:00"/>
    <s v="ENE"/>
    <n v="-6"/>
    <s v="NEGADO"/>
    <s v="No adjuntan documentos"/>
    <m/>
    <m/>
    <s v="Morfina HCl 10 mg/mL Solución Inyectable ampolla por 1mL"/>
    <n v="0"/>
    <n v="0"/>
    <x v="0"/>
    <x v="0"/>
    <x v="0"/>
    <x v="0"/>
    <x v="0"/>
  </r>
  <r>
    <x v="425"/>
    <s v="LUIS ROJAS CATALÁN"/>
    <s v="Coordinador Servicio Farmaceutico"/>
    <s v="PROMOSALUD IPS SEDE HOSPITALARIA CLINICA EL PRADO"/>
    <m/>
    <s v="luis.rojas@promosaludips.com"/>
    <s v="Calle 59 N° 50 – 10"/>
    <x v="3"/>
    <s v="BARRANQUILLA"/>
    <s v="Solicitud compra de medicamentos monopolio del estado"/>
    <n v="202124101426412"/>
    <d v="2021-08-05T00:00:00"/>
    <x v="7"/>
    <n v="202124111265811"/>
    <d v="2021-08-11T00:00:00"/>
    <s v="ENE"/>
    <n v="-6"/>
    <s v="NEGADO"/>
    <s v="No adjuntan documentos"/>
    <m/>
    <m/>
    <s v="Hidromorfona HCl 2 mg/mL Solución Inyectable_cajas X 10 unidades c/u"/>
    <n v="0"/>
    <n v="0"/>
    <x v="1"/>
    <x v="2"/>
    <x v="0"/>
    <x v="0"/>
    <x v="0"/>
  </r>
  <r>
    <x v="426"/>
    <s v="LEET ANTONIO MARQUEZ ESCORCIA"/>
    <s v="Quimico Farmacéutico"/>
    <s v="CLINICA GENERAL DE CIENAGA S.A.S."/>
    <s v="819.000.413-1"/>
    <s v="quimicocienaga@clinicageneraldelnorte.com"/>
    <s v="Carrera 18B No.18A-15"/>
    <x v="4"/>
    <s v="CIENAGA"/>
    <s v="SOLICITUD COTIZACION METADONA TAB 10 MG"/>
    <n v="202124101434842"/>
    <d v="2021-08-06T00:00:00"/>
    <x v="7"/>
    <n v="202124111266371"/>
    <d v="2021-08-11T00:00:00"/>
    <s v="ENE"/>
    <n v="-5"/>
    <s v="NEGADO"/>
    <s v="La resolución no tiene el listado de medicamentos monopolio "/>
    <s v="No. 4005"/>
    <d v="2019-10-13T00:00:00"/>
    <s v="Metadona HCl 10 mg Tableta_frascos X 20 unidades c/u"/>
    <n v="0"/>
    <n v="0"/>
    <x v="2"/>
    <x v="3"/>
    <x v="6"/>
    <x v="8"/>
    <x v="0"/>
  </r>
  <r>
    <x v="427"/>
    <s v="LINA MARCELA CHAPARRO GARCIA"/>
    <s v="Representante Legal"/>
    <s v="FUNDACION CARDIOVASCULAR DE COLOMBIA ZONA FRANCA S.A.S"/>
    <s v="900.341.526-1"/>
    <s v="socorrogomez@fcv.org"/>
    <s v="Kilometro 7 Vía Piedecuesta"/>
    <x v="8"/>
    <s v="PIEDECUESTA"/>
    <s v="SOLICITUD COMPRA MEDICAMENTOS CONTROL ESPECIAL"/>
    <n v="202124101435332"/>
    <d v="2021-08-06T00:00:00"/>
    <x v="7"/>
    <n v="202124111261751"/>
    <d v="2021-08-10T00:00:00"/>
    <s v="ENE"/>
    <n v="-4"/>
    <s v="AUTORIZADO"/>
    <m/>
    <s v="No. 7036"/>
    <d v="2021-06-01T00:00:00"/>
    <s v="Metadona HCl 10 mg Tableta_Cajas X 30 unidades c/u"/>
    <n v="3000"/>
    <n v="100"/>
    <x v="2"/>
    <x v="3"/>
    <x v="2"/>
    <x v="2"/>
    <x v="32"/>
  </r>
  <r>
    <x v="428"/>
    <s v="LAURA CAROLINA PABON HERRERA"/>
    <s v="Quimico Farmacéutico"/>
    <s v="CORPORACIÓN MI IPS LLANOS ORIENTALES"/>
    <s v="822.006.818-7"/>
    <s v="farmaciaipscumaral@miips.com.co"/>
    <s v="Carrera 41 No. 33B-37 Barrio Barzal"/>
    <x v="6"/>
    <s v="VILLAVICENCIO"/>
    <s v="SOLCITUD COMPRA MCE CUMARAL"/>
    <n v="202124101429992"/>
    <d v="2021-08-05T00:00:00"/>
    <x v="7"/>
    <n v="202124111272801"/>
    <d v="2021-08-12T00:00:00"/>
    <s v="ENE"/>
    <n v="-7"/>
    <s v="NEGADO"/>
    <s v="EL FRE TIENE DISPONIBILIDAD"/>
    <s v="No. 044"/>
    <d v="2021-03-26T00:00:00"/>
    <s v="Morfina HCl 0,03 Solución Oral_frascos X 30 mL c/u"/>
    <n v="0"/>
    <n v="0"/>
    <x v="0"/>
    <x v="1"/>
    <x v="1"/>
    <x v="1"/>
    <x v="0"/>
  </r>
  <r>
    <x v="428"/>
    <s v="LAURA CAROLINA PABON HERRERA"/>
    <s v="Quimico Farmacéutico"/>
    <s v="CORPORACIÓN MI IPS LLANOS ORIENTALES"/>
    <s v="822.006.818-7"/>
    <s v="farmaciaipscumaral@miips.com.co"/>
    <s v="Carrera 41 No. 33B-37 Barrio Barzal"/>
    <x v="6"/>
    <s v="VILLAVICENCIO"/>
    <s v="SOLCITUD COMPRA MCE CUMARAL"/>
    <n v="202124101429992"/>
    <d v="2021-08-05T00:00:00"/>
    <x v="7"/>
    <n v="202124111272801"/>
    <d v="2021-08-12T00:00:00"/>
    <s v="ENE"/>
    <n v="-7"/>
    <s v="AUTORIZADO"/>
    <m/>
    <s v="No. 044"/>
    <d v="2021-03-26T00:00:00"/>
    <s v="Metadona HCl 10 mg Tableta_Cajas X 30 unidades c/u"/>
    <n v="600"/>
    <n v="20"/>
    <x v="2"/>
    <x v="3"/>
    <x v="2"/>
    <x v="2"/>
    <x v="7"/>
  </r>
  <r>
    <x v="428"/>
    <s v="LAURA CAROLINA PABON HERRERA"/>
    <s v="Quimico Farmacéutico"/>
    <s v="CORPORACIÓN MI IPS LLANOS ORIENTALES"/>
    <s v="822.006.818-7"/>
    <s v="farmaciaipscumaral@miips.com.co"/>
    <s v="Carrera 41 No. 33B-37 Barrio Barzal"/>
    <x v="6"/>
    <s v="VILLAVICENCIO"/>
    <s v="SOLCITUD COMPRA MCE CUMARAL"/>
    <n v="202124101429992"/>
    <d v="2021-08-05T00:00:00"/>
    <x v="7"/>
    <n v="202124111272801"/>
    <d v="2021-08-12T00:00:00"/>
    <s v="ENE"/>
    <n v="-7"/>
    <s v="AUTORIZADO"/>
    <m/>
    <s v="No. 044"/>
    <d v="2021-03-26T00:00:00"/>
    <s v="Hidromorfona HCl 2,5 mg Tableta_cajas X 20 unidades c/u"/>
    <n v="540"/>
    <n v="27"/>
    <x v="1"/>
    <x v="9"/>
    <x v="4"/>
    <x v="4"/>
    <x v="74"/>
  </r>
  <r>
    <x v="429"/>
    <s v="FLOR MARÍA ALDANA GONZÁLEZ"/>
    <s v="Coordinadora Proceso Servicio Farmacéutico"/>
    <s v="HOSPITAL FEDERICO LLERAS ACOSTA E.S.E."/>
    <s v="890706833-9"/>
    <s v="pu.farmacia@hflleras.gov.co"/>
    <s v="Calle 33 No.4A-50"/>
    <x v="0"/>
    <s v="IBAGUE"/>
    <s v="SOLICTUD DE COTIZACION DE MEDICAMENTOS MONOPOLIO DEL ESTADO"/>
    <n v="202124101452292"/>
    <d v="2021-08-09T00:00:00"/>
    <x v="7"/>
    <n v="202124111273051"/>
    <d v="2021-08-12T00:00:00"/>
    <s v="ENE"/>
    <n v="-3"/>
    <s v="AUTORIZADO"/>
    <m/>
    <s v="No. 3226"/>
    <d v="2018-10-19T00:00:00"/>
    <s v="Morfina HCl 10 mg/mL Solución Inyectable ampolla por 1mL"/>
    <n v="10000"/>
    <n v="1000"/>
    <x v="0"/>
    <x v="0"/>
    <x v="0"/>
    <x v="0"/>
    <x v="190"/>
  </r>
  <r>
    <x v="429"/>
    <s v="FLOR MARÍA ALDANA GONZÁLEZ"/>
    <s v="Coordinadora Proceso Servicio Farmacéutico"/>
    <s v="HOSPITAL FEDERICO LLERAS ACOSTA E.S.E."/>
    <s v="890706833-9"/>
    <s v="pu.farmacia@hflleras.gov.co"/>
    <s v="Calle 33 No.4A-50"/>
    <x v="0"/>
    <s v="IBAGUE"/>
    <s v="SOLICTUD DE COTIZACION DE MEDICAMENTOS MONOPOLIO DEL ESTADO"/>
    <n v="202124101452292"/>
    <d v="2021-08-09T00:00:00"/>
    <x v="7"/>
    <n v="202124111273051"/>
    <d v="2021-08-12T00:00:00"/>
    <s v="ENE"/>
    <n v="-3"/>
    <s v="AUTORIZADO"/>
    <m/>
    <s v="No. 3226"/>
    <d v="2018-10-19T00:00:00"/>
    <s v="Hidromorfona HCl 2 mg/mL Solución Inyectable_cajas X 10 unidades c/u"/>
    <n v="11000"/>
    <n v="1100"/>
    <x v="1"/>
    <x v="2"/>
    <x v="0"/>
    <x v="0"/>
    <x v="0"/>
  </r>
  <r>
    <x v="430"/>
    <s v="RAMIRO FLORES SALAS"/>
    <s v="Director Técnico"/>
    <s v="SIKUANY S.A.S"/>
    <s v="830512772-6"/>
    <s v="sikuanyltda@gmail.com"/>
    <s v="Calle 33 A No.38-41 Barzal Alto"/>
    <x v="6"/>
    <s v="VILLAVICENCIO"/>
    <s v="COTIZACION COMPRA DIRECTA"/>
    <n v="202124101452032"/>
    <d v="2021-08-09T00:00:00"/>
    <x v="7"/>
    <n v="202124111272921"/>
    <d v="2021-08-12T00:00:00"/>
    <s v="ENE"/>
    <n v="-3"/>
    <s v="NEGADO"/>
    <s v="EL FRE TIENE DISPONIBILIDAD"/>
    <s v="No. 564"/>
    <d v="2017-05-30T00:00:00"/>
    <s v="Fenobarbital 0,4% Solución Oral_frascos X 120 mL c/u"/>
    <n v="0"/>
    <n v="0"/>
    <x v="5"/>
    <x v="11"/>
    <x v="1"/>
    <x v="6"/>
    <x v="0"/>
  </r>
  <r>
    <x v="430"/>
    <s v="RAMIRO FLORES SALAS"/>
    <s v="Director Técnico"/>
    <s v="SIKUANY S.A.S"/>
    <s v="830512772-6"/>
    <s v="sikuanyltda@gmail.com"/>
    <s v="Calle 33 A No.38-41 Barzal Alto"/>
    <x v="6"/>
    <s v="VILLAVICENCIO"/>
    <s v="COTIZACION COMPRA DIRECTA"/>
    <n v="202124101452032"/>
    <d v="2021-08-09T00:00:00"/>
    <x v="7"/>
    <n v="202124111272921"/>
    <d v="2021-08-12T00:00:00"/>
    <s v="ENE"/>
    <n v="-3"/>
    <s v="NEGADO"/>
    <s v="EL FRE TIENE DISPONIBILIDAD"/>
    <s v="No. 564"/>
    <d v="2017-05-30T00:00:00"/>
    <s v="Fenobarbital 100 mg Tableta_cajas X 30 unidades c/u"/>
    <n v="0"/>
    <n v="0"/>
    <x v="5"/>
    <x v="7"/>
    <x v="4"/>
    <x v="2"/>
    <x v="0"/>
  </r>
  <r>
    <x v="430"/>
    <s v="RAMIRO FLORES SALAS"/>
    <s v="Director Técnico"/>
    <s v="SIKUANY S.A.S"/>
    <s v="830512772-6"/>
    <s v="sikuanyltda@gmail.com"/>
    <s v="Calle 33 A No.38-41 Barzal Alto"/>
    <x v="6"/>
    <s v="VILLAVICENCIO"/>
    <s v="COTIZACION COMPRA DIRECTA"/>
    <n v="202124101452032"/>
    <d v="2021-08-09T00:00:00"/>
    <x v="7"/>
    <n v="202124111272921"/>
    <d v="2021-08-12T00:00:00"/>
    <s v="ENE"/>
    <n v="-3"/>
    <s v="AUTORIZADO"/>
    <m/>
    <s v="No. 564"/>
    <d v="2017-05-30T00:00:00"/>
    <s v="Hidromorfona HCl 2,5 mg Tableta_cajas X 20 unidades c/u"/>
    <n v="4000"/>
    <n v="200"/>
    <x v="1"/>
    <x v="9"/>
    <x v="4"/>
    <x v="4"/>
    <x v="129"/>
  </r>
  <r>
    <x v="430"/>
    <s v="RAMIRO FLORES SALAS"/>
    <s v="Director Técnico"/>
    <s v="SIKUANY S.A.S"/>
    <s v="830512772-6"/>
    <s v="sikuanyltda@gmail.com"/>
    <s v="Calle 33 A No.38-41 Barzal Alto"/>
    <x v="6"/>
    <s v="VILLAVICENCIO"/>
    <s v="COTIZACION COMPRA DIRECTA"/>
    <n v="202124101452032"/>
    <d v="2021-08-09T00:00:00"/>
    <x v="7"/>
    <n v="202124111272921"/>
    <d v="2021-08-12T00:00:00"/>
    <s v="ENE"/>
    <n v="-3"/>
    <s v="AUTORIZADO"/>
    <m/>
    <s v="No. 564"/>
    <d v="2017-05-30T00:00:00"/>
    <s v="Morfina HCl 0,03 Solución Inyectable_Vial X 20 mL c/u"/>
    <n v="300"/>
    <n v="300"/>
    <x v="0"/>
    <x v="1"/>
    <x v="0"/>
    <x v="9"/>
    <x v="191"/>
  </r>
  <r>
    <x v="430"/>
    <s v="RAMIRO FLORES SALAS"/>
    <s v="Director Técnico"/>
    <s v="SIKUANY S.A.S"/>
    <s v="830512772-6"/>
    <s v="sikuanyltda@gmail.com"/>
    <s v="Calle 33 A No.38-41 Barzal Alto"/>
    <x v="6"/>
    <s v="VILLAVICENCIO"/>
    <s v="COTIZACION COMPRA DIRECTA"/>
    <n v="202124101452032"/>
    <d v="2021-08-09T00:00:00"/>
    <x v="7"/>
    <n v="202124111272921"/>
    <d v="2021-08-12T00:00:00"/>
    <s v="ENE"/>
    <n v="-3"/>
    <s v="AUTORIZADO"/>
    <m/>
    <s v="No. 564"/>
    <d v="2017-05-30T00:00:00"/>
    <s v="Metadona HCl 10 mg Tableta_frascos X 20 unidades c/u"/>
    <n v="600"/>
    <n v="30"/>
    <x v="2"/>
    <x v="3"/>
    <x v="6"/>
    <x v="8"/>
    <x v="192"/>
  </r>
  <r>
    <x v="430"/>
    <s v="RAMIRO FLORES SALAS"/>
    <s v="Director Técnico"/>
    <s v="SIKUANY S.A.S"/>
    <s v="830512772-6"/>
    <s v="sikuanyltda@gmail.com"/>
    <s v="Calle 33 A No.38-41 Barzal Alto"/>
    <x v="6"/>
    <s v="VILLAVICENCIO"/>
    <s v="COTIZACION COMPRA DIRECTA"/>
    <n v="202124101452032"/>
    <d v="2021-08-09T00:00:00"/>
    <x v="7"/>
    <n v="202124111272921"/>
    <d v="2021-08-12T00:00:00"/>
    <s v="ENE"/>
    <n v="-3"/>
    <s v="NEGADO"/>
    <s v="EL FRE TIENE DISPONIBILIDAD"/>
    <s v="No. 564"/>
    <d v="2017-05-30T00:00:00"/>
    <s v="Fenobarbital 50 mg Tableta_cajas X 30 unidades c/u"/>
    <n v="0"/>
    <n v="0"/>
    <x v="5"/>
    <x v="12"/>
    <x v="4"/>
    <x v="2"/>
    <x v="0"/>
  </r>
  <r>
    <x v="430"/>
    <s v="RAMIRO FLORES SALAS"/>
    <s v="Director Técnico"/>
    <s v="SIKUANY S.A.S"/>
    <s v="830512772-6"/>
    <s v="sikuanyltda@gmail.com"/>
    <s v="Calle 33 A No.38-41 Barzal Alto"/>
    <x v="6"/>
    <s v="VILLAVICENCIO"/>
    <s v="COTIZACION COMPRA DIRECTA"/>
    <n v="202124101452032"/>
    <d v="2021-08-09T00:00:00"/>
    <x v="7"/>
    <n v="202124111272921"/>
    <d v="2021-08-12T00:00:00"/>
    <s v="ENE"/>
    <n v="-3"/>
    <s v="AUTORIZADO"/>
    <m/>
    <s v="No. 564"/>
    <d v="2017-05-30T00:00:00"/>
    <s v="Fenobarbital 10 mg Tableta_cajas X 30 unidades c/u"/>
    <n v="300"/>
    <n v="10"/>
    <x v="5"/>
    <x v="3"/>
    <x v="4"/>
    <x v="2"/>
    <x v="23"/>
  </r>
  <r>
    <x v="431"/>
    <s v="OVEIDA PARRA NOVOA"/>
    <s v="Gerente E.S.E"/>
    <s v="E.S.E HOSPITAL SAN JOSE DEL GUAVIARE"/>
    <s v="832001966-2"/>
    <s v="almacensuministros@esehospitalguaviare.gov.co"/>
    <s v="Calle 12 Carrera 20 esquina Barrio La Esperanza "/>
    <x v="10"/>
    <s v="SAN JOSE DEL GUAVIARE"/>
    <s v="SOLICITUD DE COMPRA DIRECTA A FNE DE MEDICAMENTOS DE CONTROL ESPECIAL"/>
    <n v="202124101462162"/>
    <d v="2021-08-10T00:00:00"/>
    <x v="7"/>
    <n v="202124111272951"/>
    <d v="2021-08-12T00:00:00"/>
    <s v="ENE"/>
    <n v="-2"/>
    <s v="AUTORIZADO"/>
    <m/>
    <s v="No. 234"/>
    <d v="2020-04-21T00:00:00"/>
    <s v="Morfina HCl 10 mg/mL Solución Inyectable ampolla por 1mL"/>
    <n v="500"/>
    <n v="50"/>
    <x v="0"/>
    <x v="0"/>
    <x v="0"/>
    <x v="0"/>
    <x v="57"/>
  </r>
  <r>
    <x v="432"/>
    <s v="SHIRLEY ROJAS"/>
    <s v="Regente de Farmacia"/>
    <s v="MARCAZSALUD R.C S.A.S"/>
    <m/>
    <s v="consumofrecasanare@gmail.com"/>
    <m/>
    <x v="14"/>
    <m/>
    <s v="COTIZACION"/>
    <n v="202124101468132"/>
    <d v="2021-08-11T00:00:00"/>
    <x v="7"/>
    <n v="202124111272971"/>
    <d v="2021-08-12T00:00:00"/>
    <s v="ENE"/>
    <n v="-1"/>
    <s v="NEGADO"/>
    <s v="No adjuntan documentos"/>
    <m/>
    <m/>
    <m/>
    <m/>
    <s v=""/>
    <x v="9"/>
    <x v="17"/>
    <x v="9"/>
    <x v="13"/>
    <x v="0"/>
  </r>
  <r>
    <x v="433"/>
    <s v="ERIKA VANESSA MARÍN ROJAS"/>
    <s v="Química Farmacéutica"/>
    <s v="CLINICA DE LA MUJER S.A"/>
    <s v="819000364-7"/>
    <s v="quimicofarmaceutico@clinicadelamujersa.com.co"/>
    <s v="calle 22 No. 21-16"/>
    <x v="4"/>
    <s v="SANTA MARTA"/>
    <s v="Solicitud Autorización Compra Directa medicamento monopolio del Estado"/>
    <n v="202124101469472"/>
    <d v="2021-08-11T00:00:00"/>
    <x v="7"/>
    <n v="202124111273011"/>
    <d v="2021-08-12T00:00:00"/>
    <s v="ENE"/>
    <n v="-1"/>
    <s v="AUTORIZADO"/>
    <m/>
    <s v="No. 2903"/>
    <d v="2019-09-05T00:00:00"/>
    <s v="Fenobarbital Sódico 40 mg/mL Solución Inyectable_caja X 10 ampollas c/u"/>
    <n v="50"/>
    <n v="5"/>
    <x v="3"/>
    <x v="6"/>
    <x v="0"/>
    <x v="0"/>
    <x v="17"/>
  </r>
  <r>
    <x v="434"/>
    <s v="VALENTINA LOPEZ"/>
    <s v="Regente de Farmacia"/>
    <s v="NEUROMEDICA S.A.S"/>
    <s v="900.699.359-9"/>
    <s v="neuromedicafarmasur@gmail.com"/>
    <s v="Carrera 41 No. 35sur-14"/>
    <x v="13"/>
    <s v="ENVIGADO"/>
    <s v="Solicitud MCE Neuromedica Farmasur"/>
    <n v="202124101482722"/>
    <d v="2021-08-12T00:00:00"/>
    <x v="7"/>
    <n v="202124111286381"/>
    <d v="2021-08-16T00:00:00"/>
    <s v="ENE"/>
    <n v="-4"/>
    <s v="NEGADO"/>
    <s v="No adjuntan documentos"/>
    <s v="No. 2020060024901"/>
    <d v="2020-06-05T00:00:00"/>
    <s v="Metilfenidato HCl 18 mg Tableta de Liberación Prolongada_frascos X 30 unidades c/u"/>
    <n v="0"/>
    <n v="0"/>
    <x v="4"/>
    <x v="18"/>
    <x v="7"/>
    <x v="10"/>
    <x v="0"/>
  </r>
  <r>
    <x v="434"/>
    <s v="VALENTINA LOPEZ"/>
    <s v="Regente de Farmacia"/>
    <s v="NEUROMEDICA S.A.S"/>
    <s v="900.699.359-9"/>
    <s v="neuromedicafarmasur@gmail.com"/>
    <s v="Carrera 41 No. 35sur-14"/>
    <x v="13"/>
    <s v="ENVIGADO"/>
    <s v="Solicitud MCE Neuromedica Farmasur"/>
    <n v="202124101482722"/>
    <d v="2021-08-12T00:00:00"/>
    <x v="7"/>
    <n v="202124111286381"/>
    <d v="2021-08-16T00:00:00"/>
    <s v="ENE"/>
    <n v="-4"/>
    <s v="NEGADO"/>
    <s v="No adjuntan documentos"/>
    <s v="No. 2020060024901"/>
    <d v="2020-06-05T00:00:00"/>
    <s v="Metilfenidato HCl 36 mg Tableta de Liberación Prolongada_frasco X 30 unidades c/u"/>
    <n v="0"/>
    <n v="0"/>
    <x v="4"/>
    <x v="14"/>
    <x v="7"/>
    <x v="10"/>
    <x v="0"/>
  </r>
  <r>
    <x v="435"/>
    <s v="VALENTINA LOPEZ ZEA"/>
    <s v="Regente de Farmacia"/>
    <s v="NEUROMEDICA S.A.S"/>
    <s v="900.699.359-3"/>
    <s v="neuromedicafarmasur@gmail.com"/>
    <s v="Carrera 41 No. 35sur-14"/>
    <x v="13"/>
    <s v="ENVIGADO"/>
    <s v="Solicitud MCE Neuromedica Farmasur Sura"/>
    <n v="202124101482972"/>
    <d v="2021-08-12T00:00:00"/>
    <x v="7"/>
    <n v="202124111286401"/>
    <d v="2021-08-16T00:00:00"/>
    <s v="ENE"/>
    <n v="-4"/>
    <s v="NEGADO"/>
    <s v="No adjuntan documentos"/>
    <s v="No. 2020060024449"/>
    <d v="2020-02-20T00:00:00"/>
    <s v="Metilfenidato HCl 36 mg Tableta de Liberación Prolongada_frasco X 30 unidades c/u"/>
    <n v="0"/>
    <n v="0"/>
    <x v="4"/>
    <x v="14"/>
    <x v="7"/>
    <x v="10"/>
    <x v="0"/>
  </r>
  <r>
    <x v="435"/>
    <s v="VALENTINA LOPEZ ZEA"/>
    <s v="Regente de Farmacia"/>
    <s v="NEUROMEDICA S.A.S"/>
    <s v="900.699.359-3"/>
    <s v="neuromedicafarmasur@gmail.com"/>
    <s v="Carrera 41 No. 35sur-14"/>
    <x v="13"/>
    <s v="ENVIGADO"/>
    <s v="Solicitud MCE Neuromedica Farmasur Sura"/>
    <n v="202124101482972"/>
    <d v="2021-08-12T00:00:00"/>
    <x v="7"/>
    <n v="202124111286401"/>
    <d v="2021-08-16T00:00:00"/>
    <s v="ENE"/>
    <n v="-4"/>
    <s v="NEGADO"/>
    <s v="No adjuntan documentos"/>
    <s v="No. 2020060024449"/>
    <d v="2020-02-20T00:00:00"/>
    <s v="Metilfenidato HCl 18 mg Tableta de Liberación Prolongada_frascos X 30 unidades c/u"/>
    <n v="0"/>
    <n v="0"/>
    <x v="4"/>
    <x v="18"/>
    <x v="7"/>
    <x v="10"/>
    <x v="0"/>
  </r>
  <r>
    <x v="436"/>
    <s v="LUIS ROJAS CATALÁN"/>
    <s v="Coordinador Servicio Farmaceutico"/>
    <s v="PROMOSALUD IPS SEDE HOSPITALARIA CLINICA EL PRADO"/>
    <s v="900.192.459-4"/>
    <s v="luis.rojas@promosaludips.com"/>
    <s v="Calle 59 N° 50 – 10"/>
    <x v="3"/>
    <s v="BARRANQUILLA"/>
    <s v="Tramite a la solicitud del Ciudadano LUIS ROJAS CATALAN Radicado No. 202124101426412 Ministerio de Salud y Proteccion"/>
    <n v="202124101489402"/>
    <d v="2021-08-13T00:00:00"/>
    <x v="7"/>
    <n v="202124111286411"/>
    <d v="2021-08-16T00:00:00"/>
    <s v="ENE"/>
    <n v="-3"/>
    <s v="AUTORIZADO"/>
    <m/>
    <s v="No. 4395"/>
    <d v="2019-08-08T00:00:00"/>
    <s v="Morfina HCl 10 mg/mL Solución Inyectable ampolla por 1mL"/>
    <n v="100"/>
    <n v="10"/>
    <x v="0"/>
    <x v="0"/>
    <x v="0"/>
    <x v="0"/>
    <x v="10"/>
  </r>
  <r>
    <x v="436"/>
    <s v="LUIS ROJAS CATALÁN"/>
    <s v="Coordinador Servicio Farmaceutico"/>
    <s v="PROMOSALUD IPS SEDE HOSPITALARIA CLINICA EL PRADO"/>
    <s v="900.192.459-4"/>
    <s v="luis.rojas@promosaludips.com"/>
    <s v="Calle 59 N° 50 – 10"/>
    <x v="3"/>
    <s v="BARRANQUILLA"/>
    <s v="Tramite a la solicitud del Ciudadano LUIS ROJAS CATALAN Radicado No. 202124101426412 Ministerio de Salud y Proteccion"/>
    <n v="202124101489402"/>
    <d v="2021-08-13T00:00:00"/>
    <x v="7"/>
    <n v="202124111286411"/>
    <d v="2021-08-16T00:00:00"/>
    <s v="ENE"/>
    <n v="-3"/>
    <s v="AUTORIZADO"/>
    <m/>
    <s v="No. 4395"/>
    <d v="2019-08-08T00:00:00"/>
    <s v="Hidromorfona HCl 2 mg/mL Solución Inyectable_cajas X 10 unidades c/u"/>
    <n v="100"/>
    <n v="10"/>
    <x v="1"/>
    <x v="2"/>
    <x v="0"/>
    <x v="0"/>
    <x v="10"/>
  </r>
  <r>
    <x v="437"/>
    <s v="YOLIMA OSPINA"/>
    <s v="Regente de farmacia"/>
    <s v="Corporación mi IPS Llanos Orientales"/>
    <s v="822006818-7"/>
    <s v="farmaciaipsacacias@miips.com.co"/>
    <s v="Calle 13 No. 18-59"/>
    <x v="6"/>
    <s v="ACACIAS"/>
    <s v="COTIZACION MEDICAMENTOS ACACIAS META"/>
    <n v="202124101489482"/>
    <d v="2021-08-13T00:00:00"/>
    <x v="7"/>
    <n v="202124111294271"/>
    <d v="2021-08-18T00:00:00"/>
    <s v="ENE"/>
    <n v="-5"/>
    <s v="NEGADO"/>
    <m/>
    <s v="No. 514"/>
    <d v="2021-10-10T00:00:00"/>
    <s v="Hidromorfona HCl 2,5 mg Tableta_cajas X 20 unidades c/u"/>
    <n v="300"/>
    <n v="15"/>
    <x v="1"/>
    <x v="9"/>
    <x v="4"/>
    <x v="4"/>
    <x v="155"/>
  </r>
  <r>
    <x v="437"/>
    <s v="YOLIMA OSPINA"/>
    <s v="Regente de farmacia"/>
    <s v="Corporación mi IPS Llanos Orientales"/>
    <s v="822006818-7"/>
    <s v="farmaciaipsacacias@miips.com.co"/>
    <s v="Calle 13 No. 18-59"/>
    <x v="6"/>
    <s v="ACACIAS"/>
    <s v="COTIZACION MEDICAMENTOS ACACIAS META"/>
    <n v="202124101489482"/>
    <d v="2021-08-13T00:00:00"/>
    <x v="7"/>
    <n v="202124111294271"/>
    <d v="2021-08-18T00:00:00"/>
    <s v="ENE"/>
    <n v="-5"/>
    <s v="NEGADO"/>
    <s v="EL FRE TIENE DISPONIBILIDAD"/>
    <s v="No. 514"/>
    <d v="2021-10-10T00:00:00"/>
    <s v="Fenobarbital 0,4% Solución Oral_frascos X 120 mL c/u"/>
    <n v="0"/>
    <n v="0"/>
    <x v="5"/>
    <x v="11"/>
    <x v="1"/>
    <x v="6"/>
    <x v="0"/>
  </r>
  <r>
    <x v="437"/>
    <s v="YOLIMA OSPINA"/>
    <s v="Regente de farmacia"/>
    <s v="Corporación mi IPS Llanos Orientales"/>
    <s v="822006818-7"/>
    <s v="farmaciaipsacacias@miips.com.co"/>
    <s v="Calle 13 No. 18-59"/>
    <x v="6"/>
    <s v="ACACIAS"/>
    <s v="COTIZACION MEDICAMENTOS ACACIAS META"/>
    <n v="202124101489482"/>
    <d v="2021-08-13T00:00:00"/>
    <x v="7"/>
    <n v="202124111294271"/>
    <d v="2021-08-18T00:00:00"/>
    <s v="ENE"/>
    <n v="-5"/>
    <s v="NEGADO"/>
    <s v="EL FRE TIENE DISPONIBILIDAD"/>
    <s v="No. 514"/>
    <d v="2021-10-10T00:00:00"/>
    <s v="Fenobarbital 100 mg Tableta_cajas X 30 unidades c/u"/>
    <n v="0"/>
    <n v="0"/>
    <x v="5"/>
    <x v="7"/>
    <x v="4"/>
    <x v="2"/>
    <x v="0"/>
  </r>
  <r>
    <x v="437"/>
    <s v="YOLIMA OSPINA"/>
    <s v="Regente de farmacia"/>
    <s v="Corporación mi IPS Llanos Orientales"/>
    <s v="822006818-7"/>
    <s v="farmaciaipsacacias@miips.com.co"/>
    <s v="Calle 13 No. 18-59"/>
    <x v="6"/>
    <s v="ACACIAS"/>
    <s v="COTIZACION MEDICAMENTOS ACACIAS META"/>
    <n v="202124101489482"/>
    <d v="2021-08-13T00:00:00"/>
    <x v="7"/>
    <n v="202124111294271"/>
    <d v="2021-08-18T00:00:00"/>
    <s v="ENE"/>
    <n v="-5"/>
    <s v="NEGADO"/>
    <s v="EL FRE TIENE DISPONIBILIDAD"/>
    <s v="No. 514"/>
    <d v="2021-10-10T00:00:00"/>
    <s v="Fenobarbital 50 mg Tableta_cajas X 30 unidades c/u"/>
    <n v="0"/>
    <n v="0"/>
    <x v="5"/>
    <x v="12"/>
    <x v="4"/>
    <x v="2"/>
    <x v="0"/>
  </r>
  <r>
    <x v="437"/>
    <s v="YOLIMA OSPINA"/>
    <s v="Regente de farmacia"/>
    <s v="Corporación mi IPS Llanos Orientales"/>
    <s v="822006818-7"/>
    <s v="farmaciaipsacacias@miips.com.co"/>
    <s v="Calle 13 No. 18-59"/>
    <x v="6"/>
    <s v="ACACIAS"/>
    <s v="COTIZACION MEDICAMENTOS ACACIAS META"/>
    <n v="202124101489482"/>
    <d v="2021-08-13T00:00:00"/>
    <x v="7"/>
    <n v="202124111294271"/>
    <d v="2021-08-18T00:00:00"/>
    <s v="ENE"/>
    <n v="-5"/>
    <s v="NEGADO"/>
    <s v="EL FRE TIENE DISPONIBILIDAD"/>
    <s v="No. 514"/>
    <d v="2021-10-10T00:00:00"/>
    <s v="Morfina HCl 0,03 Solución Oral_frascos X 30 mL c/u"/>
    <n v="0"/>
    <n v="0"/>
    <x v="0"/>
    <x v="1"/>
    <x v="1"/>
    <x v="1"/>
    <x v="0"/>
  </r>
  <r>
    <x v="438"/>
    <s v="FRANCISCO MORAN ALVAREZ"/>
    <s v="Director "/>
    <s v="FUNDACION POLICLINICA DE CIENAGA"/>
    <s v="800.201.726-3"/>
    <s v="compras.policlinica@hotmail.com"/>
    <s v="CALLE 8 # 11-39"/>
    <x v="4"/>
    <s v="CIENAGA"/>
    <s v="COTIZACION PARA FUNDACION POLICLINICA CIENAGA"/>
    <n v="202124101492132"/>
    <d v="2021-08-13T00:00:00"/>
    <x v="7"/>
    <n v="202124111286421"/>
    <d v="2021-08-16T00:00:00"/>
    <s v="ENE"/>
    <n v="-3"/>
    <s v="AUTORIZADO"/>
    <m/>
    <s v="No. 1396"/>
    <d v="2018-05-10T00:00:00"/>
    <s v="Fenobarbital Sódico 200 mg/mL Solución Inyectable_caja X 10 ampollas c/u"/>
    <n v="120"/>
    <n v="12"/>
    <x v="3"/>
    <x v="5"/>
    <x v="0"/>
    <x v="0"/>
    <x v="49"/>
  </r>
  <r>
    <x v="439"/>
    <s v="IVON CEBALLOS IBAÑEZ"/>
    <s v="Coordinadora de Compras"/>
    <s v="CLINICA DEL CARIBE S.A."/>
    <m/>
    <s v="compras@clinicadelcaribe.com"/>
    <m/>
    <x v="22"/>
    <m/>
    <s v="Solicitud por faltante de Morfina carta adjunta"/>
    <n v="202124101507602"/>
    <d v="2021-08-17T00:00:00"/>
    <x v="7"/>
    <n v="202124111310661"/>
    <d v="2021-08-20T00:00:00"/>
    <s v="ENE"/>
    <n v="-3"/>
    <s v="NEGADO"/>
    <s v="No adjuntan documentos"/>
    <m/>
    <m/>
    <s v="Morfina HCl 0,03 Solución Oral_frascos X 30 mL c/u"/>
    <n v="0"/>
    <n v="0"/>
    <x v="0"/>
    <x v="1"/>
    <x v="1"/>
    <x v="1"/>
    <x v="0"/>
  </r>
  <r>
    <x v="440"/>
    <s v="FRANCISCO MORAN ALVAREZ"/>
    <s v="Director "/>
    <s v="POLIFRACTURAS CIENAGA I.P.S S.A.S."/>
    <s v="900.873.344-9"/>
    <s v="compras.policlinica@hotmail.com"/>
    <s v="Carrera 21 No.21-24 "/>
    <x v="4"/>
    <s v="CIENAGA"/>
    <s v="COTIZACION PARA POLIFRACTURAS IPS S.A.S"/>
    <n v="202124101501162"/>
    <d v="2021-08-17T00:00:00"/>
    <x v="7"/>
    <n v="202124111310711"/>
    <d v="2021-08-20T00:00:00"/>
    <s v="ENE"/>
    <n v="-3"/>
    <s v="AUTORIZADO"/>
    <m/>
    <s v="No. 0038"/>
    <d v="2017-01-16T00:00:00"/>
    <s v="Fenobarbital Sódico 200 mg/mL Solución Inyectable_caja X 10 ampollas c/u"/>
    <n v="100"/>
    <n v="10"/>
    <x v="3"/>
    <x v="5"/>
    <x v="0"/>
    <x v="0"/>
    <x v="10"/>
  </r>
  <r>
    <x v="440"/>
    <s v="FRANCISCO MORAN ALVAREZ"/>
    <s v="Director "/>
    <s v="POLIFRACTURAS CIENAGA I.P.S S.A.S."/>
    <s v="900.873.344-9"/>
    <s v="compras.policlinica@hotmail.com"/>
    <s v="Carrera 21 No.21-24 "/>
    <x v="4"/>
    <s v="CIENAGA"/>
    <s v="COTIZACION PARA POLIFRACTURAS IPS S.A.S"/>
    <n v="202124101501162"/>
    <d v="2021-08-17T00:00:00"/>
    <x v="7"/>
    <n v="202124111310711"/>
    <d v="2021-08-20T00:00:00"/>
    <s v="ENE"/>
    <n v="-3"/>
    <s v="AUTORIZADO"/>
    <m/>
    <s v="No. 0038"/>
    <d v="2017-01-16T00:00:00"/>
    <s v="Meperidina HCl 100 mg/2mL Solución Inyectable_cajas X 10 unidades c/u"/>
    <n v="100"/>
    <n v="10"/>
    <x v="6"/>
    <x v="8"/>
    <x v="0"/>
    <x v="3"/>
    <x v="27"/>
  </r>
  <r>
    <x v="440"/>
    <s v="FRANCISCO MORAN ALVAREZ"/>
    <s v="Director "/>
    <s v="POLIFRACTURAS CIENAGA I.P.S S.A.S."/>
    <s v="900.873.344-9"/>
    <s v="compras.policlinica@hotmail.com"/>
    <s v="Carrera 21 No.21-24 "/>
    <x v="4"/>
    <s v="CIENAGA"/>
    <s v="COTIZACION PARA POLIFRACTURAS IPS S.A.S"/>
    <n v="202124101501162"/>
    <d v="2021-08-17T00:00:00"/>
    <x v="7"/>
    <n v="202124111310711"/>
    <d v="2021-08-20T00:00:00"/>
    <s v="ENE"/>
    <n v="-3"/>
    <s v="AUTORIZADO"/>
    <m/>
    <s v="No. 0038"/>
    <d v="2017-01-16T00:00:00"/>
    <s v="Morfina HCl 10 mg/mL Solución Inyectable ampolla por 1mL"/>
    <n v="100"/>
    <n v="10"/>
    <x v="0"/>
    <x v="0"/>
    <x v="0"/>
    <x v="0"/>
    <x v="10"/>
  </r>
  <r>
    <x v="441"/>
    <s v="RAMIRO FLORES SALAS"/>
    <s v="Director Técnico"/>
    <s v="SIKUANY S.A.S"/>
    <s v="830512772-6"/>
    <s v="sikuanyltda@gmail.com"/>
    <s v="Carrera 39 No.26B-11 siete de agosto"/>
    <x v="6"/>
    <s v="VILLAVICENCIO"/>
    <s v="COTIZACION COMPRA DIRECTA"/>
    <n v="202124101501642"/>
    <d v="2021-08-17T00:00:00"/>
    <x v="7"/>
    <n v="202124111310721"/>
    <d v="2021-08-20T00:00:00"/>
    <s v="ENE"/>
    <n v="-3"/>
    <s v="AUTORIZADO"/>
    <m/>
    <s v="No. 0564"/>
    <d v="2017-05-30T00:00:00"/>
    <s v="Fenobarbital 0,4% Solución Oral_frascos X 120 mL c/u"/>
    <n v="200"/>
    <n v="200"/>
    <x v="5"/>
    <x v="11"/>
    <x v="1"/>
    <x v="6"/>
    <x v="193"/>
  </r>
  <r>
    <x v="441"/>
    <s v="RAMIRO FLORES SALAS"/>
    <s v="Director Técnico"/>
    <s v="SIKUANY S.A.S"/>
    <s v="830512772-6"/>
    <s v="sikuanyltda@gmail.com"/>
    <s v="Carrera 39 No.26B-11 siete de agosto"/>
    <x v="6"/>
    <s v="VILLAVICENCIO"/>
    <s v="COTIZACION COMPRA DIRECTA"/>
    <n v="202124101501642"/>
    <d v="2021-08-17T00:00:00"/>
    <x v="7"/>
    <n v="202124111310721"/>
    <d v="2021-08-20T00:00:00"/>
    <s v="ENE"/>
    <n v="-3"/>
    <s v="NEGADO"/>
    <s v="EL FRE TIENE DISPONIBILIDAD"/>
    <s v="No. 0564"/>
    <d v="2017-05-30T00:00:00"/>
    <s v="Fenobarbital 100 mg Tableta_cajas X 30 unidades c/u"/>
    <n v="0"/>
    <n v="0"/>
    <x v="5"/>
    <x v="7"/>
    <x v="4"/>
    <x v="2"/>
    <x v="0"/>
  </r>
  <r>
    <x v="441"/>
    <s v="RAMIRO FLORES SALAS"/>
    <s v="Director Técnico"/>
    <s v="SIKUANY S.A.S"/>
    <s v="830512772-6"/>
    <s v="sikuanyltda@gmail.com"/>
    <s v="Carrera 39 No.26B-11 siete de agosto"/>
    <x v="6"/>
    <s v="VILLAVICENCIO"/>
    <s v="COTIZACION COMPRA DIRECTA"/>
    <n v="202124101501642"/>
    <d v="2021-08-17T00:00:00"/>
    <x v="7"/>
    <n v="202124111310721"/>
    <d v="2021-08-20T00:00:00"/>
    <s v="ENE"/>
    <n v="-3"/>
    <s v="AUTORIZADO"/>
    <m/>
    <s v="No. 0564"/>
    <d v="2017-05-30T00:00:00"/>
    <s v="Hidromorfona HCl 2,5 mg Tableta_cajas X 20 unidades c/u"/>
    <n v="4000"/>
    <n v="200"/>
    <x v="1"/>
    <x v="9"/>
    <x v="4"/>
    <x v="4"/>
    <x v="129"/>
  </r>
  <r>
    <x v="441"/>
    <s v="RAMIRO FLORES SALAS"/>
    <s v="Director Técnico"/>
    <s v="SIKUANY S.A.S"/>
    <s v="830512772-6"/>
    <s v="sikuanyltda@gmail.com"/>
    <s v="Carrera 39 No.26B-11 siete de agosto"/>
    <x v="6"/>
    <s v="VILLAVICENCIO"/>
    <s v="COTIZACION COMPRA DIRECTA"/>
    <n v="202124101501642"/>
    <d v="2021-08-17T00:00:00"/>
    <x v="7"/>
    <n v="202124111310721"/>
    <d v="2021-08-20T00:00:00"/>
    <s v="ENE"/>
    <n v="-3"/>
    <s v="AUTORIZADO"/>
    <m/>
    <s v="No. 0564"/>
    <d v="2017-05-30T00:00:00"/>
    <s v="Morfina HCl 0,03 Solución Oral_frascos X 30 mL c/u"/>
    <n v="300"/>
    <n v="300"/>
    <x v="0"/>
    <x v="1"/>
    <x v="1"/>
    <x v="1"/>
    <x v="194"/>
  </r>
  <r>
    <x v="441"/>
    <s v="RAMIRO FLORES SALAS"/>
    <s v="Director Técnico"/>
    <s v="SIKUANY S.A.S"/>
    <s v="830512772-6"/>
    <s v="sikuanyltda@gmail.com"/>
    <s v="Carrera 39 No.26B-11 siete de agosto"/>
    <x v="6"/>
    <s v="VILLAVICENCIO"/>
    <s v="COTIZACION COMPRA DIRECTA"/>
    <n v="202124101501642"/>
    <d v="2021-08-17T00:00:00"/>
    <x v="7"/>
    <n v="202124111310721"/>
    <d v="2021-08-20T00:00:00"/>
    <s v="ENE"/>
    <n v="-3"/>
    <s v="AUTORIZADO"/>
    <m/>
    <s v="No. 0564"/>
    <d v="2017-05-30T00:00:00"/>
    <s v="Metadona HCl 10 mg Tableta_frascos X 20 unidades c/u"/>
    <n v="600"/>
    <n v="30"/>
    <x v="2"/>
    <x v="3"/>
    <x v="6"/>
    <x v="8"/>
    <x v="192"/>
  </r>
  <r>
    <x v="441"/>
    <s v="RAMIRO FLORES SALAS"/>
    <s v="Director Técnico"/>
    <s v="SIKUANY S.A.S"/>
    <s v="830512772-6"/>
    <s v="sikuanyltda@gmail.com"/>
    <s v="Carrera 39 No.26B-11 siete de agosto"/>
    <x v="6"/>
    <s v="VILLAVICENCIO"/>
    <s v="COTIZACION COMPRA DIRECTA"/>
    <n v="202124101501642"/>
    <d v="2021-08-17T00:00:00"/>
    <x v="7"/>
    <n v="202124111310721"/>
    <d v="2021-08-20T00:00:00"/>
    <s v="ENE"/>
    <n v="-3"/>
    <s v="NEGADO"/>
    <s v="EL FRE TIENE DISPONIBILIDAD"/>
    <s v="No. 0564"/>
    <d v="2017-05-30T00:00:00"/>
    <s v="Fenobarbital 50 mg Tableta_cajas X 30 unidades c/u"/>
    <n v="0"/>
    <n v="0"/>
    <x v="5"/>
    <x v="12"/>
    <x v="4"/>
    <x v="2"/>
    <x v="0"/>
  </r>
  <r>
    <x v="441"/>
    <s v="RAMIRO FLORES SALAS"/>
    <s v="Director Técnico"/>
    <s v="SIKUANY S.A.S"/>
    <s v="830512772-6"/>
    <s v="sikuanyltda@gmail.com"/>
    <s v="Carrera 39 No.26B-11 siete de agosto"/>
    <x v="6"/>
    <s v="VILLAVICENCIO"/>
    <s v="COTIZACION COMPRA DIRECTA"/>
    <n v="202124101501642"/>
    <d v="2021-08-17T00:00:00"/>
    <x v="7"/>
    <n v="202124111310721"/>
    <d v="2021-08-20T00:00:00"/>
    <s v="ENE"/>
    <n v="-3"/>
    <s v="AUTORIZADO"/>
    <m/>
    <s v="No. 0564"/>
    <d v="2017-05-30T00:00:00"/>
    <s v="Fenobarbital 10 mg Tableta_cajas X 30 unidades c/u"/>
    <n v="300"/>
    <n v="10"/>
    <x v="5"/>
    <x v="3"/>
    <x v="4"/>
    <x v="2"/>
    <x v="23"/>
  </r>
  <r>
    <x v="442"/>
    <s v="SHIRLEY ROJAS"/>
    <s v="Regente de Farmacia"/>
    <s v="MARCAZSALUD R.C. SAS"/>
    <s v="900.928.565-8"/>
    <s v="shirley.rojas@marcazsalud.com.co"/>
    <s v="Calle 19 No. 23-14"/>
    <x v="14"/>
    <s v="YOPAL"/>
    <s v="cotizacion de los medicamentos de control especial y monopolio del estado para Marcazsaud Yopal"/>
    <n v="202124101501782"/>
    <d v="2021-08-17T00:00:00"/>
    <x v="7"/>
    <n v="202124111310741"/>
    <d v="2021-08-20T00:00:00"/>
    <s v="ENE"/>
    <n v="-3"/>
    <s v="AUTORIZADO"/>
    <m/>
    <s v="No. 0026"/>
    <d v="2021-01-27T00:00:00"/>
    <s v="Fenobarbital 100 mg Tableta_cajas X 30 unidades c/u"/>
    <n v="1000"/>
    <n v="33"/>
    <x v="5"/>
    <x v="7"/>
    <x v="4"/>
    <x v="2"/>
    <x v="195"/>
  </r>
  <r>
    <x v="442"/>
    <s v="SHIRLEY ROJAS"/>
    <s v="Regente de Farmacia"/>
    <s v="MARCAZSALUD R.C. SAS"/>
    <s v="900.928.565-8"/>
    <s v="shirley.rojas@marcazsalud.com.co"/>
    <s v="Calle 19 No. 23-14"/>
    <x v="14"/>
    <s v="YOPAL"/>
    <s v="cotizacion de los medicamentos de control especial y monopolio del estado para Marcazsaud Yopal"/>
    <n v="202124101501782"/>
    <d v="2021-08-17T00:00:00"/>
    <x v="7"/>
    <n v="202124111310741"/>
    <d v="2021-08-20T00:00:00"/>
    <s v="ENE"/>
    <n v="-3"/>
    <s v="AUTORIZADO"/>
    <m/>
    <s v="No. 0026"/>
    <d v="2021-01-27T00:00:00"/>
    <s v="Morfina HCl 0,03 Solución Oral_frascos X 30 mL c/u"/>
    <n v="10"/>
    <n v="10"/>
    <x v="0"/>
    <x v="1"/>
    <x v="1"/>
    <x v="1"/>
    <x v="47"/>
  </r>
  <r>
    <x v="442"/>
    <s v="SHIRLEY ROJAS"/>
    <s v="Regente de Farmacia"/>
    <s v="MARCAZSALUD R.C. SAS"/>
    <s v="900.928.565-8"/>
    <s v="shirley.rojas@marcazsalud.com.co"/>
    <s v="Calle 19 No. 23-14"/>
    <x v="14"/>
    <s v="YOPAL"/>
    <s v="cotizacion de los medicamentos de control especial y monopolio del estado para Marcazsaud Yopal"/>
    <n v="202124101501782"/>
    <d v="2021-08-17T00:00:00"/>
    <x v="7"/>
    <n v="202124111310741"/>
    <d v="2021-08-20T00:00:00"/>
    <s v="ENE"/>
    <n v="-3"/>
    <s v="AUTORIZADO"/>
    <m/>
    <s v="No. 0026"/>
    <d v="2021-01-27T00:00:00"/>
    <s v="Fenobarbital 0,4% Solución Oral_frascos X 120 mL c/u"/>
    <n v="5"/>
    <n v="5"/>
    <x v="5"/>
    <x v="11"/>
    <x v="1"/>
    <x v="6"/>
    <x v="16"/>
  </r>
  <r>
    <x v="442"/>
    <s v="SHIRLEY ROJAS"/>
    <s v="Regente de Farmacia"/>
    <s v="MARCAZSALUD R.C. SAS"/>
    <s v="900.928.565-8"/>
    <s v="shirley.rojas@marcazsalud.com.co"/>
    <s v="Calle 19 No. 23-14"/>
    <x v="14"/>
    <s v="YOPAL"/>
    <s v="cotizacion de los medicamentos de control especial y monopolio del estado para Marcazsaud Yopal"/>
    <n v="202124101501782"/>
    <d v="2021-08-17T00:00:00"/>
    <x v="7"/>
    <n v="202124111310741"/>
    <d v="2021-08-20T00:00:00"/>
    <s v="ENE"/>
    <n v="-3"/>
    <s v="AUTORIZADO"/>
    <m/>
    <s v="No. 0026"/>
    <d v="2021-01-27T00:00:00"/>
    <s v="Metadona HCl 10 mg Tableta_Cajas X 30 unidades c/u"/>
    <n v="100"/>
    <n v="3"/>
    <x v="2"/>
    <x v="3"/>
    <x v="2"/>
    <x v="2"/>
    <x v="71"/>
  </r>
  <r>
    <x v="443"/>
    <s v="LUIS MIGUEL GANDÍA GUERRA"/>
    <s v="Director Técnico"/>
    <s v="FUNDACIÓN PENZENÚ"/>
    <s v="812000852-4"/>
    <s v="lmgandiag@fundacionpanzenu.org.co"/>
    <s v="Casa Betancí"/>
    <x v="1"/>
    <s v="MONTELIBANO"/>
    <s v="SOLICITUD COTIZACIÓN MEDICAMENTOS"/>
    <n v="202124101519892"/>
    <d v="2021-08-18T00:00:00"/>
    <x v="7"/>
    <n v="202124111310771"/>
    <d v="2021-08-20T00:00:00"/>
    <s v="ENE"/>
    <n v="-2"/>
    <s v="NEGADO"/>
    <s v="EL FRE TIENE DISPONIBILIDAD"/>
    <s v="No. 20170057"/>
    <d v="2017-10-13T00:00:00"/>
    <s v="Morfina HCl 10 mg/mL Solución Inyectable ampolla por 1mL"/>
    <n v="0"/>
    <n v="0"/>
    <x v="0"/>
    <x v="0"/>
    <x v="0"/>
    <x v="0"/>
    <x v="0"/>
  </r>
  <r>
    <x v="443"/>
    <s v="LUIS MIGUEL GANDÍA GUERRA"/>
    <s v="Director Técnico"/>
    <s v="FUNDACIÓN PENZENÚ"/>
    <s v="812000852-4"/>
    <s v="lmgandiag@fundacionpanzenu.org.co"/>
    <s v="Casa Betancí"/>
    <x v="1"/>
    <s v="MONTELIBANO"/>
    <s v="SOLICITUD COTIZACIÓN MEDICAMENTOS"/>
    <n v="202124101519892"/>
    <d v="2021-08-18T00:00:00"/>
    <x v="7"/>
    <n v="202124111310771"/>
    <d v="2021-08-20T00:00:00"/>
    <s v="ENE"/>
    <n v="-2"/>
    <s v="AUTORIZADO"/>
    <m/>
    <s v="No. 20170057"/>
    <d v="2017-10-13T00:00:00"/>
    <s v="Meperidina HCl 100 mg/2mL Solución Inyectable_cajas X 10 unidades c/u"/>
    <n v="30"/>
    <n v="3"/>
    <x v="6"/>
    <x v="8"/>
    <x v="0"/>
    <x v="3"/>
    <x v="123"/>
  </r>
  <r>
    <x v="443"/>
    <s v="LUIS MIGUEL GANDÍA GUERRA"/>
    <s v="Director Técnico"/>
    <s v="FUNDACIÓN PENZENÚ"/>
    <s v="812000852-4"/>
    <s v="lmgandiag@fundacionpanzenu.org.co"/>
    <s v="Casa Betancí"/>
    <x v="1"/>
    <s v="MONTELIBANO"/>
    <s v="SOLICITUD COTIZACIÓN MEDICAMENTOS"/>
    <n v="202124101519892"/>
    <d v="2021-08-18T00:00:00"/>
    <x v="7"/>
    <n v="202124111310771"/>
    <d v="2021-08-20T00:00:00"/>
    <s v="ENE"/>
    <n v="-2"/>
    <s v="NEGADO"/>
    <s v="EL FRE TIENE DISPONIBILIDAD"/>
    <s v="No. 20170057"/>
    <d v="2017-10-13T00:00:00"/>
    <s v="Morfina HCl 0,03 Solución Oral_frascos X 30 mL c/u"/>
    <n v="0"/>
    <n v="0"/>
    <x v="0"/>
    <x v="1"/>
    <x v="1"/>
    <x v="1"/>
    <x v="0"/>
  </r>
  <r>
    <x v="444"/>
    <s v="JULIO DUMAR HOYOS"/>
    <s v="Quimico Farmacéutico"/>
    <s v="ESE Hospital San Juan de Sahagun"/>
    <s v="812.003.851-0"/>
    <s v="dumarjul@yahoo.com"/>
    <s v="Calle 18 No 1-64"/>
    <x v="1"/>
    <s v="SAHAGUN"/>
    <s v="Solicitud de venta de Morfina iny. 10 mg/mL, Meperidina 100 mg/2mL iny."/>
    <n v="202124101516252"/>
    <d v="2021-08-18T00:00:00"/>
    <x v="7"/>
    <n v="202124111344301"/>
    <d v="2021-08-26T00:00:00"/>
    <s v="ENE"/>
    <n v="-8"/>
    <s v="NEGADO"/>
    <s v="La resolución esta vencida"/>
    <s v="No. 1124"/>
    <m/>
    <s v="Morfina HCl 10 mg/mL Solución Inyectable ampolla por 1mL"/>
    <n v="0"/>
    <n v="0"/>
    <x v="0"/>
    <x v="0"/>
    <x v="0"/>
    <x v="0"/>
    <x v="0"/>
  </r>
  <r>
    <x v="444"/>
    <s v="JULIO DUMAR HOYOS"/>
    <s v="Quimico Farmacéutico"/>
    <s v="ESE Hospital San Juan de Sahagun"/>
    <s v="812.003.851-0"/>
    <s v="dumarjul@yahoo.com"/>
    <s v="Calle 18 No 1-64"/>
    <x v="1"/>
    <s v="SAHAGUN"/>
    <s v="Solicitud de venta de Morfina iny. 10 mg/mL, Meperidina 100 mg/2mL iny."/>
    <n v="202124101516252"/>
    <d v="2021-08-18T00:00:00"/>
    <x v="7"/>
    <n v="202124111344301"/>
    <d v="2021-08-26T00:00:00"/>
    <s v="ENE"/>
    <n v="-8"/>
    <s v="NEGADO"/>
    <s v="La resolución esta vencida"/>
    <s v="No. 1124"/>
    <m/>
    <s v="Meperidina HCl 100 mg/2mL Solución Inyectable_cajas X 10 unidades c/u"/>
    <n v="0"/>
    <n v="0"/>
    <x v="6"/>
    <x v="8"/>
    <x v="0"/>
    <x v="3"/>
    <x v="0"/>
  </r>
  <r>
    <x v="445"/>
    <m/>
    <m/>
    <s v="SEMEDICAL"/>
    <m/>
    <s v="quimico@semedical.com.co"/>
    <m/>
    <x v="22"/>
    <m/>
    <s v="carta d no disponibilidad"/>
    <n v="202124101521672"/>
    <d v="2021-08-18T00:00:00"/>
    <x v="7"/>
    <n v="202124111338951"/>
    <d v="2021-08-26T00:00:00"/>
    <s v="ENE"/>
    <n v="-8"/>
    <s v="NEGADO"/>
    <s v="No adjuntan documentos"/>
    <m/>
    <m/>
    <m/>
    <m/>
    <s v=""/>
    <x v="9"/>
    <x v="17"/>
    <x v="9"/>
    <x v="13"/>
    <x v="0"/>
  </r>
  <r>
    <x v="446"/>
    <s v="DAMARIS ANDREA GARCIA GOMEZ"/>
    <s v="Supervisora de Inventario"/>
    <s v="FUNDACIÓN CORDIOVASCULAR ZONA FRANCA"/>
    <s v="900.341.526-1"/>
    <s v="damarisgarcia@fcv.org"/>
    <s v="Calle 45 No.11-52"/>
    <x v="8"/>
    <s v="BUCARAMANGA"/>
    <s v="SOLICITUD COTIZACION MEDICAMENTOS DE CONTROL ESPECIAL"/>
    <n v="202124101522612"/>
    <d v="2021-08-18T00:00:00"/>
    <x v="7"/>
    <n v="202124111344261"/>
    <d v="2021-08-26T00:00:00"/>
    <s v="ENE"/>
    <n v="-8"/>
    <s v="NEGADO"/>
    <s v="No adjuntan documentos"/>
    <m/>
    <m/>
    <m/>
    <m/>
    <s v=""/>
    <x v="9"/>
    <x v="17"/>
    <x v="9"/>
    <x v="13"/>
    <x v="0"/>
  </r>
  <r>
    <x v="447"/>
    <s v="LUZ MIRIAN OROZCO MONTOYA"/>
    <s v="Representante Legal"/>
    <s v="MENTAL CARE DROGUERIA"/>
    <s v="900.467.331-2"/>
    <s v="info@mentalcaredrugstore.com"/>
    <s v="Carrera 43A No. 6sur - 26 local 210"/>
    <x v="13"/>
    <s v="MEDELLIN"/>
    <s v="Solicitud Autorización a Cuidarte SAS para Compra Directa de Medicamentos Monopolio del Estado."/>
    <n v="202124101524322"/>
    <d v="2021-08-19T00:00:00"/>
    <x v="7"/>
    <n v="202124111344311"/>
    <d v="2021-08-26T00:00:00"/>
    <s v="ENE"/>
    <n v="-7"/>
    <s v="NEGADO"/>
    <s v="EL FRE TIENE DISPONIBILIDAD"/>
    <s v="No. 2018060403423"/>
    <d v="2018-12-26T00:00:00"/>
    <s v="Metilfenidato HCl 10 mg Comprimido_cajas X 30 unidades c/u"/>
    <n v="0"/>
    <n v="0"/>
    <x v="4"/>
    <x v="3"/>
    <x v="3"/>
    <x v="2"/>
    <x v="0"/>
  </r>
  <r>
    <x v="447"/>
    <s v="LUZ MIRIAN OROZCO MONTOYA"/>
    <s v="Representante Legal"/>
    <s v="MENTAL CARE DROGUERIA"/>
    <s v="900.467.331-2"/>
    <s v="info@mentalcaredrugstore.com"/>
    <s v="Carrera 43A No. 6sur - 26 local 210"/>
    <x v="13"/>
    <s v="MEDELLIN"/>
    <s v="Solicitud Autorización a Cuidarte SAS para Compra Directa de Medicamentos Monopolio del Estado."/>
    <n v="202124101524322"/>
    <d v="2021-08-19T00:00:00"/>
    <x v="7"/>
    <n v="202124111344311"/>
    <d v="2021-08-26T00:00:00"/>
    <s v="ENE"/>
    <n v="-7"/>
    <s v="AUTORIZADO"/>
    <m/>
    <s v="No. 2018060403423"/>
    <d v="2018-12-26T00:00:00"/>
    <s v="Metilfenidato HCl 18 mg Tableta de Liberación Prolongada_frascos X 30 unidades c/u"/>
    <n v="450"/>
    <n v="15"/>
    <x v="4"/>
    <x v="18"/>
    <x v="7"/>
    <x v="10"/>
    <x v="196"/>
  </r>
  <r>
    <x v="447"/>
    <s v="LUZ MIRIAN OROZCO MONTOYA"/>
    <s v="Representante Legal"/>
    <s v="MENTAL CARE DROGUERIA"/>
    <s v="900.467.331-2"/>
    <s v="info@mentalcaredrugstore.com"/>
    <s v="Carrera 43A No. 6sur - 26 local 210"/>
    <x v="13"/>
    <s v="MEDELLIN"/>
    <s v="Solicitud Autorización a Cuidarte SAS para Compra Directa de Medicamentos Monopolio del Estado."/>
    <n v="202124101524322"/>
    <d v="2021-08-19T00:00:00"/>
    <x v="7"/>
    <n v="202124111344311"/>
    <d v="2021-08-26T00:00:00"/>
    <s v="ENE"/>
    <n v="-7"/>
    <s v="AUTORIZADO"/>
    <m/>
    <s v="No. 2018060403423"/>
    <d v="2018-12-26T00:00:00"/>
    <s v="Metilfenidato HCl 36 mg Tableta de Liberación Prolongada_frasco X 30 unidades c/u"/>
    <n v="450"/>
    <n v="15"/>
    <x v="4"/>
    <x v="14"/>
    <x v="7"/>
    <x v="10"/>
    <x v="196"/>
  </r>
  <r>
    <x v="447"/>
    <s v="LUZ MIRIAN OROZCO MONTOYA"/>
    <s v="Representante Legal"/>
    <s v="MENTAL CARE DROGUERIA"/>
    <s v="900.467.331-2"/>
    <s v="info@mentalcaredrugstore.com"/>
    <s v="Carrera 43A No. 6sur - 26 local 210"/>
    <x v="13"/>
    <s v="MEDELLIN"/>
    <s v="Solicitud Autorización a Cuidarte SAS para Compra Directa de Medicamentos Monopolio del Estado."/>
    <n v="202124101524322"/>
    <d v="2021-08-19T00:00:00"/>
    <x v="7"/>
    <n v="202124111344311"/>
    <d v="2021-08-26T00:00:00"/>
    <s v="ENE"/>
    <n v="-7"/>
    <s v="AUTORIZADO"/>
    <m/>
    <s v="No. 2018060403423"/>
    <d v="2018-12-26T00:00:00"/>
    <s v="Primidona 250 mg Tableta_caja X 30 unidades c/u"/>
    <n v="1080"/>
    <n v="36"/>
    <x v="7"/>
    <x v="10"/>
    <x v="4"/>
    <x v="2"/>
    <x v="161"/>
  </r>
  <r>
    <x v="447"/>
    <s v="LUZ MIRIAN OROZCO MONTOYA"/>
    <s v="Representante Legal"/>
    <s v="MENTAL CARE DROGUERIA"/>
    <s v="900.467.331-2"/>
    <s v="info@mentalcaredrugstore.com"/>
    <s v="Carrera 43A No. 6sur - 26 local 210"/>
    <x v="13"/>
    <s v="MEDELLIN"/>
    <s v="Solicitud Autorización a Cuidarte SAS para Compra Directa de Medicamentos Monopolio del Estado."/>
    <n v="202124101524322"/>
    <d v="2021-08-19T00:00:00"/>
    <x v="7"/>
    <n v="202124111344311"/>
    <d v="2021-08-26T00:00:00"/>
    <s v="ENE"/>
    <n v="-7"/>
    <s v="NEGADO"/>
    <s v="EL FRE TIENE DISPONIBILIDAD"/>
    <s v="No. 2018060403423"/>
    <d v="2018-12-26T00:00:00"/>
    <s v="Hidromorfona HCl 2 mg/mL Solución Inyectable_cajas X 10 unidades c/u"/>
    <n v="0"/>
    <n v="0"/>
    <x v="1"/>
    <x v="2"/>
    <x v="0"/>
    <x v="0"/>
    <x v="0"/>
  </r>
  <r>
    <x v="447"/>
    <s v="LUZ MIRIAN OROZCO MONTOYA"/>
    <s v="Representante Legal"/>
    <s v="MENTAL CARE DROGUERIA"/>
    <s v="900.467.331-2"/>
    <s v="info@mentalcaredrugstore.com"/>
    <s v="Carrera 43A No. 6sur - 26 local 210"/>
    <x v="13"/>
    <s v="MEDELLIN"/>
    <s v="Solicitud Autorización a Cuidarte SAS para Compra Directa de Medicamentos Monopolio del Estado."/>
    <n v="202124101524322"/>
    <d v="2021-08-19T00:00:00"/>
    <x v="7"/>
    <n v="202124111344311"/>
    <d v="2021-08-26T00:00:00"/>
    <s v="ENE"/>
    <n v="-7"/>
    <s v="AUTORIZADO"/>
    <m/>
    <s v="No. 2018060403423"/>
    <d v="2018-12-26T00:00:00"/>
    <s v="Morfina HCl 10 mg/mL Solución Inyectable ampolla por 1mL"/>
    <n v="100"/>
    <n v="10"/>
    <x v="0"/>
    <x v="0"/>
    <x v="0"/>
    <x v="0"/>
    <x v="10"/>
  </r>
  <r>
    <x v="448"/>
    <s v="YAMITH PRECIADO BONILLA"/>
    <s v="Director Técnico"/>
    <s v="MESSER COLOMBIA S.A"/>
    <s v="860005114-4"/>
    <s v="yamith.preciado@messer-co.com"/>
    <s v="Carrera 49C No. 80-148"/>
    <x v="3"/>
    <s v="BARRANQUILLA"/>
    <s v="AUTORIZACION VENTA DIRECTA - COMPRA MORFINA SOLUCION ORAL"/>
    <n v="202124101541482"/>
    <d v="2021-08-20T00:00:00"/>
    <x v="7"/>
    <n v="202124111338681"/>
    <d v="2021-08-26T00:00:00"/>
    <s v="ENE"/>
    <n v="-6"/>
    <s v="AUTORIZADO"/>
    <m/>
    <s v="No. 4001"/>
    <d v="2020-12-21T00:00:00"/>
    <s v="Morfina HCl 0,03 Solución Oral_frascos X 30 mL c/u"/>
    <n v="3"/>
    <n v="3"/>
    <x v="0"/>
    <x v="1"/>
    <x v="1"/>
    <x v="1"/>
    <x v="28"/>
  </r>
  <r>
    <x v="449"/>
    <s v="ERIKA JANNET LONDOÑO URIBE"/>
    <s v="Representante Legal"/>
    <s v="LOS COMUNEROS HOSPITAL UNIVERSITARIO DE BUCARAMANGA S.A."/>
    <s v="900.240.018-6"/>
    <s v="adriana.chaves@loscomuneroshub.com"/>
    <s v="Carrera 27 No. 30-15"/>
    <x v="8"/>
    <s v="BUCARAMANGA"/>
    <s v="Solicitud de compra de metadona"/>
    <n v="202124101537142"/>
    <d v="2021-08-20T00:00:00"/>
    <x v="7"/>
    <n v="202124111339521"/>
    <d v="2021-08-26T00:00:00"/>
    <s v="ENE"/>
    <n v="-6"/>
    <s v="AUTORIZADO"/>
    <m/>
    <s v="No. 5531"/>
    <d v="2019-04-26T00:00:00"/>
    <s v="Metadona HCl 10 mg Tableta_Cajas X 30 unidades c/u"/>
    <n v="810"/>
    <n v="27"/>
    <x v="2"/>
    <x v="3"/>
    <x v="2"/>
    <x v="2"/>
    <x v="197"/>
  </r>
  <r>
    <x v="450"/>
    <s v="ERIKA MARCELA JARAMILLO"/>
    <s v="Directora Tecnica"/>
    <s v="FUNDACIÓN CARDIOVASCULAR DE COLOMBIA ZONA FRANCA S.A.S"/>
    <s v="900.341.526-1"/>
    <s v="socorrogomez@fcv.org"/>
    <s v="HIC ZONA FRANCA KM 7 VIA PIEDECUESTA FLORIDABLANCA DE LA VEREDA MENZULY DEL MUNICIPIO DE PIEDECUESTA"/>
    <x v="8"/>
    <s v="PIEDECUESTA"/>
    <s v="SOLICITUD COTIZACION MEDICAMENTOS DE CONTROL ESPECIAL"/>
    <n v="202124101539212"/>
    <d v="2021-08-20T00:00:00"/>
    <x v="7"/>
    <n v="202124111339761"/>
    <d v="2021-08-26T00:00:00"/>
    <s v="ENE"/>
    <n v="-6"/>
    <s v="AUTORIZADO"/>
    <m/>
    <s v="No. 7036"/>
    <d v="2021-07-01T00:00:00"/>
    <s v="Metadona HCl 10 mg Tableta_frascos X 20 unidades c/u"/>
    <n v="3000"/>
    <n v="150"/>
    <x v="2"/>
    <x v="3"/>
    <x v="6"/>
    <x v="8"/>
    <x v="198"/>
  </r>
  <r>
    <x v="450"/>
    <s v="ERIKA MARCELA JARAMILLO"/>
    <s v="Directora Tecnica"/>
    <s v="FUNDACIÓN CARDIOVASCULAR DE COLOMBIA ZONA FRANCA S.A.S"/>
    <s v="900.341.526-1"/>
    <s v="socorrogomez@fcv.org"/>
    <s v="HIC ZONA FRANCA KM 7 VIA PIEDECUESTA FLORIDABLANCA DE LA VEREDA MENZULY DEL MUNICIPIO DE PIEDECUESTA"/>
    <x v="8"/>
    <s v="PIEDECUESTA"/>
    <s v="SOLICITUD COTIZACION MEDICAMENTOS DE CONTROL ESPECIAL"/>
    <n v="202124101539212"/>
    <d v="2021-08-20T00:00:00"/>
    <x v="7"/>
    <n v="202124111339761"/>
    <d v="2021-08-26T00:00:00"/>
    <s v="ENE"/>
    <n v="-6"/>
    <s v="AUTORIZADO"/>
    <m/>
    <s v="No. 7036"/>
    <d v="2021-07-01T00:00:00"/>
    <s v="Morfina HCl 10 mg/mL Solución Inyectable ampolla por 5mL"/>
    <n v="5000"/>
    <n v="500"/>
    <x v="0"/>
    <x v="16"/>
    <x v="0"/>
    <x v="12"/>
    <x v="199"/>
  </r>
  <r>
    <x v="450"/>
    <s v="ERIKA MARCELA JARAMILLO"/>
    <s v="Directora Tecnica"/>
    <s v="FUNDACIÓN CARDIOVASCULAR DE COLOMBIA ZONA FRANCA S.A.S"/>
    <s v="900.341.526-1"/>
    <s v="socorrogomez@fcv.org"/>
    <s v="HIC ZONA FRANCA KM 7 VIA PIEDECUESTA FLORIDABLANCA DE LA VEREDA MENZULY DEL MUNICIPIO DE PIEDECUESTA"/>
    <x v="8"/>
    <s v="PIEDECUESTA"/>
    <s v="SOLICITUD COTIZACION MEDICAMENTOS DE CONTROL ESPECIAL"/>
    <n v="202124101539212"/>
    <d v="2021-08-20T00:00:00"/>
    <x v="7"/>
    <n v="202124111339761"/>
    <d v="2021-08-26T00:00:00"/>
    <s v="ENE"/>
    <n v="-6"/>
    <s v="AUTORIZADO"/>
    <m/>
    <s v="No. 7036"/>
    <d v="2021-07-01T00:00:00"/>
    <s v="Morfina HCl 0,03 Solución Oral_frascos X 30 mL c/u"/>
    <n v="300"/>
    <n v="300"/>
    <x v="0"/>
    <x v="1"/>
    <x v="1"/>
    <x v="1"/>
    <x v="194"/>
  </r>
  <r>
    <x v="451"/>
    <s v="LEET ANTONIO MARQUEZ ESCORCIA"/>
    <s v="Quimico Farmacéutico"/>
    <s v="CLINICA GENERAL DE CIENAGA S.A.S"/>
    <s v="819000413-1"/>
    <s v="quimicocienaga@clinicageneraldelnorte.com"/>
    <s v="Carrera 48 No.70-38"/>
    <x v="3"/>
    <s v="BARRANQUILLA"/>
    <s v="SOLICITUD COTIZACION RITALINA 10 MG"/>
    <n v="202124101539342"/>
    <d v="2021-08-20T00:00:00"/>
    <x v="7"/>
    <n v="202124111340121"/>
    <d v="2021-08-26T00:00:00"/>
    <s v="ENE"/>
    <n v="-6"/>
    <s v="NEGADO"/>
    <s v="EL FRE TIENE DISPONIBILIDAD"/>
    <s v="No. 3792"/>
    <d v="2019-10-29T00:00:00"/>
    <s v="Metilfenidato HCl 10 mg Comprimido_cajas X 30 unidades c/u"/>
    <n v="0"/>
    <n v="0"/>
    <x v="4"/>
    <x v="3"/>
    <x v="3"/>
    <x v="2"/>
    <x v="0"/>
  </r>
  <r>
    <x v="452"/>
    <s v="YAMITH PRECIADO BONILLA"/>
    <s v="Director Técnico"/>
    <s v="MESSER COLOMBIA S.A"/>
    <s v="860.005.114-4"/>
    <s v="yamith.preciado@messer-co.com"/>
    <s v="Carrera 49C No. 80-148"/>
    <x v="3"/>
    <s v="BARRANQUILLA"/>
    <s v="AUTORIZACION VENTA DIRECTA - COMPRA MORFINA SOLUCION ORAL"/>
    <n v="202124101541482"/>
    <d v="2021-08-20T00:00:00"/>
    <x v="7"/>
    <n v="202124111338681"/>
    <d v="2021-08-26T00:00:00"/>
    <s v="ENE"/>
    <n v="-6"/>
    <s v="AUTORIZADO"/>
    <m/>
    <s v="No.4001"/>
    <d v="2020-12-21T00:00:00"/>
    <s v="Hidrato de Cloral 10%Solución Oral"/>
    <n v="3"/>
    <s v=""/>
    <x v="9"/>
    <x v="17"/>
    <x v="9"/>
    <x v="13"/>
    <x v="0"/>
  </r>
  <r>
    <x v="453"/>
    <s v="LUDYS GUTIERREZ GOMEZ"/>
    <s v="Directora Tecnica "/>
    <s v="SOCIEDAD CLÍNICA REINA CATALINA S.A.S."/>
    <s v="800.179.966-0"/>
    <s v="jefedeserviciofarmaceutico@gmail.com"/>
    <s v="Calle 82 N° 47-12 del Distrito Especial, Industrial y Portuario de Barranquilla"/>
    <x v="3"/>
    <s v="BARRANQUILLA"/>
    <s v="SOLICITUD COMPRA DIRECTA HIDRATO DE CLORAL CLINICA REINA CATALINA"/>
    <n v="202124101542772"/>
    <d v="2021-08-20T00:00:00"/>
    <x v="7"/>
    <m/>
    <m/>
    <s v="ENE"/>
    <n v="44428"/>
    <s v="AUTORIZADO"/>
    <s v="ERROR DE ORFEO (NO SE RADICO)"/>
    <s v="No. 3744"/>
    <d v="2021-08-11T00:00:00"/>
    <m/>
    <m/>
    <s v=""/>
    <x v="9"/>
    <x v="17"/>
    <x v="9"/>
    <x v="13"/>
    <x v="0"/>
  </r>
  <r>
    <x v="454"/>
    <s v="JOSÉ TEHERAN GONZÁLEZ"/>
    <s v="Quimico Farmacéutico"/>
    <s v="ETICOS UT 2020"/>
    <s v="901.381.381-3"/>
    <s v="qffarmacia10530@eticos.com"/>
    <s v="Calle 12 No.8-112 Kilometro 3 Vía Armenia"/>
    <x v="0"/>
    <s v="IBAGUE"/>
    <s v="SOLICITUD DE COMPRA DIRECTA PARA MEDICAMENTOS MONOPOLIO DEL ESTADO"/>
    <n v="202124101542912"/>
    <d v="2021-08-20T00:00:00"/>
    <x v="7"/>
    <n v="202124111340881"/>
    <d v="2021-08-20T00:00:00"/>
    <s v="ENE"/>
    <n v="0"/>
    <s v="AUTORIZADO"/>
    <m/>
    <s v="No. 1793"/>
    <d v="2020-09-08T00:00:00"/>
    <s v="Morfina HCl 10 mg/mL Solución Inyectable ampolla por 1mL"/>
    <n v="80"/>
    <n v="8"/>
    <x v="0"/>
    <x v="0"/>
    <x v="0"/>
    <x v="0"/>
    <x v="122"/>
  </r>
  <r>
    <x v="455"/>
    <s v="YENI CASTAÑEDA ZAMBRANO"/>
    <s v="Regente de farmacia"/>
    <s v="E.S.E HOSPITAL SAN ANTONIO DE GUATAVITA"/>
    <s v="860.035 447-1"/>
    <s v="farmacia_csg@hospitalguatavita.gov.co"/>
    <m/>
    <x v="19"/>
    <s v="GUATAVITA"/>
    <s v="COTIZACIÓN MCE"/>
    <n v="202124101546622"/>
    <d v="2021-08-23T00:00:00"/>
    <x v="7"/>
    <n v="202124111341431"/>
    <d v="2021-08-26T00:00:00"/>
    <s v="ENE"/>
    <n v="-3"/>
    <s v="NEGADO"/>
    <s v="No adjuntan documentos"/>
    <m/>
    <m/>
    <m/>
    <m/>
    <s v=""/>
    <x v="9"/>
    <x v="17"/>
    <x v="9"/>
    <x v="13"/>
    <x v="0"/>
  </r>
  <r>
    <x v="456"/>
    <s v="EDWIN JEAN DICK DUARTE MARTINEZ"/>
    <s v="Coordinador Almacén y Compras"/>
    <s v="SOCIEDAD CLINICA CASANARE"/>
    <m/>
    <s v="almacenclinicacasanare@gmail.com"/>
    <s v="Calle 13 No: 29-36"/>
    <x v="14"/>
    <s v="YOPAL"/>
    <s v="COTIZACION DE MEDICAMENOS"/>
    <n v="202124101546822"/>
    <d v="2021-08-23T00:00:00"/>
    <x v="7"/>
    <n v="202124111341491"/>
    <d v="2021-08-26T00:00:00"/>
    <s v="ENE"/>
    <n v="-3"/>
    <s v="NEGADO"/>
    <s v="No adjuntan documentos"/>
    <m/>
    <m/>
    <m/>
    <m/>
    <s v=""/>
    <x v="9"/>
    <x v="17"/>
    <x v="9"/>
    <x v="13"/>
    <x v="0"/>
  </r>
  <r>
    <x v="457"/>
    <s v="ERIKA MARCELA JARAMILLO"/>
    <s v="Directora Tecnica"/>
    <s v="FUNDACIÓN CARDIOVASCULAR DE COLOMBIA ZONA FRANCA S.A.S"/>
    <s v="900.341.526-1"/>
    <s v="damarisgarcia@fcv.org"/>
    <s v="Km 7 Vía Piedecuesta - Floridablanca"/>
    <x v="8"/>
    <s v="PIEDECUESTA"/>
    <s v="SOLICITUD COTIZACION MEDICAMENTOS DE CONTROL ESPECIAL"/>
    <n v="202124101531892"/>
    <d v="2021-08-19T00:00:00"/>
    <x v="7"/>
    <n v="202124111353451"/>
    <d v="2021-08-30T00:00:00"/>
    <s v="ENE"/>
    <n v="-11"/>
    <s v="NEGADO"/>
    <s v="La resolución esta vencida"/>
    <m/>
    <m/>
    <m/>
    <m/>
    <s v=""/>
    <x v="9"/>
    <x v="17"/>
    <x v="9"/>
    <x v="13"/>
    <x v="0"/>
  </r>
  <r>
    <x v="458"/>
    <s v="IVON CEBALLOS IBAÑEZ"/>
    <s v="Coordinadora de Compras"/>
    <s v="CLINICA DEL CARIBE S.A."/>
    <m/>
    <s v="compras@clinicadelcaribe.com"/>
    <m/>
    <x v="22"/>
    <m/>
    <s v="Solicitud por faltante en Fondo Rotatorio de Morfina"/>
    <n v="202124101548562"/>
    <d v="2021-08-23T00:00:00"/>
    <x v="7"/>
    <n v="202124111353501"/>
    <d v="2021-08-30T00:00:00"/>
    <s v="ENE"/>
    <n v="-7"/>
    <s v="NEGADO"/>
    <s v="No adjuntan documentos"/>
    <m/>
    <m/>
    <s v="Morfina HCl 0,03 Solución Oral_frascos X 30 mL c/u"/>
    <n v="0"/>
    <n v="0"/>
    <x v="0"/>
    <x v="1"/>
    <x v="1"/>
    <x v="1"/>
    <x v="0"/>
  </r>
  <r>
    <x v="459"/>
    <s v="FRANK ALEXANDER RIVERA MIRA"/>
    <s v="Representante Legal"/>
    <s v="SOCIEDAD CLÍNICA CASANARE LTDA"/>
    <s v="891.855.847-3"/>
    <s v="farmaclinicacasanare@gmail.com"/>
    <s v="Calle 13 No. 29-36"/>
    <x v="14"/>
    <s v="YOPAL"/>
    <s v="COTIZACION DE MEDICAMENOS"/>
    <n v="202124101549022"/>
    <d v="2021-08-23T00:00:00"/>
    <x v="7"/>
    <n v="202124111353551"/>
    <d v="2021-08-30T00:00:00"/>
    <s v="ENE"/>
    <n v="-7"/>
    <s v="AUTORIZADO"/>
    <m/>
    <s v="No. 0718"/>
    <d v="2021-07-01T00:00:00"/>
    <s v="Morfina HCl 10 mg/mL Solución Inyectable ampolla por 1mL"/>
    <n v="1000"/>
    <n v="100"/>
    <x v="0"/>
    <x v="0"/>
    <x v="0"/>
    <x v="0"/>
    <x v="26"/>
  </r>
  <r>
    <x v="459"/>
    <s v="FRANK ALEXANDER RIVERA MIRA"/>
    <s v="Representante Legal"/>
    <s v="SOCIEDAD CLÍNICA CASANARE LTDA"/>
    <s v="891.855.847-3"/>
    <s v="farmaclinicacasanare@gmail.com"/>
    <s v="Calle 13 No. 29-36"/>
    <x v="14"/>
    <s v="YOPAL"/>
    <s v="COTIZACION DE MEDICAMENOS"/>
    <n v="202124101549022"/>
    <d v="2021-08-23T00:00:00"/>
    <x v="7"/>
    <n v="202124111353551"/>
    <d v="2021-08-30T00:00:00"/>
    <s v="ENE"/>
    <n v="-7"/>
    <s v="AUTORIZADO"/>
    <m/>
    <s v="No. 0718"/>
    <d v="2021-07-01T00:00:00"/>
    <s v="Meperidina HCl 100 mg/2mL Solución Inyectable_cajas X 10 unidades c/u"/>
    <n v="300"/>
    <n v="30"/>
    <x v="6"/>
    <x v="8"/>
    <x v="0"/>
    <x v="3"/>
    <x v="124"/>
  </r>
  <r>
    <x v="459"/>
    <s v="FRANK ALEXANDER RIVERA MIRA"/>
    <s v="Representante Legal"/>
    <s v="SOCIEDAD CLÍNICA CASANARE LTDA"/>
    <s v="891.855.847-3"/>
    <s v="farmaclinicacasanare@gmail.com"/>
    <s v="Calle 13 No. 29-36"/>
    <x v="14"/>
    <s v="YOPAL"/>
    <s v="COTIZACION DE MEDICAMENOS"/>
    <n v="202124101549022"/>
    <d v="2021-08-23T00:00:00"/>
    <x v="7"/>
    <n v="202124111353551"/>
    <d v="2021-08-30T00:00:00"/>
    <s v="ENE"/>
    <n v="-7"/>
    <s v="NEGADO"/>
    <s v="En fabricación"/>
    <s v="No. 0718"/>
    <d v="2021-07-01T00:00:00"/>
    <s v="Fenobarbital Sódico 40 mg/mL Solución Inyectable_caja X 10 ampollas c/u"/>
    <n v="0"/>
    <n v="0"/>
    <x v="3"/>
    <x v="6"/>
    <x v="0"/>
    <x v="0"/>
    <x v="0"/>
  </r>
  <r>
    <x v="459"/>
    <s v="FRANK ALEXANDER RIVERA MIRA"/>
    <s v="Representante Legal"/>
    <s v="SOCIEDAD CLÍNICA CASANARE LTDA"/>
    <s v="891.855.847-3"/>
    <s v="farmaclinicacasanare@gmail.com"/>
    <s v="Calle 13 No. 29-36"/>
    <x v="14"/>
    <s v="YOPAL"/>
    <s v="COTIZACION DE MEDICAMENOS"/>
    <n v="202124101549022"/>
    <d v="2021-08-23T00:00:00"/>
    <x v="7"/>
    <n v="202124111353551"/>
    <d v="2021-08-30T00:00:00"/>
    <s v="ENE"/>
    <n v="-7"/>
    <s v="AUTORIZADO"/>
    <m/>
    <s v="No. 0718"/>
    <d v="2021-07-01T00:00:00"/>
    <s v="Fenobarbital Sódico 200 mg/mL Solución Inyectable_caja X 10 ampollas c/u"/>
    <n v="30"/>
    <n v="3"/>
    <x v="3"/>
    <x v="5"/>
    <x v="0"/>
    <x v="0"/>
    <x v="24"/>
  </r>
  <r>
    <x v="460"/>
    <s v="SHIRLEY ROJAS"/>
    <s v="Regente de Farmacia"/>
    <s v="MARCAZSALUD R.C. SAS"/>
    <s v="900.928.565-8"/>
    <s v="shirley.rojas@marcazsalud.com.co"/>
    <s v="Calle 19 No. 23-14"/>
    <x v="14"/>
    <s v="YOPAL"/>
    <s v="cotizacion de los medicamentos de control especial y monopolio del estado para Marcazsaud Yopal"/>
    <n v="202124101551892"/>
    <d v="2021-08-23T00:00:00"/>
    <x v="7"/>
    <n v="202124111353581"/>
    <d v="2021-08-30T00:00:00"/>
    <s v="ENE"/>
    <n v="-7"/>
    <s v="AUTORIZADO"/>
    <m/>
    <s v="No. 0026"/>
    <d v="2021-01-27T00:00:00"/>
    <s v="Fenobarbital 100 mg Tableta_cajas X 30 unidades c/u"/>
    <n v="1000"/>
    <n v="33"/>
    <x v="5"/>
    <x v="7"/>
    <x v="4"/>
    <x v="2"/>
    <x v="195"/>
  </r>
  <r>
    <x v="460"/>
    <s v="SHIRLEY ROJAS"/>
    <s v="Regente de Farmacia"/>
    <s v="MARCAZSALUD R.C. SAS"/>
    <s v="900.928.565-8"/>
    <s v="shirley.rojas@marcazsalud.com.co"/>
    <s v="Calle 19 No. 23-14"/>
    <x v="14"/>
    <s v="YOPAL"/>
    <s v="cotizacion de los medicamentos de control especial y monopolio del estado para Marcazsaud Yopal"/>
    <n v="202124101551892"/>
    <d v="2021-08-23T00:00:00"/>
    <x v="7"/>
    <n v="202124111353581"/>
    <d v="2021-08-30T00:00:00"/>
    <s v="ENE"/>
    <n v="-7"/>
    <s v="AUTORIZADO"/>
    <m/>
    <s v="No. 0026"/>
    <d v="2021-01-27T00:00:00"/>
    <s v="Morfina HCl 0,03 Solución Oral_frascos X 30 mL c/u"/>
    <n v="10"/>
    <n v="10"/>
    <x v="0"/>
    <x v="1"/>
    <x v="1"/>
    <x v="1"/>
    <x v="47"/>
  </r>
  <r>
    <x v="460"/>
    <s v="SHIRLEY ROJAS"/>
    <s v="Regente de Farmacia"/>
    <s v="MARCAZSALUD R.C. SAS"/>
    <s v="900.928.565-8"/>
    <s v="shirley.rojas@marcazsalud.com.co"/>
    <s v="Calle 19 No. 23-14"/>
    <x v="14"/>
    <s v="YOPAL"/>
    <s v="cotizacion de los medicamentos de control especial y monopolio del estado para Marcazsaud Yopal"/>
    <n v="202124101551892"/>
    <d v="2021-08-23T00:00:00"/>
    <x v="7"/>
    <n v="202124111353581"/>
    <d v="2021-08-30T00:00:00"/>
    <s v="ENE"/>
    <n v="-7"/>
    <s v="AUTORIZADO"/>
    <m/>
    <s v="No. 0026"/>
    <d v="2021-01-27T00:00:00"/>
    <s v="Fenobarbital 0,4% Solución Oral_frascos X 120 mL c/u"/>
    <n v="5"/>
    <n v="5"/>
    <x v="5"/>
    <x v="11"/>
    <x v="1"/>
    <x v="6"/>
    <x v="16"/>
  </r>
  <r>
    <x v="460"/>
    <s v="SHIRLEY ROJAS"/>
    <s v="Regente de Farmacia"/>
    <s v="MARCAZSALUD R.C. SAS"/>
    <s v="900.928.565-8"/>
    <s v="shirley.rojas@marcazsalud.com.co"/>
    <s v="Calle 19 No. 23-14"/>
    <x v="14"/>
    <s v="YOPAL"/>
    <s v="cotizacion de los medicamentos de control especial y monopolio del estado para Marcazsaud Yopal"/>
    <n v="202124101551892"/>
    <d v="2021-08-23T00:00:00"/>
    <x v="7"/>
    <n v="202124111353581"/>
    <d v="2021-08-30T00:00:00"/>
    <s v="ENE"/>
    <n v="-7"/>
    <s v="AUTORIZADO"/>
    <m/>
    <s v="No. 0026"/>
    <d v="2021-01-27T00:00:00"/>
    <s v="Metadona HCl 10 mg Tableta_frascos X 20 unidades c/u"/>
    <n v="100"/>
    <n v="5"/>
    <x v="2"/>
    <x v="3"/>
    <x v="6"/>
    <x v="8"/>
    <x v="50"/>
  </r>
  <r>
    <x v="461"/>
    <s v="MARÍA ALEJANDRA VARGAS RUIZ"/>
    <s v="Regente de farmacia"/>
    <s v="DROGUERIA LA SALUD"/>
    <s v="844.002.523-1"/>
    <s v="alejita170.va@gmail.com"/>
    <s v="Calle 9 No. 19-44"/>
    <x v="14"/>
    <s v="YOPAL"/>
    <s v="Cotización Droguería la salud"/>
    <n v="202124101559522"/>
    <d v="2021-08-24T00:00:00"/>
    <x v="7"/>
    <n v="202124111353611"/>
    <d v="2021-08-30T00:00:00"/>
    <s v="ENE"/>
    <n v="-6"/>
    <s v="AUTORIZADO"/>
    <m/>
    <s v="No. 0554"/>
    <d v="2019-05-21T00:00:00"/>
    <s v="Fenobarbital 100 mg Tableta_cajas X 30 unidades c/u"/>
    <n v="1440"/>
    <n v="48"/>
    <x v="5"/>
    <x v="7"/>
    <x v="4"/>
    <x v="2"/>
    <x v="117"/>
  </r>
  <r>
    <x v="461"/>
    <s v="MARÍA ALEJANDRA VARGAS RUIZ"/>
    <s v="Regente de farmacia"/>
    <s v="DROGUERIA LA SALUD"/>
    <s v="844.002.523-1"/>
    <s v="alejita170.va@gmail.com"/>
    <s v="Calle 9 No. 19-44"/>
    <x v="14"/>
    <s v="YOPAL"/>
    <s v="Cotización Droguería la salud"/>
    <n v="202124101559522"/>
    <d v="2021-08-24T00:00:00"/>
    <x v="7"/>
    <n v="202124111353611"/>
    <d v="2021-08-30T00:00:00"/>
    <s v="ENE"/>
    <n v="-6"/>
    <s v="AUTORIZADO"/>
    <m/>
    <s v="No. 0554"/>
    <d v="2019-05-21T00:00:00"/>
    <s v="Morfina HCl 0,03 Solución Oral_frascos X 30 mL c/u"/>
    <n v="5"/>
    <n v="5"/>
    <x v="0"/>
    <x v="1"/>
    <x v="1"/>
    <x v="1"/>
    <x v="6"/>
  </r>
  <r>
    <x v="461"/>
    <s v="MARÍA ALEJANDRA VARGAS RUIZ"/>
    <s v="Regente de farmacia"/>
    <s v="DROGUERIA LA SALUD"/>
    <s v="844.002.523-1"/>
    <s v="alejita170.va@gmail.com"/>
    <s v="Calle 9 No. 19-44"/>
    <x v="14"/>
    <s v="YOPAL"/>
    <s v="Cotización Droguería la salud"/>
    <n v="202124101559522"/>
    <d v="2021-08-24T00:00:00"/>
    <x v="7"/>
    <n v="202124111353611"/>
    <d v="2021-08-30T00:00:00"/>
    <s v="ENE"/>
    <n v="-6"/>
    <s v="NEGADO"/>
    <s v="No está en el listado de medicamentos autorizados"/>
    <s v="No. 0554"/>
    <d v="2019-05-21T00:00:00"/>
    <s v="Hidromorfona HCl 2,5 mg Tableta_cajas X 20 unidades c/u"/>
    <n v="0"/>
    <n v="0"/>
    <x v="1"/>
    <x v="9"/>
    <x v="4"/>
    <x v="4"/>
    <x v="0"/>
  </r>
  <r>
    <x v="461"/>
    <s v="MARÍA ALEJANDRA VARGAS RUIZ"/>
    <s v="Regente de farmacia"/>
    <s v="DROGUERIA LA SALUD"/>
    <s v="844.002.523-1"/>
    <s v="alejita170.va@gmail.com"/>
    <s v="Calle 9 No. 19-44"/>
    <x v="14"/>
    <s v="YOPAL"/>
    <s v="Cotización Droguería la salud"/>
    <n v="202124101559522"/>
    <d v="2021-08-24T00:00:00"/>
    <x v="7"/>
    <n v="202124111353611"/>
    <d v="2021-08-30T00:00:00"/>
    <s v="ENE"/>
    <n v="-6"/>
    <s v="AUTORIZADO"/>
    <m/>
    <s v="No. 0554"/>
    <d v="2019-05-21T00:00:00"/>
    <s v="Fenobarbital 0,4% Solución Oral_frascos X 120 mL c/u"/>
    <n v="4"/>
    <n v="4"/>
    <x v="5"/>
    <x v="11"/>
    <x v="1"/>
    <x v="6"/>
    <x v="115"/>
  </r>
  <r>
    <x v="462"/>
    <s v="JOHN JAIME ZAPATA FERIA"/>
    <s v="Director Técnico"/>
    <s v="SUMINISTROS Y DOTACIONES DE COLOMBIA S.A"/>
    <s v="802.000.608-7"/>
    <s v="johnjaimezapata01@gmail.com"/>
    <s v="Calle 15 No 7-95"/>
    <x v="14"/>
    <s v="YOPAL"/>
    <s v="SOLICITUD DE COTIZACION MCE MONOPOLIO DEL ESTADO"/>
    <n v="202124101566522"/>
    <d v="2021-08-24T00:00:00"/>
    <x v="7"/>
    <n v="202124111374541"/>
    <d v="2021-09-01T00:00:00"/>
    <s v="ENE"/>
    <n v="-8"/>
    <s v="NEGADO"/>
    <s v="En fabricación"/>
    <s v="No. 28"/>
    <d v="2021-01-27T00:00:00"/>
    <s v="Fenobarbital Sódico 40 mg/mL Solución Inyectable_caja X 10 ampollas c/u"/>
    <n v="0"/>
    <n v="0"/>
    <x v="3"/>
    <x v="6"/>
    <x v="0"/>
    <x v="0"/>
    <x v="0"/>
  </r>
  <r>
    <x v="462"/>
    <s v="JOHN JAIME ZAPATA FERIA"/>
    <s v="Director Técnico"/>
    <s v="SUMINISTROS Y DOTACIONES DE COLOMBIA S.A"/>
    <s v="802.000.608-7"/>
    <s v="johnjaimezapata01@gmail.com"/>
    <s v="Calle 15 No 7-95"/>
    <x v="14"/>
    <s v="YOPAL"/>
    <s v="SOLICITUD DE COTIZACION MCE MONOPOLIO DEL ESTADO"/>
    <n v="202124101566522"/>
    <d v="2021-08-24T00:00:00"/>
    <x v="7"/>
    <n v="202124111374541"/>
    <d v="2021-09-01T00:00:00"/>
    <s v="ENE"/>
    <n v="-8"/>
    <s v="AUTORIZADO"/>
    <m/>
    <s v="No. 28"/>
    <d v="2021-01-27T00:00:00"/>
    <s v="Morfina HCl 10 mg/mL Solución Inyectable ampolla por 1mL"/>
    <n v="1000"/>
    <n v="100"/>
    <x v="0"/>
    <x v="0"/>
    <x v="0"/>
    <x v="0"/>
    <x v="26"/>
  </r>
  <r>
    <x v="463"/>
    <s v="SAMIR VIDES ÁLVAREZ"/>
    <s v="Director Tecnico"/>
    <s v="AVIDANTI S.A.S."/>
    <s v="800.185.449-9"/>
    <s v="carlosiriarte@avidanti.com"/>
    <s v="Carrera 4 No. 26A -71"/>
    <x v="4"/>
    <s v="SANTA MARTA"/>
    <s v="SOLICITUD COMPRA DIRECTA DE MEDICAMENTOS MONOPOLIO DEL ESTADO"/>
    <n v="202124101574732"/>
    <d v="2021-08-25T00:00:00"/>
    <x v="7"/>
    <n v="202124111353771"/>
    <d v="2021-08-30T00:00:00"/>
    <s v="ENE"/>
    <n v="-5"/>
    <s v="AUTORIZADO"/>
    <m/>
    <s v="No. 3911"/>
    <d v="2019-11-07T00:00:00"/>
    <s v="Meperidina HCl 100 mg/2mL Solución Inyectable_cajas X 10 unidades c/u"/>
    <n v="300"/>
    <n v="30"/>
    <x v="6"/>
    <x v="8"/>
    <x v="0"/>
    <x v="3"/>
    <x v="124"/>
  </r>
  <r>
    <x v="464"/>
    <s v="GLORIA STELLA ARENAS"/>
    <s v="Director Técnico"/>
    <s v="MESSER COLOMBIA AGENCIA BUCARAMANGA"/>
    <s v="860.005.114-4"/>
    <s v="gloria.stella.arenas@messer-co.com"/>
    <s v="Carrera 28 No. 58-80 "/>
    <x v="8"/>
    <s v="BUCARAMANGA"/>
    <s v="Solicitud cotización de Fenobarbital jarabe y metadona (Messer Colombia S.A. Agencia Bucaramanga)"/>
    <n v="202124101577612"/>
    <d v="2021-08-25T00:00:00"/>
    <x v="7"/>
    <n v="202124111353801"/>
    <d v="2021-08-30T00:00:00"/>
    <s v="ENE"/>
    <n v="-5"/>
    <s v="AUTORIZADO"/>
    <m/>
    <s v="No. 7944"/>
    <d v="2021-06-17T00:00:00"/>
    <s v="Fenobarbital 0,4% Solución Oral_frascos X 120 mL c/u"/>
    <n v="20"/>
    <n v="20"/>
    <x v="5"/>
    <x v="11"/>
    <x v="1"/>
    <x v="6"/>
    <x v="77"/>
  </r>
  <r>
    <x v="464"/>
    <s v="GLORIA STELLA ARENAS"/>
    <s v="Director Técnico"/>
    <s v="MESSER COLOMBIA AGENCIA BUCARAMANGA"/>
    <s v="860.005.114-4"/>
    <s v="gloria.stella.arenas@messer-co.com"/>
    <s v="Carrera 28 No. 58-80 "/>
    <x v="8"/>
    <s v="BUCARAMANGA"/>
    <s v="Solicitud cotización de Fenobarbital jarabe y metadona (Messer Colombia S.A. Agencia Bucaramanga)"/>
    <n v="202124101577612"/>
    <d v="2021-08-25T00:00:00"/>
    <x v="7"/>
    <n v="202124111353801"/>
    <d v="2021-08-30T00:00:00"/>
    <s v="ENE"/>
    <n v="-5"/>
    <s v="AUTORIZADO"/>
    <m/>
    <s v="No. 7944"/>
    <d v="2021-06-17T00:00:00"/>
    <s v="Metadona HCl 10 mg Tableta_Cajas X 30 unidades c/u"/>
    <n v="150"/>
    <n v="5"/>
    <x v="2"/>
    <x v="3"/>
    <x v="2"/>
    <x v="2"/>
    <x v="2"/>
  </r>
  <r>
    <x v="465"/>
    <s v="YAMITH PRECIADO BONILLA"/>
    <s v="Director Técnico"/>
    <s v="MESSER COLOMBIA S.A"/>
    <s v="860.005.114-4"/>
    <s v="yamith.preciado@messer-co.com"/>
    <s v="Carrera 49C No. 80-148"/>
    <x v="3"/>
    <s v="BARRANQUILLA"/>
    <s v="AUTORIZACION VENTA DIRECTA - COMPRA MORFINA SOLUCION ORAL"/>
    <n v="202124101581842"/>
    <d v="2021-08-26T00:00:00"/>
    <x v="7"/>
    <n v="202124111353851"/>
    <d v="2021-08-30T00:00:00"/>
    <s v="ENE"/>
    <n v="-4"/>
    <s v="NEGADO"/>
    <s v="No adjuntan documentos"/>
    <m/>
    <m/>
    <m/>
    <m/>
    <s v=""/>
    <x v="9"/>
    <x v="17"/>
    <x v="9"/>
    <x v="13"/>
    <x v="0"/>
  </r>
  <r>
    <x v="466"/>
    <s v="YUDELY ASMITH MEDINA PÉREZ"/>
    <s v="Directora Tecnica"/>
    <s v="ETICOS UT 2020"/>
    <s v="901381381-3"/>
    <s v="qffarmacia10515@eticos.com"/>
    <s v="Vía 40 No 71-124"/>
    <x v="2"/>
    <s v="CARTAGENA"/>
    <s v="Solicitud de cotización y generación de factura para compra de medicamentos de Monopolio del Estado"/>
    <n v="202124101587012"/>
    <d v="2021-08-26T00:00:00"/>
    <x v="7"/>
    <n v="202124141375691"/>
    <d v="2021-09-01T00:00:00"/>
    <s v="ENE"/>
    <n v="-6"/>
    <s v="NEGADO"/>
    <s v="RESPONDE GIT-RAO"/>
    <s v="No. 323"/>
    <d v="2020-07-06T00:00:00"/>
    <s v="Hidromorfona HCl 5 mg Tableta_cajas X 30 unidades c/u"/>
    <n v="0"/>
    <n v="0"/>
    <x v="1"/>
    <x v="13"/>
    <x v="5"/>
    <x v="7"/>
    <x v="0"/>
  </r>
  <r>
    <x v="466"/>
    <s v="YUDELY ASMITH MEDINA PÉREZ"/>
    <s v="Directora Tecnica"/>
    <s v="ETICOS UT 2020"/>
    <s v="901381381-3"/>
    <s v="qffarmacia10515@eticos.com"/>
    <s v="Vía 40 No 71-124"/>
    <x v="2"/>
    <s v="CARTAGENA"/>
    <s v="Solicitud de cotización y generación de factura para compra de medicamentos de Monopolio del Estado"/>
    <n v="202124101587012"/>
    <d v="2021-08-26T00:00:00"/>
    <x v="7"/>
    <n v="202124141375691"/>
    <d v="2021-09-01T00:00:00"/>
    <s v="ENE"/>
    <n v="-6"/>
    <s v="NEGADO"/>
    <s v="RESPONDE GIT-RAO"/>
    <s v="No. 323"/>
    <d v="2020-07-06T00:00:00"/>
    <s v="Morfina HCl 10 mg/mL Solución Inyectable ampolla por 1mL"/>
    <n v="0"/>
    <n v="0"/>
    <x v="0"/>
    <x v="0"/>
    <x v="0"/>
    <x v="0"/>
    <x v="0"/>
  </r>
  <r>
    <x v="467"/>
    <s v="MARÍA SCARLETH PÉREZ MENDOZA"/>
    <s v="Lider Quimica - Farmaceutica"/>
    <s v="CLINICA SAN IGNACIO"/>
    <m/>
    <s v="serviciosfarmaceuticos@clinicasanignacio.org"/>
    <s v="Calle 76 No. 6B-36"/>
    <x v="3"/>
    <s v="BARRANQUILLA"/>
    <s v="COMPRA DE MORFINA Y MEPERIDINA"/>
    <n v="202124101587152"/>
    <d v="2021-08-26T00:00:00"/>
    <x v="7"/>
    <n v="202124111364501"/>
    <d v="2021-08-31T00:00:00"/>
    <s v="ENE"/>
    <n v="-5"/>
    <s v="NEGADO"/>
    <s v="No adjuntan documentos"/>
    <m/>
    <m/>
    <s v="Morfina HCl 10 mg/mL Solución Inyectable ampolla por 1mL"/>
    <n v="0"/>
    <n v="0"/>
    <x v="0"/>
    <x v="0"/>
    <x v="0"/>
    <x v="0"/>
    <x v="0"/>
  </r>
  <r>
    <x v="467"/>
    <s v="MARÍA SCARLETH PÉREZ MENDOZA"/>
    <s v="Lider Quimica - Farmaceutica"/>
    <s v="CLINICA SAN IGNACIO"/>
    <m/>
    <s v="serviciosfarmaceuticos@clinicasanignacio.org"/>
    <s v="Calle 76 No. 6B-36"/>
    <x v="3"/>
    <s v="BARRANQUILLA"/>
    <s v="COMPRA DE MORFINA Y MEPERIDINA"/>
    <n v="202124101587152"/>
    <d v="2021-08-26T00:00:00"/>
    <x v="7"/>
    <n v="202124111364501"/>
    <d v="2021-08-31T00:00:00"/>
    <s v="ENE"/>
    <n v="-5"/>
    <s v="NEGADO"/>
    <s v="No adjuntan documentos"/>
    <m/>
    <m/>
    <s v="Meperidina HCl 100 mg/2mL Solución Inyectable_cajas X 10 unidades c/u"/>
    <n v="0"/>
    <n v="0"/>
    <x v="6"/>
    <x v="8"/>
    <x v="0"/>
    <x v="3"/>
    <x v="0"/>
  </r>
  <r>
    <x v="468"/>
    <s v="IVON CEBALLOS IBAÑEZ"/>
    <s v="Coordinadora de Compras"/>
    <s v="CLINICA DEL CARIBE S.A."/>
    <s v="890.100.275-7"/>
    <s v="compras@clinicadelcaribe.com"/>
    <s v="compras@clinicadelcaribe.com"/>
    <x v="3"/>
    <s v="BARRANQUILLA"/>
    <s v="Solicitud por faltante en Fondo Rotatorio de Morfina"/>
    <n v="202124101587532"/>
    <d v="2021-08-26T00:00:00"/>
    <x v="7"/>
    <n v="202124111364531"/>
    <d v="2021-08-31T00:00:00"/>
    <s v="ENE"/>
    <n v="-5"/>
    <s v="AUTORIZADO"/>
    <m/>
    <s v="No. 2422"/>
    <d v="2021-01-13T00:00:00"/>
    <s v="Morfina HCl 10 mg/mL Solución Inyectable ampolla por 1mL"/>
    <n v="260"/>
    <n v="26"/>
    <x v="0"/>
    <x v="0"/>
    <x v="0"/>
    <x v="0"/>
    <x v="200"/>
  </r>
  <r>
    <x v="468"/>
    <s v="IVON CEBALLOS IBAÑEZ"/>
    <s v="Coordinadora de Compras"/>
    <s v="CLINICA DEL CARIBE S.A."/>
    <s v="890.100.275-7"/>
    <s v="compras@clinicadelcaribe.com"/>
    <s v="compras@clinicadelcaribe.com"/>
    <x v="3"/>
    <s v="BARRANQUILLA"/>
    <s v="Solicitud por faltante en Fondo Rotatorio de Morfina"/>
    <n v="202124101587532"/>
    <d v="2021-08-26T00:00:00"/>
    <x v="7"/>
    <n v="202124111364531"/>
    <d v="2021-08-31T00:00:00"/>
    <s v="ENE"/>
    <n v="-5"/>
    <s v="AUTORIZADO"/>
    <m/>
    <s v="No. 2422"/>
    <d v="2021-01-13T00:00:00"/>
    <s v="Morfina HCl 0,03 Solución Oral_frascos X 30 mL c/u"/>
    <n v="1"/>
    <n v="1"/>
    <x v="0"/>
    <x v="1"/>
    <x v="1"/>
    <x v="1"/>
    <x v="109"/>
  </r>
  <r>
    <x v="469"/>
    <s v="ELVER RUIDIAZ TERRAZA"/>
    <s v="Director Tecnico"/>
    <s v="SUPLYMEDICAL S.A.S"/>
    <s v="900397985-8"/>
    <s v="suplymedicalsas@gmail.com"/>
    <s v="Carrera 21 No. 21-153 Local 101 CC Plaza Jardín"/>
    <x v="4"/>
    <s v="SANTA MARTA"/>
    <s v="SOLICITUD DE COTIZACION Y ORDEN DE COMPRA"/>
    <n v="202124101587722"/>
    <d v="2021-08-26T00:00:00"/>
    <x v="7"/>
    <n v="202124111364591"/>
    <d v="2021-08-31T00:00:00"/>
    <s v="ENE"/>
    <n v="-5"/>
    <s v="AUTORIZADO"/>
    <m/>
    <s v="No. 3259"/>
    <d v="2018-10-03T00:00:00"/>
    <s v="Metadona HCl 10 mg Tableta_frascos X 20 unidades c/u"/>
    <n v="120"/>
    <n v="6"/>
    <x v="2"/>
    <x v="3"/>
    <x v="6"/>
    <x v="8"/>
    <x v="201"/>
  </r>
  <r>
    <x v="469"/>
    <s v="ELVER RUIDIAZ TERRAZA"/>
    <s v="Director Tecnico"/>
    <s v="SUPLYMEDICAL S.A.S"/>
    <s v="900397985-8"/>
    <s v="suplymedicalsas@gmail.com"/>
    <s v="Carrera 21 No. 21-153 Local 101 CC Plaza Jardín"/>
    <x v="4"/>
    <s v="SANTA MARTA"/>
    <s v="SOLICITUD DE COTIZACION Y ORDEN DE COMPRA"/>
    <n v="202124101587722"/>
    <d v="2021-08-26T00:00:00"/>
    <x v="7"/>
    <n v="202124111364591"/>
    <d v="2021-08-31T00:00:00"/>
    <s v="ENE"/>
    <n v="-5"/>
    <s v="AUTORIZADO"/>
    <m/>
    <s v="No. 3259"/>
    <d v="2018-10-03T00:00:00"/>
    <s v="Fenobarbital 100 mg Tableta_cajas X 30 unidades c/u"/>
    <n v="900"/>
    <n v="30"/>
    <x v="5"/>
    <x v="7"/>
    <x v="4"/>
    <x v="2"/>
    <x v="56"/>
  </r>
  <r>
    <x v="469"/>
    <s v="ELVER RUIDIAZ TERRAZA"/>
    <s v="Director Tecnico"/>
    <s v="SUPLYMEDICAL S.A.S"/>
    <s v="900397985-8"/>
    <s v="suplymedicalsas@gmail.com"/>
    <s v="Carrera 21 No. 21-153 Local 101 CC Plaza Jardín"/>
    <x v="4"/>
    <s v="SANTA MARTA"/>
    <s v="SOLICITUD DE COTIZACION Y ORDEN DE COMPRA"/>
    <n v="202124101587722"/>
    <d v="2021-08-26T00:00:00"/>
    <x v="7"/>
    <n v="202124111364591"/>
    <d v="2021-08-31T00:00:00"/>
    <s v="ENE"/>
    <n v="-5"/>
    <s v="AUTORIZADO"/>
    <m/>
    <s v="No. 3259"/>
    <d v="2018-10-03T00:00:00"/>
    <s v="Metilfenidato HCl 10 mg Comprimido_cajas X 30 unidades c/u"/>
    <n v="300"/>
    <n v="10"/>
    <x v="4"/>
    <x v="3"/>
    <x v="3"/>
    <x v="2"/>
    <x v="23"/>
  </r>
  <r>
    <x v="470"/>
    <s v="LAURA ORTIZ JAIMES"/>
    <s v="Administradora"/>
    <s v="SERVICIO FARMACÉUTICO DISPENSARIO N 682"/>
    <s v="892.300.678-7"/>
    <s v="dispensario682@drogaslaeconomia.com"/>
    <s v="Carrera 34 # 48 - 77"/>
    <x v="8"/>
    <s v="BUCARAMANGA"/>
    <s v="COTIZACIÒN MEDICAMENTO DE CONTROL ESPECIAL"/>
    <n v="202124101594672"/>
    <d v="2021-08-27T00:00:00"/>
    <x v="7"/>
    <n v="202124111364631"/>
    <d v="2021-08-31T00:00:00"/>
    <s v="ENE"/>
    <n v="-4"/>
    <s v="AUTORIZADO"/>
    <m/>
    <s v="No. 16877"/>
    <d v="2019-10-07T00:00:00"/>
    <s v="Metadona HCl 10 mg Tableta_frascos X 20 unidades c/u"/>
    <n v="520"/>
    <n v="26"/>
    <x v="2"/>
    <x v="3"/>
    <x v="6"/>
    <x v="8"/>
    <x v="202"/>
  </r>
  <r>
    <x v="471"/>
    <s v="ROMULO RODADO VILLA"/>
    <s v="Gerente"/>
    <s v="MI RED BARRANQUILLA IPS S.A.S."/>
    <s v="901.139.193-1"/>
    <s v="yjimenez@miredips.org"/>
    <s v="Calle 50 No. 20-91"/>
    <x v="3"/>
    <s v="BARRANQUILLA"/>
    <s v="Solicitud de cotización - Morfina 10mg Solución Inyectable"/>
    <n v="202124101601272"/>
    <d v="2021-08-30T00:00:00"/>
    <x v="7"/>
    <n v="202124111364601"/>
    <d v="2021-08-31T00:00:00"/>
    <s v="ENE"/>
    <n v="-1"/>
    <s v="AUTORIZADO"/>
    <m/>
    <s v="No. 2384"/>
    <d v="2018-03-16T00:00:00"/>
    <s v="Morfina HCl 10 mg/mL Solución Inyectable ampolla por 1mL"/>
    <n v="500"/>
    <n v="50"/>
    <x v="0"/>
    <x v="0"/>
    <x v="0"/>
    <x v="0"/>
    <x v="57"/>
  </r>
  <r>
    <x v="472"/>
    <s v="NEFER ROMERO MARTINEZ"/>
    <s v="Director Tècnico"/>
    <s v="IPS MEDICAMENTOS &amp; EQUIPOS COLOMBIA SAS "/>
    <s v="802024817-3"/>
    <s v="farmaceutico.dt@myecolombia.com.co"/>
    <s v="CALLE 22 Nº 8 - 68 SANTA MARTA"/>
    <x v="4"/>
    <s v="SANTA MARTA"/>
    <s v="Solicitud de cotización para Compra Directa de MCE-Monopolio del Estado"/>
    <n v="202124101601342"/>
    <d v="2021-08-30T00:00:00"/>
    <x v="7"/>
    <n v="202124111364671"/>
    <d v="2021-08-31T00:00:00"/>
    <s v="ENE"/>
    <n v="-1"/>
    <s v="AUTORIZADO"/>
    <m/>
    <s v="No. 1149"/>
    <d v="2020-09-25T00:00:00"/>
    <s v="Fenobarbital 100 mg Tableta_cajas X 30 unidades c/u"/>
    <n v="7260"/>
    <n v="242"/>
    <x v="5"/>
    <x v="7"/>
    <x v="4"/>
    <x v="2"/>
    <x v="203"/>
  </r>
  <r>
    <x v="472"/>
    <s v="NEFER ROMERO MARTINEZ"/>
    <s v="Director Tècnico"/>
    <s v="IPS MEDICAMENTOS &amp; EQUIPOS COLOMBIA SAS "/>
    <s v="802024817-3"/>
    <s v="farmaceutico.dt@myecolombia.com.co"/>
    <s v="CALLE 22 Nº 8 - 68 SANTA MARTA"/>
    <x v="4"/>
    <s v="SANTA MARTA"/>
    <s v="Solicitud de cotización para Compra Directa de MCE-Monopolio del Estado"/>
    <n v="202124101601342"/>
    <d v="2021-08-30T00:00:00"/>
    <x v="7"/>
    <n v="202124111364671"/>
    <d v="2021-08-31T00:00:00"/>
    <s v="ENE"/>
    <n v="-1"/>
    <s v="AUTORIZADO"/>
    <m/>
    <s v="No. 1149"/>
    <d v="2020-09-25T00:00:00"/>
    <s v="Morfina HCl 0,03 Solución Oral_frascos X 30 mL c/u"/>
    <n v="5"/>
    <n v="5"/>
    <x v="0"/>
    <x v="1"/>
    <x v="1"/>
    <x v="1"/>
    <x v="6"/>
  </r>
  <r>
    <x v="473"/>
    <s v="CARLOS ZAMBRANO PEÑA"/>
    <s v="Director Técnico Q.F"/>
    <s v="SERVICIOS MEDICOS INTEGRALES DEL CARIBE SOCIEDAD POR ACCIONES SIMPLIFICADAS"/>
    <s v="802018677-4"/>
    <s v="quimico@semedical.com.co"/>
    <s v="Carrera 19 No. 17-70 local 1"/>
    <x v="3"/>
    <s v="BARRANQUILLA"/>
    <s v="SOLICITUD COMPRA DIRECTA"/>
    <n v="202124101601382"/>
    <d v="2021-08-30T00:00:00"/>
    <x v="7"/>
    <n v="202124111364681"/>
    <d v="2021-08-31T00:00:00"/>
    <s v="ENE"/>
    <n v="-1"/>
    <s v="NEGADO"/>
    <s v="La resolución no tiene el listado de medicamentos monopolio "/>
    <s v="No. 2435"/>
    <d v="2021-05-19T00:00:00"/>
    <s v="Morfina HCl 0,03 Solución Oral_frascos X 30 mL c/u"/>
    <n v="50"/>
    <n v="50"/>
    <x v="0"/>
    <x v="1"/>
    <x v="1"/>
    <x v="1"/>
    <x v="99"/>
  </r>
  <r>
    <x v="474"/>
    <s v="LEET ANTONIO MARQUEZ ESCORCIA"/>
    <s v="Quimico Farmacéutico"/>
    <s v="CLINICA GENERAL DE CIENAGA S.A.S"/>
    <s v="819000413-1"/>
    <s v="quimicopesmag@clinicageneraldelnorte.com"/>
    <s v="Avenida Libertador No. 13-12"/>
    <x v="4"/>
    <s v="SANTA MARTA"/>
    <s v="SOLICITUD AUTORIZACION COMPRA"/>
    <n v="202124101604492"/>
    <d v="2021-08-30T00:00:00"/>
    <x v="7"/>
    <n v="202124111364711"/>
    <d v="2021-08-31T00:00:00"/>
    <s v="ENE"/>
    <n v="-1"/>
    <s v="AUTORIZADO"/>
    <m/>
    <s v="No. 3792"/>
    <d v="2019-10-29T00:00:00"/>
    <s v="Metilfenidato HCl 10 mg Comprimido_cajas X 30 unidades c/u"/>
    <n v="90"/>
    <n v="3"/>
    <x v="4"/>
    <x v="3"/>
    <x v="3"/>
    <x v="2"/>
    <x v="71"/>
  </r>
  <r>
    <x v="474"/>
    <s v="LEET ANTONIO MARQUEZ ESCORCIA"/>
    <s v="Quimico Farmacéutico"/>
    <s v="CLINICA GENERAL DE CIENAGA S.A.S"/>
    <s v="819000413-1"/>
    <s v="quimicopesmag@clinicageneraldelnorte.com"/>
    <s v="Avenida Libertador No. 13-12"/>
    <x v="4"/>
    <s v="SANTA MARTA"/>
    <s v="SOLICITUD AUTORIZACION COMPRA"/>
    <n v="202124101604492"/>
    <d v="2021-08-30T00:00:00"/>
    <x v="7"/>
    <n v="202124111364711"/>
    <d v="2021-08-31T00:00:00"/>
    <s v="ENE"/>
    <n v="-1"/>
    <s v="AUTORIZADO"/>
    <m/>
    <s v="No. 3792"/>
    <d v="2019-10-29T00:00:00"/>
    <s v="Morfina HCl 0,03 Solución Oral_frascos X 30 mL c/u"/>
    <n v="6"/>
    <n v="6"/>
    <x v="0"/>
    <x v="1"/>
    <x v="1"/>
    <x v="1"/>
    <x v="163"/>
  </r>
  <r>
    <x v="475"/>
    <s v="MARÍA ALEJANDRA VARGAS RUIZ"/>
    <s v="Regente de farmacia"/>
    <s v="DROGUERIA LA SALUD"/>
    <s v="844.002.523-1"/>
    <s v="alejita170.va@gmail.com"/>
    <s v="Calle 9 No. 19-44"/>
    <x v="14"/>
    <s v="YOPAL"/>
    <s v="Cotización Droguería la salud"/>
    <n v="202124101559522"/>
    <d v="2021-08-24T00:00:00"/>
    <x v="7"/>
    <n v="202124111353611"/>
    <d v="2021-08-30T00:00:00"/>
    <s v="ENE"/>
    <n v="-6"/>
    <s v="AUTORIZADO"/>
    <m/>
    <s v="No. 0554"/>
    <d v="2019-05-21T00:00:00"/>
    <s v="Fenobarbital 100 mg Tableta_cajas X 30 unidades c/u"/>
    <n v="3000"/>
    <n v="100"/>
    <x v="5"/>
    <x v="7"/>
    <x v="4"/>
    <x v="2"/>
    <x v="32"/>
  </r>
  <r>
    <x v="475"/>
    <s v="MARÍA ALEJANDRA VARGAS RUIZ"/>
    <s v="Regente de farmacia"/>
    <s v="DROGUERIA LA SALUD"/>
    <s v="844.002.523-1"/>
    <s v="alejita170.va@gmail.com"/>
    <s v="Calle 9 No. 19-44"/>
    <x v="14"/>
    <s v="YOPAL"/>
    <s v="Cotización Droguería la salud"/>
    <n v="202124101559522"/>
    <d v="2021-08-24T00:00:00"/>
    <x v="7"/>
    <n v="202124111353611"/>
    <d v="2021-08-30T00:00:00"/>
    <s v="ENE"/>
    <n v="-6"/>
    <s v="AUTORIZADO"/>
    <m/>
    <s v="No. 0554"/>
    <d v="2019-05-21T00:00:00"/>
    <s v="Morfina HCl 0,03 Solución Oral_frascos X 30 mL c/u"/>
    <n v="20"/>
    <n v="20"/>
    <x v="0"/>
    <x v="1"/>
    <x v="1"/>
    <x v="1"/>
    <x v="138"/>
  </r>
  <r>
    <x v="475"/>
    <s v="MARÍA ALEJANDRA VARGAS RUIZ"/>
    <s v="Regente de farmacia"/>
    <s v="DROGUERIA LA SALUD"/>
    <s v="844.002.523-1"/>
    <s v="alejita170.va@gmail.com"/>
    <s v="Calle 9 No. 19-44"/>
    <x v="14"/>
    <s v="YOPAL"/>
    <s v="Cotización Droguería la salud"/>
    <n v="202124101559522"/>
    <d v="2021-08-24T00:00:00"/>
    <x v="7"/>
    <n v="202124111353611"/>
    <d v="2021-08-30T00:00:00"/>
    <s v="ENE"/>
    <n v="-6"/>
    <s v="NEGADO"/>
    <s v="No está en el listado de medicamentos autorizados"/>
    <s v="No. 0554"/>
    <d v="2019-05-21T00:00:00"/>
    <s v="Hidromorfona HCl 2,5 mg Tableta_cajas X 20 unidades c/u"/>
    <n v="0"/>
    <n v="0"/>
    <x v="1"/>
    <x v="9"/>
    <x v="4"/>
    <x v="4"/>
    <x v="0"/>
  </r>
  <r>
    <x v="475"/>
    <s v="MARÍA ALEJANDRA VARGAS RUIZ"/>
    <s v="Regente de farmacia"/>
    <s v="DROGUERIA LA SALUD"/>
    <s v="844.002.523-1"/>
    <s v="alejita170.va@gmail.com"/>
    <s v="Calle 9 No. 19-44"/>
    <x v="14"/>
    <s v="YOPAL"/>
    <s v="Cotización Droguería la salud"/>
    <n v="202124101559522"/>
    <d v="2021-08-24T00:00:00"/>
    <x v="7"/>
    <n v="202124111353611"/>
    <d v="2021-08-30T00:00:00"/>
    <s v="ENE"/>
    <n v="-6"/>
    <s v="AUTORIZADO"/>
    <m/>
    <s v="No. 0554"/>
    <d v="2019-05-21T00:00:00"/>
    <s v="Fenobarbital 0,4% Solución Oral_frascos X 120 mL c/u"/>
    <n v="12"/>
    <n v="12"/>
    <x v="5"/>
    <x v="11"/>
    <x v="1"/>
    <x v="6"/>
    <x v="36"/>
  </r>
  <r>
    <x v="475"/>
    <s v="MARÍA ALEJANDRA VARGAS RUIZ"/>
    <s v="Regente de farmacia"/>
    <s v="DROGUERIA LA SALUD"/>
    <s v="844.002.523-1"/>
    <s v="alejita170.va@gmail.com"/>
    <s v="Calle 9 No. 19-44"/>
    <x v="14"/>
    <s v="YOPAL"/>
    <s v="Cotización Droguería la salud"/>
    <n v="202124101559522"/>
    <d v="2021-08-24T00:00:00"/>
    <x v="7"/>
    <n v="202124111353611"/>
    <d v="2021-08-30T00:00:00"/>
    <s v="ENE"/>
    <n v="-6"/>
    <s v="NEGADO"/>
    <s v="El FRE si tiene disponibilidad "/>
    <s v="No. 0554"/>
    <d v="2019-05-21T00:00:00"/>
    <s v="Metilfenidato HCl 10 mg Comprimido_cajas X 30 unidades c/u"/>
    <n v="0"/>
    <n v="0"/>
    <x v="4"/>
    <x v="3"/>
    <x v="3"/>
    <x v="2"/>
    <x v="0"/>
  </r>
  <r>
    <x v="475"/>
    <s v="MARÍA ALEJANDRA VARGAS RUIZ"/>
    <s v="Regente de farmacia"/>
    <s v="DROGUERIA LA SALUD"/>
    <s v="844.002.523-1"/>
    <s v="alejita170.va@gmail.com"/>
    <s v="Calle 9 No. 19-44"/>
    <x v="14"/>
    <s v="YOPAL"/>
    <s v="Cotización Droguería la salud"/>
    <n v="202124101559522"/>
    <d v="2021-08-24T00:00:00"/>
    <x v="7"/>
    <n v="202124111353611"/>
    <d v="2021-08-30T00:00:00"/>
    <s v="ENE"/>
    <n v="-6"/>
    <s v="AUTORIZADO"/>
    <m/>
    <s v="No. 0554"/>
    <d v="2019-05-21T00:00:00"/>
    <s v="Fenobarbital 50 mg Tableta_cajas X 30 unidades c/u"/>
    <n v="150"/>
    <n v="5"/>
    <x v="5"/>
    <x v="12"/>
    <x v="4"/>
    <x v="2"/>
    <x v="2"/>
  </r>
  <r>
    <x v="475"/>
    <s v="MARÍA ALEJANDRA VARGAS RUIZ"/>
    <s v="Regente de farmacia"/>
    <s v="DROGUERIA LA SALUD"/>
    <s v="844.002.523-1"/>
    <s v="alejita170.va@gmail.com"/>
    <s v="Calle 9 No. 19-44"/>
    <x v="14"/>
    <s v="YOPAL"/>
    <s v="Cotización Droguería la salud"/>
    <n v="202124101559522"/>
    <d v="2021-08-24T00:00:00"/>
    <x v="7"/>
    <n v="202124111353611"/>
    <d v="2021-08-30T00:00:00"/>
    <s v="ENE"/>
    <n v="-6"/>
    <s v="AUTORIZADO"/>
    <m/>
    <s v="No. 0554"/>
    <d v="2019-05-21T00:00:00"/>
    <s v="Fenobarbital 10 mg Tableta_cajas X 30 unidades c/u"/>
    <n v="150"/>
    <n v="5"/>
    <x v="5"/>
    <x v="3"/>
    <x v="4"/>
    <x v="2"/>
    <x v="2"/>
  </r>
  <r>
    <x v="476"/>
    <s v="BERENICE YATE MONTALEGRE"/>
    <s v="Regente de farmacia"/>
    <s v="HOSPITAL SAN JOSÉ E.S.E"/>
    <s v="890.700.967-1"/>
    <s v="farmacia@hospitalsanjoseortega.gov.co"/>
    <s v="Calle 6 No. 3-25"/>
    <x v="0"/>
    <s v="ORTEGA"/>
    <s v="solicitud de compra de medicamento de control HOSPITAL SAN JOSE DE ORTEGA"/>
    <n v="202124101606582"/>
    <d v="2021-08-30T00:00:00"/>
    <x v="7"/>
    <n v="202124111374561"/>
    <d v="2021-09-01T00:00:00"/>
    <s v="ENE"/>
    <n v="-2"/>
    <s v="AUTORIZADO"/>
    <m/>
    <s v="No. 334"/>
    <d v="2019-02-22T00:00:00"/>
    <s v="Morfina HCl 10 mg/mL Solución Inyectable ampolla por 1mL"/>
    <n v="30"/>
    <n v="3"/>
    <x v="0"/>
    <x v="0"/>
    <x v="0"/>
    <x v="0"/>
    <x v="24"/>
  </r>
  <r>
    <x v="477"/>
    <s v="JUAN CAMILO AGUILAR "/>
    <s v="Director Técnico"/>
    <s v="HOSPITAL DEPARTAMENTAL DE GRANADA"/>
    <s v="800.037.021-7"/>
    <s v="ufun_farmacia@hospitalgranada.gov.co"/>
    <s v="Calle 15 entre 2 y 4"/>
    <x v="6"/>
    <s v="GRANADA"/>
    <s v="SOLICITUD COTIZACIÓN COMPARA MEDICAMENTOS MONOPOLIO DEL ESTADO HOSPITAL DEPARTAMENTAL DE GRANADA ESE"/>
    <n v="202124101613002"/>
    <d v="2021-08-31T00:00:00"/>
    <x v="7"/>
    <n v="202124111374721"/>
    <d v="2021-09-01T00:00:00"/>
    <s v="ENE"/>
    <n v="-1"/>
    <s v="NEGADO"/>
    <s v="En fabricación"/>
    <s v="No. 1706"/>
    <d v="2016-10-06T00:00:00"/>
    <s v="Fenobarbital Sódico 40 mg/mL Solución Inyectable_caja X 10 ampollas c/u"/>
    <n v="0"/>
    <n v="0"/>
    <x v="3"/>
    <x v="6"/>
    <x v="0"/>
    <x v="0"/>
    <x v="0"/>
  </r>
  <r>
    <x v="478"/>
    <s v="SAMIR VIDES ÁLVAREZ"/>
    <s v="Director Tecnico"/>
    <s v="AVIDANTI S.A.S."/>
    <s v="800.185.449-9"/>
    <s v="carlosiriarte@avidanti.com"/>
    <s v="Carrera 4 No. 26A -71"/>
    <x v="4"/>
    <s v="SANTA MARTA"/>
    <s v="SOLICITUD COMPRA DIRECTA DE MEDICAMENTOS MONOPOLIO DEL ESTADO"/>
    <n v="202124101618222"/>
    <d v="2021-08-31T00:00:00"/>
    <x v="7"/>
    <n v="202124111374731"/>
    <d v="2021-09-01T00:00:00"/>
    <s v="ENE"/>
    <n v="-1"/>
    <s v="AUTORIZADO"/>
    <m/>
    <s v="No. 3911"/>
    <d v="2019-11-07T00:00:00"/>
    <s v="Meperidina HCl 100 mg/2mL Solución Inyectable_cajas X 10 unidades c/u"/>
    <n v="30"/>
    <n v="3"/>
    <x v="6"/>
    <x v="8"/>
    <x v="0"/>
    <x v="3"/>
    <x v="123"/>
  </r>
  <r>
    <x v="479"/>
    <s v="SIRCARLOS MOLINA RETAMOZO"/>
    <s v="Director Servicio Farmacéutico"/>
    <s v="CLINICA FUNDACION-IPS-SAS"/>
    <s v="900.517.542-5"/>
    <s v="sircarlosmolina@gmail.com"/>
    <s v="Calle 8 No.8-121"/>
    <x v="4"/>
    <s v="FUNDACION"/>
    <s v="COMPRAS"/>
    <n v="202124101642672"/>
    <d v="2021-09-02T00:00:00"/>
    <x v="8"/>
    <m/>
    <m/>
    <s v="ENE"/>
    <n v="44441"/>
    <s v="AUTORIZADO"/>
    <m/>
    <s v="No. 4046"/>
    <d v="2018-12-07T00:00:00"/>
    <s v="Morfina HCl 10 mg/mL Solución Inyectable ampolla por 1mL"/>
    <n v="20"/>
    <n v="2"/>
    <x v="0"/>
    <x v="0"/>
    <x v="0"/>
    <x v="0"/>
    <x v="5"/>
  </r>
  <r>
    <x v="479"/>
    <s v="SIRCARLOS MOLINA RETAMOZO"/>
    <s v="Director Servicio Farmacéutico"/>
    <s v="CLINICA FUNDACION-IPS-SAS"/>
    <s v="900.517.542-5"/>
    <s v="sircarlosmolina@gmail.com"/>
    <s v="Calle 8 No.8-121"/>
    <x v="4"/>
    <s v="FUNDACION"/>
    <s v="COMPRAS"/>
    <n v="202124101642672"/>
    <d v="2021-09-02T00:00:00"/>
    <x v="8"/>
    <m/>
    <m/>
    <s v="ENE"/>
    <n v="44441"/>
    <s v="AUTORIZADO"/>
    <m/>
    <s v="No. 4046"/>
    <d v="2018-12-07T00:00:00"/>
    <s v="Meperidina HCl 100 mg/2mL Solución Inyectable_cajas X 10 unidades c/u"/>
    <n v="20"/>
    <n v="2"/>
    <x v="6"/>
    <x v="8"/>
    <x v="0"/>
    <x v="3"/>
    <x v="29"/>
  </r>
  <r>
    <x v="480"/>
    <s v="KAREN RODRIGEZ A"/>
    <s v="Regente de farmacia"/>
    <s v="CORPORACIÓN MI IPS LLANOS ORIENTALES"/>
    <s v="822.006.818-7"/>
    <s v="farmaciaipspuertogaitan@miips.com.co"/>
    <s v="Calle 8 No. 7-05"/>
    <x v="6"/>
    <s v="VILLAVICENCIO"/>
    <s v="COTIZACIÓN DE MEDICAMENTOS"/>
    <n v="202124101643272"/>
    <d v="2021-09-02T00:00:00"/>
    <x v="8"/>
    <m/>
    <m/>
    <s v="ENE"/>
    <n v="44441"/>
    <s v="AUTORIZADO"/>
    <m/>
    <s v="No. 044"/>
    <d v="2021-03-26T00:00:00"/>
    <s v="Fenobarbital 100 mg Tableta_cajas X 30 unidades c/u"/>
    <n v="300"/>
    <n v="10"/>
    <x v="5"/>
    <x v="7"/>
    <x v="4"/>
    <x v="2"/>
    <x v="23"/>
  </r>
  <r>
    <x v="481"/>
    <s v="MÓNICA MONTES USTA"/>
    <s v="Gerencia"/>
    <s v="COOPERATIVA DE ENTIDADES DE SALUD DE CORDOBA"/>
    <s v="812.001.561-0"/>
    <s v="tecnica@coodescor.org.co"/>
    <s v="Calle 10 No. 17-74 Barrio San José"/>
    <x v="1"/>
    <s v="MONTERIA"/>
    <s v="Solicitud de compra directa de MEPERIDINA 100MG SOLUCION INYECTABLE"/>
    <n v="202124101643972"/>
    <d v="2021-09-02T00:00:00"/>
    <x v="8"/>
    <m/>
    <m/>
    <s v="ENE"/>
    <n v="44441"/>
    <s v="AUTORIZADO"/>
    <m/>
    <s v="No. 20170013"/>
    <d v="2017-04-29T00:00:00"/>
    <s v="Meperidina HCl 100 mg/2mL Solución Inyectable_cajas X 10 unidades c/u"/>
    <n v="20"/>
    <n v="2"/>
    <x v="6"/>
    <x v="8"/>
    <x v="0"/>
    <x v="3"/>
    <x v="29"/>
  </r>
  <r>
    <x v="481"/>
    <s v="MÓNICA MONTES USTA"/>
    <s v="Gerencia"/>
    <s v="COOPERATIVA DE ENTIDADES DE SALUD DE CORDOBA"/>
    <s v="812.001.561-0"/>
    <s v="tecnica@coodescor.org.co"/>
    <s v="Calle 28A No. 23-03 Barrio San José"/>
    <x v="1"/>
    <s v="MONTERIA"/>
    <s v="Solicitud de compra directa de MEPERIDINA 100MG SOLUCION INYECTABLE"/>
    <n v="202124101643972"/>
    <d v="2021-09-02T00:00:00"/>
    <x v="8"/>
    <m/>
    <m/>
    <s v="ENE"/>
    <n v="44441"/>
    <s v="AUTORIZADO"/>
    <m/>
    <s v="No. 20170019"/>
    <d v="2017-06-14T00:00:00"/>
    <s v="Meperidina HCl 100 mg/2mL Solución Inyectable_cajas X 10 unidades c/u"/>
    <n v="20"/>
    <n v="2"/>
    <x v="6"/>
    <x v="8"/>
    <x v="0"/>
    <x v="3"/>
    <x v="29"/>
  </r>
  <r>
    <x v="482"/>
    <s v="DIANA MARCELA ESTEBAN DURAN"/>
    <s v="Regente de farmacia"/>
    <s v="DISTRIFAR DEL ORIENTE"/>
    <s v="91.211.831-0"/>
    <s v="bodega.distrifar@outlook.com"/>
    <s v="Carrera 34 No. 37-13"/>
    <x v="8"/>
    <s v="BUCARAMANGA"/>
    <s v="solicitud de cotización distrifar del oriente punto prado bucaramanga"/>
    <n v="202124101644862"/>
    <d v="2021-09-02T00:00:00"/>
    <x v="8"/>
    <m/>
    <m/>
    <s v="ENE"/>
    <n v="44441"/>
    <s v="AUTORIZADO"/>
    <m/>
    <s v="No. 18956"/>
    <d v="2018-10-21T00:00:00"/>
    <s v="Metadona HCl 10 mg Tableta_Cajas X 30 unidades c/u"/>
    <n v="600"/>
    <n v="20"/>
    <x v="2"/>
    <x v="3"/>
    <x v="2"/>
    <x v="2"/>
    <x v="7"/>
  </r>
  <r>
    <x v="483"/>
    <s v="LUDYS GUTIERREZ GOMEZ"/>
    <s v="Directora Tecnica "/>
    <s v="SOCIEDAD CLÍNICA REINA CATALINA S.A.S."/>
    <s v="800.179.966-0"/>
    <s v="jefedeserviciofarmaceutico@gmail.com"/>
    <s v="Calle 82 No. 47-12"/>
    <x v="3"/>
    <s v="BARRANQUILLA"/>
    <s v="SOLICITUD COMPRA DIRECTA MORFINA 10MG/ML"/>
    <n v="202124101651942"/>
    <d v="2021-09-03T00:00:00"/>
    <x v="8"/>
    <m/>
    <m/>
    <s v="ENE"/>
    <n v="44442"/>
    <s v="AUTORIZADO"/>
    <m/>
    <s v="No. 3744"/>
    <d v="2021-08-11T00:00:00"/>
    <s v="Morfina HCl 10 mg/mL Solución Inyectable ampolla por 1mL"/>
    <n v="450"/>
    <n v="45"/>
    <x v="0"/>
    <x v="0"/>
    <x v="0"/>
    <x v="0"/>
    <x v="146"/>
  </r>
  <r>
    <x v="484"/>
    <s v="CARLOS ZAMBRANO PEÑA"/>
    <s v="Director Técnico Q.F"/>
    <s v="SERVICIOS MEDICOS INTEGRALES DEL CARIBE SOCIEDAD POR ACCIONES SIMPLIFICADAS"/>
    <s v="802018677-4"/>
    <s v="quimico@semedical.com.co"/>
    <s v="Carrera 19 No. 17-46 Barrio las Nieves del Distrito Especial, Industrial y Portuario de Barranquilla"/>
    <x v="3"/>
    <s v="BARRANQUILLA"/>
    <s v="SOLICITUD COMPRA DIRECTA"/>
    <n v="202124101672492"/>
    <d v="2021-09-07T00:00:00"/>
    <x v="8"/>
    <m/>
    <m/>
    <s v="ENE"/>
    <n v="44446"/>
    <s v="AUTORIZADO"/>
    <m/>
    <s v="No. 2434"/>
    <d v="2021-05-19T00:00:00"/>
    <s v="Morfina HCl 0,03 Solución Oral_frascos X 30 mL c/u"/>
    <n v="50"/>
    <n v="50"/>
    <x v="0"/>
    <x v="1"/>
    <x v="1"/>
    <x v="1"/>
    <x v="99"/>
  </r>
  <r>
    <x v="485"/>
    <s v="LUISA FERNANDA ALVIRA LOZADA"/>
    <s v="Coordinadora de Compras"/>
    <s v="Pharmasan"/>
    <s v="900249425-1"/>
    <s v="profesionalcompras@pharmasan.co"/>
    <s v="Calle 53 No. 35A-07"/>
    <x v="8"/>
    <s v="BUCARAMANGA"/>
    <s v="COTIZACIÓN METADONA 10 MG BUCARAMANGA"/>
    <n v="202124101674042"/>
    <d v="2021-09-07T00:00:00"/>
    <x v="8"/>
    <m/>
    <m/>
    <s v="ENE"/>
    <n v="44446"/>
    <s v="AUTORIZADO"/>
    <m/>
    <s v="No. 4710"/>
    <d v="2019-04-09T00:00:00"/>
    <s v="Metadona HCl 10 mg Tableta_Cajas X 30 unidades c/u"/>
    <n v="900"/>
    <n v="30"/>
    <x v="2"/>
    <x v="3"/>
    <x v="2"/>
    <x v="2"/>
    <x v="56"/>
  </r>
  <r>
    <x v="486"/>
    <s v="ANGEL JOHAN OJITO CHAVERRA"/>
    <s v="Director Técnico General"/>
    <s v="GRUPO DAO S.A.S"/>
    <s v="817004260-0"/>
    <s v="direcciontecnica@dao.com.co"/>
    <s v="Carrera 6 No. 18N-61"/>
    <x v="12"/>
    <s v="POPAYAN"/>
    <s v="Solicitud de autorización compra directa de Medicamentos de control Especial Monopolio del Estado."/>
    <n v="202124101675592"/>
    <d v="2021-09-07T00:00:00"/>
    <x v="8"/>
    <m/>
    <m/>
    <s v="ENE"/>
    <n v="44446"/>
    <s v="AUTORIZADO"/>
    <m/>
    <s v="No. 13130-11-2019"/>
    <d v="2019-11-15T00:00:00"/>
    <s v="Fenobarbital 0,4% Solución Oral_frascos X 120 mL c/u"/>
    <n v="80"/>
    <n v="80"/>
    <x v="5"/>
    <x v="11"/>
    <x v="1"/>
    <x v="6"/>
    <x v="103"/>
  </r>
  <r>
    <x v="486"/>
    <s v="ANGEL JOHAN OJITO CHAVERRA"/>
    <s v="Director Técnico General"/>
    <s v="GRUPO DAO S.A.S"/>
    <s v="817004260-0"/>
    <s v="direcciontecnica@dao.com.co"/>
    <s v="Carrera 6 No. 18N-61"/>
    <x v="12"/>
    <s v="POPAYAN"/>
    <s v="Solicitud de autorización compra directa de Medicamentos de control Especial Monopolio del Estado."/>
    <n v="202124101675592"/>
    <d v="2021-09-07T00:00:00"/>
    <x v="8"/>
    <m/>
    <m/>
    <s v="ENE"/>
    <n v="44446"/>
    <s v="AUTORIZADO"/>
    <m/>
    <s v="No. 13130-11-2019"/>
    <d v="2019-11-15T00:00:00"/>
    <s v="Morfina HCl 0,03 Solución Oral_frascos X 30 mL c/u"/>
    <n v="80"/>
    <n v="80"/>
    <x v="0"/>
    <x v="1"/>
    <x v="1"/>
    <x v="1"/>
    <x v="204"/>
  </r>
  <r>
    <x v="486"/>
    <s v="ANGEL JOHAN OJITO CHAVERRA"/>
    <s v="Director Técnico General"/>
    <s v="GRUPO DAO S.A.S"/>
    <s v="817004260-0"/>
    <s v="direcciontecnica@dao.com.co"/>
    <s v="Carrera 6 No. 18N-61"/>
    <x v="12"/>
    <s v="POPAYAN"/>
    <s v="Solicitud de autorización compra directa de Medicamentos de control Especial Monopolio del Estado."/>
    <n v="202124101675592"/>
    <d v="2021-09-07T00:00:00"/>
    <x v="8"/>
    <m/>
    <m/>
    <s v="ENE"/>
    <n v="44446"/>
    <s v="AUTORIZADO"/>
    <m/>
    <s v="No. 13130-11-2019"/>
    <d v="2019-11-15T00:00:00"/>
    <s v="Metilfenidato HCl 10 mg Comprimido_cajas X 30 unidades c/u"/>
    <n v="1200"/>
    <n v="40"/>
    <x v="4"/>
    <x v="3"/>
    <x v="3"/>
    <x v="2"/>
    <x v="33"/>
  </r>
  <r>
    <x v="487"/>
    <s v="KAREN RODRIGUEZ AGUILERA"/>
    <s v="Regente de farmacia"/>
    <s v="CORPORACIÓN MI IPS LLANOS ORIENTALES"/>
    <s v="822.006.818-7"/>
    <s v="farmaciaipspuertogaitan@miips.com.co"/>
    <s v="Carrera 41 No. 33B-37 Barrio Barzal"/>
    <x v="6"/>
    <s v="VILLAVICENCIO"/>
    <s v="SOLICITUD DE COMPRA MEDICAMENTOS MONOPOLIO DEL ESTADO"/>
    <n v="202124101675822"/>
    <d v="2021-09-07T00:00:00"/>
    <x v="8"/>
    <m/>
    <m/>
    <s v="ENE"/>
    <n v="44446"/>
    <s v="AUTORIZADO"/>
    <m/>
    <s v="No. 044"/>
    <d v="2021-03-26T00:00:00"/>
    <s v="Fenobarbital 100 mg Tableta_cajas X 30 unidades c/u"/>
    <n v="360"/>
    <n v="12"/>
    <x v="5"/>
    <x v="7"/>
    <x v="4"/>
    <x v="2"/>
    <x v="66"/>
  </r>
  <r>
    <x v="488"/>
    <s v="MARÍA SCARLETH PÉREZ MENDOZA"/>
    <s v="Lider Quimica - Farmaceutica"/>
    <s v="CLINICA SAN IGNACIO"/>
    <s v="880.025.755-2"/>
    <s v="serviciosfarmaceuticos@clinicasanignacio.org"/>
    <s v="Calle 76 No. 6B-36"/>
    <x v="3"/>
    <s v="BARRANQUILLA"/>
    <s v="SOLICITUD DE COMPRA MEDICAMENTOS DEL MONOPOLIO CLINICA SAN IGNACIO"/>
    <n v="202124101684372"/>
    <d v="2021-09-08T00:00:00"/>
    <x v="8"/>
    <m/>
    <m/>
    <s v="ENE"/>
    <n v="44447"/>
    <s v="AUTORIZADO"/>
    <m/>
    <s v="No. 5126"/>
    <d v="2017-09-12T00:00:00"/>
    <s v="Morfina HCl 10 mg/mL Solución Inyectable ampolla por 1mL"/>
    <n v="20"/>
    <n v="2"/>
    <x v="0"/>
    <x v="0"/>
    <x v="0"/>
    <x v="0"/>
    <x v="5"/>
  </r>
  <r>
    <x v="488"/>
    <s v="MARÍA SCARLETH PÉREZ MENDOZA"/>
    <s v="Lider Quimica - Farmaceutica"/>
    <s v="CLINICA SAN IGNACIO"/>
    <s v="880.025.755-2"/>
    <s v="serviciosfarmaceuticos@clinicasanignacio.org"/>
    <s v="Calle 76 No. 6B-36"/>
    <x v="3"/>
    <s v="BARRANQUILLA"/>
    <s v="SOLICITUD DE COMPRA MEDICAMENTOS DEL MONOPOLIO CLINICA SAN IGNACIO"/>
    <n v="202124101684372"/>
    <d v="2021-09-08T00:00:00"/>
    <x v="8"/>
    <m/>
    <m/>
    <s v="ENE"/>
    <n v="44447"/>
    <s v="AUTORIZADO"/>
    <m/>
    <s v="No. 5126"/>
    <d v="2017-09-12T00:00:00"/>
    <s v="Meperidina HCl 100 mg/2mL Solución Inyectable_cajas X 10 unidades c/u"/>
    <n v="10"/>
    <n v="1"/>
    <x v="6"/>
    <x v="8"/>
    <x v="0"/>
    <x v="3"/>
    <x v="145"/>
  </r>
  <r>
    <x v="489"/>
    <s v="LUISA FERNANDA ALVIRA LOZADA"/>
    <s v="Coordinadora de Compras"/>
    <s v="Pharmasan"/>
    <s v="900249425-1"/>
    <s v="profesionalcompras@pharmasan.co"/>
    <s v="Carrera 9 No.9-96"/>
    <x v="8"/>
    <s v="SAN GIL"/>
    <s v="COTIZACIÓN MORFINA SOLUCION ORAL"/>
    <n v="202124101701132"/>
    <d v="2021-09-10T00:00:00"/>
    <x v="8"/>
    <m/>
    <m/>
    <s v="ENE"/>
    <n v="44449"/>
    <s v="AUTORIZADO"/>
    <m/>
    <s v="No. 12137"/>
    <d v="2020-12-11T00:00:00"/>
    <s v="Morfina HCl 0,03 Solución Oral_frascos X 30 mL c/u"/>
    <n v="6"/>
    <n v="6"/>
    <x v="0"/>
    <x v="1"/>
    <x v="1"/>
    <x v="1"/>
    <x v="163"/>
  </r>
  <r>
    <x v="490"/>
    <s v="SANDRA MILENA RODRIGUEZ LIZARAZO"/>
    <s v="Regente de Farmacia"/>
    <s v="FUNDACION CARDIOVASCULAR DE COLOMBIA"/>
    <s v="890.212.568-0"/>
    <s v="sararodriguez@fcv.org"/>
    <s v="Calle 155A No.23-58 URB EL BOSQUE"/>
    <x v="8"/>
    <s v="FLORIDABLANCA"/>
    <s v="COTIZACIÓN"/>
    <n v="202124101721642"/>
    <d v="2021-09-13T00:00:00"/>
    <x v="8"/>
    <m/>
    <m/>
    <s v="ENE"/>
    <n v="44452"/>
    <s v="AUTORIZADO"/>
    <m/>
    <s v="No. 16233"/>
    <d v="2018-10-08T00:00:00"/>
    <s v="Morfina HCl 10 mg/mL Solución Inyectable ampolla por 1mL"/>
    <n v="3000"/>
    <n v="300"/>
    <x v="0"/>
    <x v="0"/>
    <x v="0"/>
    <x v="0"/>
    <x v="78"/>
  </r>
  <r>
    <x v="490"/>
    <s v="SANDRA MILENA RODRIGUEZ LIZARAZO"/>
    <s v="Regente de Farmacia"/>
    <s v="FUNDACION CARDIOVASCULAR DE COLOMBIA"/>
    <s v="890.212.568-0"/>
    <s v="sararodriguez@fcv.org"/>
    <s v="Calle 155A No.23-58 URB EL BOSQUE"/>
    <x v="8"/>
    <s v="FLORIDABLANCA"/>
    <s v="COTIZACIÓN"/>
    <n v="202124101721642"/>
    <d v="2021-09-13T00:00:00"/>
    <x v="8"/>
    <m/>
    <m/>
    <s v="ENE"/>
    <n v="44452"/>
    <s v="AUTORIZADO"/>
    <m/>
    <s v="No. 16233"/>
    <d v="2018-10-08T00:00:00"/>
    <s v="Morfina HCl 10 mg/mL Solución Inyectable ampolla por 5mL"/>
    <n v="3000"/>
    <n v="300"/>
    <x v="0"/>
    <x v="16"/>
    <x v="0"/>
    <x v="12"/>
    <x v="149"/>
  </r>
  <r>
    <x v="490"/>
    <s v="SANDRA MILENA RODRIGUEZ LIZARAZO"/>
    <s v="Regente de Farmacia"/>
    <s v="FUNDACION CARDIOVASCULAR DE COLOMBIA"/>
    <s v="890.212.568-0"/>
    <s v="sararodriguez@fcv.org"/>
    <s v="Calle 155A No.23-58 URB EL BOSQUE"/>
    <x v="8"/>
    <s v="FLORIDABLANCA"/>
    <s v="COTIZACIÓN"/>
    <n v="202124101721642"/>
    <d v="2021-09-13T00:00:00"/>
    <x v="8"/>
    <m/>
    <m/>
    <s v="ENE"/>
    <n v="44452"/>
    <s v="AUTORIZADO"/>
    <m/>
    <s v="No. 16233"/>
    <d v="2018-10-08T00:00:00"/>
    <s v="Metadona HCl 10 mg Tableta_Cajas X 30 unidades c/u"/>
    <n v="3000"/>
    <n v="100"/>
    <x v="2"/>
    <x v="3"/>
    <x v="2"/>
    <x v="2"/>
    <x v="32"/>
  </r>
  <r>
    <x v="491"/>
    <s v="CARLOS ZAMBRANO PEÑA"/>
    <s v="Director Tecnico"/>
    <s v="SERVICIOS MEDICOS INTEGRALES DEL CARIBE SOCIEDAD POR ACCIONES SIMPLIFICADAS"/>
    <s v="802.018.677-4"/>
    <s v="semedical.quimico@gmail.com"/>
    <s v="Carrera 19 No. 17-46 Barrio las Nieves del Distrito Especial, Industrial y Portuario de Barranquilla"/>
    <x v="3"/>
    <s v="BARRANQUILLA"/>
    <s v="SOLICITUD COMPRA MCE MONOPOLIO ANTE FNE."/>
    <n v="202124101722232"/>
    <d v="2021-09-13T00:00:00"/>
    <x v="8"/>
    <m/>
    <m/>
    <s v="ENE"/>
    <n v="44452"/>
    <s v="AUTORIZADO"/>
    <m/>
    <s v="No. 2434"/>
    <d v="2021-05-19T00:00:00"/>
    <s v="Morfina HCl 0,03 Solución Oral_frascos X 30 mL c/u"/>
    <n v="50"/>
    <n v="50"/>
    <x v="0"/>
    <x v="1"/>
    <x v="1"/>
    <x v="1"/>
    <x v="99"/>
  </r>
  <r>
    <x v="492"/>
    <s v="LUIS ALBERTO FRANCO MORENO"/>
    <s v="Representante Legal"/>
    <s v="SERVIMEDICOS S.A.S"/>
    <s v="800.162.035-4"/>
    <s v="farmaservimedicos@gmail.com"/>
    <s v="Cll 32 No. 40-40"/>
    <x v="6"/>
    <s v="VILLAVICENCIO"/>
    <s v="Solicitud Autorización Compra Medicamentos Monopolio del Estado"/>
    <n v="202124101724412"/>
    <d v="2021-09-14T00:00:00"/>
    <x v="8"/>
    <m/>
    <m/>
    <s v="ENE"/>
    <n v="44453"/>
    <s v="AUTORIZADO"/>
    <m/>
    <s v="No. 005"/>
    <d v="2020-01-14T00:00:00"/>
    <s v="Fenobarbital Sódico 40 mg/mL Solución Inyectable_caja X 10 ampollas c/u"/>
    <n v="100"/>
    <n v="10"/>
    <x v="3"/>
    <x v="6"/>
    <x v="0"/>
    <x v="0"/>
    <x v="10"/>
  </r>
  <r>
    <x v="492"/>
    <s v="LUIS ALBERTO FRANCO MORENO"/>
    <s v="Representante Legal"/>
    <s v="SERVIMEDICOS S.A.S"/>
    <s v="800.162.035-4"/>
    <s v="farmaservimedicos@gmail.com"/>
    <s v="Cll 32 No. 40-40"/>
    <x v="6"/>
    <s v="VILLAVICENCIO"/>
    <s v="Solicitud Autorización Compra Medicamentos Monopolio del Estado"/>
    <n v="202124101724412"/>
    <d v="2021-09-14T00:00:00"/>
    <x v="8"/>
    <m/>
    <m/>
    <s v="ENE"/>
    <n v="44453"/>
    <s v="AUTORIZADO"/>
    <m/>
    <s v="No. 005"/>
    <d v="2020-01-14T00:00:00"/>
    <s v="Meperidina HCl 100 mg/2mL Solución Inyectable_cajas X 10 unidades c/u"/>
    <n v="500"/>
    <n v="50"/>
    <x v="6"/>
    <x v="8"/>
    <x v="0"/>
    <x v="3"/>
    <x v="4"/>
  </r>
  <r>
    <x v="492"/>
    <s v="LUIS ALBERTO FRANCO MORENO"/>
    <s v="Representante Legal"/>
    <s v="SERVIMEDICOS S.A.S"/>
    <s v="800.162.035-4"/>
    <s v="farmaservimedicos@gmail.com"/>
    <s v="Cll 32 No. 40-40"/>
    <x v="6"/>
    <s v="VILLAVICENCIO"/>
    <s v="Solicitud Autorización Compra Medicamentos Monopolio del Estado"/>
    <n v="202124101724412"/>
    <d v="2021-09-14T00:00:00"/>
    <x v="8"/>
    <m/>
    <m/>
    <s v="ENE"/>
    <n v="44453"/>
    <s v="AUTORIZADO"/>
    <m/>
    <s v="No. 005"/>
    <d v="2020-01-14T00:00:00"/>
    <s v="Fenobarbital Sódico 200 mg/mL Solución Inyectable_caja X 10 ampollas c/u"/>
    <n v="20"/>
    <n v="2"/>
    <x v="3"/>
    <x v="5"/>
    <x v="0"/>
    <x v="0"/>
    <x v="5"/>
  </r>
  <r>
    <x v="492"/>
    <s v="LUIS ALBERTO FRANCO MORENO"/>
    <s v="Representante Legal"/>
    <s v="SERVIMEDICOS S.A.S"/>
    <s v="800.162.035-4"/>
    <s v="farmaservimedicos@gmail.com"/>
    <s v="Cll 32 No. 40-40"/>
    <x v="6"/>
    <s v="VILLAVICENCIO"/>
    <s v="Solicitud Autorización Compra Medicamentos Monopolio del Estado"/>
    <n v="202124101724412"/>
    <d v="2021-09-14T00:00:00"/>
    <x v="8"/>
    <m/>
    <m/>
    <s v="ENE"/>
    <n v="44453"/>
    <s v="AUTORIZADO"/>
    <m/>
    <s v="No. 005"/>
    <d v="2020-01-14T00:00:00"/>
    <s v="Morfina HCl 10 mg/mL Solución Inyectable ampolla por 1mL"/>
    <n v="1000"/>
    <n v="100"/>
    <x v="0"/>
    <x v="0"/>
    <x v="0"/>
    <x v="0"/>
    <x v="26"/>
  </r>
  <r>
    <x v="493"/>
    <s v="NEYER CASTRO VARGAS"/>
    <s v="Coordinadora Programa de Farmacovigilancia Nacional"/>
    <s v="SERVICIO FARMACÉUTICO DUARQUINT YOPAL"/>
    <s v="830.089.147-8"/>
    <s v="farmacovigilancia@duarquint.com"/>
    <s v="Carrera 14 No. 17-09 Barrio la Esperanza"/>
    <x v="14"/>
    <s v="YOPAL"/>
    <s v="COTIZACION MEDIACAMENTOS MONOPOLIO DEL ESTADO"/>
    <n v="202124101731352"/>
    <d v="2021-09-14T00:00:00"/>
    <x v="8"/>
    <m/>
    <m/>
    <s v="ENE"/>
    <n v="44453"/>
    <s v="AUTORIZADO"/>
    <m/>
    <s v="No. 0965"/>
    <d v="2019-08-23T00:00:00"/>
    <s v="Hidromorfona HCl 2,5 mg Tableta_cajas X 20 unidades c/u"/>
    <n v="180"/>
    <n v="9"/>
    <x v="1"/>
    <x v="9"/>
    <x v="4"/>
    <x v="4"/>
    <x v="52"/>
  </r>
  <r>
    <x v="493"/>
    <s v="NEYER CASTRO VARGAS"/>
    <s v="Coordinadora Programa de Farmacovigilancia Nacional"/>
    <s v="SERVICIO FARMACÉUTICO DUARQUINT YOPAL"/>
    <s v="830.089.147-8"/>
    <s v="farmacovigilancia@duarquint.com"/>
    <s v="Carrera 14 No. 17-09 Barrio la Esperanza"/>
    <x v="14"/>
    <s v="YOPAL"/>
    <s v="COTIZACION MEDIACAMENTOS MONOPOLIO DEL ESTADO"/>
    <n v="202124101731352"/>
    <d v="2021-09-14T00:00:00"/>
    <x v="8"/>
    <m/>
    <m/>
    <s v="ENE"/>
    <n v="44453"/>
    <s v="AUTORIZADO"/>
    <m/>
    <s v="No. 0965"/>
    <d v="2019-08-23T00:00:00"/>
    <s v="Fenobarbital 100 mg Tableta_cajas X 30 unidades c/u"/>
    <n v="120"/>
    <n v="4"/>
    <x v="5"/>
    <x v="7"/>
    <x v="4"/>
    <x v="2"/>
    <x v="110"/>
  </r>
  <r>
    <x v="493"/>
    <s v="NEYER CASTRO VARGAS"/>
    <s v="Coordinadora Programa de Farmacovigilancia Nacional"/>
    <s v="SERVICIO FARMACÉUTICO DUARQUINT YOPAL"/>
    <s v="830.089.147-8"/>
    <s v="farmacovigilancia@duarquint.com"/>
    <s v="Carrera 14 No. 17-09 Barrio la Esperanza"/>
    <x v="14"/>
    <s v="YOPAL"/>
    <s v="COTIZACION MEDIACAMENTOS MONOPOLIO DEL ESTADO"/>
    <n v="202124101731352"/>
    <d v="2021-09-14T00:00:00"/>
    <x v="8"/>
    <m/>
    <m/>
    <s v="ENE"/>
    <n v="44453"/>
    <s v="AUTORIZADO"/>
    <m/>
    <s v="No. 0965"/>
    <d v="2019-08-23T00:00:00"/>
    <s v="Morfina HCl 10 mg/mL Solución Inyectable ampolla por 1mL"/>
    <n v="120"/>
    <n v="12"/>
    <x v="0"/>
    <x v="0"/>
    <x v="0"/>
    <x v="0"/>
    <x v="49"/>
  </r>
  <r>
    <x v="493"/>
    <s v="NEYER CASTRO VARGAS"/>
    <s v="Coordinadora Programa de Farmacovigilancia Nacional"/>
    <s v="SERVICIO FARMACÉUTICO DUARQUINT YOPAL"/>
    <s v="830.089.147-8"/>
    <s v="farmacovigilancia@duarquint.com"/>
    <s v="Carrera 14 No. 17-09 Barrio la Esperanza"/>
    <x v="14"/>
    <s v="YOPAL"/>
    <s v="COTIZACION MEDIACAMENTOS MONOPOLIO DEL ESTADO"/>
    <n v="202124101731352"/>
    <d v="2021-09-14T00:00:00"/>
    <x v="8"/>
    <m/>
    <m/>
    <s v="ENE"/>
    <n v="44453"/>
    <s v="AUTORIZADO"/>
    <m/>
    <s v="No. 0965"/>
    <d v="2019-08-23T00:00:00"/>
    <s v="Morfina HCl 0,03 Solución Oral_frascos X 30 mL c/u"/>
    <n v="2"/>
    <n v="2"/>
    <x v="0"/>
    <x v="1"/>
    <x v="1"/>
    <x v="1"/>
    <x v="156"/>
  </r>
  <r>
    <x v="493"/>
    <s v="NEYER CASTRO VARGAS"/>
    <s v="Coordinadora Programa de Farmacovigilancia Nacional"/>
    <s v="SERVICIO FARMACÉUTICO DUARQUINT YOPAL"/>
    <s v="830.089.147-8"/>
    <s v="farmacovigilancia@duarquint.com"/>
    <s v="Carrera 14 No. 17-09 Barrio la Esperanza"/>
    <x v="14"/>
    <s v="YOPAL"/>
    <s v="COTIZACION MEDIACAMENTOS MONOPOLIO DEL ESTADO"/>
    <n v="202124101731352"/>
    <d v="2021-09-14T00:00:00"/>
    <x v="8"/>
    <m/>
    <m/>
    <s v="ENE"/>
    <n v="44453"/>
    <s v="AUTORIZADO"/>
    <m/>
    <s v="No. 0965"/>
    <d v="2019-08-23T00:00:00"/>
    <s v="Metilfenidato HCl 10 mg Comprimido_cajas X 30 unidades c/u"/>
    <n v="60"/>
    <n v="2"/>
    <x v="4"/>
    <x v="3"/>
    <x v="3"/>
    <x v="2"/>
    <x v="90"/>
  </r>
  <r>
    <x v="494"/>
    <s v="LEET ANTONIO MARQUEZ ESCORCIA"/>
    <s v="Quimico Farmacéutico"/>
    <s v="CLINICA GENERAL DE CIENAGA S.A.S"/>
    <s v="819000413-1"/>
    <s v="quimicocienaga@clinicageneraldelnorte.com"/>
    <s v="Carrera 18B No.18A-15"/>
    <x v="4"/>
    <s v="CIENAGA"/>
    <s v="COTIZACION"/>
    <n v="202124101733562"/>
    <d v="2021-09-14T00:00:00"/>
    <x v="8"/>
    <m/>
    <m/>
    <s v="ENE"/>
    <n v="44453"/>
    <s v="AUTORIZADO"/>
    <m/>
    <s v="No. 4005"/>
    <d v="2019-10-13T00:00:00"/>
    <s v="Meperidina HCl 100 mg/2mL Solución Inyectable_cajas X 10 unidades c/u"/>
    <n v="20"/>
    <n v="2"/>
    <x v="6"/>
    <x v="8"/>
    <x v="0"/>
    <x v="3"/>
    <x v="29"/>
  </r>
  <r>
    <x v="494"/>
    <s v="LEET ANTONIO MARQUEZ ESCORCIA"/>
    <s v="Quimico Farmacéutico"/>
    <s v="CLINICA GENERAL DE CIENAGA S.A.S"/>
    <s v="819000413-1"/>
    <s v="quimicocienaga@clinicageneraldelnorte.com"/>
    <s v="Carrera 18B No.18A-15"/>
    <x v="4"/>
    <s v="CIENAGA"/>
    <s v="COTIZACION"/>
    <n v="202124101733562"/>
    <d v="2021-09-14T00:00:00"/>
    <x v="8"/>
    <m/>
    <m/>
    <s v="ENE"/>
    <n v="44453"/>
    <s v="AUTORIZADO"/>
    <m/>
    <s v="No. 4005"/>
    <d v="2019-10-13T00:00:00"/>
    <s v="Morfina HCl 10 mg/mL Solución Inyectable ampolla por 1mL"/>
    <n v="10"/>
    <n v="1"/>
    <x v="0"/>
    <x v="0"/>
    <x v="0"/>
    <x v="0"/>
    <x v="11"/>
  </r>
  <r>
    <x v="494"/>
    <s v="LEET ANTONIO MARQUEZ ESCORCIA"/>
    <s v="Quimico Farmacéutico"/>
    <s v="CLINICA GENERAL DE CIENAGA S.A.S"/>
    <s v="819000413-1"/>
    <s v="quimicocienaga@clinicageneraldelnorte.com"/>
    <s v="Carrera 18B No.18A-15"/>
    <x v="4"/>
    <s v="CIENAGA"/>
    <s v="COTIZACION"/>
    <n v="202124101733562"/>
    <d v="2021-09-14T00:00:00"/>
    <x v="8"/>
    <m/>
    <m/>
    <s v="ENE"/>
    <n v="44453"/>
    <s v="NEGADO"/>
    <s v="Quedan pocas unidades en el FNE"/>
    <s v="No. 4005"/>
    <d v="2019-10-13T00:00:00"/>
    <s v="Fenobarbital Sódico 40 mg/mL Solución Inyectable_caja X 10 ampollas c/u"/>
    <n v="0"/>
    <n v="0"/>
    <x v="3"/>
    <x v="6"/>
    <x v="0"/>
    <x v="0"/>
    <x v="0"/>
  </r>
  <r>
    <x v="494"/>
    <s v="LEET ANTONIO MARQUEZ ESCORCIA"/>
    <s v="Quimico Farmacéutico"/>
    <s v="CLINICA GENERAL DE CIENAGA S.A.S"/>
    <s v="819000413-1"/>
    <s v="quimicocienaga@clinicageneraldelnorte.com"/>
    <s v="Carrera 18B No.18A-15"/>
    <x v="4"/>
    <s v="CIENAGA"/>
    <s v="COTIZACION"/>
    <n v="202124101733562"/>
    <d v="2021-09-14T00:00:00"/>
    <x v="8"/>
    <m/>
    <m/>
    <s v="ENE"/>
    <n v="44453"/>
    <s v="AUTORIZADO"/>
    <m/>
    <s v="No. 4005"/>
    <d v="2019-10-13T00:00:00"/>
    <s v="Morfina HCl 0,03 Solución Oral_frascos X 30 mL c/u"/>
    <n v="3"/>
    <n v="3"/>
    <x v="0"/>
    <x v="1"/>
    <x v="1"/>
    <x v="1"/>
    <x v="28"/>
  </r>
  <r>
    <x v="495"/>
    <s v="GLORIA QUINTERO"/>
    <s v="Jefe compras"/>
    <s v="NEXUS VITAL S.A.S"/>
    <s v="900.786.595-8"/>
    <s v="gloria_quintero@nexusvital.com"/>
    <s v="Carrera 22 No. 13-41"/>
    <x v="14"/>
    <s v="YOPAL"/>
    <s v="COTIZACIÓN URGENTE MEDICAMENTOS"/>
    <n v="202124101739132"/>
    <d v="2021-09-15T00:00:00"/>
    <x v="8"/>
    <m/>
    <m/>
    <s v="SEP"/>
    <n v="44454"/>
    <s v="NEGADO"/>
    <s v="Solicitud duplicada se dio respuesta con el radicado No."/>
    <s v="No. 1231"/>
    <d v="2020-11-30T00:00:00"/>
    <s v="Fenobarbital 10 mg Tableta_cajas X 30 unidades c/u"/>
    <n v="90"/>
    <n v="3"/>
    <x v="5"/>
    <x v="3"/>
    <x v="4"/>
    <x v="2"/>
    <x v="71"/>
  </r>
  <r>
    <x v="495"/>
    <s v="GLORIA QUINTERO"/>
    <s v="Jefe compras"/>
    <s v="NEXUS VITAL S.A.S"/>
    <s v="900.786.595-8"/>
    <s v="gloria_quintero@nexusvital.com"/>
    <s v="Carrera 22 No. 13-41"/>
    <x v="14"/>
    <s v="YOPAL"/>
    <s v="COTIZACIÓN URGENTE MEDICAMENTOS"/>
    <n v="202124101739132"/>
    <d v="2021-09-15T00:00:00"/>
    <x v="8"/>
    <m/>
    <m/>
    <s v="SEP"/>
    <n v="44454"/>
    <s v="NEGADO"/>
    <s v="Solicitud duplicada se dio respuesta con el radicado No."/>
    <s v="No. 1231"/>
    <d v="2020-11-30T00:00:00"/>
    <s v="Fenobarbital 100 mg Tableta_cajas X 30 unidades c/u"/>
    <n v="500"/>
    <n v="16"/>
    <x v="5"/>
    <x v="7"/>
    <x v="4"/>
    <x v="2"/>
    <x v="101"/>
  </r>
  <r>
    <x v="495"/>
    <s v="GLORIA QUINTERO"/>
    <s v="Jefe compras"/>
    <s v="NEXUS VITAL S.A.S"/>
    <s v="900.786.595-8"/>
    <s v="gloria_quintero@nexusvital.com"/>
    <s v="Carrera 22 No. 13-41"/>
    <x v="14"/>
    <s v="YOPAL"/>
    <s v="COTIZACIÓN URGENTE MEDICAMENTOS"/>
    <n v="202124101739132"/>
    <d v="2021-09-15T00:00:00"/>
    <x v="8"/>
    <m/>
    <m/>
    <s v="SEP"/>
    <n v="44454"/>
    <s v="NEGADO"/>
    <s v="Solicitud duplicada se dio respuesta con el radicado No."/>
    <s v="No. 1231"/>
    <d v="2020-11-30T00:00:00"/>
    <s v="Metilfenidato HCl 10 mg Comprimido_cajas X 30 unidades c/u"/>
    <n v="180"/>
    <n v="6"/>
    <x v="4"/>
    <x v="3"/>
    <x v="3"/>
    <x v="2"/>
    <x v="53"/>
  </r>
  <r>
    <x v="495"/>
    <s v="GLORIA QUINTERO"/>
    <s v="Jefe compras"/>
    <s v="NEXUS VITAL S.A.S"/>
    <s v="900.786.595-8"/>
    <s v="gloria_quintero@nexusvital.com"/>
    <s v="Carrera 22 No. 13-41"/>
    <x v="14"/>
    <s v="YOPAL"/>
    <s v="COTIZACIÓN URGENTE MEDICAMENTOS"/>
    <n v="202124101739132"/>
    <d v="2021-09-15T00:00:00"/>
    <x v="8"/>
    <m/>
    <m/>
    <s v="SEP"/>
    <n v="44454"/>
    <s v="NEGADO"/>
    <s v="Solicitud duplicada se dio respuesta con el radicado No."/>
    <s v="No. 1231"/>
    <d v="2020-11-30T00:00:00"/>
    <s v="Morfina HCl 0,03 Solución Inyectable_Vial X 20 mL c/u"/>
    <n v="6"/>
    <n v="6"/>
    <x v="0"/>
    <x v="1"/>
    <x v="0"/>
    <x v="9"/>
    <x v="205"/>
  </r>
  <r>
    <x v="496"/>
    <s v="BRAYAN ALBERTO CENTENO ARIAS"/>
    <s v="Director Técnico del servicio farmacéutico"/>
    <s v="ORGANIZACION CLINICA BONNADONA - PREVENIR S.A.S"/>
    <s v="800.194.798-2"/>
    <s v="Comprasfarmacia@organizacioncbp.org"/>
    <s v="Carrera 49C No. 82-70"/>
    <x v="3"/>
    <s v="BARRANQUILLA"/>
    <s v="SOLICITUD INFORMACIÓN COMPRA MORFINAS - BONNADONA BARRANQUILLA"/>
    <n v="202124101750932"/>
    <d v="2021-09-16T00:00:00"/>
    <x v="8"/>
    <m/>
    <m/>
    <s v="SEP"/>
    <n v="44455"/>
    <s v="AUTORIZADO"/>
    <m/>
    <s v="No. 5841"/>
    <d v="2016-11-25T00:00:00"/>
    <s v="Morfina HCl 10 mg/mL Solución Inyectable ampolla por 1mL"/>
    <n v="3000"/>
    <n v="300"/>
    <x v="0"/>
    <x v="0"/>
    <x v="0"/>
    <x v="0"/>
    <x v="78"/>
  </r>
  <r>
    <x v="497"/>
    <s v="MIREYA MARTINEZ MESA"/>
    <s v="Regente de farmacia"/>
    <s v="NEXUS VITAL SAS"/>
    <s v="900.786.595-8"/>
    <s v="sf.yopal@nexusvital.com"/>
    <s v="Carrera 22 No. 13-41"/>
    <x v="14"/>
    <s v="YOPAL"/>
    <s v="SOLICITUD COMPRA MEDICAMENTOS MONOPOLIO"/>
    <n v="202124101759182"/>
    <d v="2021-09-17T00:00:00"/>
    <x v="8"/>
    <m/>
    <m/>
    <s v="SEP"/>
    <n v="44456"/>
    <s v="AUTORIZADO"/>
    <m/>
    <s v="No. 1231"/>
    <d v="2020-11-30T00:00:00"/>
    <s v="Morfina HCl 0,03 Solución Oral_frascos X 30 mL c/u"/>
    <n v="6"/>
    <n v="6"/>
    <x v="0"/>
    <x v="1"/>
    <x v="1"/>
    <x v="1"/>
    <x v="163"/>
  </r>
  <r>
    <x v="497"/>
    <s v="MIREYA MARTINEZ MESA"/>
    <s v="Regente de farmacia"/>
    <s v="NEXUS VITAL SAS"/>
    <s v="900.786.595-8"/>
    <s v="sf.yopal@nexusvital.com"/>
    <s v="Carrera 22 No. 13-41"/>
    <x v="14"/>
    <s v="YOPAL"/>
    <s v="SOLICITUD COMPRA MEDICAMENTOS MONOPOLIO"/>
    <n v="202124101759182"/>
    <d v="2021-09-17T00:00:00"/>
    <x v="8"/>
    <m/>
    <m/>
    <s v="SEP"/>
    <n v="44456"/>
    <s v="AUTORIZADO"/>
    <m/>
    <s v="No. 1231"/>
    <d v="2020-11-30T00:00:00"/>
    <s v="Fenobarbital 100 mg Tableta_cajas X 30 unidades c/u"/>
    <n v="600"/>
    <n v="20"/>
    <x v="5"/>
    <x v="7"/>
    <x v="4"/>
    <x v="2"/>
    <x v="7"/>
  </r>
  <r>
    <x v="497"/>
    <s v="MIREYA MARTINEZ MESA"/>
    <s v="Regente de farmacia"/>
    <s v="NEXUS VITAL SAS"/>
    <s v="900.786.595-8"/>
    <s v="sf.yopal@nexusvital.com"/>
    <s v="Carrera 22 No. 13-41"/>
    <x v="14"/>
    <s v="YOPAL"/>
    <s v="SOLICITUD COMPRA MEDICAMENTOS MONOPOLIO"/>
    <n v="202124101759182"/>
    <d v="2021-09-17T00:00:00"/>
    <x v="8"/>
    <m/>
    <m/>
    <s v="SEP"/>
    <n v="44456"/>
    <s v="AUTORIZADO"/>
    <m/>
    <s v="No. 1231"/>
    <d v="2020-11-30T00:00:00"/>
    <s v="Metilfenidato HCl 10 mg Comprimido_cajas X 30 unidades c/u"/>
    <n v="210"/>
    <n v="7"/>
    <x v="4"/>
    <x v="3"/>
    <x v="3"/>
    <x v="2"/>
    <x v="79"/>
  </r>
  <r>
    <x v="498"/>
    <s v="NEYER CASTRO VARGAS"/>
    <s v="Coordinadora Programa de Farmacovigilancia Nacional"/>
    <s v="Servicio farmacéutico Duarquint Santa Marta"/>
    <s v="830.080.649-2"/>
    <s v="farmacovigilancia@duarquint.com"/>
    <s v="Calle 22 No. 3-26 Edificio Santa Rita"/>
    <x v="4"/>
    <s v="SANTA MARTA"/>
    <s v="SOLICITUD COMPRA Y TRASLADO DE MCE"/>
    <n v="202124101777912"/>
    <d v="2021-09-20T00:00:00"/>
    <x v="8"/>
    <m/>
    <m/>
    <s v="SEP"/>
    <n v="44459"/>
    <s v="AUTORIZADO"/>
    <m/>
    <s v="No. 0462"/>
    <d v="2020-04-02T00:00:00"/>
    <s v="Fenobarbital 100 mg Tableta_cajas X 30 unidades c/u"/>
    <n v="300"/>
    <n v="10"/>
    <x v="5"/>
    <x v="7"/>
    <x v="4"/>
    <x v="2"/>
    <x v="23"/>
  </r>
  <r>
    <x v="499"/>
    <s v="CELMIRA HERRERA MONTEJO"/>
    <s v="Director Técnico"/>
    <s v="DROGERÍA MARCAZSALUD RC SAS"/>
    <s v="900.928.565-8"/>
    <s v="shirley.rojas@marcazsalud.com.co"/>
    <s v="CALLE 19 No. 23-14 BARRIO BICENTENARIO"/>
    <x v="14"/>
    <s v="YOPAL"/>
    <s v="COTIZACION"/>
    <n v="202124101783962"/>
    <d v="2021-09-21T00:00:00"/>
    <x v="8"/>
    <m/>
    <m/>
    <s v="SEP"/>
    <n v="44460"/>
    <s v="AUTORIZADO"/>
    <m/>
    <s v="No. 026"/>
    <d v="2021-01-27T00:00:00"/>
    <s v="Fenobarbital 100 mg Tableta_cajas X 30 unidades c/u"/>
    <n v="2000"/>
    <n v="66"/>
    <x v="5"/>
    <x v="7"/>
    <x v="4"/>
    <x v="2"/>
    <x v="206"/>
  </r>
  <r>
    <x v="499"/>
    <s v="CELMIRA HERRERA MONTEJO"/>
    <s v="Director Técnico"/>
    <s v="DROGERÍA MARCAZSALUD RC SAS"/>
    <s v="900.928.565-8"/>
    <s v="shirley.rojas@marcazsalud.com.co"/>
    <s v="CALLE 19 No. 23-14 BARRIO BICENTENARIO"/>
    <x v="14"/>
    <s v="YOPAL"/>
    <s v="COTIZACION"/>
    <n v="202124101783962"/>
    <d v="2021-09-21T00:00:00"/>
    <x v="8"/>
    <m/>
    <m/>
    <s v="SEP"/>
    <n v="44460"/>
    <s v="AUTORIZADO"/>
    <m/>
    <s v="No. 026"/>
    <d v="2021-01-27T00:00:00"/>
    <s v="Morfina HCl 0,03 Solución Oral_frascos X 30 mL c/u"/>
    <n v="50"/>
    <n v="50"/>
    <x v="0"/>
    <x v="1"/>
    <x v="1"/>
    <x v="1"/>
    <x v="99"/>
  </r>
  <r>
    <x v="499"/>
    <s v="CELMIRA HERRERA MONTEJO"/>
    <s v="Director Técnico"/>
    <s v="DROGERÍA MARCAZSALUD RC SAS"/>
    <s v="900.928.565-8"/>
    <s v="shirley.rojas@marcazsalud.com.co"/>
    <s v="CALLE 19 No. 23-14 BARRIO BICENTENARIO"/>
    <x v="14"/>
    <s v="YOPAL"/>
    <s v="COTIZACION"/>
    <n v="202124101783962"/>
    <d v="2021-09-21T00:00:00"/>
    <x v="8"/>
    <m/>
    <m/>
    <s v="SEP"/>
    <n v="44460"/>
    <s v="AUTORIZADO"/>
    <m/>
    <s v="No. 026"/>
    <d v="2021-01-27T00:00:00"/>
    <s v="Fenobarbital 0,4% Solución Oral_frascos X 120 mL c/u"/>
    <n v="10"/>
    <n v="10"/>
    <x v="5"/>
    <x v="11"/>
    <x v="1"/>
    <x v="6"/>
    <x v="69"/>
  </r>
  <r>
    <x v="499"/>
    <s v="CELMIRA HERRERA MONTEJO"/>
    <s v="Director Técnico"/>
    <s v="DROGERÍA MARCAZSALUD RC SAS"/>
    <s v="900.928.565-8"/>
    <s v="shirley.rojas@marcazsalud.com.co"/>
    <s v="CALLE 19 No. 23-14 BARRIO BICENTENARIO"/>
    <x v="14"/>
    <s v="YOPAL"/>
    <s v="COTIZACION"/>
    <n v="202124101783962"/>
    <d v="2021-09-21T00:00:00"/>
    <x v="8"/>
    <m/>
    <m/>
    <s v="SEP"/>
    <n v="44460"/>
    <s v="AUTORIZADO"/>
    <m/>
    <s v="No. 026"/>
    <d v="2021-01-27T00:00:00"/>
    <s v="Metadona HCl 10 mg Tableta_Cajas X 30 unidades c/u"/>
    <n v="90"/>
    <n v="3"/>
    <x v="2"/>
    <x v="3"/>
    <x v="2"/>
    <x v="2"/>
    <x v="71"/>
  </r>
  <r>
    <x v="500"/>
    <s v="ANÍBAL RAFAEL DÍAZ VILLAREAL"/>
    <s v="Químico Farmacéutico"/>
    <s v="LOGIFARMA S.A.S"/>
    <s v="900.073.223-3"/>
    <s v="coordinadormagdalena@logifarma.co"/>
    <s v="Carrera 5 No. 26-35 local 7"/>
    <x v="4"/>
    <s v="SANTA MARTA"/>
    <s v="COTIZACIÓN MEDICAMENTOS CONTROL ESPECIAL"/>
    <n v="202124101785522"/>
    <d v="2021-09-21T00:00:00"/>
    <x v="8"/>
    <m/>
    <m/>
    <s v="SEP"/>
    <n v="44460"/>
    <s v="AUTORIZADO"/>
    <m/>
    <s v="No. 1809"/>
    <d v="2021-12-29T00:00:00"/>
    <s v="Fenobarbital 100 mg Tableta_cajas X 30 unidades c/u"/>
    <n v="3000"/>
    <n v="100"/>
    <x v="5"/>
    <x v="7"/>
    <x v="4"/>
    <x v="2"/>
    <x v="32"/>
  </r>
  <r>
    <x v="500"/>
    <s v="ANÍBAL RAFAEL DÍAZ VILLAREAL"/>
    <s v="Químico Farmacéutico"/>
    <s v="LOGIFARMA S.A.S"/>
    <s v="900.073.223-3"/>
    <s v="coordinadormagdalena@logifarma.co"/>
    <s v="Carrera 5 No. 26-35 local 7"/>
    <x v="4"/>
    <s v="SANTA MARTA"/>
    <s v="COTIZACIÓN MEDICAMENTOS CONTROL ESPECIAL"/>
    <n v="202124101785522"/>
    <d v="2021-09-21T00:00:00"/>
    <x v="8"/>
    <m/>
    <m/>
    <s v="SEP"/>
    <n v="44460"/>
    <s v="AUTORIZADO"/>
    <m/>
    <s v="No. 1809"/>
    <d v="2021-12-29T00:00:00"/>
    <s v="Metilfenidato HCl 10 mg Comprimido_cajas X 30 unidades c/u"/>
    <n v="60"/>
    <n v="2"/>
    <x v="4"/>
    <x v="3"/>
    <x v="3"/>
    <x v="2"/>
    <x v="90"/>
  </r>
  <r>
    <x v="501"/>
    <s v="MARÍA ALEJANDRA VARGAS RUIZ"/>
    <s v="Regente de farmacia"/>
    <s v="DROGUERIA LA SALUD"/>
    <s v="47433751-2"/>
    <s v="alejita170.va@gmail.com"/>
    <s v="Calle 9 No. 19-44"/>
    <x v="14"/>
    <s v="YOPAL"/>
    <s v="Cotización Droguería la salud"/>
    <n v="202124101627342"/>
    <d v="2021-09-01T00:00:00"/>
    <x v="8"/>
    <m/>
    <m/>
    <s v="SEP"/>
    <n v="44440"/>
    <s v="AUTORIZADO"/>
    <m/>
    <s v="No. 0554"/>
    <d v="2019-05-21T00:00:00"/>
    <s v="Fenobarbital 100 mg Tableta_cajas X 30 unidades c/u"/>
    <n v="1440"/>
    <n v="48"/>
    <x v="5"/>
    <x v="7"/>
    <x v="4"/>
    <x v="2"/>
    <x v="117"/>
  </r>
  <r>
    <x v="501"/>
    <s v="MARÍA ALEJANDRA VARGAS RUIZ"/>
    <s v="Regente de farmacia"/>
    <s v="DROGUERIA LA SALUD"/>
    <s v="47433751-2"/>
    <s v="alejita170.va@gmail.com"/>
    <s v="Calle 9 No. 19-44"/>
    <x v="14"/>
    <s v="YOPAL"/>
    <s v="Cotización Droguería la salud"/>
    <n v="202124101627342"/>
    <d v="2021-09-01T00:00:00"/>
    <x v="8"/>
    <m/>
    <m/>
    <s v="SEP"/>
    <n v="44440"/>
    <s v="AUTORIZADO"/>
    <m/>
    <s v="No. 0554"/>
    <d v="2019-05-21T00:00:00"/>
    <s v="Morfina HCl 0,03 Solución Oral_frascos X 30 mL c/u"/>
    <n v="5"/>
    <n v="5"/>
    <x v="0"/>
    <x v="1"/>
    <x v="1"/>
    <x v="1"/>
    <x v="6"/>
  </r>
  <r>
    <x v="501"/>
    <s v="MARÍA ALEJANDRA VARGAS RUIZ"/>
    <s v="Regente de farmacia"/>
    <s v="DROGUERIA LA SALUD"/>
    <s v="47433751-2"/>
    <s v="alejita170.va@gmail.com"/>
    <s v="Calle 9 No. 19-44"/>
    <x v="14"/>
    <s v="YOPAL"/>
    <s v="Cotización Droguería la salud"/>
    <n v="202124101627342"/>
    <d v="2021-09-01T00:00:00"/>
    <x v="8"/>
    <m/>
    <m/>
    <s v="SEP"/>
    <n v="44440"/>
    <s v="AUTORIZADO"/>
    <m/>
    <s v="No. 0554"/>
    <d v="2019-05-21T00:00:00"/>
    <s v="Hidromorfona HCl 2,5 mg Tableta_cajas X 20 unidades c/u"/>
    <n v="100"/>
    <n v="5"/>
    <x v="1"/>
    <x v="9"/>
    <x v="4"/>
    <x v="4"/>
    <x v="72"/>
  </r>
  <r>
    <x v="501"/>
    <s v="MARÍA ALEJANDRA VARGAS RUIZ"/>
    <s v="Regente de farmacia"/>
    <s v="DROGUERIA LA SALUD"/>
    <s v="47433751-2"/>
    <s v="alejita170.va@gmail.com"/>
    <s v="Calle 9 No. 19-44"/>
    <x v="14"/>
    <s v="YOPAL"/>
    <s v="Cotización Droguería la salud"/>
    <n v="202124101627342"/>
    <d v="2021-09-01T00:00:00"/>
    <x v="8"/>
    <m/>
    <m/>
    <s v="SEP"/>
    <n v="44440"/>
    <s v="AUTORIZADO"/>
    <m/>
    <s v="No. 0554"/>
    <d v="2019-05-21T00:00:00"/>
    <s v="Fenobarbital 0,4% Solución Oral_frascos X 120 mL c/u"/>
    <n v="4"/>
    <n v="4"/>
    <x v="5"/>
    <x v="11"/>
    <x v="1"/>
    <x v="6"/>
    <x v="115"/>
  </r>
  <r>
    <x v="502"/>
    <s v="YAMITH PRECIADO BONILLA"/>
    <s v="Director Técnico"/>
    <s v="MESSER COLOMBIA S.A"/>
    <s v="860.005.114-4"/>
    <s v="yamith.preciado@messer-co.com"/>
    <s v="Carrera 49C No. 80-148"/>
    <x v="3"/>
    <s v="BARRANQUILLA"/>
    <s v="SOLICITUD AUTORIZACION COMPRA MORFINA SOLUCION ORAL"/>
    <n v="202124101808522"/>
    <d v="2021-09-23T00:00:00"/>
    <x v="8"/>
    <m/>
    <m/>
    <s v="SEP"/>
    <n v="44462"/>
    <s v="AUTORIZADO"/>
    <m/>
    <s v="No.4001"/>
    <d v="2020-12-21T00:00:00"/>
    <s v="Morfina HCl 0,03 Solución Oral_frascos X 30 mL c/u"/>
    <n v="5"/>
    <n v="5"/>
    <x v="0"/>
    <x v="1"/>
    <x v="1"/>
    <x v="1"/>
    <x v="6"/>
  </r>
  <r>
    <x v="503"/>
    <s v="ELIÉCIER PARRA DEL TORO"/>
    <s v="Director Técnico Red Ecopetrol"/>
    <s v="LA ECONOMIA DROGUERIA"/>
    <s v="892.300.678-7"/>
    <s v="eparra@eticos.com"/>
    <s v="Carrera 35 No. 46 - 34"/>
    <x v="8"/>
    <s v="BUCARAMANGA"/>
    <s v="Cotización"/>
    <n v="202124101819032"/>
    <d v="2021-09-24T00:00:00"/>
    <x v="8"/>
    <m/>
    <m/>
    <s v="SEP"/>
    <n v="44463"/>
    <s v="AUTORIZADO"/>
    <m/>
    <s v="No.07191"/>
    <d v="2020-09-09T00:00:00"/>
    <s v="Metilfenidato HCl 36 mg Tableta de Liberación Prolongada_frasco X 30 unidades c/u"/>
    <n v="60"/>
    <n v="2"/>
    <x v="4"/>
    <x v="14"/>
    <x v="7"/>
    <x v="10"/>
    <x v="131"/>
  </r>
  <r>
    <x v="503"/>
    <s v="ELIÉCIER PARRA DEL TORO"/>
    <s v="Director Técnico Red Ecopetrol"/>
    <s v="LA ECONOMIA DROGUERIA"/>
    <s v="892.300.678-7"/>
    <s v="eparra@eticos.com"/>
    <s v="Carrera 35 No. 46 - 34"/>
    <x v="8"/>
    <s v="BUCARAMANGA"/>
    <s v="Cotización"/>
    <n v="202124101819032"/>
    <d v="2021-09-24T00:00:00"/>
    <x v="8"/>
    <m/>
    <m/>
    <s v="SEP"/>
    <n v="44463"/>
    <s v="AUTORIZADO"/>
    <m/>
    <s v="No.07191"/>
    <d v="2020-09-09T00:00:00"/>
    <s v="Morfina HCl 0,03 Solución Oral_frascos X 30 mL c/u"/>
    <n v="24"/>
    <n v="24"/>
    <x v="0"/>
    <x v="1"/>
    <x v="1"/>
    <x v="1"/>
    <x v="207"/>
  </r>
  <r>
    <x v="504"/>
    <s v="YAMITH PRECIADO BONILLA"/>
    <s v="Director Técnico"/>
    <s v="MESSER COLOMBIA S.A"/>
    <s v="860.005.114-4"/>
    <s v="yamith.preciado@messer-co.com"/>
    <s v="Carrera 49C No. 80-148"/>
    <x v="3"/>
    <s v="BARRANQUILLA"/>
    <s v="SOLICITUD AUTORIZACION COMPRA MORFINA SOLUCION ORAL"/>
    <n v="202124101825032"/>
    <d v="2021-09-27T00:00:00"/>
    <x v="8"/>
    <m/>
    <m/>
    <s v="SEP"/>
    <n v="44466"/>
    <s v="NEGADO"/>
    <s v="Solicitud duplicada"/>
    <s v="No.4001"/>
    <d v="2020-12-21T00:00:00"/>
    <s v="Morfina HCl 0,03 Solución Oral_frascos X 30 mL c/u"/>
    <n v="0"/>
    <n v="0"/>
    <x v="0"/>
    <x v="1"/>
    <x v="1"/>
    <x v="1"/>
    <x v="0"/>
  </r>
  <r>
    <x v="505"/>
    <s v="LEET ANTONIO MARQUEZ ESCORCIA"/>
    <s v="Quimico Farmacéutico"/>
    <s v="CLINICA GENERAL DEL NORTE S.A."/>
    <s v="890.102.768-6"/>
    <s v="quimicocienaga@clinicageneraldelnorte.com"/>
    <s v="Avenida Libertador No. 13-12"/>
    <x v="4"/>
    <s v="SANTA MARTA"/>
    <s v="SOLICITUD AUTORIZACION COMPRA RITALINA Y FENOBARBITAL TAB"/>
    <n v="202124101825502"/>
    <d v="2021-09-27T00:00:00"/>
    <x v="8"/>
    <m/>
    <m/>
    <s v="SEP"/>
    <n v="44466"/>
    <s v="AUTORIZADO"/>
    <m/>
    <s v="No. 3792"/>
    <d v="2021-10-29T00:00:00"/>
    <s v="Metilfenidato HCl 10 mg Comprimido_cajas X 30 unidades c/u"/>
    <n v="150"/>
    <n v="5"/>
    <x v="4"/>
    <x v="3"/>
    <x v="3"/>
    <x v="2"/>
    <x v="2"/>
  </r>
  <r>
    <x v="505"/>
    <s v="LEET ANTONIO MARQUEZ ESCORCIA"/>
    <s v="Quimico Farmacéutico"/>
    <s v="CLINICA GENERAL DEL NORTE S.A."/>
    <s v="890.102.768-6"/>
    <s v="quimicocienaga@clinicageneraldelnorte.com"/>
    <s v="Avenida Libertador No. 13-12"/>
    <x v="4"/>
    <s v="SANTA MARTA"/>
    <s v="SOLICITUD AUTORIZACION COMPRA RITALINA Y FENOBARBITAL TAB"/>
    <n v="202124101825502"/>
    <d v="2021-09-27T00:00:00"/>
    <x v="8"/>
    <m/>
    <m/>
    <s v="SEP"/>
    <n v="44466"/>
    <s v="AUTORIZADO"/>
    <m/>
    <s v="No. 3792"/>
    <d v="2021-10-29T00:00:00"/>
    <s v="Fenobarbital 50 mg Tableta_cajas X 30 unidades c/u"/>
    <n v="30"/>
    <n v="1"/>
    <x v="5"/>
    <x v="12"/>
    <x v="4"/>
    <x v="2"/>
    <x v="8"/>
  </r>
  <r>
    <x v="506"/>
    <s v="ZORAIDA CUBILLOS MORENO"/>
    <s v="Representante Legal"/>
    <s v="NUEVA CLINICA EL BARZAL S.A.S"/>
    <s v="900.471.909-1"/>
    <s v="dir.compras.grupo@gmail.com"/>
    <s v="Carrera 37 No. 35-17 Barrio el Barzal"/>
    <x v="6"/>
    <s v="VILLAVICENCIO"/>
    <s v="solicitud de medicamentos de monopolio nueva clinica el barzal sas"/>
    <n v="202124101825602"/>
    <d v="2021-09-27T00:00:00"/>
    <x v="8"/>
    <m/>
    <m/>
    <s v="SEP"/>
    <n v="44466"/>
    <s v="AUTORIZADO"/>
    <m/>
    <s v="No. 277"/>
    <d v="2020-08-27T00:00:00"/>
    <s v="Morfina HCl 10 mg/mL Solución Inyectable ampolla por 1mL"/>
    <n v="600"/>
    <n v="60"/>
    <x v="0"/>
    <x v="0"/>
    <x v="0"/>
    <x v="0"/>
    <x v="42"/>
  </r>
  <r>
    <x v="507"/>
    <s v="MARTIN DIAZ GUERRERO"/>
    <s v="Director Tecnico"/>
    <s v="CLINICA BAHÍA INVERSIONES AZALUD"/>
    <s v="900.267.064-2"/>
    <s v="farmacia@clinicabahia.com"/>
    <s v="Carrera 19 No.28C-25 Barrio Los Naranjos "/>
    <x v="4"/>
    <s v="SANTA MARTA"/>
    <s v="SOLICITUD COTIZACION MEDICAMENTOS MONOPOLIO DEL ESTADO"/>
    <n v="202124101830402"/>
    <d v="2021-09-27T00:00:00"/>
    <x v="8"/>
    <m/>
    <m/>
    <s v="SEP"/>
    <n v="44466"/>
    <s v="NEGADO"/>
    <s v="No adjuntan documentos"/>
    <m/>
    <m/>
    <s v="Morfina HCl 10 mg/mL Solución Inyectable ampolla por 1mL"/>
    <n v="0"/>
    <n v="0"/>
    <x v="0"/>
    <x v="0"/>
    <x v="0"/>
    <x v="0"/>
    <x v="0"/>
  </r>
  <r>
    <x v="507"/>
    <s v="MARTIN DIAZ GUERRERO"/>
    <s v="Director Tecnico"/>
    <s v="CLINICA BAHÍA INVERSIONES AZALUD"/>
    <s v="900.267.064-2"/>
    <s v="farmacia@clinicabahia.com"/>
    <s v="Carrera 19 No.28C-25 Barrio Los Naranjos "/>
    <x v="4"/>
    <s v="SANTA MARTA"/>
    <s v="SOLICITUD COTIZACION MEDICAMENTOS MONOPOLIO DEL ESTADO"/>
    <n v="202124101830402"/>
    <d v="2021-09-27T00:00:00"/>
    <x v="8"/>
    <m/>
    <m/>
    <s v="SEP"/>
    <n v="44466"/>
    <s v="NEGADO"/>
    <s v="No adjuntan documentos"/>
    <m/>
    <m/>
    <s v="Meperidina HCl 100 mg/2mL Solución Inyectable_cajas X 10 unidades c/u"/>
    <n v="0"/>
    <n v="0"/>
    <x v="6"/>
    <x v="8"/>
    <x v="0"/>
    <x v="3"/>
    <x v="0"/>
  </r>
  <r>
    <x v="508"/>
    <m/>
    <m/>
    <s v="COMPAÑÍA COLOMBIANA DE SALUD CLÍNICA MAR CARIBE"/>
    <s v="819.002.176-8"/>
    <s v="jefecompras@clinicamarcaribe.com"/>
    <s v="Calle 21 No. 18A-103"/>
    <x v="4"/>
    <s v="SANTA MARTA"/>
    <s v="COTIZAR MEDICAMENTOS -- COMPAÑIA COLOMBIANA DE SALUD"/>
    <n v="202124101832442"/>
    <d v="2021-09-27T00:00:00"/>
    <x v="8"/>
    <m/>
    <m/>
    <s v="SEP"/>
    <n v="44466"/>
    <s v="NEGADO"/>
    <s v="En fabricación"/>
    <s v="No. 4145"/>
    <d v="2019-11-27T00:00:00"/>
    <s v="Fenobarbital Sódico 40 mg/mL Solución Inyectable_caja X 10 ampollas c/u"/>
    <n v="0"/>
    <n v="0"/>
    <x v="3"/>
    <x v="6"/>
    <x v="0"/>
    <x v="0"/>
    <x v="0"/>
  </r>
  <r>
    <x v="508"/>
    <m/>
    <m/>
    <s v="COMPAÑÍA COLOMBIANA DE SALUD CLÍNICA MAR CARIBE"/>
    <s v="819.002.176-8"/>
    <s v="jefecompras@clinicamarcaribe.com"/>
    <s v="Calle 21 No. 18A-103"/>
    <x v="4"/>
    <s v="SANTA MARTA"/>
    <s v="COTIZAR MEDICAMENTOS -- COMPAÑIA COLOMBIANA DE SALUD"/>
    <n v="202124101832442"/>
    <d v="2021-09-27T00:00:00"/>
    <x v="8"/>
    <m/>
    <m/>
    <s v="SEP"/>
    <n v="44466"/>
    <s v="AUTORIZADO"/>
    <m/>
    <s v="No. 4145"/>
    <d v="2019-11-27T00:00:00"/>
    <s v="Morfina HCl 10 mg/mL Solución Inyectable ampolla por 1mL"/>
    <n v="120"/>
    <n v="12"/>
    <x v="0"/>
    <x v="0"/>
    <x v="0"/>
    <x v="0"/>
    <x v="49"/>
  </r>
  <r>
    <x v="508"/>
    <m/>
    <m/>
    <s v="COMPAÑÍA COLOMBIANA DE SALUD CLÍNICA MAR CARIBE"/>
    <s v="819.002.176-8"/>
    <s v="jefecompras@clinicamarcaribe.com"/>
    <s v="Calle 21 No. 18A-103"/>
    <x v="4"/>
    <s v="SANTA MARTA"/>
    <s v="COTIZAR MEDICAMENTOS -- COMPAÑIA COLOMBIANA DE SALUD"/>
    <n v="202124101832442"/>
    <d v="2021-09-27T00:00:00"/>
    <x v="8"/>
    <m/>
    <m/>
    <s v="SEP"/>
    <n v="44466"/>
    <s v="NEGADO"/>
    <s v="En fabricación"/>
    <s v="No. 4145"/>
    <d v="2019-11-27T00:00:00"/>
    <s v="Fenobarbital 50 mg Tableta_cajas X 30 unidades c/u"/>
    <n v="0"/>
    <n v="0"/>
    <x v="5"/>
    <x v="12"/>
    <x v="4"/>
    <x v="2"/>
    <x v="0"/>
  </r>
  <r>
    <x v="509"/>
    <s v="CELMIRA HERRERA MONTEJO"/>
    <s v="Regente de farmacia"/>
    <s v="MARCAZSALUD RC S.A.S."/>
    <s v="900.928.565-8"/>
    <s v="shirley.rojas@marcazsalud.com.co"/>
    <s v="Calle 19 No. 23-14"/>
    <x v="14"/>
    <s v="YOPAL"/>
    <s v="SOLICITUD COMPRA DIRECTA"/>
    <n v="202124101841282"/>
    <d v="2021-09-28T00:00:00"/>
    <x v="8"/>
    <m/>
    <m/>
    <s v="SEP"/>
    <n v="44467"/>
    <s v="AUTORIZADO"/>
    <m/>
    <s v="No. 0026"/>
    <d v="2021-01-27T00:00:00"/>
    <s v="Fenobarbital 100 mg Tableta_cajas X 30 unidades c/u"/>
    <n v="1000"/>
    <n v="33"/>
    <x v="5"/>
    <x v="7"/>
    <x v="4"/>
    <x v="2"/>
    <x v="195"/>
  </r>
  <r>
    <x v="509"/>
    <s v="CELMIRA HERRERA MONTEJO"/>
    <s v="Regente de farmacia"/>
    <s v="MARCAZSALUD RC S.A.S."/>
    <s v="900.928.565-8"/>
    <s v="shirley.rojas@marcazsalud.com.co"/>
    <s v="Calle 19 No. 23-14"/>
    <x v="14"/>
    <s v="YOPAL"/>
    <s v="SOLICITUD COMPRA DIRECTA"/>
    <n v="202124101841282"/>
    <d v="2021-09-28T00:00:00"/>
    <x v="8"/>
    <m/>
    <m/>
    <s v="SEP"/>
    <n v="44467"/>
    <s v="AUTORIZADO"/>
    <m/>
    <s v="No. 0026"/>
    <d v="2021-01-27T00:00:00"/>
    <s v="Morfina HCl 0,03 Solución Oral_frascos X 30 mL c/u"/>
    <n v="10"/>
    <n v="10"/>
    <x v="0"/>
    <x v="1"/>
    <x v="1"/>
    <x v="1"/>
    <x v="47"/>
  </r>
  <r>
    <x v="509"/>
    <s v="CELMIRA HERRERA MONTEJO"/>
    <s v="Regente de farmacia"/>
    <s v="MARCAZSALUD RC S.A.S."/>
    <s v="900.928.565-8"/>
    <s v="shirley.rojas@marcazsalud.com.co"/>
    <s v="Calle 19 No. 23-14"/>
    <x v="14"/>
    <s v="YOPAL"/>
    <s v="SOLICITUD COMPRA DIRECTA"/>
    <n v="202124101841282"/>
    <d v="2021-09-28T00:00:00"/>
    <x v="8"/>
    <m/>
    <m/>
    <s v="SEP"/>
    <n v="44467"/>
    <s v="AUTORIZADO"/>
    <m/>
    <s v="No. 0026"/>
    <d v="2021-01-27T00:00:00"/>
    <s v="Fenobarbital 0,4% Solución Oral_frascos X 120 mL c/u"/>
    <n v="5"/>
    <n v="5"/>
    <x v="5"/>
    <x v="11"/>
    <x v="1"/>
    <x v="6"/>
    <x v="16"/>
  </r>
  <r>
    <x v="509"/>
    <s v="CELMIRA HERRERA MONTEJO"/>
    <s v="Regente de farmacia"/>
    <s v="MARCAZSALUD RC S.A.S."/>
    <s v="900.928.565-8"/>
    <s v="shirley.rojas@marcazsalud.com.co"/>
    <s v="Calle 19 No. 23-14"/>
    <x v="14"/>
    <s v="YOPAL"/>
    <s v="SOLICITUD COMPRA DIRECTA"/>
    <n v="202124101841282"/>
    <d v="2021-09-28T00:00:00"/>
    <x v="8"/>
    <m/>
    <m/>
    <s v="SEP"/>
    <n v="44467"/>
    <s v="AUTORIZADO"/>
    <m/>
    <s v="No. 0026"/>
    <d v="2021-01-27T00:00:00"/>
    <s v="Metadona HCl 10 mg Tableta_Cajas X 30 unidades c/u"/>
    <n v="100"/>
    <n v="3"/>
    <x v="2"/>
    <x v="3"/>
    <x v="2"/>
    <x v="2"/>
    <x v="71"/>
  </r>
  <r>
    <x v="510"/>
    <s v="ADRIANA YEPEZ TERRILL"/>
    <s v="Directora Técnica"/>
    <s v="CLÍNICA BLAS DE LEZO S.A."/>
    <s v="890.400.693-1"/>
    <s v="coordfarmaciadt@clinicablasdelezo.com.co"/>
    <s v="Avenidadel Bosque Transversal 54 No. 47-57"/>
    <x v="2"/>
    <s v="CARTAGENA"/>
    <s v="SOLICITUD DE MEDICAMENTOS"/>
    <n v="202124101847082"/>
    <d v="2021-09-29T00:00:00"/>
    <x v="8"/>
    <m/>
    <m/>
    <s v="SEP"/>
    <n v="44468"/>
    <s v="AUTORIZADO"/>
    <m/>
    <s v="No. 545"/>
    <d v="2019-04-23T00:00:00"/>
    <s v="Morfina HCl 10 mg/mL Solución Inyectable ampolla por 1mL"/>
    <n v="200"/>
    <n v="20"/>
    <x v="0"/>
    <x v="0"/>
    <x v="0"/>
    <x v="0"/>
    <x v="18"/>
  </r>
  <r>
    <x v="511"/>
    <s v="JOHANA RODRIGUEZ GONZÁLEZ"/>
    <s v="Analista de Compras"/>
    <s v="CENTRO HOSPITALARIO SERENA DEL MAR S.A."/>
    <s v="900.482.242-8"/>
    <s v="analistadecompras1@chsm.com"/>
    <s v="Vía al Mar Km 8 Serena del Mar"/>
    <x v="2"/>
    <s v="CARTAGENA"/>
    <s v="Cotización Medicamentos de Control"/>
    <n v="202124101857422"/>
    <d v="2021-09-30T00:00:00"/>
    <x v="8"/>
    <m/>
    <m/>
    <s v="SEP"/>
    <n v="44469"/>
    <s v="AUTORIZADO"/>
    <m/>
    <s v="No. 0818"/>
    <d v="2021-02-08T00:00:00"/>
    <s v="Hidromorfona HCl 2,5 mg Tableta_cajas X 20 unidades c/u"/>
    <n v="20"/>
    <n v="1"/>
    <x v="1"/>
    <x v="9"/>
    <x v="4"/>
    <x v="4"/>
    <x v="208"/>
  </r>
  <r>
    <x v="511"/>
    <s v="JOHANA RODRIGUEZ GONZÁLEZ"/>
    <s v="Analista de Compras"/>
    <s v="CENTRO HOSPITALARIO SERENA DEL MAR S.A."/>
    <s v="900.482.242-8"/>
    <s v="analistadecompras1@chsm.com"/>
    <s v="Vía al Mar Km 8 Serena del Mar"/>
    <x v="2"/>
    <s v="CARTAGENA"/>
    <s v="Cotización Medicamentos de Control"/>
    <n v="202124101857422"/>
    <d v="2021-09-30T00:00:00"/>
    <x v="8"/>
    <m/>
    <m/>
    <s v="SEP"/>
    <n v="44469"/>
    <s v="AUTORIZADO"/>
    <m/>
    <s v="No. 0818"/>
    <d v="2021-02-08T00:00:00"/>
    <s v="Meperidina HCl 100 mg/2mL Solución Inyectable_cajas X 10 unidades c/u"/>
    <n v="10"/>
    <n v="1"/>
    <x v="6"/>
    <x v="8"/>
    <x v="0"/>
    <x v="3"/>
    <x v="145"/>
  </r>
  <r>
    <x v="511"/>
    <s v="JOHANA RODRIGUEZ GONZÁLEZ"/>
    <s v="Analista de Compras"/>
    <s v="CENTRO HOSPITALARIO SERENA DEL MAR S.A."/>
    <s v="900.482.242-8"/>
    <s v="analistadecompras1@chsm.com"/>
    <s v="Vía al Mar Km 8 Serena del Mar"/>
    <x v="2"/>
    <s v="CARTAGENA"/>
    <s v="Cotización Medicamentos de Control"/>
    <n v="202124101857422"/>
    <d v="2021-09-30T00:00:00"/>
    <x v="8"/>
    <m/>
    <m/>
    <s v="SEP"/>
    <n v="44469"/>
    <s v="AUTORIZADO"/>
    <m/>
    <s v="No. 0818"/>
    <d v="2021-02-08T00:00:00"/>
    <s v="Fenobarbital Sódico 40 mg/mL Solución Inyectable_caja X 10 ampollas c/u"/>
    <n v="10"/>
    <n v="1"/>
    <x v="3"/>
    <x v="6"/>
    <x v="0"/>
    <x v="0"/>
    <x v="11"/>
  </r>
  <r>
    <x v="511"/>
    <s v="JOHANA RODRIGUEZ GONZÁLEZ"/>
    <s v="Analista de Compras"/>
    <s v="CENTRO HOSPITALARIO SERENA DEL MAR S.A."/>
    <s v="900.482.242-8"/>
    <s v="analistadecompras1@chsm.com"/>
    <s v="Vía al Mar Km 8 Serena del Mar"/>
    <x v="2"/>
    <s v="CARTAGENA"/>
    <s v="Cotización Medicamentos de Control"/>
    <n v="202124101857422"/>
    <d v="2021-09-30T00:00:00"/>
    <x v="8"/>
    <m/>
    <m/>
    <s v="SEP"/>
    <n v="44469"/>
    <s v="AUTORIZADO"/>
    <m/>
    <s v="No. 0818"/>
    <d v="2021-02-08T00:00:00"/>
    <s v="Morfina HCl 0,03 Solución Oral_frascos X 30 mL c/u"/>
    <n v="10"/>
    <n v="10"/>
    <x v="0"/>
    <x v="1"/>
    <x v="1"/>
    <x v="1"/>
    <x v="47"/>
  </r>
  <r>
    <x v="511"/>
    <s v="JOHANA RODRIGUEZ GONZÁLEZ"/>
    <s v="Analista de Compras"/>
    <s v="CENTRO HOSPITALARIO SERENA DEL MAR S.A."/>
    <s v="900.482.242-8"/>
    <s v="analistadecompras1@chsm.com"/>
    <s v="Vía al Mar Km 8 Serena del Mar"/>
    <x v="2"/>
    <s v="CARTAGENA"/>
    <s v="Cotización Medicamentos de Control"/>
    <n v="202124101857422"/>
    <d v="2021-09-30T00:00:00"/>
    <x v="8"/>
    <m/>
    <m/>
    <s v="SEP"/>
    <n v="44469"/>
    <s v="AUTORIZADO"/>
    <m/>
    <s v="No. 0818"/>
    <d v="2021-02-08T00:00:00"/>
    <s v="Metilfenidato HCl 10 mg Comprimido_cajas X 30 unidades c/u"/>
    <n v="30"/>
    <n v="1"/>
    <x v="4"/>
    <x v="3"/>
    <x v="3"/>
    <x v="2"/>
    <x v="8"/>
  </r>
  <r>
    <x v="511"/>
    <s v="JOHANA RODRIGUEZ GONZÁLEZ"/>
    <s v="Analista de Compras"/>
    <s v="CENTRO HOSPITALARIO SERENA DEL MAR S.A."/>
    <s v="900.482.242-8"/>
    <s v="analistadecompras1@chsm.com"/>
    <s v="Vía al Mar Km 8 Serena del Mar"/>
    <x v="2"/>
    <s v="CARTAGENA"/>
    <s v="Cotización Medicamentos de Control"/>
    <n v="202124101857422"/>
    <d v="2021-09-30T00:00:00"/>
    <x v="8"/>
    <m/>
    <m/>
    <s v="SEP"/>
    <n v="44469"/>
    <s v="AUTORIZADO"/>
    <m/>
    <s v="No. 0818"/>
    <d v="2021-02-08T00:00:00"/>
    <s v="Fenobarbital 0,4% Solución Oral_frascos X 120 mL c/u"/>
    <n v="10"/>
    <n v="10"/>
    <x v="5"/>
    <x v="11"/>
    <x v="1"/>
    <x v="6"/>
    <x v="69"/>
  </r>
  <r>
    <x v="511"/>
    <s v="JOHANA RODRIGUEZ GONZÁLEZ"/>
    <s v="Analista de Compras"/>
    <s v="CENTRO HOSPITALARIO SERENA DEL MAR S.A."/>
    <s v="900.482.242-8"/>
    <s v="analistadecompras1@chsm.com"/>
    <s v="Vía al Mar Km 8 Serena del Mar"/>
    <x v="2"/>
    <s v="CARTAGENA"/>
    <s v="Cotización Medicamentos de Control"/>
    <n v="202124101857422"/>
    <d v="2021-09-30T00:00:00"/>
    <x v="8"/>
    <m/>
    <m/>
    <s v="SEP"/>
    <n v="44469"/>
    <s v="AUTORIZADO"/>
    <m/>
    <s v="No. 0818"/>
    <d v="2021-02-08T00:00:00"/>
    <s v="Metadona HCl 10 mg Tableta_Cajas X 30 unidades c/u"/>
    <n v="60"/>
    <n v="2"/>
    <x v="2"/>
    <x v="3"/>
    <x v="2"/>
    <x v="2"/>
    <x v="90"/>
  </r>
  <r>
    <x v="512"/>
    <s v="GLORIA STELLA ARENAS"/>
    <s v="Directora Técnica"/>
    <s v="MESSER COLOMBIA S.A."/>
    <s v="860.005.114-4"/>
    <s v="gloria.stella.arenas@messer-co.com"/>
    <s v="Carrera 28 No. 58-80 "/>
    <x v="8"/>
    <s v="BUCARAMANGA"/>
    <s v="COTIZACION FENOBARBITAL JARABE"/>
    <n v="202124101863322"/>
    <d v="2021-09-30T00:00:00"/>
    <x v="8"/>
    <m/>
    <m/>
    <s v="SEP"/>
    <n v="44469"/>
    <s v="AUTORIZADO"/>
    <m/>
    <s v="No. 7944"/>
    <d v="2021-06-17T00:00:00"/>
    <s v="Fenobarbital 0,4% Solución Oral_frascos X 120 mL c/u"/>
    <n v="20"/>
    <n v="20"/>
    <x v="5"/>
    <x v="11"/>
    <x v="1"/>
    <x v="6"/>
    <x v="77"/>
  </r>
  <r>
    <x v="513"/>
    <s v="CARLOS ANIBAL BRICEÑO"/>
    <s v="Químico Farmacéutico"/>
    <s v="ETICOS U.T 2020"/>
    <s v="901.381.381-3"/>
    <s v="qffarmacia10544@eticos.com"/>
    <s v="KM 7 VIA PUERTO LOPEZ VEREDA APIAY"/>
    <x v="6"/>
    <s v="VILLAVICENCIO"/>
    <s v="SOLICITUD DE COTIZACION Y VENTA DE PRIMIDONA X 250 MG"/>
    <n v="202124101863472"/>
    <d v="2021-09-30T00:00:00"/>
    <x v="8"/>
    <m/>
    <m/>
    <s v="SEP"/>
    <n v="44469"/>
    <s v="AUTORIZADO"/>
    <m/>
    <s v="No. 278"/>
    <d v="2020-08-27T00:00:00"/>
    <s v="Primidona 250 mg Tableta_caja X 30 unidades c/u"/>
    <n v="120"/>
    <n v="4"/>
    <x v="7"/>
    <x v="10"/>
    <x v="4"/>
    <x v="2"/>
    <x v="110"/>
  </r>
  <r>
    <x v="514"/>
    <s v="NELSY SOFIA MANOTAS G."/>
    <s v="Química Farmacéutica"/>
    <s v="ETICOS U.T 2020"/>
    <s v="901.381.381-3"/>
    <s v="qffarmacia10504@eticos.com"/>
    <s v="Avenida San Martin entrada a Bocagrande"/>
    <x v="2"/>
    <s v="CARTAGENA"/>
    <s v="Solicitud de autorización para la compra directa medicamentos Monopolio del estado"/>
    <n v="202124101879982"/>
    <d v="2021-10-04T00:00:00"/>
    <x v="9"/>
    <m/>
    <m/>
    <s v="OCT"/>
    <n v="44473"/>
    <s v="NEGADO"/>
    <m/>
    <s v="No. 611"/>
    <d v="2020-09-21T00:00:00"/>
    <s v="Morfina HCl 10 mg/mL Solución Inyectable ampolla por 1mL"/>
    <n v="100"/>
    <n v="10"/>
    <x v="0"/>
    <x v="0"/>
    <x v="0"/>
    <x v="0"/>
    <x v="10"/>
  </r>
  <r>
    <x v="514"/>
    <s v="NELSY SOFIA MANOTAS G."/>
    <s v="Química Farmacéutica"/>
    <s v="ETICOS U.T 2020"/>
    <s v="901.381.381-3"/>
    <s v="qffarmacia10504@eticos.com"/>
    <s v="Avenida San Martin entrada a Bocagrande"/>
    <x v="2"/>
    <s v="CARTAGENA"/>
    <s v="Solicitud de autorización para la compra directa medicamentos Monopolio del estado"/>
    <n v="202124101879982"/>
    <d v="2021-10-04T00:00:00"/>
    <x v="9"/>
    <m/>
    <m/>
    <s v="OCT"/>
    <n v="44473"/>
    <s v="NEGADO"/>
    <m/>
    <s v="No. 611"/>
    <d v="2020-09-21T00:00:00"/>
    <s v="Meperidina HCl 100 mg/2mL Solución Inyectable_cajas X 10 unidades c/u"/>
    <n v="100"/>
    <n v="10"/>
    <x v="6"/>
    <x v="8"/>
    <x v="0"/>
    <x v="3"/>
    <x v="27"/>
  </r>
  <r>
    <x v="515"/>
    <s v="MARTIN DIAZ GUERRERO"/>
    <s v="Director Técnico"/>
    <s v="INVERSIONES AZALUD"/>
    <s v="900.267.064-2"/>
    <s v="farmacia@clinicabahia.com"/>
    <s v="Carrera 19 No. 28C-25"/>
    <x v="4"/>
    <s v="SANTA MARTA"/>
    <s v="COMPRA DIRECTA"/>
    <n v="202124101885512"/>
    <d v="2021-10-04T00:00:00"/>
    <x v="9"/>
    <m/>
    <m/>
    <s v="OCT"/>
    <n v="44473"/>
    <s v="AUTORIZADO"/>
    <m/>
    <s v="No. 3791"/>
    <d v="2019-10-29T00:00:00"/>
    <s v="Morfina HCl 10 mg/mL Solución Inyectable ampolla por 1mL"/>
    <n v="0"/>
    <n v="0"/>
    <x v="0"/>
    <x v="0"/>
    <x v="0"/>
    <x v="0"/>
    <x v="0"/>
  </r>
  <r>
    <x v="515"/>
    <s v="MARTIN DIAZ GUERRERO"/>
    <s v="Director Técnico"/>
    <s v="INVERSIONES AZALUD"/>
    <s v="900.267.064-2"/>
    <s v="farmacia@clinicabahia.com"/>
    <s v="Carrera 19 No. 28C-25"/>
    <x v="4"/>
    <s v="SANTA MARTA"/>
    <s v="COMPRA DIRECTA"/>
    <n v="202124101885512"/>
    <d v="2021-10-04T00:00:00"/>
    <x v="9"/>
    <m/>
    <m/>
    <s v="OCT"/>
    <n v="44473"/>
    <s v="AUTORIZADO"/>
    <m/>
    <s v="No. 3791"/>
    <d v="2019-10-29T00:00:00"/>
    <s v="Meperidina HCl 100 mg/2mL Solución Inyectable_cajas X 10 unidades c/u"/>
    <n v="50"/>
    <n v="5"/>
    <x v="6"/>
    <x v="8"/>
    <x v="0"/>
    <x v="3"/>
    <x v="9"/>
  </r>
  <r>
    <x v="516"/>
    <s v="ALDRIN RAMIRO QUINTANA USTATE"/>
    <s v="Gerente General"/>
    <s v="SOCIEDAD MEDICA CLÍNICA MAICAO S.A."/>
    <s v="839.000.356-0"/>
    <s v="quimicasfclinicamaicao@gmail.com"/>
    <s v="Calle 16 No.-6-41"/>
    <x v="11"/>
    <s v="MAICAO"/>
    <s v="Solicitud y Cotización de Medicamentos de Control SOCIEDAD MEDICA CLINICA MAICAO S.A"/>
    <n v="202124101893262"/>
    <d v="2021-10-05T00:00:00"/>
    <x v="9"/>
    <m/>
    <m/>
    <s v="OCT"/>
    <n v="44474"/>
    <s v="AUTORIZADO"/>
    <m/>
    <s v="No. 342"/>
    <d v="2021-05-14T00:00:00"/>
    <s v="Fenobarbital Sódico 40 mg/mL Solución Inyectable_caja X 10 ampollas c/u"/>
    <n v="500"/>
    <n v="50"/>
    <x v="3"/>
    <x v="6"/>
    <x v="0"/>
    <x v="0"/>
    <x v="57"/>
  </r>
  <r>
    <x v="516"/>
    <s v="ALDRIN RAMIRO QUINTANA USTATE"/>
    <s v="Gerente General"/>
    <s v="SOCIEDAD MEDICA CLÍNICA MAICAO S.A."/>
    <s v="839.000.356-0"/>
    <s v="quimicasfclinicamaicao@gmail.com"/>
    <s v="Calle 16 No.-6-41"/>
    <x v="11"/>
    <s v="MAICAO"/>
    <s v="Solicitud y Cotización de Medicamentos de Control SOCIEDAD MEDICA CLINICA MAICAO S.A"/>
    <n v="202124101893262"/>
    <d v="2021-10-05T00:00:00"/>
    <x v="9"/>
    <m/>
    <m/>
    <s v="OCT"/>
    <n v="44474"/>
    <s v="AUTORIZADO"/>
    <m/>
    <s v="No. 342"/>
    <d v="2021-05-14T00:00:00"/>
    <s v="Fenobarbital Sódico 200 mg/mL Solución Inyectable_caja X 10 ampollas c/u"/>
    <n v="500"/>
    <n v="50"/>
    <x v="3"/>
    <x v="5"/>
    <x v="0"/>
    <x v="0"/>
    <x v="57"/>
  </r>
  <r>
    <x v="516"/>
    <s v="ALDRIN RAMIRO QUINTANA USTATE"/>
    <s v="Gerente General"/>
    <s v="SOCIEDAD MEDICA CLÍNICA MAICAO S.A."/>
    <s v="839.000.356-0"/>
    <s v="quimicasfclinicamaicao@gmail.com"/>
    <s v="Calle 16 No.-6-41"/>
    <x v="11"/>
    <s v="MAICAO"/>
    <s v="Solicitud y Cotización de Medicamentos de Control SOCIEDAD MEDICA CLINICA MAICAO S.A"/>
    <n v="202124101893262"/>
    <d v="2021-10-05T00:00:00"/>
    <x v="9"/>
    <m/>
    <m/>
    <s v="OCT"/>
    <n v="44474"/>
    <s v="AUTORIZADO"/>
    <m/>
    <s v="No. 342"/>
    <d v="2021-05-14T00:00:00"/>
    <s v="Meperidina HCl 100 mg/2mL Solución Inyectable_cajas X 10 unidades c/u"/>
    <n v="200"/>
    <n v="20"/>
    <x v="6"/>
    <x v="8"/>
    <x v="0"/>
    <x v="3"/>
    <x v="31"/>
  </r>
  <r>
    <x v="516"/>
    <s v="ALDRIN RAMIRO QUINTANA USTATE"/>
    <s v="Gerente General"/>
    <s v="SOCIEDAD MEDICA CLÍNICA MAICAO S.A."/>
    <s v="839.000.356-0"/>
    <s v="quimicasfclinicamaicao@gmail.com"/>
    <s v="Calle 16 No.-6-41"/>
    <x v="11"/>
    <s v="MAICAO"/>
    <s v="Solicitud y Cotización de Medicamentos de Control SOCIEDAD MEDICA CLINICA MAICAO S.A"/>
    <n v="202124101893262"/>
    <d v="2021-10-05T00:00:00"/>
    <x v="9"/>
    <m/>
    <m/>
    <s v="OCT"/>
    <n v="44474"/>
    <s v="AUTORIZADO"/>
    <m/>
    <s v="No. 342"/>
    <d v="2021-05-14T00:00:00"/>
    <s v="Morfina HCl 10 mg/mL Solución Inyectable ampolla por 1mL"/>
    <n v="500"/>
    <n v="50"/>
    <x v="0"/>
    <x v="0"/>
    <x v="0"/>
    <x v="0"/>
    <x v="57"/>
  </r>
  <r>
    <x v="517"/>
    <s v="NEYER CASTRO VARGAS"/>
    <s v="Coordinadora Programa de Farmacovigilancia Nacional"/>
    <s v="Duarquint Bucaramanga"/>
    <s v="830.089.147-8"/>
    <s v="farmacovigilancia@duarquint.com"/>
    <s v="Avenida 61 No. 10-200"/>
    <x v="8"/>
    <s v="BUCARAMANGA"/>
    <s v="SOLICITUD DE COMPRA Y TRASLADO MCE BUCARAMANGA"/>
    <n v="202124101894272"/>
    <d v="2021-10-05T00:00:00"/>
    <x v="9"/>
    <m/>
    <m/>
    <s v="OCT"/>
    <n v="44474"/>
    <s v="AUTORIZADO"/>
    <m/>
    <s v="No. 5732"/>
    <d v="2018-04-26T00:00:00"/>
    <s v="Morfina HCl 0,03 Solución Oral_frascos X 30 mL c/u"/>
    <n v="12"/>
    <n v="12"/>
    <x v="0"/>
    <x v="1"/>
    <x v="1"/>
    <x v="1"/>
    <x v="91"/>
  </r>
  <r>
    <x v="518"/>
    <s v="YURY CATHERINE RIVEROS RÍOS"/>
    <s v="Regente de farmacia"/>
    <s v="JERSALUD S.A.S"/>
    <s v="900.622.551-0"/>
    <s v="Compras@jersalud.com"/>
    <s v="Calle 40 No. 23-99"/>
    <x v="14"/>
    <s v="YOPAL"/>
    <s v="SOLICITUD COTIZACIÒN PRODUCTOS FNE"/>
    <n v="202124101896902"/>
    <d v="2021-10-05T00:00:00"/>
    <x v="9"/>
    <m/>
    <m/>
    <s v="OCT"/>
    <n v="44474"/>
    <s v="AUTORIZADO"/>
    <m/>
    <s v="No. 1328"/>
    <d v="2021-12-04T00:00:00"/>
    <s v="Metilfenidato HCl 36 mg Tableta de Liberación Prolongada_frasco X 30 unidades c/u"/>
    <n v="60"/>
    <n v="2"/>
    <x v="4"/>
    <x v="14"/>
    <x v="7"/>
    <x v="10"/>
    <x v="131"/>
  </r>
  <r>
    <x v="519"/>
    <s v="LINA VIVIANA GUZMAN BARRETO"/>
    <s v="Director Técnico Servicio Farmacéutico "/>
    <s v="CLÍNICA TOLIMA S.A."/>
    <s v="890.703.630-7"/>
    <s v="quimicofarmaceutico@clinicatolima.com"/>
    <s v="Carrera 1 No.12-22"/>
    <x v="0"/>
    <s v="IBAGUE"/>
    <s v="AUTORIZACIÓN COMPRA MEDICAMENTOS MONOPOLIO DE ESTADO"/>
    <n v="202124101898042"/>
    <d v="2021-10-05T00:00:00"/>
    <x v="9"/>
    <m/>
    <m/>
    <s v="OCT"/>
    <n v="44474"/>
    <s v="AUTORIZADO"/>
    <m/>
    <s v="No. 1992"/>
    <d v="2018-06-22T00:00:00"/>
    <s v="Morfina HCl 10 mg/mL Solución Inyectable ampolla por 1mL"/>
    <n v="200"/>
    <n v="20"/>
    <x v="0"/>
    <x v="0"/>
    <x v="0"/>
    <x v="0"/>
    <x v="18"/>
  </r>
  <r>
    <x v="520"/>
    <m/>
    <m/>
    <m/>
    <m/>
    <m/>
    <m/>
    <x v="22"/>
    <m/>
    <m/>
    <m/>
    <m/>
    <x v="0"/>
    <m/>
    <m/>
    <s v="ENE"/>
    <n v="0"/>
    <m/>
    <m/>
    <m/>
    <m/>
    <m/>
    <m/>
    <s v=""/>
    <x v="9"/>
    <x v="17"/>
    <x v="9"/>
    <x v="13"/>
    <x v="0"/>
  </r>
  <r>
    <x v="520"/>
    <m/>
    <m/>
    <m/>
    <m/>
    <m/>
    <m/>
    <x v="22"/>
    <m/>
    <m/>
    <m/>
    <m/>
    <x v="0"/>
    <m/>
    <m/>
    <s v="ENE"/>
    <n v="0"/>
    <m/>
    <m/>
    <m/>
    <m/>
    <m/>
    <m/>
    <s v=""/>
    <x v="9"/>
    <x v="17"/>
    <x v="9"/>
    <x v="13"/>
    <x v="0"/>
  </r>
  <r>
    <x v="520"/>
    <m/>
    <m/>
    <m/>
    <m/>
    <m/>
    <m/>
    <x v="22"/>
    <m/>
    <m/>
    <m/>
    <m/>
    <x v="0"/>
    <m/>
    <m/>
    <s v="ENE"/>
    <n v="0"/>
    <m/>
    <m/>
    <m/>
    <m/>
    <m/>
    <m/>
    <s v=""/>
    <x v="9"/>
    <x v="17"/>
    <x v="9"/>
    <x v="13"/>
    <x v="0"/>
  </r>
  <r>
    <x v="520"/>
    <m/>
    <m/>
    <m/>
    <m/>
    <m/>
    <m/>
    <x v="22"/>
    <m/>
    <m/>
    <m/>
    <m/>
    <x v="0"/>
    <m/>
    <m/>
    <s v="ENE"/>
    <n v="0"/>
    <m/>
    <m/>
    <m/>
    <m/>
    <m/>
    <m/>
    <s v=""/>
    <x v="9"/>
    <x v="17"/>
    <x v="9"/>
    <x v="13"/>
    <x v="0"/>
  </r>
  <r>
    <x v="520"/>
    <m/>
    <m/>
    <m/>
    <m/>
    <m/>
    <m/>
    <x v="22"/>
    <m/>
    <m/>
    <m/>
    <m/>
    <x v="0"/>
    <m/>
    <m/>
    <s v="ENE"/>
    <n v="0"/>
    <m/>
    <m/>
    <m/>
    <m/>
    <m/>
    <m/>
    <s v=""/>
    <x v="9"/>
    <x v="17"/>
    <x v="9"/>
    <x v="13"/>
    <x v="0"/>
  </r>
  <r>
    <x v="520"/>
    <m/>
    <m/>
    <m/>
    <m/>
    <m/>
    <m/>
    <x v="22"/>
    <m/>
    <m/>
    <m/>
    <m/>
    <x v="0"/>
    <m/>
    <m/>
    <s v="ENE"/>
    <n v="0"/>
    <m/>
    <m/>
    <m/>
    <m/>
    <m/>
    <m/>
    <s v=""/>
    <x v="9"/>
    <x v="17"/>
    <x v="9"/>
    <x v="13"/>
    <x v="0"/>
  </r>
  <r>
    <x v="520"/>
    <m/>
    <m/>
    <m/>
    <m/>
    <m/>
    <m/>
    <x v="22"/>
    <m/>
    <m/>
    <m/>
    <m/>
    <x v="0"/>
    <m/>
    <m/>
    <s v="ENE"/>
    <n v="0"/>
    <m/>
    <m/>
    <m/>
    <m/>
    <m/>
    <m/>
    <s v=""/>
    <x v="9"/>
    <x v="17"/>
    <x v="9"/>
    <x v="13"/>
    <x v="0"/>
  </r>
  <r>
    <x v="520"/>
    <m/>
    <m/>
    <m/>
    <m/>
    <m/>
    <m/>
    <x v="22"/>
    <m/>
    <m/>
    <m/>
    <m/>
    <x v="0"/>
    <m/>
    <m/>
    <s v="ENE"/>
    <n v="0"/>
    <m/>
    <m/>
    <m/>
    <m/>
    <m/>
    <m/>
    <s v=""/>
    <x v="9"/>
    <x v="17"/>
    <x v="9"/>
    <x v="13"/>
    <x v="0"/>
  </r>
  <r>
    <x v="520"/>
    <m/>
    <m/>
    <m/>
    <m/>
    <m/>
    <m/>
    <x v="22"/>
    <m/>
    <m/>
    <m/>
    <m/>
    <x v="0"/>
    <m/>
    <m/>
    <s v="ENE"/>
    <n v="0"/>
    <m/>
    <m/>
    <m/>
    <m/>
    <m/>
    <m/>
    <s v=""/>
    <x v="9"/>
    <x v="17"/>
    <x v="9"/>
    <x v="13"/>
    <x v="0"/>
  </r>
  <r>
    <x v="520"/>
    <m/>
    <m/>
    <m/>
    <m/>
    <m/>
    <m/>
    <x v="22"/>
    <m/>
    <m/>
    <m/>
    <m/>
    <x v="0"/>
    <m/>
    <m/>
    <s v="ENE"/>
    <n v="0"/>
    <m/>
    <m/>
    <m/>
    <m/>
    <m/>
    <m/>
    <s v=""/>
    <x v="9"/>
    <x v="17"/>
    <x v="9"/>
    <x v="13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90B51C-9606-423B-9954-EFCD8EF18AC4}" name="TablaDinámica2" cacheId="6" applyNumberFormats="0" applyBorderFormats="0" applyFontFormats="0" applyPatternFormats="0" applyAlignmentFormats="0" applyWidthHeightFormats="1" dataCaption="Valores" updatedVersion="7" minRefreshableVersion="3" useAutoFormatting="1" rowGrandTotals="0" colGrandTotals="0" itemPrintTitles="1" createdVersion="6" indent="0" compact="0" compactData="0" multipleFieldFilters="0">
  <location ref="A3:Y25" firstHeaderRow="1" firstDataRow="2" firstDataCol="2" rowPageCount="1" colPageCount="1"/>
  <pivotFields count="2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23">
        <item x="13"/>
        <item x="3"/>
        <item x="9"/>
        <item x="2"/>
        <item x="16"/>
        <item x="14"/>
        <item x="12"/>
        <item x="1"/>
        <item x="19"/>
        <item x="20"/>
        <item x="10"/>
        <item x="7"/>
        <item x="11"/>
        <item x="4"/>
        <item x="6"/>
        <item x="17"/>
        <item x="18"/>
        <item x="5"/>
        <item x="8"/>
        <item x="21"/>
        <item x="0"/>
        <item x="15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10">
        <item x="0"/>
        <item x="1"/>
        <item x="2"/>
        <item x="3"/>
        <item x="4"/>
        <item x="5"/>
        <item x="6"/>
        <item x="7"/>
        <item x="8"/>
        <item h="1"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9"/>
        <item m="1" x="11"/>
        <item x="5"/>
        <item m="1" x="15"/>
        <item x="3"/>
        <item m="1" x="17"/>
        <item x="1"/>
        <item x="6"/>
        <item m="1" x="14"/>
        <item x="2"/>
        <item m="1" x="16"/>
        <item x="4"/>
        <item m="1" x="12"/>
        <item x="0"/>
        <item x="8"/>
        <item m="1" x="13"/>
        <item x="7"/>
        <item m="1"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2">
        <item x="17"/>
        <item m="1" x="31"/>
        <item x="11"/>
        <item x="16"/>
        <item m="1" x="21"/>
        <item x="3"/>
        <item m="1" x="27"/>
        <item x="0"/>
        <item m="1" x="20"/>
        <item x="7"/>
        <item x="8"/>
        <item x="18"/>
        <item m="1" x="24"/>
        <item x="2"/>
        <item x="9"/>
        <item m="1" x="28"/>
        <item m="1" x="26"/>
        <item x="5"/>
        <item m="1" x="22"/>
        <item x="10"/>
        <item m="1" x="23"/>
        <item x="1"/>
        <item x="14"/>
        <item m="1" x="25"/>
        <item x="4"/>
        <item m="1" x="29"/>
        <item x="6"/>
        <item x="13"/>
        <item m="1" x="30"/>
        <item x="12"/>
        <item x="15"/>
        <item m="1"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4"/>
    <field x="25"/>
  </rowFields>
  <rowItems count="21">
    <i>
      <x/>
      <x/>
    </i>
    <i>
      <x v="2"/>
      <x v="2"/>
    </i>
    <i r="1">
      <x v="5"/>
    </i>
    <i r="1">
      <x v="9"/>
    </i>
    <i r="1">
      <x v="29"/>
    </i>
    <i>
      <x v="4"/>
      <x v="17"/>
    </i>
    <i r="1">
      <x v="26"/>
    </i>
    <i>
      <x v="6"/>
      <x v="13"/>
    </i>
    <i r="1">
      <x v="14"/>
    </i>
    <i r="1">
      <x v="27"/>
    </i>
    <i>
      <x v="7"/>
      <x v="10"/>
    </i>
    <i>
      <x v="9"/>
      <x v="5"/>
    </i>
    <i r="1">
      <x v="24"/>
    </i>
    <i>
      <x v="11"/>
      <x v="5"/>
    </i>
    <i r="1">
      <x v="11"/>
    </i>
    <i r="1">
      <x v="22"/>
    </i>
    <i>
      <x v="13"/>
      <x v="3"/>
    </i>
    <i r="1">
      <x v="7"/>
    </i>
    <i r="1">
      <x v="21"/>
    </i>
    <i>
      <x v="14"/>
      <x v="30"/>
    </i>
    <i>
      <x v="16"/>
      <x v="19"/>
    </i>
  </rowItems>
  <colFields count="1">
    <field x="7"/>
  </colFields>
  <col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1">
    <pageField fld="12" hier="-1"/>
  </pageFields>
  <dataFields count="1">
    <dataField name="Suma de CANTIDAD UND COMERCIALES" fld="23" baseField="7" baseItem="0"/>
  </dataFields>
  <formats count="1">
    <format dxfId="0">
      <pivotArea outline="0" fieldPosition="0">
        <references count="1">
          <reference field="7" count="22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aDinámica1" cacheId="6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I3:M4" firstHeaderRow="1" firstDataRow="1" firstDataCol="5" rowPageCount="1" colPageCount="1"/>
  <pivotFields count="29">
    <pivotField axis="axisPage" compact="0" outline="0" showAll="0" defaultSubtotal="0">
      <items count="119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m="1" x="666"/>
        <item x="358"/>
        <item x="359"/>
        <item x="360"/>
        <item x="361"/>
        <item x="362"/>
        <item x="364"/>
        <item x="363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8"/>
        <item x="426"/>
        <item x="427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m="1" x="572"/>
        <item m="1" x="583"/>
        <item m="1" x="594"/>
        <item m="1" x="605"/>
        <item m="1" x="615"/>
        <item m="1" x="625"/>
        <item m="1" x="635"/>
        <item m="1" x="645"/>
        <item m="1" x="655"/>
        <item m="1" x="665"/>
        <item m="1" x="676"/>
        <item m="1" x="686"/>
        <item m="1" x="696"/>
        <item m="1" x="706"/>
        <item m="1" x="716"/>
        <item m="1" x="727"/>
        <item m="1" x="738"/>
        <item m="1" x="749"/>
        <item m="1" x="760"/>
        <item m="1" x="771"/>
        <item m="1" x="782"/>
        <item m="1" x="793"/>
        <item m="1" x="804"/>
        <item m="1" x="815"/>
        <item m="1" x="826"/>
        <item m="1" x="837"/>
        <item m="1" x="848"/>
        <item m="1" x="859"/>
        <item m="1" x="870"/>
        <item m="1" x="881"/>
        <item m="1" x="892"/>
        <item m="1" x="903"/>
        <item m="1" x="914"/>
        <item m="1" x="925"/>
        <item m="1" x="936"/>
        <item m="1" x="947"/>
        <item m="1" x="957"/>
        <item m="1" x="967"/>
        <item m="1" x="977"/>
        <item m="1" x="987"/>
        <item m="1" x="997"/>
        <item m="1" x="1007"/>
        <item m="1" x="1017"/>
        <item m="1" x="1027"/>
        <item m="1" x="1037"/>
        <item m="1" x="1047"/>
        <item m="1" x="1057"/>
        <item m="1" x="1067"/>
        <item m="1" x="1077"/>
        <item m="1" x="1087"/>
        <item m="1" x="1097"/>
        <item m="1" x="1107"/>
        <item m="1" x="1117"/>
        <item m="1" x="1127"/>
        <item m="1" x="1137"/>
        <item m="1" x="1147"/>
        <item m="1" x="1157"/>
        <item m="1" x="1167"/>
        <item m="1" x="1177"/>
        <item m="1" x="1187"/>
        <item m="1" x="521"/>
        <item m="1" x="531"/>
        <item m="1" x="541"/>
        <item m="1" x="551"/>
        <item m="1" x="561"/>
        <item m="1" x="571"/>
        <item m="1" x="582"/>
        <item m="1" x="593"/>
        <item m="1" x="604"/>
        <item m="1" x="614"/>
        <item m="1" x="624"/>
        <item m="1" x="634"/>
        <item m="1" x="644"/>
        <item m="1" x="654"/>
        <item m="1" x="664"/>
        <item m="1" x="675"/>
        <item m="1" x="685"/>
        <item m="1" x="695"/>
        <item m="1" x="705"/>
        <item m="1" x="715"/>
        <item m="1" x="726"/>
        <item m="1" x="737"/>
        <item m="1" x="748"/>
        <item m="1" x="759"/>
        <item m="1" x="770"/>
        <item m="1" x="781"/>
        <item m="1" x="792"/>
        <item m="1" x="803"/>
        <item m="1" x="814"/>
        <item m="1" x="825"/>
        <item m="1" x="836"/>
        <item m="1" x="847"/>
        <item m="1" x="858"/>
        <item m="1" x="869"/>
        <item m="1" x="880"/>
        <item m="1" x="891"/>
        <item m="1" x="902"/>
        <item m="1" x="913"/>
        <item m="1" x="924"/>
        <item m="1" x="935"/>
        <item m="1" x="946"/>
        <item m="1" x="956"/>
        <item m="1" x="966"/>
        <item m="1" x="976"/>
        <item m="1" x="986"/>
        <item m="1" x="996"/>
        <item m="1" x="1006"/>
        <item m="1" x="1016"/>
        <item m="1" x="1026"/>
        <item m="1" x="1036"/>
        <item m="1" x="1046"/>
        <item m="1" x="1056"/>
        <item m="1" x="1066"/>
        <item m="1" x="1076"/>
        <item m="1" x="1086"/>
        <item m="1" x="1096"/>
        <item m="1" x="1106"/>
        <item m="1" x="1116"/>
        <item m="1" x="1126"/>
        <item m="1" x="1136"/>
        <item m="1" x="1146"/>
        <item m="1" x="1156"/>
        <item m="1" x="1166"/>
        <item m="1" x="1176"/>
        <item m="1" x="1186"/>
        <item m="1" x="1196"/>
        <item m="1" x="530"/>
        <item m="1" x="540"/>
        <item m="1" x="550"/>
        <item m="1" x="560"/>
        <item m="1" x="570"/>
        <item m="1" x="581"/>
        <item m="1" x="592"/>
        <item m="1" x="603"/>
        <item m="1" x="613"/>
        <item m="1" x="623"/>
        <item m="1" x="633"/>
        <item m="1" x="643"/>
        <item m="1" x="653"/>
        <item m="1" x="663"/>
        <item m="1" x="674"/>
        <item m="1" x="684"/>
        <item m="1" x="694"/>
        <item m="1" x="704"/>
        <item m="1" x="714"/>
        <item m="1" x="725"/>
        <item m="1" x="736"/>
        <item m="1" x="747"/>
        <item m="1" x="758"/>
        <item m="1" x="769"/>
        <item m="1" x="780"/>
        <item m="1" x="791"/>
        <item m="1" x="802"/>
        <item m="1" x="813"/>
        <item m="1" x="824"/>
        <item m="1" x="835"/>
        <item m="1" x="846"/>
        <item m="1" x="857"/>
        <item m="1" x="868"/>
        <item m="1" x="879"/>
        <item m="1" x="890"/>
        <item m="1" x="901"/>
        <item m="1" x="912"/>
        <item m="1" x="923"/>
        <item m="1" x="934"/>
        <item m="1" x="945"/>
        <item m="1" x="955"/>
        <item m="1" x="965"/>
        <item m="1" x="975"/>
        <item m="1" x="985"/>
        <item m="1" x="995"/>
        <item m="1" x="1005"/>
        <item m="1" x="1015"/>
        <item m="1" x="1025"/>
        <item m="1" x="1035"/>
        <item m="1" x="1045"/>
        <item m="1" x="1055"/>
        <item m="1" x="1065"/>
        <item m="1" x="1075"/>
        <item m="1" x="1085"/>
        <item m="1" x="1095"/>
        <item m="1" x="1105"/>
        <item m="1" x="1115"/>
        <item m="1" x="1125"/>
        <item m="1" x="1135"/>
        <item m="1" x="1145"/>
        <item m="1" x="1155"/>
        <item m="1" x="1165"/>
        <item m="1" x="1175"/>
        <item m="1" x="1185"/>
        <item m="1" x="1195"/>
        <item m="1" x="529"/>
        <item m="1" x="539"/>
        <item m="1" x="549"/>
        <item m="1" x="559"/>
        <item m="1" x="569"/>
        <item m="1" x="580"/>
        <item m="1" x="591"/>
        <item m="1" x="602"/>
        <item m="1" x="612"/>
        <item m="1" x="622"/>
        <item m="1" x="632"/>
        <item m="1" x="642"/>
        <item m="1" x="652"/>
        <item m="1" x="662"/>
        <item m="1" x="673"/>
        <item m="1" x="683"/>
        <item m="1" x="693"/>
        <item m="1" x="703"/>
        <item m="1" x="713"/>
        <item m="1" x="724"/>
        <item m="1" x="735"/>
        <item m="1" x="746"/>
        <item m="1" x="757"/>
        <item m="1" x="768"/>
        <item m="1" x="779"/>
        <item m="1" x="790"/>
        <item m="1" x="801"/>
        <item m="1" x="812"/>
        <item m="1" x="823"/>
        <item m="1" x="834"/>
        <item m="1" x="845"/>
        <item m="1" x="856"/>
        <item m="1" x="867"/>
        <item m="1" x="878"/>
        <item m="1" x="889"/>
        <item m="1" x="900"/>
        <item m="1" x="911"/>
        <item m="1" x="922"/>
        <item m="1" x="933"/>
        <item m="1" x="944"/>
        <item m="1" x="954"/>
        <item m="1" x="964"/>
        <item m="1" x="974"/>
        <item m="1" x="984"/>
        <item m="1" x="994"/>
        <item m="1" x="1004"/>
        <item m="1" x="1014"/>
        <item m="1" x="1024"/>
        <item m="1" x="1034"/>
        <item m="1" x="1044"/>
        <item m="1" x="1054"/>
        <item m="1" x="1064"/>
        <item m="1" x="1074"/>
        <item m="1" x="1084"/>
        <item m="1" x="1094"/>
        <item m="1" x="1104"/>
        <item m="1" x="1114"/>
        <item m="1" x="1124"/>
        <item m="1" x="1134"/>
        <item m="1" x="1144"/>
        <item m="1" x="1154"/>
        <item m="1" x="1164"/>
        <item m="1" x="1174"/>
        <item m="1" x="1184"/>
        <item m="1" x="1194"/>
        <item m="1" x="528"/>
        <item m="1" x="538"/>
        <item m="1" x="548"/>
        <item m="1" x="558"/>
        <item m="1" x="568"/>
        <item m="1" x="579"/>
        <item m="1" x="590"/>
        <item m="1" x="601"/>
        <item m="1" x="611"/>
        <item m="1" x="621"/>
        <item m="1" x="631"/>
        <item m="1" x="641"/>
        <item m="1" x="651"/>
        <item m="1" x="661"/>
        <item m="1" x="672"/>
        <item m="1" x="682"/>
        <item m="1" x="692"/>
        <item m="1" x="702"/>
        <item m="1" x="712"/>
        <item m="1" x="723"/>
        <item m="1" x="734"/>
        <item m="1" x="745"/>
        <item m="1" x="756"/>
        <item m="1" x="767"/>
        <item m="1" x="778"/>
        <item m="1" x="789"/>
        <item m="1" x="800"/>
        <item m="1" x="811"/>
        <item m="1" x="822"/>
        <item m="1" x="833"/>
        <item m="1" x="844"/>
        <item m="1" x="855"/>
        <item m="1" x="866"/>
        <item m="1" x="877"/>
        <item m="1" x="888"/>
        <item m="1" x="899"/>
        <item m="1" x="910"/>
        <item m="1" x="921"/>
        <item m="1" x="932"/>
        <item m="1" x="943"/>
        <item m="1" x="953"/>
        <item m="1" x="963"/>
        <item m="1" x="973"/>
        <item m="1" x="983"/>
        <item m="1" x="993"/>
        <item m="1" x="1003"/>
        <item m="1" x="1013"/>
        <item m="1" x="1023"/>
        <item m="1" x="1033"/>
        <item m="1" x="1043"/>
        <item m="1" x="1053"/>
        <item m="1" x="1063"/>
        <item m="1" x="1073"/>
        <item m="1" x="1083"/>
        <item m="1" x="1093"/>
        <item m="1" x="1103"/>
        <item m="1" x="1113"/>
        <item m="1" x="1123"/>
        <item m="1" x="1133"/>
        <item m="1" x="1143"/>
        <item m="1" x="1153"/>
        <item m="1" x="1163"/>
        <item m="1" x="1173"/>
        <item m="1" x="1183"/>
        <item m="1" x="1193"/>
        <item m="1" x="527"/>
        <item m="1" x="537"/>
        <item m="1" x="547"/>
        <item m="1" x="557"/>
        <item m="1" x="567"/>
        <item m="1" x="578"/>
        <item m="1" x="589"/>
        <item m="1" x="600"/>
        <item m="1" x="610"/>
        <item m="1" x="620"/>
        <item m="1" x="630"/>
        <item m="1" x="640"/>
        <item m="1" x="650"/>
        <item m="1" x="660"/>
        <item m="1" x="671"/>
        <item m="1" x="681"/>
        <item m="1" x="691"/>
        <item m="1" x="701"/>
        <item m="1" x="711"/>
        <item m="1" x="722"/>
        <item m="1" x="733"/>
        <item m="1" x="744"/>
        <item m="1" x="755"/>
        <item m="1" x="766"/>
        <item m="1" x="777"/>
        <item m="1" x="788"/>
        <item m="1" x="799"/>
        <item m="1" x="810"/>
        <item m="1" x="821"/>
        <item m="1" x="832"/>
        <item m="1" x="843"/>
        <item m="1" x="854"/>
        <item m="1" x="865"/>
        <item m="1" x="876"/>
        <item m="1" x="887"/>
        <item m="1" x="898"/>
        <item m="1" x="909"/>
        <item m="1" x="920"/>
        <item m="1" x="931"/>
        <item m="1" x="942"/>
        <item m="1" x="952"/>
        <item m="1" x="962"/>
        <item m="1" x="972"/>
        <item m="1" x="982"/>
        <item m="1" x="992"/>
        <item m="1" x="1002"/>
        <item m="1" x="1012"/>
        <item m="1" x="1022"/>
        <item m="1" x="1032"/>
        <item m="1" x="1042"/>
        <item m="1" x="1052"/>
        <item m="1" x="1062"/>
        <item m="1" x="1072"/>
        <item m="1" x="1082"/>
        <item m="1" x="1092"/>
        <item m="1" x="1102"/>
        <item m="1" x="1112"/>
        <item m="1" x="1122"/>
        <item m="1" x="1132"/>
        <item m="1" x="1142"/>
        <item m="1" x="1152"/>
        <item m="1" x="1162"/>
        <item m="1" x="1172"/>
        <item m="1" x="1182"/>
        <item m="1" x="1192"/>
        <item m="1" x="526"/>
        <item m="1" x="536"/>
        <item m="1" x="546"/>
        <item m="1" x="556"/>
        <item m="1" x="566"/>
        <item m="1" x="577"/>
        <item m="1" x="588"/>
        <item m="1" x="599"/>
        <item m="1" x="609"/>
        <item m="1" x="619"/>
        <item m="1" x="629"/>
        <item m="1" x="639"/>
        <item m="1" x="649"/>
        <item m="1" x="659"/>
        <item m="1" x="670"/>
        <item m="1" x="680"/>
        <item m="1" x="690"/>
        <item m="1" x="700"/>
        <item m="1" x="710"/>
        <item m="1" x="721"/>
        <item m="1" x="732"/>
        <item m="1" x="743"/>
        <item m="1" x="754"/>
        <item m="1" x="765"/>
        <item m="1" x="776"/>
        <item m="1" x="787"/>
        <item m="1" x="798"/>
        <item m="1" x="809"/>
        <item m="1" x="820"/>
        <item m="1" x="831"/>
        <item m="1" x="842"/>
        <item m="1" x="853"/>
        <item m="1" x="864"/>
        <item m="1" x="875"/>
        <item m="1" x="886"/>
        <item m="1" x="897"/>
        <item m="1" x="908"/>
        <item m="1" x="919"/>
        <item m="1" x="930"/>
        <item m="1" x="941"/>
        <item m="1" x="951"/>
        <item m="1" x="961"/>
        <item m="1" x="971"/>
        <item m="1" x="981"/>
        <item m="1" x="991"/>
        <item m="1" x="1001"/>
        <item m="1" x="1011"/>
        <item m="1" x="1021"/>
        <item m="1" x="1031"/>
        <item m="1" x="1041"/>
        <item m="1" x="1051"/>
        <item m="1" x="1061"/>
        <item m="1" x="1071"/>
        <item m="1" x="1081"/>
        <item m="1" x="1091"/>
        <item m="1" x="1101"/>
        <item m="1" x="1111"/>
        <item m="1" x="1121"/>
        <item m="1" x="1131"/>
        <item m="1" x="1141"/>
        <item m="1" x="1151"/>
        <item m="1" x="1161"/>
        <item m="1" x="1171"/>
        <item m="1" x="1181"/>
        <item m="1" x="1191"/>
        <item m="1" x="525"/>
        <item m="1" x="535"/>
        <item m="1" x="545"/>
        <item m="1" x="555"/>
        <item m="1" x="565"/>
        <item m="1" x="576"/>
        <item m="1" x="587"/>
        <item m="1" x="598"/>
        <item m="1" x="608"/>
        <item m="1" x="618"/>
        <item m="1" x="628"/>
        <item m="1" x="638"/>
        <item m="1" x="648"/>
        <item m="1" x="658"/>
        <item m="1" x="669"/>
        <item m="1" x="679"/>
        <item m="1" x="689"/>
        <item m="1" x="699"/>
        <item m="1" x="709"/>
        <item m="1" x="720"/>
        <item m="1" x="731"/>
        <item m="1" x="742"/>
        <item m="1" x="753"/>
        <item m="1" x="764"/>
        <item m="1" x="775"/>
        <item m="1" x="786"/>
        <item m="1" x="797"/>
        <item m="1" x="808"/>
        <item m="1" x="819"/>
        <item m="1" x="830"/>
        <item m="1" x="841"/>
        <item m="1" x="852"/>
        <item m="1" x="863"/>
        <item m="1" x="874"/>
        <item m="1" x="885"/>
        <item m="1" x="896"/>
        <item m="1" x="907"/>
        <item m="1" x="918"/>
        <item m="1" x="929"/>
        <item m="1" x="940"/>
        <item m="1" x="950"/>
        <item m="1" x="960"/>
        <item m="1" x="970"/>
        <item m="1" x="980"/>
        <item m="1" x="990"/>
        <item m="1" x="1000"/>
        <item m="1" x="1010"/>
        <item m="1" x="1020"/>
        <item m="1" x="1030"/>
        <item m="1" x="1040"/>
        <item m="1" x="1050"/>
        <item m="1" x="1060"/>
        <item m="1" x="719"/>
        <item m="1" x="1070"/>
        <item m="1" x="730"/>
        <item m="1" x="1080"/>
        <item m="1" x="741"/>
        <item m="1" x="1090"/>
        <item m="1" x="752"/>
        <item m="1" x="1100"/>
        <item m="1" x="763"/>
        <item m="1" x="1110"/>
        <item m="1" x="774"/>
        <item m="1" x="1120"/>
        <item m="1" x="785"/>
        <item m="1" x="1130"/>
        <item m="1" x="796"/>
        <item m="1" x="1140"/>
        <item m="1" x="807"/>
        <item m="1" x="1150"/>
        <item m="1" x="818"/>
        <item m="1" x="1160"/>
        <item m="1" x="829"/>
        <item m="1" x="1170"/>
        <item m="1" x="840"/>
        <item m="1" x="1180"/>
        <item m="1" x="851"/>
        <item m="1" x="1190"/>
        <item m="1" x="862"/>
        <item m="1" x="524"/>
        <item m="1" x="873"/>
        <item m="1" x="534"/>
        <item m="1" x="884"/>
        <item m="1" x="544"/>
        <item m="1" x="895"/>
        <item m="1" x="554"/>
        <item m="1" x="906"/>
        <item m="1" x="564"/>
        <item m="1" x="917"/>
        <item m="1" x="575"/>
        <item m="1" x="928"/>
        <item m="1" x="586"/>
        <item m="1" x="939"/>
        <item m="1" x="597"/>
        <item m="1" x="949"/>
        <item m="1" x="607"/>
        <item m="1" x="959"/>
        <item m="1" x="617"/>
        <item m="1" x="969"/>
        <item m="1" x="627"/>
        <item m="1" x="979"/>
        <item m="1" x="637"/>
        <item m="1" x="989"/>
        <item m="1" x="647"/>
        <item m="1" x="999"/>
        <item m="1" x="657"/>
        <item m="1" x="1009"/>
        <item m="1" x="668"/>
        <item m="1" x="1019"/>
        <item m="1" x="678"/>
        <item m="1" x="1029"/>
        <item m="1" x="688"/>
        <item m="1" x="1039"/>
        <item m="1" x="698"/>
        <item m="1" x="1049"/>
        <item m="1" x="708"/>
        <item m="1" x="1059"/>
        <item m="1" x="718"/>
        <item m="1" x="1069"/>
        <item m="1" x="729"/>
        <item m="1" x="1079"/>
        <item m="1" x="740"/>
        <item m="1" x="1089"/>
        <item m="1" x="751"/>
        <item m="1" x="1099"/>
        <item m="1" x="762"/>
        <item m="1" x="1109"/>
        <item m="1" x="773"/>
        <item m="1" x="1119"/>
        <item m="1" x="784"/>
        <item m="1" x="1129"/>
        <item m="1" x="795"/>
        <item m="1" x="1139"/>
        <item m="1" x="806"/>
        <item m="1" x="1149"/>
        <item m="1" x="817"/>
        <item m="1" x="1159"/>
        <item m="1" x="828"/>
        <item m="1" x="1169"/>
        <item m="1" x="839"/>
        <item m="1" x="1179"/>
        <item m="1" x="850"/>
        <item m="1" x="1189"/>
        <item m="1" x="861"/>
        <item m="1" x="523"/>
        <item m="1" x="872"/>
        <item m="1" x="533"/>
        <item m="1" x="883"/>
        <item m="1" x="543"/>
        <item m="1" x="894"/>
        <item m="1" x="553"/>
        <item m="1" x="905"/>
        <item m="1" x="563"/>
        <item m="1" x="916"/>
        <item m="1" x="574"/>
        <item m="1" x="927"/>
        <item m="1" x="585"/>
        <item m="1" x="938"/>
        <item m="1" x="596"/>
        <item m="1" x="948"/>
        <item m="1" x="606"/>
        <item m="1" x="958"/>
        <item m="1" x="616"/>
        <item m="1" x="968"/>
        <item m="1" x="626"/>
        <item m="1" x="978"/>
        <item m="1" x="636"/>
        <item m="1" x="988"/>
        <item m="1" x="646"/>
        <item m="1" x="998"/>
        <item m="1" x="656"/>
        <item m="1" x="1008"/>
        <item m="1" x="667"/>
        <item m="1" x="1018"/>
        <item m="1" x="677"/>
        <item m="1" x="1028"/>
        <item m="1" x="687"/>
        <item m="1" x="1038"/>
        <item m="1" x="697"/>
        <item m="1" x="1048"/>
        <item m="1" x="707"/>
        <item m="1" x="1058"/>
        <item m="1" x="717"/>
        <item m="1" x="1068"/>
        <item m="1" x="728"/>
        <item m="1" x="1078"/>
        <item m="1" x="739"/>
        <item m="1" x="1088"/>
        <item m="1" x="750"/>
        <item m="1" x="1098"/>
        <item m="1" x="761"/>
        <item m="1" x="1108"/>
        <item m="1" x="772"/>
        <item m="1" x="1118"/>
        <item m="1" x="783"/>
        <item m="1" x="1128"/>
        <item m="1" x="794"/>
        <item m="1" x="1138"/>
        <item m="1" x="805"/>
        <item m="1" x="1148"/>
        <item m="1" x="816"/>
        <item m="1" x="1158"/>
        <item m="1" x="827"/>
        <item m="1" x="1168"/>
        <item m="1" x="838"/>
        <item m="1" x="1178"/>
        <item m="1" x="849"/>
        <item m="1" x="1188"/>
        <item m="1" x="860"/>
        <item m="1" x="522"/>
        <item m="1" x="871"/>
        <item m="1" x="532"/>
        <item m="1" x="882"/>
        <item m="1" x="542"/>
        <item m="1" x="893"/>
        <item m="1" x="552"/>
        <item m="1" x="904"/>
        <item m="1" x="562"/>
        <item m="1" x="915"/>
        <item m="1" x="573"/>
        <item m="1" x="926"/>
        <item m="1" x="584"/>
        <item m="1" x="937"/>
        <item m="1" x="595"/>
        <item x="52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8">
        <item x="9"/>
        <item m="1" x="11"/>
        <item m="1" x="15"/>
        <item m="1" x="17"/>
        <item m="1" x="14"/>
        <item m="1" x="16"/>
        <item m="1" x="12"/>
        <item m="1" x="10"/>
        <item x="6"/>
        <item m="1" x="13"/>
        <item x="0"/>
        <item x="1"/>
        <item x="2"/>
        <item x="3"/>
        <item x="4"/>
        <item x="5"/>
        <item x="7"/>
        <item x="8"/>
      </items>
    </pivotField>
    <pivotField axis="axisRow" compact="0" outline="0" showAll="0" defaultSubtotal="0">
      <items count="32">
        <item x="17"/>
        <item m="1" x="31"/>
        <item m="1" x="21"/>
        <item x="9"/>
        <item m="1" x="28"/>
        <item m="1" x="26"/>
        <item m="1" x="30"/>
        <item m="1" x="27"/>
        <item m="1" x="23"/>
        <item m="1" x="24"/>
        <item m="1" x="25"/>
        <item m="1" x="19"/>
        <item m="1" x="29"/>
        <item m="1" x="20"/>
        <item x="8"/>
        <item m="1" x="22"/>
        <item x="13"/>
        <item x="0"/>
        <item x="1"/>
        <item x="2"/>
        <item x="3"/>
        <item x="4"/>
        <item x="5"/>
        <item x="6"/>
        <item x="7"/>
        <item x="10"/>
        <item x="11"/>
        <item x="12"/>
        <item x="14"/>
        <item x="15"/>
        <item x="16"/>
        <item x="18"/>
      </items>
    </pivotField>
    <pivotField axis="axisRow" compact="0" outline="0" showAll="0" defaultSubtotal="0">
      <items count="13">
        <item x="9"/>
        <item m="1" x="11"/>
        <item x="0"/>
        <item x="1"/>
        <item x="5"/>
        <item m="1" x="10"/>
        <item m="1" x="12"/>
        <item x="2"/>
        <item x="3"/>
        <item x="4"/>
        <item x="6"/>
        <item x="7"/>
        <item x="8"/>
      </items>
    </pivotField>
    <pivotField axis="axisRow" compact="0" outline="0" showAll="0" defaultSubtotal="0">
      <items count="22">
        <item x="13"/>
        <item m="1" x="16"/>
        <item x="7"/>
        <item m="1" x="18"/>
        <item m="1" x="21"/>
        <item m="1" x="19"/>
        <item m="1" x="17"/>
        <item m="1" x="15"/>
        <item m="1" x="14"/>
        <item x="5"/>
        <item m="1" x="20"/>
        <item x="0"/>
        <item x="1"/>
        <item x="2"/>
        <item x="3"/>
        <item x="4"/>
        <item x="6"/>
        <item x="8"/>
        <item x="9"/>
        <item x="10"/>
        <item x="11"/>
        <item x="12"/>
      </items>
    </pivotField>
    <pivotField axis="axisRow" compact="0" outline="0" showAll="0" defaultSubtotal="0">
      <items count="357">
        <item x="0"/>
        <item m="1" x="245"/>
        <item m="1" x="268"/>
        <item m="1" x="304"/>
        <item m="1" x="317"/>
        <item m="1" x="230"/>
        <item m="1" x="264"/>
        <item m="1" x="246"/>
        <item m="1" x="212"/>
        <item m="1" x="222"/>
        <item m="1" x="244"/>
        <item m="1" x="281"/>
        <item m="1" x="353"/>
        <item m="1" x="256"/>
        <item m="1" x="258"/>
        <item m="1" x="271"/>
        <item m="1" x="220"/>
        <item m="1" x="348"/>
        <item m="1" x="303"/>
        <item m="1" x="216"/>
        <item m="1" x="225"/>
        <item m="1" x="282"/>
        <item m="1" x="226"/>
        <item m="1" x="228"/>
        <item m="1" x="243"/>
        <item m="1" x="254"/>
        <item m="1" x="292"/>
        <item m="1" x="219"/>
        <item m="1" x="279"/>
        <item m="1" x="341"/>
        <item m="1" x="340"/>
        <item m="1" x="273"/>
        <item m="1" x="345"/>
        <item m="1" x="335"/>
        <item m="1" x="355"/>
        <item m="1" x="326"/>
        <item m="1" x="259"/>
        <item m="1" x="211"/>
        <item m="1" x="322"/>
        <item m="1" x="337"/>
        <item m="1" x="305"/>
        <item m="1" x="329"/>
        <item m="1" x="308"/>
        <item m="1" x="260"/>
        <item m="1" x="287"/>
        <item m="1" x="270"/>
        <item m="1" x="241"/>
        <item m="1" x="239"/>
        <item m="1" x="276"/>
        <item m="1" x="338"/>
        <item m="1" x="354"/>
        <item m="1" x="325"/>
        <item m="1" x="232"/>
        <item m="1" x="278"/>
        <item m="1" x="247"/>
        <item m="1" x="217"/>
        <item m="1" x="339"/>
        <item m="1" x="255"/>
        <item m="1" x="336"/>
        <item m="1" x="229"/>
        <item m="1" x="314"/>
        <item m="1" x="250"/>
        <item m="1" x="302"/>
        <item m="1" x="332"/>
        <item m="1" x="349"/>
        <item m="1" x="323"/>
        <item m="1" x="297"/>
        <item m="1" x="265"/>
        <item m="1" x="218"/>
        <item m="1" x="324"/>
        <item m="1" x="262"/>
        <item m="1" x="235"/>
        <item m="1" x="266"/>
        <item m="1" x="290"/>
        <item m="1" x="313"/>
        <item m="1" x="309"/>
        <item m="1" x="285"/>
        <item m="1" x="269"/>
        <item m="1" x="296"/>
        <item m="1" x="283"/>
        <item m="1" x="352"/>
        <item m="1" x="298"/>
        <item m="1" x="320"/>
        <item m="1" x="333"/>
        <item m="1" x="210"/>
        <item m="1" x="240"/>
        <item m="1" x="251"/>
        <item m="1" x="344"/>
        <item m="1" x="227"/>
        <item m="1" x="215"/>
        <item m="1" x="293"/>
        <item m="1" x="301"/>
        <item m="1" x="257"/>
        <item m="1" x="356"/>
        <item m="1" x="321"/>
        <item m="1" x="299"/>
        <item m="1" x="236"/>
        <item m="1" x="272"/>
        <item m="1" x="275"/>
        <item m="1" x="253"/>
        <item m="1" x="263"/>
        <item m="1" x="306"/>
        <item m="1" x="307"/>
        <item m="1" x="209"/>
        <item m="1" x="242"/>
        <item m="1" x="346"/>
        <item m="1" x="300"/>
        <item m="1" x="286"/>
        <item m="1" x="237"/>
        <item m="1" x="318"/>
        <item m="1" x="221"/>
        <item m="1" x="351"/>
        <item m="1" x="319"/>
        <item m="1" x="295"/>
        <item m="1" x="288"/>
        <item m="1" x="234"/>
        <item m="1" x="328"/>
        <item m="1" x="224"/>
        <item m="1" x="267"/>
        <item m="1" x="284"/>
        <item m="1" x="330"/>
        <item m="1" x="316"/>
        <item m="1" x="277"/>
        <item m="1" x="233"/>
        <item m="1" x="252"/>
        <item m="1" x="291"/>
        <item m="1" x="315"/>
        <item m="1" x="294"/>
        <item m="1" x="231"/>
        <item m="1" x="334"/>
        <item m="1" x="238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102"/>
        <item x="103"/>
        <item x="104"/>
        <item x="138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m="1" x="223"/>
        <item x="126"/>
        <item x="127"/>
        <item m="1" x="350"/>
        <item x="128"/>
        <item x="129"/>
        <item x="130"/>
        <item x="131"/>
        <item x="132"/>
        <item x="133"/>
        <item x="158"/>
        <item x="137"/>
        <item m="1" x="248"/>
        <item x="140"/>
        <item x="134"/>
        <item x="135"/>
        <item x="167"/>
        <item x="139"/>
        <item x="164"/>
        <item m="1" x="331"/>
        <item x="136"/>
        <item x="152"/>
        <item x="141"/>
        <item x="148"/>
        <item x="146"/>
        <item x="142"/>
        <item x="143"/>
        <item m="1" x="261"/>
        <item x="144"/>
        <item m="1" x="327"/>
        <item x="145"/>
        <item m="1" x="274"/>
        <item x="190"/>
        <item x="147"/>
        <item m="1" x="312"/>
        <item x="149"/>
        <item x="150"/>
        <item x="151"/>
        <item x="195"/>
        <item m="1" x="343"/>
        <item x="153"/>
        <item x="206"/>
        <item x="154"/>
        <item x="155"/>
        <item m="1" x="310"/>
        <item x="156"/>
        <item x="166"/>
        <item x="157"/>
        <item x="159"/>
        <item x="160"/>
        <item x="161"/>
        <item x="162"/>
        <item x="163"/>
        <item x="165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m="1" x="280"/>
        <item x="179"/>
        <item x="180"/>
        <item x="181"/>
        <item x="182"/>
        <item x="183"/>
        <item x="184"/>
        <item x="185"/>
        <item x="186"/>
        <item x="187"/>
        <item x="188"/>
        <item m="1" x="311"/>
        <item m="1" x="213"/>
        <item m="1" x="342"/>
        <item x="189"/>
        <item x="193"/>
        <item x="191"/>
        <item x="192"/>
        <item m="1" x="214"/>
        <item m="1" x="347"/>
        <item m="1" x="289"/>
        <item x="194"/>
        <item m="1" x="249"/>
        <item x="196"/>
        <item x="197"/>
        <item x="198"/>
        <item x="199"/>
        <item x="200"/>
        <item x="201"/>
        <item x="202"/>
        <item x="203"/>
        <item x="204"/>
        <item x="205"/>
        <item x="207"/>
        <item x="208"/>
      </items>
    </pivotField>
  </pivotFields>
  <rowFields count="5">
    <field x="24"/>
    <field x="25"/>
    <field x="26"/>
    <field x="27"/>
    <field x="28"/>
  </rowFields>
  <rowItems count="1">
    <i>
      <x v="10"/>
      <x v="17"/>
      <x v="2"/>
      <x v="11"/>
      <x v="148"/>
    </i>
  </rowItems>
  <colItems count="1">
    <i/>
  </colItems>
  <pageFields count="1">
    <pageField fld="0" item="520" hier="-1"/>
  </pageFields>
  <formats count="31">
    <format dxfId="31">
      <pivotArea type="all" dataOnly="0" outline="0" fieldPosition="0"/>
    </format>
    <format dxfId="30">
      <pivotArea field="24" type="button" dataOnly="0" labelOnly="1" outline="0" axis="axisRow" fieldPosition="0"/>
    </format>
    <format dxfId="29">
      <pivotArea field="25" type="button" dataOnly="0" labelOnly="1" outline="0" axis="axisRow" fieldPosition="1"/>
    </format>
    <format dxfId="28">
      <pivotArea field="26" type="button" dataOnly="0" labelOnly="1" outline="0" axis="axisRow" fieldPosition="2"/>
    </format>
    <format dxfId="27">
      <pivotArea field="27" type="button" dataOnly="0" labelOnly="1" outline="0" axis="axisRow" fieldPosition="3"/>
    </format>
    <format dxfId="26">
      <pivotArea field="28" type="button" dataOnly="0" labelOnly="1" outline="0" axis="axisRow" fieldPosition="4"/>
    </format>
    <format dxfId="25">
      <pivotArea dataOnly="0" labelOnly="1" outline="0" fieldPosition="0">
        <references count="1">
          <reference field="24" count="2">
            <x v="1"/>
            <x v="5"/>
          </reference>
        </references>
      </pivotArea>
    </format>
    <format dxfId="24">
      <pivotArea dataOnly="0" labelOnly="1" outline="0" fieldPosition="0">
        <references count="2">
          <reference field="24" count="1" selected="0">
            <x v="1"/>
          </reference>
          <reference field="25" count="1">
            <x v="1"/>
          </reference>
        </references>
      </pivotArea>
    </format>
    <format dxfId="23">
      <pivotArea dataOnly="0" labelOnly="1" outline="0" fieldPosition="0">
        <references count="2">
          <reference field="24" count="1" selected="0">
            <x v="5"/>
          </reference>
          <reference field="25" count="1">
            <x v="4"/>
          </reference>
        </references>
      </pivotArea>
    </format>
    <format dxfId="22">
      <pivotArea dataOnly="0" labelOnly="1" outline="0" fieldPosition="0">
        <references count="3">
          <reference field="24" count="1" selected="0">
            <x v="1"/>
          </reference>
          <reference field="25" count="1" selected="0">
            <x v="1"/>
          </reference>
          <reference field="26" count="1">
            <x v="3"/>
          </reference>
        </references>
      </pivotArea>
    </format>
    <format dxfId="21">
      <pivotArea dataOnly="0" labelOnly="1" outline="0" fieldPosition="0">
        <references count="3">
          <reference field="24" count="1" selected="0">
            <x v="5"/>
          </reference>
          <reference field="25" count="1" selected="0">
            <x v="4"/>
          </reference>
          <reference field="26" count="1">
            <x v="1"/>
          </reference>
        </references>
      </pivotArea>
    </format>
    <format dxfId="20">
      <pivotArea dataOnly="0" labelOnly="1" outline="0" fieldPosition="0">
        <references count="4">
          <reference field="24" count="1" selected="0">
            <x v="1"/>
          </reference>
          <reference field="25" count="1" selected="0">
            <x v="1"/>
          </reference>
          <reference field="26" count="1" selected="0">
            <x v="3"/>
          </reference>
          <reference field="27" count="1">
            <x v="5"/>
          </reference>
        </references>
      </pivotArea>
    </format>
    <format dxfId="19">
      <pivotArea dataOnly="0" labelOnly="1" outline="0" fieldPosition="0">
        <references count="4">
          <reference field="24" count="1" selected="0">
            <x v="5"/>
          </reference>
          <reference field="25" count="1" selected="0">
            <x v="4"/>
          </reference>
          <reference field="26" count="1" selected="0">
            <x v="1"/>
          </reference>
          <reference field="27" count="1">
            <x v="4"/>
          </reference>
        </references>
      </pivotArea>
    </format>
    <format dxfId="18">
      <pivotArea dataOnly="0" labelOnly="1" outline="0" fieldPosition="0">
        <references count="5">
          <reference field="24" count="1" selected="0">
            <x v="1"/>
          </reference>
          <reference field="25" count="1" selected="0">
            <x v="1"/>
          </reference>
          <reference field="26" count="1" selected="0">
            <x v="3"/>
          </reference>
          <reference field="27" count="1" selected="0">
            <x v="5"/>
          </reference>
          <reference field="28" count="1">
            <x v="2"/>
          </reference>
        </references>
      </pivotArea>
    </format>
    <format dxfId="17">
      <pivotArea dataOnly="0" labelOnly="1" outline="0" fieldPosition="0">
        <references count="5">
          <reference field="24" count="1" selected="0">
            <x v="5"/>
          </reference>
          <reference field="25" count="1" selected="0">
            <x v="4"/>
          </reference>
          <reference field="26" count="1" selected="0">
            <x v="1"/>
          </reference>
          <reference field="27" count="1" selected="0">
            <x v="4"/>
          </reference>
          <reference field="28" count="1">
            <x v="3"/>
          </reference>
        </references>
      </pivotArea>
    </format>
    <format dxfId="16">
      <pivotArea type="all" dataOnly="0" outline="0" fieldPosition="0"/>
    </format>
    <format dxfId="15">
      <pivotArea field="24" type="button" dataOnly="0" labelOnly="1" outline="0" axis="axisRow" fieldPosition="0"/>
    </format>
    <format dxfId="14">
      <pivotArea field="25" type="button" dataOnly="0" labelOnly="1" outline="0" axis="axisRow" fieldPosition="1"/>
    </format>
    <format dxfId="13">
      <pivotArea field="26" type="button" dataOnly="0" labelOnly="1" outline="0" axis="axisRow" fieldPosition="2"/>
    </format>
    <format dxfId="12">
      <pivotArea field="27" type="button" dataOnly="0" labelOnly="1" outline="0" axis="axisRow" fieldPosition="3"/>
    </format>
    <format dxfId="11">
      <pivotArea field="28" type="button" dataOnly="0" labelOnly="1" outline="0" axis="axisRow" fieldPosition="4"/>
    </format>
    <format dxfId="10">
      <pivotArea dataOnly="0" labelOnly="1" outline="0" fieldPosition="0">
        <references count="1">
          <reference field="24" count="2">
            <x v="1"/>
            <x v="5"/>
          </reference>
        </references>
      </pivotArea>
    </format>
    <format dxfId="9">
      <pivotArea dataOnly="0" labelOnly="1" outline="0" fieldPosition="0">
        <references count="2">
          <reference field="24" count="1" selected="0">
            <x v="1"/>
          </reference>
          <reference field="25" count="1">
            <x v="1"/>
          </reference>
        </references>
      </pivotArea>
    </format>
    <format dxfId="8">
      <pivotArea dataOnly="0" labelOnly="1" outline="0" fieldPosition="0">
        <references count="2">
          <reference field="24" count="1" selected="0">
            <x v="5"/>
          </reference>
          <reference field="25" count="1">
            <x v="4"/>
          </reference>
        </references>
      </pivotArea>
    </format>
    <format dxfId="7">
      <pivotArea dataOnly="0" labelOnly="1" outline="0" fieldPosition="0">
        <references count="3">
          <reference field="24" count="1" selected="0">
            <x v="1"/>
          </reference>
          <reference field="25" count="1" selected="0">
            <x v="1"/>
          </reference>
          <reference field="26" count="1">
            <x v="3"/>
          </reference>
        </references>
      </pivotArea>
    </format>
    <format dxfId="6">
      <pivotArea dataOnly="0" labelOnly="1" outline="0" fieldPosition="0">
        <references count="3">
          <reference field="24" count="1" selected="0">
            <x v="5"/>
          </reference>
          <reference field="25" count="1" selected="0">
            <x v="4"/>
          </reference>
          <reference field="26" count="1">
            <x v="1"/>
          </reference>
        </references>
      </pivotArea>
    </format>
    <format dxfId="5">
      <pivotArea dataOnly="0" labelOnly="1" outline="0" fieldPosition="0">
        <references count="4">
          <reference field="24" count="1" selected="0">
            <x v="1"/>
          </reference>
          <reference field="25" count="1" selected="0">
            <x v="1"/>
          </reference>
          <reference field="26" count="1" selected="0">
            <x v="3"/>
          </reference>
          <reference field="27" count="1">
            <x v="5"/>
          </reference>
        </references>
      </pivotArea>
    </format>
    <format dxfId="4">
      <pivotArea dataOnly="0" labelOnly="1" outline="0" fieldPosition="0">
        <references count="4">
          <reference field="24" count="1" selected="0">
            <x v="5"/>
          </reference>
          <reference field="25" count="1" selected="0">
            <x v="4"/>
          </reference>
          <reference field="26" count="1" selected="0">
            <x v="1"/>
          </reference>
          <reference field="27" count="1">
            <x v="4"/>
          </reference>
        </references>
      </pivotArea>
    </format>
    <format dxfId="3">
      <pivotArea dataOnly="0" labelOnly="1" outline="0" fieldPosition="0">
        <references count="5">
          <reference field="24" count="1" selected="0">
            <x v="1"/>
          </reference>
          <reference field="25" count="1" selected="0">
            <x v="1"/>
          </reference>
          <reference field="26" count="1" selected="0">
            <x v="3"/>
          </reference>
          <reference field="27" count="1" selected="0">
            <x v="5"/>
          </reference>
          <reference field="28" count="1">
            <x v="2"/>
          </reference>
        </references>
      </pivotArea>
    </format>
    <format dxfId="2">
      <pivotArea dataOnly="0" labelOnly="1" outline="0" fieldPosition="0">
        <references count="5">
          <reference field="24" count="1" selected="0">
            <x v="5"/>
          </reference>
          <reference field="25" count="1" selected="0">
            <x v="4"/>
          </reference>
          <reference field="26" count="1" selected="0">
            <x v="1"/>
          </reference>
          <reference field="27" count="1" selected="0">
            <x v="4"/>
          </reference>
          <reference field="28" count="1">
            <x v="3"/>
          </reference>
        </references>
      </pivotArea>
    </format>
    <format dxfId="1">
      <pivotArea dataOnly="0" labelOnly="1" outline="0" fieldPosition="0">
        <references count="1">
          <reference field="0" count="0"/>
        </references>
      </pivotArea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B1:AD1243" totalsRowShown="0" headerRowDxfId="62" dataDxfId="61">
  <autoFilter ref="B1:AD1243" xr:uid="{00000000-0009-0000-0100-000001000000}"/>
  <sortState xmlns:xlrd2="http://schemas.microsoft.com/office/spreadsheetml/2017/richdata2" ref="B3:AD1204">
    <sortCondition ref="B2:B1204"/>
  </sortState>
  <tableColumns count="29">
    <tableColumn id="1" xr3:uid="{00000000-0010-0000-0000-000001000000}" name="No Solicitud" dataDxfId="60"/>
    <tableColumn id="2" xr3:uid="{00000000-0010-0000-0000-000002000000}" name="NOMBRE" dataDxfId="59"/>
    <tableColumn id="3" xr3:uid="{00000000-0010-0000-0000-000003000000}" name="CARGO" dataDxfId="58"/>
    <tableColumn id="4" xr3:uid="{00000000-0010-0000-0000-000004000000}" name="ENTIDAD" dataDxfId="57"/>
    <tableColumn id="34" xr3:uid="{00000000-0010-0000-0000-000022000000}" name="NIT" dataDxfId="56"/>
    <tableColumn id="5" xr3:uid="{00000000-0010-0000-0000-000005000000}" name="EMAIL" dataDxfId="55"/>
    <tableColumn id="6" xr3:uid="{00000000-0010-0000-0000-000006000000}" name="DIRECCIÓN" dataDxfId="54"/>
    <tableColumn id="7" xr3:uid="{00000000-0010-0000-0000-000007000000}" name="DEPARTAMENTO" dataDxfId="53"/>
    <tableColumn id="35" xr3:uid="{00000000-0010-0000-0000-000023000000}" name="MUNICIPIO" dataDxfId="52"/>
    <tableColumn id="8" xr3:uid="{00000000-0010-0000-0000-000008000000}" name="ASUNTO" dataDxfId="51"/>
    <tableColumn id="9" xr3:uid="{00000000-0010-0000-0000-000009000000}" name="RADICADO ENTRADA" dataDxfId="50"/>
    <tableColumn id="10" xr3:uid="{00000000-0010-0000-0000-00000A000000}" name="FECHA RADICADO ENTRADA" dataDxfId="49"/>
    <tableColumn id="11" xr3:uid="{00000000-0010-0000-0000-00000B000000}" name="MES ENTRADA" dataDxfId="48">
      <calculatedColumnFormula>IFERROR(UPPER(TEXT(MONTH(Tabla1[[#This Row],[FECHA RADICADO ENTRADA]]),"MMM")),"")</calculatedColumnFormula>
    </tableColumn>
    <tableColumn id="12" xr3:uid="{00000000-0010-0000-0000-00000C000000}" name="RADICADO SALIDA" dataDxfId="47"/>
    <tableColumn id="13" xr3:uid="{00000000-0010-0000-0000-00000D000000}" name="FECHA RADICADO SALIDA" dataDxfId="46"/>
    <tableColumn id="14" xr3:uid="{00000000-0010-0000-0000-00000E000000}" name="MES SALIDA" dataDxfId="45">
      <calculatedColumnFormula>IFERROR(UPPER(TEXT(MONTH(Tabla1[[#This Row],[FECHA RADICADO SALIDA]]),"MMM")),"")</calculatedColumnFormula>
    </tableColumn>
    <tableColumn id="15" xr3:uid="{00000000-0010-0000-0000-00000F000000}" name="DIAS RESPUESTA" dataDxfId="44">
      <calculatedColumnFormula>_xlfn.DAYS(M2,P2)</calculatedColumnFormula>
    </tableColumn>
    <tableColumn id="16" xr3:uid="{00000000-0010-0000-0000-000010000000}" name="ESTADO" dataDxfId="43"/>
    <tableColumn id="17" xr3:uid="{00000000-0010-0000-0000-000011000000}" name="OBSERVACIÓN" dataDxfId="42"/>
    <tableColumn id="18" xr3:uid="{00000000-0010-0000-0000-000012000000}" name="No. DE RESOLUCIÓN" dataDxfId="41"/>
    <tableColumn id="19" xr3:uid="{00000000-0010-0000-0000-000013000000}" name="FECHA DE RESOLUCIÓN" dataDxfId="40"/>
    <tableColumn id="26" xr3:uid="{00000000-0010-0000-0000-00001A000000}" name="MEDICAMENTO" dataDxfId="39"/>
    <tableColumn id="27" xr3:uid="{00000000-0010-0000-0000-00001B000000}" name="CANTIDAD UND FARMACEUTICAS" dataDxfId="38"/>
    <tableColumn id="28" xr3:uid="{00000000-0010-0000-0000-00001C000000}" name="CANTIDAD UND COMERCIALES" dataDxfId="37">
      <calculatedColumnFormula>IFERROR(INT(Tabla1[[#This Row],[CANTIDAD UND FARMACEUTICAS]]/(VLOOKUP(Tabla1[[#This Row],[MEDICAMENTO]],TAB_REF!$K$3:$L$27,2,0))),"")</calculatedColumnFormula>
    </tableColumn>
    <tableColumn id="29" xr3:uid="{00000000-0010-0000-0000-00001D000000}" name="NOMBRE MED." dataDxfId="36">
      <calculatedColumnFormula>IFERROR(VLOOKUP(Tabla1[[#This Row],[MEDICAMENTO]],TAB_REF!$B$3:$F$27,2,0), "")</calculatedColumnFormula>
    </tableColumn>
    <tableColumn id="30" xr3:uid="{00000000-0010-0000-0000-00001E000000}" name="CONCENTRACION" dataDxfId="35">
      <calculatedColumnFormula>IFERROR(VLOOKUP(Tabla1[[#This Row],[MEDICAMENTO]],TAB_REF!$B$3:$F$27,3,0), "")</calculatedColumnFormula>
    </tableColumn>
    <tableColumn id="31" xr3:uid="{00000000-0010-0000-0000-00001F000000}" name="FORMA FARMACEUTICA" dataDxfId="34">
      <calculatedColumnFormula>IFERROR(VLOOKUP(Tabla1[[#This Row],[MEDICAMENTO]],TAB_REF!$B$3:$F$27,4,0), "")</calculatedColumnFormula>
    </tableColumn>
    <tableColumn id="32" xr3:uid="{00000000-0010-0000-0000-000020000000}" name="CANTIDAD" dataDxfId="33">
      <calculatedColumnFormula>IFERROR(VLOOKUP(Tabla1[[#This Row],[MEDICAMENTO]],TAB_REF!$B$3:$F$27,5,0), "")</calculatedColumnFormula>
    </tableColumn>
    <tableColumn id="33" xr3:uid="{00000000-0010-0000-0000-000021000000}" name="CANTIDAD NUM LETRAS" dataDxfId="32">
      <calculatedColumnFormula>IFERROR(VLOOKUP(Tabla1[[#This Row],[CANTIDAD UND COMERCIALES]],TAB_REF!$H$3:$I$1003,2,0)&amp;" ("&amp;Tabla1[[#This Row],[CANTIDAD UND COMERCIALES]]&amp;")"&amp;"_"&amp;Tabla1[[#This Row],[CANTIDAD]],"")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mailto:quimicofarmaceutico@clinicadelamujersa.com.co" TargetMode="External"/><Relationship Id="rId21" Type="http://schemas.openxmlformats.org/officeDocument/2006/relationships/hyperlink" Target="mailto:quimicofarmaceutico@clinicadelamujersa.com.co" TargetMode="External"/><Relationship Id="rId42" Type="http://schemas.openxmlformats.org/officeDocument/2006/relationships/hyperlink" Target="mailto:quimicocienaga@clinicageneraldelnorte.com" TargetMode="External"/><Relationship Id="rId63" Type="http://schemas.openxmlformats.org/officeDocument/2006/relationships/hyperlink" Target="mailto:ufun_farmacia@hospitalgranada.gov.co" TargetMode="External"/><Relationship Id="rId84" Type="http://schemas.openxmlformats.org/officeDocument/2006/relationships/hyperlink" Target="mailto:farmacia@hflleras.gov.co" TargetMode="External"/><Relationship Id="rId138" Type="http://schemas.openxmlformats.org/officeDocument/2006/relationships/hyperlink" Target="mailto:eparra@eticos.com" TargetMode="External"/><Relationship Id="rId159" Type="http://schemas.openxmlformats.org/officeDocument/2006/relationships/hyperlink" Target="mailto:compras@angiografiadecolombia.com" TargetMode="External"/><Relationship Id="rId170" Type="http://schemas.openxmlformats.org/officeDocument/2006/relationships/hyperlink" Target="mailto:socorrogomez@fcv.org" TargetMode="External"/><Relationship Id="rId107" Type="http://schemas.openxmlformats.org/officeDocument/2006/relationships/hyperlink" Target="mailto:dispensario686@drogaslaeconomia.com" TargetMode="External"/><Relationship Id="rId11" Type="http://schemas.openxmlformats.org/officeDocument/2006/relationships/hyperlink" Target="mailto:compras5@coodestol.com.co" TargetMode="External"/><Relationship Id="rId32" Type="http://schemas.openxmlformats.org/officeDocument/2006/relationships/hyperlink" Target="mailto:mariaeu_6@yahoo.com" TargetMode="External"/><Relationship Id="rId53" Type="http://schemas.openxmlformats.org/officeDocument/2006/relationships/hyperlink" Target="mailto:compras.policlinica@hotmail.com" TargetMode="External"/><Relationship Id="rId74" Type="http://schemas.openxmlformats.org/officeDocument/2006/relationships/hyperlink" Target="mailto:gloria_quintero@nexusvital.com" TargetMode="External"/><Relationship Id="rId128" Type="http://schemas.openxmlformats.org/officeDocument/2006/relationships/hyperlink" Target="mailto:compras@hdcentenario.gov.co" TargetMode="External"/><Relationship Id="rId149" Type="http://schemas.openxmlformats.org/officeDocument/2006/relationships/hyperlink" Target="mailto:farmacia@hospitalsvpgarzon.gov.co" TargetMode="External"/><Relationship Id="rId5" Type="http://schemas.openxmlformats.org/officeDocument/2006/relationships/hyperlink" Target="mailto:compras@clinicamedihelp.com" TargetMode="External"/><Relationship Id="rId95" Type="http://schemas.openxmlformats.org/officeDocument/2006/relationships/hyperlink" Target="mailto:compras@medicadiz.com.co" TargetMode="External"/><Relationship Id="rId160" Type="http://schemas.openxmlformats.org/officeDocument/2006/relationships/hyperlink" Target="mailto:compras@angiografiadecolombia.com" TargetMode="External"/><Relationship Id="rId181" Type="http://schemas.openxmlformats.org/officeDocument/2006/relationships/comments" Target="../comments1.xml"/><Relationship Id="rId22" Type="http://schemas.openxmlformats.org/officeDocument/2006/relationships/hyperlink" Target="mailto:v.adrian.ramirez@gmail.com" TargetMode="External"/><Relationship Id="rId43" Type="http://schemas.openxmlformats.org/officeDocument/2006/relationships/hyperlink" Target="mailto:quimicocienaga@clinicageneraldelnorte.com" TargetMode="External"/><Relationship Id="rId64" Type="http://schemas.openxmlformats.org/officeDocument/2006/relationships/hyperlink" Target="mailto:ufun_farmacia@hospitalgranada.gov.co" TargetMode="External"/><Relationship Id="rId118" Type="http://schemas.openxmlformats.org/officeDocument/2006/relationships/hyperlink" Target="mailto:quimicofarmaceutico@clinicadelamujersa.com.co" TargetMode="External"/><Relationship Id="rId139" Type="http://schemas.openxmlformats.org/officeDocument/2006/relationships/hyperlink" Target="mailto:eparra@eticos.com" TargetMode="External"/><Relationship Id="rId85" Type="http://schemas.openxmlformats.org/officeDocument/2006/relationships/hyperlink" Target="mailto:silviatristancho@fcv.org" TargetMode="External"/><Relationship Id="rId150" Type="http://schemas.openxmlformats.org/officeDocument/2006/relationships/hyperlink" Target="mailto:suministros02@imatsas.com" TargetMode="External"/><Relationship Id="rId171" Type="http://schemas.openxmlformats.org/officeDocument/2006/relationships/hyperlink" Target="mailto:jefecompras@clinicamarcaribe.com" TargetMode="External"/><Relationship Id="rId12" Type="http://schemas.openxmlformats.org/officeDocument/2006/relationships/hyperlink" Target="mailto:compras5@coodestol.com.co" TargetMode="External"/><Relationship Id="rId33" Type="http://schemas.openxmlformats.org/officeDocument/2006/relationships/hyperlink" Target="mailto:qffarmacia10501@eticos.com" TargetMode="External"/><Relationship Id="rId108" Type="http://schemas.openxmlformats.org/officeDocument/2006/relationships/hyperlink" Target="mailto:farmaciaclinicasansebastian@gmail.com" TargetMode="External"/><Relationship Id="rId129" Type="http://schemas.openxmlformats.org/officeDocument/2006/relationships/hyperlink" Target="mailto:compras@hdcentenario.gov.co" TargetMode="External"/><Relationship Id="rId54" Type="http://schemas.openxmlformats.org/officeDocument/2006/relationships/hyperlink" Target="mailto:johnjaimezapata01@gmail.com" TargetMode="External"/><Relationship Id="rId75" Type="http://schemas.openxmlformats.org/officeDocument/2006/relationships/hyperlink" Target="mailto:bnrojas1315@gmail.com" TargetMode="External"/><Relationship Id="rId96" Type="http://schemas.openxmlformats.org/officeDocument/2006/relationships/hyperlink" Target="mailto:compras@medicadiz.com.co" TargetMode="External"/><Relationship Id="rId140" Type="http://schemas.openxmlformats.org/officeDocument/2006/relationships/hyperlink" Target="mailto:eparra@eticos.com" TargetMode="External"/><Relationship Id="rId161" Type="http://schemas.openxmlformats.org/officeDocument/2006/relationships/hyperlink" Target="mailto:farmaciasanroque2020@gmail.com" TargetMode="External"/><Relationship Id="rId6" Type="http://schemas.openxmlformats.org/officeDocument/2006/relationships/hyperlink" Target="mailto:compras@clinicamedihelp.com" TargetMode="External"/><Relationship Id="rId23" Type="http://schemas.openxmlformats.org/officeDocument/2006/relationships/hyperlink" Target="mailto:qffarmacia10502@eticos.com" TargetMode="External"/><Relationship Id="rId119" Type="http://schemas.openxmlformats.org/officeDocument/2006/relationships/hyperlink" Target="mailto:farmacia@esedevillavicencio.gov.co" TargetMode="External"/><Relationship Id="rId44" Type="http://schemas.openxmlformats.org/officeDocument/2006/relationships/hyperlink" Target="mailto:quimicopesbol@clinicageneraldelnorte.com" TargetMode="External"/><Relationship Id="rId60" Type="http://schemas.openxmlformats.org/officeDocument/2006/relationships/hyperlink" Target="mailto:coordfarmaciadt@clinicablasdelezo.com.co" TargetMode="External"/><Relationship Id="rId65" Type="http://schemas.openxmlformats.org/officeDocument/2006/relationships/hyperlink" Target="mailto:suministros02@imatsas.com" TargetMode="External"/><Relationship Id="rId81" Type="http://schemas.openxmlformats.org/officeDocument/2006/relationships/hyperlink" Target="mailto:farmaciaucinbs@gmail.com" TargetMode="External"/><Relationship Id="rId86" Type="http://schemas.openxmlformats.org/officeDocument/2006/relationships/hyperlink" Target="mailto:bnrojas1315@gmail.com" TargetMode="External"/><Relationship Id="rId130" Type="http://schemas.openxmlformats.org/officeDocument/2006/relationships/hyperlink" Target="mailto:maigo.25@hotmail.com" TargetMode="External"/><Relationship Id="rId135" Type="http://schemas.openxmlformats.org/officeDocument/2006/relationships/hyperlink" Target="mailto:farmaciaipsgranada@miips.com.co" TargetMode="External"/><Relationship Id="rId151" Type="http://schemas.openxmlformats.org/officeDocument/2006/relationships/hyperlink" Target="mailto:suministros02@imatsas.com" TargetMode="External"/><Relationship Id="rId156" Type="http://schemas.openxmlformats.org/officeDocument/2006/relationships/hyperlink" Target="mailto:Compras@jersalud.com" TargetMode="External"/><Relationship Id="rId177" Type="http://schemas.openxmlformats.org/officeDocument/2006/relationships/hyperlink" Target="mailto:quimicocienaga@clinicageneraldelnorte.com" TargetMode="External"/><Relationship Id="rId172" Type="http://schemas.openxmlformats.org/officeDocument/2006/relationships/hyperlink" Target="mailto:jefecompras@clinicamarcaribe.com" TargetMode="External"/><Relationship Id="rId13" Type="http://schemas.openxmlformats.org/officeDocument/2006/relationships/hyperlink" Target="mailto:suplymedicalsas@gmail.com" TargetMode="External"/><Relationship Id="rId18" Type="http://schemas.openxmlformats.org/officeDocument/2006/relationships/hyperlink" Target="mailto:compras@clinicacardiovasculardelcaribe.com" TargetMode="External"/><Relationship Id="rId39" Type="http://schemas.openxmlformats.org/officeDocument/2006/relationships/hyperlink" Target="mailto:quimicopesbol@clinicageneraldelnorte.com" TargetMode="External"/><Relationship Id="rId109" Type="http://schemas.openxmlformats.org/officeDocument/2006/relationships/hyperlink" Target="mailto:tecnica@coodescor.org.co" TargetMode="External"/><Relationship Id="rId34" Type="http://schemas.openxmlformats.org/officeDocument/2006/relationships/hyperlink" Target="mailto:qffarmacia10501@eticos.com" TargetMode="External"/><Relationship Id="rId50" Type="http://schemas.openxmlformats.org/officeDocument/2006/relationships/hyperlink" Target="mailto:vgarcia@cuidadoseguro.com.co" TargetMode="External"/><Relationship Id="rId55" Type="http://schemas.openxmlformats.org/officeDocument/2006/relationships/hyperlink" Target="mailto:quimicotroconis@syd.com.co" TargetMode="External"/><Relationship Id="rId76" Type="http://schemas.openxmlformats.org/officeDocument/2006/relationships/hyperlink" Target="mailto:farmacia@esehospitallocal.gov.co" TargetMode="External"/><Relationship Id="rId97" Type="http://schemas.openxmlformats.org/officeDocument/2006/relationships/hyperlink" Target="mailto:dispensario684@drogaslaeconomia.com" TargetMode="External"/><Relationship Id="rId104" Type="http://schemas.openxmlformats.org/officeDocument/2006/relationships/hyperlink" Target="mailto:farmacia10559@eticos.com" TargetMode="External"/><Relationship Id="rId120" Type="http://schemas.openxmlformats.org/officeDocument/2006/relationships/hyperlink" Target="mailto:farmacia@esedevillavicencio.gov.co" TargetMode="External"/><Relationship Id="rId125" Type="http://schemas.openxmlformats.org/officeDocument/2006/relationships/hyperlink" Target="mailto:farmacia@hsjd.gov.co" TargetMode="External"/><Relationship Id="rId141" Type="http://schemas.openxmlformats.org/officeDocument/2006/relationships/hyperlink" Target="mailto:profesionalcompras@pharmasan.co" TargetMode="External"/><Relationship Id="rId146" Type="http://schemas.openxmlformats.org/officeDocument/2006/relationships/hyperlink" Target="mailto:farmaco.vigilancia@clinicachicamocha.com" TargetMode="External"/><Relationship Id="rId167" Type="http://schemas.openxmlformats.org/officeDocument/2006/relationships/hyperlink" Target="mailto:socorrogomez@fcv.org" TargetMode="External"/><Relationship Id="rId7" Type="http://schemas.openxmlformats.org/officeDocument/2006/relationships/hyperlink" Target="mailto:farmacia_general@clinicaelbosque.net" TargetMode="External"/><Relationship Id="rId71" Type="http://schemas.openxmlformats.org/officeDocument/2006/relationships/hyperlink" Target="mailto:Compras@jersalud.com" TargetMode="External"/><Relationship Id="rId92" Type="http://schemas.openxmlformats.org/officeDocument/2006/relationships/hyperlink" Target="mailto:farmacia@hospitalsanjosedemariquita.gov.co" TargetMode="External"/><Relationship Id="rId162" Type="http://schemas.openxmlformats.org/officeDocument/2006/relationships/hyperlink" Target="mailto:socorrogomez@fcv.org" TargetMode="External"/><Relationship Id="rId2" Type="http://schemas.openxmlformats.org/officeDocument/2006/relationships/hyperlink" Target="mailto:suministros02@imatsas.com" TargetMode="External"/><Relationship Id="rId29" Type="http://schemas.openxmlformats.org/officeDocument/2006/relationships/hyperlink" Target="mailto:suministros02@imatsas.com" TargetMode="External"/><Relationship Id="rId24" Type="http://schemas.openxmlformats.org/officeDocument/2006/relationships/hyperlink" Target="mailto:dispensario676@drogaslaeconomia.com" TargetMode="External"/><Relationship Id="rId40" Type="http://schemas.openxmlformats.org/officeDocument/2006/relationships/hyperlink" Target="mailto:van.tovar@hotmail.com" TargetMode="External"/><Relationship Id="rId45" Type="http://schemas.openxmlformats.org/officeDocument/2006/relationships/hyperlink" Target="mailto:quimicopesbol@clinicageneraldelnorte.com" TargetMode="External"/><Relationship Id="rId66" Type="http://schemas.openxmlformats.org/officeDocument/2006/relationships/hyperlink" Target="mailto:suministros02@imatsas.com" TargetMode="External"/><Relationship Id="rId87" Type="http://schemas.openxmlformats.org/officeDocument/2006/relationships/hyperlink" Target="mailto:dtsfarmaceutico@insuastyoncologia.com" TargetMode="External"/><Relationship Id="rId110" Type="http://schemas.openxmlformats.org/officeDocument/2006/relationships/hyperlink" Target="mailto:tecnica@coodescor.org.co" TargetMode="External"/><Relationship Id="rId115" Type="http://schemas.openxmlformats.org/officeDocument/2006/relationships/hyperlink" Target="mailto:farmaciaipslospinos@miips.com.co" TargetMode="External"/><Relationship Id="rId131" Type="http://schemas.openxmlformats.org/officeDocument/2006/relationships/hyperlink" Target="mailto:coordfarmaciadt@clinicablasdelezo.com.co" TargetMode="External"/><Relationship Id="rId136" Type="http://schemas.openxmlformats.org/officeDocument/2006/relationships/hyperlink" Target="mailto:farmaciaipsgranada@miips.com.co" TargetMode="External"/><Relationship Id="rId157" Type="http://schemas.openxmlformats.org/officeDocument/2006/relationships/hyperlink" Target="mailto:armaciaipsacacias@miips.com.co" TargetMode="External"/><Relationship Id="rId178" Type="http://schemas.openxmlformats.org/officeDocument/2006/relationships/printerSettings" Target="../printerSettings/printerSettings1.bin"/><Relationship Id="rId61" Type="http://schemas.openxmlformats.org/officeDocument/2006/relationships/hyperlink" Target="mailto:farmacia@hsjd.gov.co" TargetMode="External"/><Relationship Id="rId82" Type="http://schemas.openxmlformats.org/officeDocument/2006/relationships/hyperlink" Target="mailto:coordinadorguajira@logifarma.co" TargetMode="External"/><Relationship Id="rId152" Type="http://schemas.openxmlformats.org/officeDocument/2006/relationships/hyperlink" Target="mailto:suministros02@imatsas.com" TargetMode="External"/><Relationship Id="rId173" Type="http://schemas.openxmlformats.org/officeDocument/2006/relationships/hyperlink" Target="mailto:jefecompras@clinicamarcaribe.com" TargetMode="External"/><Relationship Id="rId19" Type="http://schemas.openxmlformats.org/officeDocument/2006/relationships/hyperlink" Target="mailto:farmacia@profharmasaludips.com" TargetMode="External"/><Relationship Id="rId14" Type="http://schemas.openxmlformats.org/officeDocument/2006/relationships/hyperlink" Target="mailto:almacensuministros@esehospitalguaviare.gov.co" TargetMode="External"/><Relationship Id="rId30" Type="http://schemas.openxmlformats.org/officeDocument/2006/relationships/hyperlink" Target="mailto:vgarcia@cuidadoseguro.com.co" TargetMode="External"/><Relationship Id="rId35" Type="http://schemas.openxmlformats.org/officeDocument/2006/relationships/hyperlink" Target="mailto:alexandra.mosquera@huhmp.gov.co" TargetMode="External"/><Relationship Id="rId56" Type="http://schemas.openxmlformats.org/officeDocument/2006/relationships/hyperlink" Target="mailto:quimico@previsalud.co" TargetMode="External"/><Relationship Id="rId77" Type="http://schemas.openxmlformats.org/officeDocument/2006/relationships/hyperlink" Target="mailto:farmacia@esehospitallocal.gov.co" TargetMode="External"/><Relationship Id="rId100" Type="http://schemas.openxmlformats.org/officeDocument/2006/relationships/hyperlink" Target="mailto:suplymedicalsas@gmail.com" TargetMode="External"/><Relationship Id="rId105" Type="http://schemas.openxmlformats.org/officeDocument/2006/relationships/hyperlink" Target="mailto:dispensario686@drogaslaeconomia.com" TargetMode="External"/><Relationship Id="rId126" Type="http://schemas.openxmlformats.org/officeDocument/2006/relationships/hyperlink" Target="mailto:quimico.sfi@clinicazayma.org" TargetMode="External"/><Relationship Id="rId147" Type="http://schemas.openxmlformats.org/officeDocument/2006/relationships/hyperlink" Target="mailto:farmacia@hospitalsvpgarzon.gov.co" TargetMode="External"/><Relationship Id="rId168" Type="http://schemas.openxmlformats.org/officeDocument/2006/relationships/hyperlink" Target="mailto:socorrogomez@fcv.org" TargetMode="External"/><Relationship Id="rId8" Type="http://schemas.openxmlformats.org/officeDocument/2006/relationships/hyperlink" Target="mailto:farmacia_general@clinicaelbosque.net" TargetMode="External"/><Relationship Id="rId51" Type="http://schemas.openxmlformats.org/officeDocument/2006/relationships/hyperlink" Target="mailto:rosa.caviedes@chsm.com" TargetMode="External"/><Relationship Id="rId72" Type="http://schemas.openxmlformats.org/officeDocument/2006/relationships/hyperlink" Target="mailto:farmacia@centrocardioinfantil.com" TargetMode="External"/><Relationship Id="rId93" Type="http://schemas.openxmlformats.org/officeDocument/2006/relationships/hyperlink" Target="mailto:farmacia@hospitalsanjosedemariquita.gov.co" TargetMode="External"/><Relationship Id="rId98" Type="http://schemas.openxmlformats.org/officeDocument/2006/relationships/hyperlink" Target="mailto:dispensario684@drogaslaeconomia.com" TargetMode="External"/><Relationship Id="rId121" Type="http://schemas.openxmlformats.org/officeDocument/2006/relationships/hyperlink" Target="mailto:dvisbal@amediltda.com" TargetMode="External"/><Relationship Id="rId142" Type="http://schemas.openxmlformats.org/officeDocument/2006/relationships/hyperlink" Target="mailto:profesionalcompras@pharmasan.co" TargetMode="External"/><Relationship Id="rId163" Type="http://schemas.openxmlformats.org/officeDocument/2006/relationships/hyperlink" Target="mailto:socorrogomez@fcv.org" TargetMode="External"/><Relationship Id="rId3" Type="http://schemas.openxmlformats.org/officeDocument/2006/relationships/hyperlink" Target="mailto:suministros02@imatsas.com" TargetMode="External"/><Relationship Id="rId25" Type="http://schemas.openxmlformats.org/officeDocument/2006/relationships/hyperlink" Target="mailto:pe.compras@hflleras.gov.co" TargetMode="External"/><Relationship Id="rId46" Type="http://schemas.openxmlformats.org/officeDocument/2006/relationships/hyperlink" Target="mailto:edith.isabel.molina@messer-co.com" TargetMode="External"/><Relationship Id="rId67" Type="http://schemas.openxmlformats.org/officeDocument/2006/relationships/hyperlink" Target="mailto:almacenclinicasansebastian@gmail.com" TargetMode="External"/><Relationship Id="rId116" Type="http://schemas.openxmlformats.org/officeDocument/2006/relationships/hyperlink" Target="mailto:quimicofarmaceutico@clinicadelamujersa.com.co" TargetMode="External"/><Relationship Id="rId137" Type="http://schemas.openxmlformats.org/officeDocument/2006/relationships/hyperlink" Target="mailto:dispensario681@drogaslaeconomia.com" TargetMode="External"/><Relationship Id="rId158" Type="http://schemas.openxmlformats.org/officeDocument/2006/relationships/hyperlink" Target="mailto:armaciaipsacacias@miips.com.co" TargetMode="External"/><Relationship Id="rId20" Type="http://schemas.openxmlformats.org/officeDocument/2006/relationships/hyperlink" Target="mailto:quimicopesmag@clinicageneraldelnorte.com" TargetMode="External"/><Relationship Id="rId41" Type="http://schemas.openxmlformats.org/officeDocument/2006/relationships/hyperlink" Target="mailto:van.tovar@hotmail.com" TargetMode="External"/><Relationship Id="rId62" Type="http://schemas.openxmlformats.org/officeDocument/2006/relationships/hyperlink" Target="mailto:farmacia@hsjd.gov.co" TargetMode="External"/><Relationship Id="rId83" Type="http://schemas.openxmlformats.org/officeDocument/2006/relationships/hyperlink" Target="mailto:farmacia@hflleras.gov.co" TargetMode="External"/><Relationship Id="rId88" Type="http://schemas.openxmlformats.org/officeDocument/2006/relationships/hyperlink" Target="mailto:tecnica@coodescor.org.co" TargetMode="External"/><Relationship Id="rId111" Type="http://schemas.openxmlformats.org/officeDocument/2006/relationships/hyperlink" Target="mailto:tecnica@coodescor.org.co" TargetMode="External"/><Relationship Id="rId132" Type="http://schemas.openxmlformats.org/officeDocument/2006/relationships/hyperlink" Target="mailto:coordfarmaciadt@clinicablasdelezo.com.co" TargetMode="External"/><Relationship Id="rId153" Type="http://schemas.openxmlformats.org/officeDocument/2006/relationships/hyperlink" Target="mailto:suministros02@imatsas.com" TargetMode="External"/><Relationship Id="rId174" Type="http://schemas.openxmlformats.org/officeDocument/2006/relationships/hyperlink" Target="mailto:jefecompras@clinicamarcaribe.com" TargetMode="External"/><Relationship Id="rId179" Type="http://schemas.openxmlformats.org/officeDocument/2006/relationships/vmlDrawing" Target="../drawings/vmlDrawing1.vml"/><Relationship Id="rId15" Type="http://schemas.openxmlformats.org/officeDocument/2006/relationships/hyperlink" Target="mailto:farmacia@hospitalsanjose.gov.co" TargetMode="External"/><Relationship Id="rId36" Type="http://schemas.openxmlformats.org/officeDocument/2006/relationships/hyperlink" Target="mailto:alexandra.mosquera@huhmp.gov.co" TargetMode="External"/><Relationship Id="rId57" Type="http://schemas.openxmlformats.org/officeDocument/2006/relationships/hyperlink" Target="mailto:andrelu93@hotmail.com" TargetMode="External"/><Relationship Id="rId106" Type="http://schemas.openxmlformats.org/officeDocument/2006/relationships/hyperlink" Target="mailto:dispensario686@drogaslaeconomia.com" TargetMode="External"/><Relationship Id="rId127" Type="http://schemas.openxmlformats.org/officeDocument/2006/relationships/hyperlink" Target="mailto:compras@hdcentenario.gov.co" TargetMode="External"/><Relationship Id="rId10" Type="http://schemas.openxmlformats.org/officeDocument/2006/relationships/hyperlink" Target="mailto:phmedicalbarranquilla@gmail.com" TargetMode="External"/><Relationship Id="rId31" Type="http://schemas.openxmlformats.org/officeDocument/2006/relationships/hyperlink" Target="mailto:mariaeu_6@yahoo.com" TargetMode="External"/><Relationship Id="rId52" Type="http://schemas.openxmlformats.org/officeDocument/2006/relationships/hyperlink" Target="mailto:farmaceutico@clinicasanarsas.com" TargetMode="External"/><Relationship Id="rId73" Type="http://schemas.openxmlformats.org/officeDocument/2006/relationships/hyperlink" Target="mailto:asuministros01@imatoncomedica.com" TargetMode="External"/><Relationship Id="rId78" Type="http://schemas.openxmlformats.org/officeDocument/2006/relationships/hyperlink" Target="mailto:Compras@jersalud.com" TargetMode="External"/><Relationship Id="rId94" Type="http://schemas.openxmlformats.org/officeDocument/2006/relationships/hyperlink" Target="mailto:farmacia@hospitalsanjosedemariquita.gov.co" TargetMode="External"/><Relationship Id="rId99" Type="http://schemas.openxmlformats.org/officeDocument/2006/relationships/hyperlink" Target="mailto:consumofrecasanare@gmail.com" TargetMode="External"/><Relationship Id="rId101" Type="http://schemas.openxmlformats.org/officeDocument/2006/relationships/hyperlink" Target="mailto:suplymedicalsas@gmail.com" TargetMode="External"/><Relationship Id="rId122" Type="http://schemas.openxmlformats.org/officeDocument/2006/relationships/hyperlink" Target="mailto:dvisbal@amediltda.com" TargetMode="External"/><Relationship Id="rId143" Type="http://schemas.openxmlformats.org/officeDocument/2006/relationships/hyperlink" Target="mailto:socorrogomez@fcv.org" TargetMode="External"/><Relationship Id="rId148" Type="http://schemas.openxmlformats.org/officeDocument/2006/relationships/hyperlink" Target="mailto:farmacia@hospitalsvpgarzon.gov.co" TargetMode="External"/><Relationship Id="rId164" Type="http://schemas.openxmlformats.org/officeDocument/2006/relationships/hyperlink" Target="mailto:socorrogomez@fcv.org" TargetMode="External"/><Relationship Id="rId169" Type="http://schemas.openxmlformats.org/officeDocument/2006/relationships/hyperlink" Target="mailto:socorrogomez@fcv.org" TargetMode="External"/><Relationship Id="rId4" Type="http://schemas.openxmlformats.org/officeDocument/2006/relationships/hyperlink" Target="mailto:suministros02@imatsas.com" TargetMode="External"/><Relationship Id="rId9" Type="http://schemas.openxmlformats.org/officeDocument/2006/relationships/hyperlink" Target="mailto:farmacia_general@clinicaelbosque.net" TargetMode="External"/><Relationship Id="rId180" Type="http://schemas.openxmlformats.org/officeDocument/2006/relationships/table" Target="../tables/table1.xml"/><Relationship Id="rId26" Type="http://schemas.openxmlformats.org/officeDocument/2006/relationships/hyperlink" Target="mailto:compras5@coodestol.com.co" TargetMode="External"/><Relationship Id="rId47" Type="http://schemas.openxmlformats.org/officeDocument/2006/relationships/hyperlink" Target="mailto:farmaservimedicos@gmail.com" TargetMode="External"/><Relationship Id="rId68" Type="http://schemas.openxmlformats.org/officeDocument/2006/relationships/hyperlink" Target="mailto:almacenclinicasansebastian@gmail.com" TargetMode="External"/><Relationship Id="rId89" Type="http://schemas.openxmlformats.org/officeDocument/2006/relationships/hyperlink" Target="mailto:dtsfarmaceutico@insuastyoncologia.com" TargetMode="External"/><Relationship Id="rId112" Type="http://schemas.openxmlformats.org/officeDocument/2006/relationships/hyperlink" Target="mailto:tecnica@coodescor.org.co" TargetMode="External"/><Relationship Id="rId133" Type="http://schemas.openxmlformats.org/officeDocument/2006/relationships/hyperlink" Target="mailto:dtfarmaceutico@esehospitalmocoa.gov.co" TargetMode="External"/><Relationship Id="rId154" Type="http://schemas.openxmlformats.org/officeDocument/2006/relationships/hyperlink" Target="mailto:farmaciaucinbs@gmail.com" TargetMode="External"/><Relationship Id="rId175" Type="http://schemas.openxmlformats.org/officeDocument/2006/relationships/hyperlink" Target="mailto:pe.compras@hflleras.gov.co" TargetMode="External"/><Relationship Id="rId16" Type="http://schemas.openxmlformats.org/officeDocument/2006/relationships/hyperlink" Target="mailto:farmaciaipslospinos@miips.com.co" TargetMode="External"/><Relationship Id="rId37" Type="http://schemas.openxmlformats.org/officeDocument/2006/relationships/hyperlink" Target="mailto:dtl1@evedisa.com.co" TargetMode="External"/><Relationship Id="rId58" Type="http://schemas.openxmlformats.org/officeDocument/2006/relationships/hyperlink" Target="mailto:compras5@coodestol.com.co" TargetMode="External"/><Relationship Id="rId79" Type="http://schemas.openxmlformats.org/officeDocument/2006/relationships/hyperlink" Target="mailto:Compras@jersalud.com" TargetMode="External"/><Relationship Id="rId102" Type="http://schemas.openxmlformats.org/officeDocument/2006/relationships/hyperlink" Target="mailto:jquintana@sura.com.co" TargetMode="External"/><Relationship Id="rId123" Type="http://schemas.openxmlformats.org/officeDocument/2006/relationships/hyperlink" Target="mailto:farmacia@hsjd.gov.co" TargetMode="External"/><Relationship Id="rId144" Type="http://schemas.openxmlformats.org/officeDocument/2006/relationships/hyperlink" Target="mailto:dtfarmaceutico@esehospitalmocoa.gov.co" TargetMode="External"/><Relationship Id="rId90" Type="http://schemas.openxmlformats.org/officeDocument/2006/relationships/hyperlink" Target="mailto:farmaciaclinicasansebastian@gmail.com" TargetMode="External"/><Relationship Id="rId165" Type="http://schemas.openxmlformats.org/officeDocument/2006/relationships/hyperlink" Target="mailto:socorrogomez@fcv.org" TargetMode="External"/><Relationship Id="rId27" Type="http://schemas.openxmlformats.org/officeDocument/2006/relationships/hyperlink" Target="mailto:compras5@coodestol.com.co" TargetMode="External"/><Relationship Id="rId48" Type="http://schemas.openxmlformats.org/officeDocument/2006/relationships/hyperlink" Target="mailto:farmaservimedicos@gmail.com" TargetMode="External"/><Relationship Id="rId69" Type="http://schemas.openxmlformats.org/officeDocument/2006/relationships/hyperlink" Target="mailto:claudia.narvaez@cumi.com.co" TargetMode="External"/><Relationship Id="rId113" Type="http://schemas.openxmlformats.org/officeDocument/2006/relationships/hyperlink" Target="mailto:farmaciaipslospinos@miips.com.co" TargetMode="External"/><Relationship Id="rId134" Type="http://schemas.openxmlformats.org/officeDocument/2006/relationships/hyperlink" Target="mailto:doraahus@gmail.com" TargetMode="External"/><Relationship Id="rId80" Type="http://schemas.openxmlformats.org/officeDocument/2006/relationships/hyperlink" Target="mailto:farmaciaipselparque@miips.com.co" TargetMode="External"/><Relationship Id="rId155" Type="http://schemas.openxmlformats.org/officeDocument/2006/relationships/hyperlink" Target="mailto:Compras@jersalud.com" TargetMode="External"/><Relationship Id="rId176" Type="http://schemas.openxmlformats.org/officeDocument/2006/relationships/hyperlink" Target="mailto:quimicofarmaceutico@clinicadelamujersa.com.co" TargetMode="External"/><Relationship Id="rId17" Type="http://schemas.openxmlformats.org/officeDocument/2006/relationships/hyperlink" Target="mailto:farmaceutico.dt@myecolombia.com.co" TargetMode="External"/><Relationship Id="rId38" Type="http://schemas.openxmlformats.org/officeDocument/2006/relationships/hyperlink" Target="mailto:quimicopesbol@clinicageneraldelnorte.com" TargetMode="External"/><Relationship Id="rId59" Type="http://schemas.openxmlformats.org/officeDocument/2006/relationships/hyperlink" Target="mailto:CYULISAH@medilaser.com.co" TargetMode="External"/><Relationship Id="rId103" Type="http://schemas.openxmlformats.org/officeDocument/2006/relationships/hyperlink" Target="mailto:farmacia10559@eticos.com" TargetMode="External"/><Relationship Id="rId124" Type="http://schemas.openxmlformats.org/officeDocument/2006/relationships/hyperlink" Target="mailto:farmacia@hsjd.gov.co" TargetMode="External"/><Relationship Id="rId70" Type="http://schemas.openxmlformats.org/officeDocument/2006/relationships/hyperlink" Target="mailto:claudia.narvaez@cumi.com.co" TargetMode="External"/><Relationship Id="rId91" Type="http://schemas.openxmlformats.org/officeDocument/2006/relationships/hyperlink" Target="mailto:farmaciaclinicasansebastian@gmail.com" TargetMode="External"/><Relationship Id="rId145" Type="http://schemas.openxmlformats.org/officeDocument/2006/relationships/hyperlink" Target="mailto:farmaco.vigilancia@clinicachicamocha.com" TargetMode="External"/><Relationship Id="rId166" Type="http://schemas.openxmlformats.org/officeDocument/2006/relationships/hyperlink" Target="mailto:socorrogomez@fcv.org" TargetMode="External"/><Relationship Id="rId1" Type="http://schemas.openxmlformats.org/officeDocument/2006/relationships/hyperlink" Target="mailto:suministros02@imatsas.com" TargetMode="External"/><Relationship Id="rId28" Type="http://schemas.openxmlformats.org/officeDocument/2006/relationships/hyperlink" Target="mailto:suministros02@imatsas.com" TargetMode="External"/><Relationship Id="rId49" Type="http://schemas.openxmlformats.org/officeDocument/2006/relationships/hyperlink" Target="mailto:farmaciaucinbs@gmail.com" TargetMode="External"/><Relationship Id="rId114" Type="http://schemas.openxmlformats.org/officeDocument/2006/relationships/hyperlink" Target="mailto:farmaciaipslospinos@miips.com.co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9E796-749F-4D48-B481-6CC6E59E032E}">
  <dimension ref="A1:Y26"/>
  <sheetViews>
    <sheetView showGridLines="0" zoomScale="76" workbookViewId="0">
      <selection activeCell="C4" sqref="C4"/>
    </sheetView>
  </sheetViews>
  <sheetFormatPr baseColWidth="10" defaultRowHeight="15" x14ac:dyDescent="0.25"/>
  <cols>
    <col min="1" max="1" width="23.5703125" customWidth="1"/>
    <col min="2" max="2" width="21" bestFit="1" customWidth="1"/>
    <col min="3" max="3" width="18.7109375" bestFit="1" customWidth="1"/>
    <col min="4" max="4" width="11" bestFit="1" customWidth="1"/>
    <col min="5" max="5" width="8.7109375" bestFit="1" customWidth="1"/>
    <col min="6" max="6" width="9" bestFit="1" customWidth="1"/>
    <col min="7" max="7" width="9.7109375" bestFit="1" customWidth="1"/>
    <col min="8" max="8" width="10.7109375" bestFit="1" customWidth="1"/>
    <col min="9" max="9" width="7.42578125" bestFit="1" customWidth="1"/>
    <col min="10" max="10" width="9.85546875" bestFit="1" customWidth="1"/>
    <col min="11" max="11" width="16.42578125" bestFit="1" customWidth="1"/>
    <col min="12" max="12" width="9" bestFit="1" customWidth="1"/>
    <col min="13" max="13" width="10.42578125" bestFit="1" customWidth="1"/>
    <col min="14" max="14" width="6.7109375" bestFit="1" customWidth="1"/>
    <col min="15" max="15" width="11.5703125" bestFit="1" customWidth="1"/>
    <col min="16" max="16" width="12.85546875" bestFit="1" customWidth="1"/>
    <col min="17" max="17" width="6.28515625" bestFit="1" customWidth="1"/>
    <col min="18" max="18" width="8.28515625" bestFit="1" customWidth="1"/>
    <col min="19" max="19" width="13.28515625" bestFit="1" customWidth="1"/>
    <col min="20" max="20" width="11.7109375" bestFit="1" customWidth="1"/>
    <col min="21" max="21" width="11.85546875" bestFit="1" customWidth="1"/>
    <col min="22" max="22" width="6.7109375" bestFit="1" customWidth="1"/>
    <col min="23" max="23" width="8.28515625" bestFit="1" customWidth="1"/>
    <col min="24" max="24" width="16.85546875" bestFit="1" customWidth="1"/>
    <col min="25" max="25" width="11" bestFit="1" customWidth="1"/>
  </cols>
  <sheetData>
    <row r="1" spans="1:25" x14ac:dyDescent="0.25">
      <c r="A1" s="71" t="s">
        <v>8</v>
      </c>
      <c r="B1" t="s">
        <v>4318</v>
      </c>
    </row>
    <row r="3" spans="1:25" x14ac:dyDescent="0.25">
      <c r="A3" s="71" t="s">
        <v>4316</v>
      </c>
      <c r="C3" s="71" t="s">
        <v>16</v>
      </c>
    </row>
    <row r="4" spans="1:25" x14ac:dyDescent="0.25">
      <c r="A4" s="71" t="s">
        <v>21</v>
      </c>
      <c r="B4" s="71" t="s">
        <v>22</v>
      </c>
      <c r="C4" t="s">
        <v>2109</v>
      </c>
      <c r="D4" t="s">
        <v>2107</v>
      </c>
      <c r="E4" t="s">
        <v>1068</v>
      </c>
      <c r="F4" t="s">
        <v>2110</v>
      </c>
      <c r="G4" t="s">
        <v>2112</v>
      </c>
      <c r="H4" t="s">
        <v>2113</v>
      </c>
      <c r="I4" t="s">
        <v>2114</v>
      </c>
      <c r="J4" t="s">
        <v>2116</v>
      </c>
      <c r="K4" t="s">
        <v>2117</v>
      </c>
      <c r="L4" t="s">
        <v>2118</v>
      </c>
      <c r="M4" t="s">
        <v>2119</v>
      </c>
      <c r="N4" t="s">
        <v>2120</v>
      </c>
      <c r="O4" t="s">
        <v>2121</v>
      </c>
      <c r="P4" t="s">
        <v>2122</v>
      </c>
      <c r="Q4" t="s">
        <v>2123</v>
      </c>
      <c r="R4" t="s">
        <v>1152</v>
      </c>
      <c r="S4" t="s">
        <v>3388</v>
      </c>
      <c r="T4" t="s">
        <v>2125</v>
      </c>
      <c r="U4" t="s">
        <v>2128</v>
      </c>
      <c r="V4" t="s">
        <v>1490</v>
      </c>
      <c r="W4" t="s">
        <v>2129</v>
      </c>
      <c r="X4" t="s">
        <v>2130</v>
      </c>
      <c r="Y4" t="s">
        <v>4315</v>
      </c>
    </row>
    <row r="5" spans="1:25" x14ac:dyDescent="0.25">
      <c r="A5" t="s">
        <v>4317</v>
      </c>
      <c r="C5" s="26"/>
      <c r="D5" s="26">
        <v>0</v>
      </c>
      <c r="E5" s="26"/>
      <c r="F5" s="26"/>
      <c r="G5" s="26"/>
      <c r="H5" s="26">
        <v>0</v>
      </c>
      <c r="I5" s="26"/>
      <c r="J5" s="26">
        <v>0</v>
      </c>
      <c r="K5" s="26">
        <v>0</v>
      </c>
      <c r="L5" s="26"/>
      <c r="M5" s="26"/>
      <c r="N5" s="26"/>
      <c r="O5" s="26"/>
      <c r="P5" s="26">
        <v>0</v>
      </c>
      <c r="Q5" s="26"/>
      <c r="R5" s="26">
        <v>0</v>
      </c>
      <c r="S5" s="26">
        <v>0</v>
      </c>
      <c r="T5" s="26"/>
      <c r="U5" s="26">
        <v>0</v>
      </c>
      <c r="V5" s="26"/>
      <c r="W5" s="26">
        <v>0</v>
      </c>
      <c r="X5" s="26"/>
      <c r="Y5" s="72">
        <v>0</v>
      </c>
    </row>
    <row r="6" spans="1:25" x14ac:dyDescent="0.25">
      <c r="A6" t="s">
        <v>2982</v>
      </c>
      <c r="B6" t="s">
        <v>2983</v>
      </c>
      <c r="C6" s="26"/>
      <c r="D6" s="26">
        <v>52</v>
      </c>
      <c r="E6" s="26">
        <v>0</v>
      </c>
      <c r="F6" s="26">
        <v>15</v>
      </c>
      <c r="G6" s="26"/>
      <c r="H6" s="26">
        <v>80</v>
      </c>
      <c r="I6" s="26">
        <v>145</v>
      </c>
      <c r="J6" s="26">
        <v>49</v>
      </c>
      <c r="K6" s="26"/>
      <c r="L6" s="26">
        <v>12</v>
      </c>
      <c r="M6" s="26"/>
      <c r="N6" s="26">
        <v>17</v>
      </c>
      <c r="O6" s="26">
        <v>20</v>
      </c>
      <c r="P6" s="26">
        <v>19</v>
      </c>
      <c r="Q6" s="26">
        <v>510</v>
      </c>
      <c r="R6" s="26"/>
      <c r="S6" s="26"/>
      <c r="T6" s="26">
        <v>58</v>
      </c>
      <c r="U6" s="26">
        <v>60</v>
      </c>
      <c r="V6" s="26"/>
      <c r="W6" s="26">
        <v>10</v>
      </c>
      <c r="X6" s="26"/>
      <c r="Y6" s="72"/>
    </row>
    <row r="7" spans="1:25" x14ac:dyDescent="0.25">
      <c r="A7" t="s">
        <v>2982</v>
      </c>
      <c r="B7" t="s">
        <v>2985</v>
      </c>
      <c r="C7" s="26"/>
      <c r="D7" s="26"/>
      <c r="E7" s="26"/>
      <c r="F7" s="26"/>
      <c r="G7" s="26"/>
      <c r="H7" s="26">
        <v>8</v>
      </c>
      <c r="I7" s="26"/>
      <c r="J7" s="26"/>
      <c r="K7" s="26"/>
      <c r="L7" s="26">
        <v>60</v>
      </c>
      <c r="M7" s="26"/>
      <c r="N7" s="26"/>
      <c r="O7" s="26"/>
      <c r="P7" s="26">
        <v>6</v>
      </c>
      <c r="Q7" s="26">
        <v>35</v>
      </c>
      <c r="R7" s="26"/>
      <c r="S7" s="26"/>
      <c r="T7" s="26"/>
      <c r="U7" s="26"/>
      <c r="V7" s="26"/>
      <c r="W7" s="26">
        <v>45</v>
      </c>
      <c r="X7" s="26"/>
      <c r="Y7" s="72"/>
    </row>
    <row r="8" spans="1:25" x14ac:dyDescent="0.25">
      <c r="A8" t="s">
        <v>2982</v>
      </c>
      <c r="B8" t="s">
        <v>2988</v>
      </c>
      <c r="C8" s="26"/>
      <c r="D8" s="26">
        <v>170</v>
      </c>
      <c r="E8" s="26">
        <v>4</v>
      </c>
      <c r="F8" s="26">
        <v>1333</v>
      </c>
      <c r="G8" s="26"/>
      <c r="H8" s="26">
        <v>411</v>
      </c>
      <c r="I8" s="26">
        <v>300</v>
      </c>
      <c r="J8" s="26"/>
      <c r="K8" s="26"/>
      <c r="L8" s="26">
        <v>120</v>
      </c>
      <c r="M8" s="26"/>
      <c r="N8" s="26">
        <v>33</v>
      </c>
      <c r="O8" s="26">
        <v>22</v>
      </c>
      <c r="P8" s="26">
        <v>4427</v>
      </c>
      <c r="Q8" s="26">
        <v>2811</v>
      </c>
      <c r="R8" s="26"/>
      <c r="S8" s="26"/>
      <c r="T8" s="26">
        <v>333</v>
      </c>
      <c r="U8" s="26"/>
      <c r="V8" s="26"/>
      <c r="W8" s="26">
        <v>2055</v>
      </c>
      <c r="X8" s="26">
        <v>8</v>
      </c>
      <c r="Y8" s="72"/>
    </row>
    <row r="9" spans="1:25" x14ac:dyDescent="0.25">
      <c r="A9" t="s">
        <v>2982</v>
      </c>
      <c r="B9" t="s">
        <v>2989</v>
      </c>
      <c r="C9" s="26"/>
      <c r="D9" s="26">
        <v>4</v>
      </c>
      <c r="E9" s="26"/>
      <c r="F9" s="26"/>
      <c r="G9" s="26"/>
      <c r="H9" s="26">
        <v>21</v>
      </c>
      <c r="I9" s="26">
        <v>15</v>
      </c>
      <c r="J9" s="26"/>
      <c r="K9" s="26"/>
      <c r="L9" s="26">
        <v>120</v>
      </c>
      <c r="M9" s="26"/>
      <c r="N9" s="26"/>
      <c r="O9" s="26"/>
      <c r="P9" s="26">
        <v>12</v>
      </c>
      <c r="Q9" s="26">
        <v>202</v>
      </c>
      <c r="R9" s="26"/>
      <c r="S9" s="26"/>
      <c r="T9" s="26"/>
      <c r="U9" s="26"/>
      <c r="V9" s="26"/>
      <c r="W9" s="26"/>
      <c r="X9" s="26"/>
      <c r="Y9" s="72"/>
    </row>
    <row r="10" spans="1:25" x14ac:dyDescent="0.25">
      <c r="A10" t="s">
        <v>2990</v>
      </c>
      <c r="B10" t="s">
        <v>2991</v>
      </c>
      <c r="C10" s="26"/>
      <c r="D10" s="26"/>
      <c r="E10" s="26">
        <v>0</v>
      </c>
      <c r="F10" s="26">
        <v>11</v>
      </c>
      <c r="G10" s="26"/>
      <c r="H10" s="26">
        <v>13</v>
      </c>
      <c r="I10" s="26"/>
      <c r="J10" s="26">
        <v>102</v>
      </c>
      <c r="K10" s="26"/>
      <c r="L10" s="26">
        <v>10</v>
      </c>
      <c r="M10" s="26"/>
      <c r="N10" s="26">
        <v>0</v>
      </c>
      <c r="O10" s="26">
        <v>0</v>
      </c>
      <c r="P10" s="26">
        <v>97</v>
      </c>
      <c r="Q10" s="26">
        <v>92</v>
      </c>
      <c r="R10" s="26"/>
      <c r="S10" s="26"/>
      <c r="T10" s="26"/>
      <c r="U10" s="26">
        <v>112</v>
      </c>
      <c r="V10" s="26"/>
      <c r="W10" s="26">
        <v>5</v>
      </c>
      <c r="X10" s="26"/>
      <c r="Y10" s="72"/>
    </row>
    <row r="11" spans="1:25" x14ac:dyDescent="0.25">
      <c r="A11" t="s">
        <v>2990</v>
      </c>
      <c r="B11" t="s">
        <v>2993</v>
      </c>
      <c r="C11" s="26"/>
      <c r="D11" s="26"/>
      <c r="E11" s="26">
        <v>0</v>
      </c>
      <c r="F11" s="26">
        <v>15</v>
      </c>
      <c r="G11" s="26"/>
      <c r="H11" s="26">
        <v>0</v>
      </c>
      <c r="I11" s="26"/>
      <c r="J11" s="26"/>
      <c r="K11" s="26"/>
      <c r="L11" s="26">
        <v>50</v>
      </c>
      <c r="M11" s="26"/>
      <c r="N11" s="26">
        <v>60</v>
      </c>
      <c r="O11" s="26">
        <v>0</v>
      </c>
      <c r="P11" s="26">
        <v>218</v>
      </c>
      <c r="Q11" s="26">
        <v>189</v>
      </c>
      <c r="R11" s="26"/>
      <c r="S11" s="26"/>
      <c r="T11" s="26"/>
      <c r="U11" s="26"/>
      <c r="V11" s="26"/>
      <c r="W11" s="26">
        <v>8</v>
      </c>
      <c r="X11" s="26"/>
      <c r="Y11" s="72"/>
    </row>
    <row r="12" spans="1:25" x14ac:dyDescent="0.25">
      <c r="A12" t="s">
        <v>2994</v>
      </c>
      <c r="B12" t="s">
        <v>2995</v>
      </c>
      <c r="C12" s="26">
        <v>300</v>
      </c>
      <c r="D12" s="26">
        <v>10</v>
      </c>
      <c r="E12" s="26"/>
      <c r="F12" s="26">
        <v>86</v>
      </c>
      <c r="G12" s="26"/>
      <c r="H12" s="26">
        <v>240</v>
      </c>
      <c r="I12" s="26">
        <v>80</v>
      </c>
      <c r="J12" s="26">
        <v>232</v>
      </c>
      <c r="K12" s="26"/>
      <c r="L12" s="26">
        <v>30</v>
      </c>
      <c r="M12" s="26"/>
      <c r="N12" s="26">
        <v>0</v>
      </c>
      <c r="O12" s="26"/>
      <c r="P12" s="26"/>
      <c r="Q12" s="26"/>
      <c r="R12" s="26"/>
      <c r="S12" s="26"/>
      <c r="T12" s="26"/>
      <c r="U12" s="26">
        <v>510</v>
      </c>
      <c r="V12" s="26"/>
      <c r="W12" s="26">
        <v>1911</v>
      </c>
      <c r="X12" s="26"/>
      <c r="Y12" s="72"/>
    </row>
    <row r="13" spans="1:25" x14ac:dyDescent="0.25">
      <c r="A13" t="s">
        <v>2994</v>
      </c>
      <c r="B13" t="s">
        <v>39</v>
      </c>
      <c r="C13" s="26"/>
      <c r="D13" s="26">
        <v>0</v>
      </c>
      <c r="E13" s="26">
        <v>30</v>
      </c>
      <c r="F13" s="26">
        <v>48</v>
      </c>
      <c r="G13" s="26"/>
      <c r="H13" s="26">
        <v>36</v>
      </c>
      <c r="I13" s="26">
        <v>15</v>
      </c>
      <c r="J13" s="26">
        <v>609</v>
      </c>
      <c r="K13" s="26"/>
      <c r="L13" s="26">
        <v>36</v>
      </c>
      <c r="M13" s="26"/>
      <c r="N13" s="26"/>
      <c r="O13" s="26">
        <v>0</v>
      </c>
      <c r="P13" s="26">
        <v>103</v>
      </c>
      <c r="Q13" s="26">
        <v>1126</v>
      </c>
      <c r="R13" s="26"/>
      <c r="S13" s="26"/>
      <c r="T13" s="26"/>
      <c r="U13" s="26"/>
      <c r="V13" s="26"/>
      <c r="W13" s="26">
        <v>148</v>
      </c>
      <c r="X13" s="26">
        <v>0</v>
      </c>
      <c r="Y13" s="72"/>
    </row>
    <row r="14" spans="1:25" x14ac:dyDescent="0.25">
      <c r="A14" t="s">
        <v>2994</v>
      </c>
      <c r="B14" t="s">
        <v>2363</v>
      </c>
      <c r="C14" s="26"/>
      <c r="D14" s="26"/>
      <c r="E14" s="26"/>
      <c r="F14" s="26">
        <v>0</v>
      </c>
      <c r="G14" s="26"/>
      <c r="H14" s="26"/>
      <c r="I14" s="26"/>
      <c r="J14" s="26"/>
      <c r="K14" s="26"/>
      <c r="L14" s="26"/>
      <c r="M14" s="26"/>
      <c r="N14" s="26"/>
      <c r="O14" s="26"/>
      <c r="P14" s="26">
        <v>0</v>
      </c>
      <c r="Q14" s="26">
        <v>0</v>
      </c>
      <c r="R14" s="26"/>
      <c r="S14" s="26"/>
      <c r="T14" s="26"/>
      <c r="U14" s="26"/>
      <c r="V14" s="26"/>
      <c r="W14" s="26"/>
      <c r="X14" s="26"/>
      <c r="Y14" s="72"/>
    </row>
    <row r="15" spans="1:25" x14ac:dyDescent="0.25">
      <c r="A15" t="s">
        <v>42</v>
      </c>
      <c r="B15" t="s">
        <v>43</v>
      </c>
      <c r="C15" s="26"/>
      <c r="D15" s="26">
        <v>16</v>
      </c>
      <c r="E15" s="26">
        <v>0</v>
      </c>
      <c r="F15" s="26">
        <v>27</v>
      </c>
      <c r="G15" s="26"/>
      <c r="H15" s="26">
        <v>60</v>
      </c>
      <c r="I15" s="26">
        <v>10</v>
      </c>
      <c r="J15" s="26">
        <v>180</v>
      </c>
      <c r="K15" s="26"/>
      <c r="L15" s="26"/>
      <c r="M15" s="26">
        <v>20</v>
      </c>
      <c r="N15" s="26">
        <v>230</v>
      </c>
      <c r="O15" s="26">
        <v>0</v>
      </c>
      <c r="P15" s="26">
        <v>409</v>
      </c>
      <c r="Q15" s="26">
        <v>541</v>
      </c>
      <c r="R15" s="26"/>
      <c r="S15" s="26"/>
      <c r="T15" s="26"/>
      <c r="U15" s="26"/>
      <c r="V15" s="26"/>
      <c r="W15" s="26">
        <v>233</v>
      </c>
      <c r="X15" s="26"/>
      <c r="Y15" s="72"/>
    </row>
    <row r="16" spans="1:25" x14ac:dyDescent="0.25">
      <c r="A16" t="s">
        <v>2998</v>
      </c>
      <c r="B16" t="s">
        <v>2985</v>
      </c>
      <c r="C16" s="26"/>
      <c r="D16" s="26">
        <v>35</v>
      </c>
      <c r="E16" s="26"/>
      <c r="F16" s="26">
        <v>32</v>
      </c>
      <c r="G16" s="26">
        <v>16</v>
      </c>
      <c r="H16" s="26">
        <v>16</v>
      </c>
      <c r="I16" s="26">
        <v>32</v>
      </c>
      <c r="J16" s="26">
        <v>34</v>
      </c>
      <c r="K16" s="26"/>
      <c r="L16" s="26"/>
      <c r="M16" s="26"/>
      <c r="N16" s="26">
        <v>78</v>
      </c>
      <c r="O16" s="26"/>
      <c r="P16" s="26">
        <v>6</v>
      </c>
      <c r="Q16" s="26">
        <v>96</v>
      </c>
      <c r="R16" s="26"/>
      <c r="S16" s="26"/>
      <c r="T16" s="26"/>
      <c r="U16" s="26">
        <v>935</v>
      </c>
      <c r="V16" s="26"/>
      <c r="W16" s="26">
        <v>15</v>
      </c>
      <c r="X16" s="26"/>
      <c r="Y16" s="72"/>
    </row>
    <row r="17" spans="1:25" x14ac:dyDescent="0.25">
      <c r="A17" t="s">
        <v>2998</v>
      </c>
      <c r="B17" t="s">
        <v>3002</v>
      </c>
      <c r="C17" s="26"/>
      <c r="D17" s="26">
        <v>20</v>
      </c>
      <c r="E17" s="26"/>
      <c r="F17" s="26"/>
      <c r="G17" s="26"/>
      <c r="H17" s="26"/>
      <c r="I17" s="26"/>
      <c r="J17" s="26">
        <v>20</v>
      </c>
      <c r="K17" s="26"/>
      <c r="L17" s="26"/>
      <c r="M17" s="26"/>
      <c r="N17" s="26"/>
      <c r="O17" s="26"/>
      <c r="P17" s="26">
        <v>3</v>
      </c>
      <c r="Q17" s="26"/>
      <c r="R17" s="26"/>
      <c r="S17" s="26"/>
      <c r="T17" s="26"/>
      <c r="U17" s="26"/>
      <c r="V17" s="26"/>
      <c r="W17" s="26">
        <v>1</v>
      </c>
      <c r="X17" s="26"/>
      <c r="Y17" s="72"/>
    </row>
    <row r="18" spans="1:25" x14ac:dyDescent="0.25">
      <c r="A18" t="s">
        <v>3003</v>
      </c>
      <c r="B18" t="s">
        <v>2985</v>
      </c>
      <c r="C18" s="26">
        <v>0</v>
      </c>
      <c r="D18" s="26">
        <v>150</v>
      </c>
      <c r="E18" s="26"/>
      <c r="F18" s="26">
        <v>135</v>
      </c>
      <c r="G18" s="26"/>
      <c r="H18" s="26">
        <v>22</v>
      </c>
      <c r="I18" s="26">
        <v>40</v>
      </c>
      <c r="J18" s="26">
        <v>116</v>
      </c>
      <c r="K18" s="26"/>
      <c r="L18" s="26"/>
      <c r="M18" s="26"/>
      <c r="N18" s="26"/>
      <c r="O18" s="26">
        <v>10</v>
      </c>
      <c r="P18" s="26">
        <v>98</v>
      </c>
      <c r="Q18" s="26">
        <v>108</v>
      </c>
      <c r="R18" s="26"/>
      <c r="S18" s="26"/>
      <c r="T18" s="26"/>
      <c r="U18" s="26"/>
      <c r="V18" s="26"/>
      <c r="W18" s="26">
        <v>493</v>
      </c>
      <c r="X18" s="26"/>
      <c r="Y18" s="72"/>
    </row>
    <row r="19" spans="1:25" x14ac:dyDescent="0.25">
      <c r="A19" t="s">
        <v>3003</v>
      </c>
      <c r="B19" t="s">
        <v>50</v>
      </c>
      <c r="C19" s="26">
        <v>174</v>
      </c>
      <c r="D19" s="26"/>
      <c r="E19" s="26"/>
      <c r="F19" s="26">
        <v>1</v>
      </c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>
        <v>0</v>
      </c>
      <c r="R19" s="26"/>
      <c r="S19" s="26"/>
      <c r="T19" s="26"/>
      <c r="U19" s="26"/>
      <c r="V19" s="26"/>
      <c r="W19" s="26"/>
      <c r="X19" s="26"/>
      <c r="Y19" s="72"/>
    </row>
    <row r="20" spans="1:25" x14ac:dyDescent="0.25">
      <c r="A20" t="s">
        <v>3003</v>
      </c>
      <c r="B20" t="s">
        <v>3007</v>
      </c>
      <c r="C20" s="26">
        <v>147</v>
      </c>
      <c r="D20" s="26"/>
      <c r="E20" s="26"/>
      <c r="F20" s="26"/>
      <c r="G20" s="26"/>
      <c r="H20" s="26">
        <v>2</v>
      </c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>
        <v>4</v>
      </c>
      <c r="V20" s="26">
        <v>2</v>
      </c>
      <c r="W20" s="26"/>
      <c r="X20" s="26"/>
      <c r="Y20" s="72"/>
    </row>
    <row r="21" spans="1:25" x14ac:dyDescent="0.25">
      <c r="A21" t="s">
        <v>3008</v>
      </c>
      <c r="B21" t="s">
        <v>3012</v>
      </c>
      <c r="C21" s="26"/>
      <c r="D21" s="26">
        <v>100</v>
      </c>
      <c r="E21" s="26"/>
      <c r="F21" s="26"/>
      <c r="G21" s="26"/>
      <c r="H21" s="26">
        <v>880</v>
      </c>
      <c r="I21" s="26"/>
      <c r="J21" s="26"/>
      <c r="K21" s="26"/>
      <c r="L21" s="26"/>
      <c r="M21" s="26"/>
      <c r="N21" s="26"/>
      <c r="O21" s="26"/>
      <c r="P21" s="26">
        <v>20</v>
      </c>
      <c r="Q21" s="26"/>
      <c r="R21" s="26"/>
      <c r="S21" s="26"/>
      <c r="T21" s="26"/>
      <c r="U21" s="26">
        <v>2280</v>
      </c>
      <c r="V21" s="26"/>
      <c r="W21" s="26">
        <v>74</v>
      </c>
      <c r="X21" s="26"/>
      <c r="Y21" s="72"/>
    </row>
    <row r="22" spans="1:25" x14ac:dyDescent="0.25">
      <c r="A22" t="s">
        <v>3008</v>
      </c>
      <c r="B22" t="s">
        <v>3011</v>
      </c>
      <c r="C22" s="26">
        <v>810</v>
      </c>
      <c r="D22" s="26">
        <v>789</v>
      </c>
      <c r="E22" s="26">
        <v>0</v>
      </c>
      <c r="F22" s="26">
        <v>295</v>
      </c>
      <c r="G22" s="26"/>
      <c r="H22" s="26">
        <v>1017</v>
      </c>
      <c r="I22" s="26">
        <v>350</v>
      </c>
      <c r="J22" s="26">
        <v>2094</v>
      </c>
      <c r="K22" s="26">
        <v>0</v>
      </c>
      <c r="L22" s="26">
        <v>30</v>
      </c>
      <c r="M22" s="26">
        <v>100</v>
      </c>
      <c r="N22" s="26">
        <v>1260</v>
      </c>
      <c r="O22" s="26">
        <v>0</v>
      </c>
      <c r="P22" s="26">
        <v>581</v>
      </c>
      <c r="Q22" s="26">
        <v>1967</v>
      </c>
      <c r="R22" s="26"/>
      <c r="S22" s="26"/>
      <c r="T22" s="26">
        <v>40</v>
      </c>
      <c r="U22" s="26">
        <v>3356</v>
      </c>
      <c r="V22" s="26"/>
      <c r="W22" s="26">
        <v>3472</v>
      </c>
      <c r="X22" s="26">
        <v>5</v>
      </c>
      <c r="Y22" s="72"/>
    </row>
    <row r="23" spans="1:25" x14ac:dyDescent="0.25">
      <c r="A23" t="s">
        <v>3008</v>
      </c>
      <c r="B23" t="s">
        <v>3009</v>
      </c>
      <c r="C23" s="26">
        <v>230</v>
      </c>
      <c r="D23" s="26">
        <v>195</v>
      </c>
      <c r="E23" s="26">
        <v>0</v>
      </c>
      <c r="F23" s="26">
        <v>33</v>
      </c>
      <c r="G23" s="26"/>
      <c r="H23" s="26">
        <v>235</v>
      </c>
      <c r="I23" s="26">
        <v>80</v>
      </c>
      <c r="J23" s="26">
        <v>1175</v>
      </c>
      <c r="K23" s="26"/>
      <c r="L23" s="26">
        <v>48</v>
      </c>
      <c r="M23" s="26"/>
      <c r="N23" s="26">
        <v>91</v>
      </c>
      <c r="O23" s="26">
        <v>30</v>
      </c>
      <c r="P23" s="26">
        <v>201</v>
      </c>
      <c r="Q23" s="26">
        <v>1110</v>
      </c>
      <c r="R23" s="26"/>
      <c r="S23" s="26"/>
      <c r="T23" s="26"/>
      <c r="U23" s="26">
        <v>955</v>
      </c>
      <c r="V23" s="26"/>
      <c r="W23" s="26">
        <v>330</v>
      </c>
      <c r="X23" s="26">
        <v>22</v>
      </c>
      <c r="Y23" s="72">
        <v>0</v>
      </c>
    </row>
    <row r="24" spans="1:25" x14ac:dyDescent="0.25">
      <c r="A24" t="s">
        <v>2164</v>
      </c>
      <c r="B24" t="s">
        <v>2164</v>
      </c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>
        <v>0</v>
      </c>
      <c r="R24" s="26"/>
      <c r="S24" s="26"/>
      <c r="T24" s="26"/>
      <c r="U24" s="26"/>
      <c r="V24" s="26"/>
      <c r="W24" s="26"/>
      <c r="X24" s="26"/>
      <c r="Y24" s="72"/>
    </row>
    <row r="25" spans="1:25" x14ac:dyDescent="0.25">
      <c r="A25" t="s">
        <v>3014</v>
      </c>
      <c r="B25" t="s">
        <v>3015</v>
      </c>
      <c r="C25" s="26">
        <v>36</v>
      </c>
      <c r="D25" s="26"/>
      <c r="E25" s="26"/>
      <c r="F25" s="26">
        <v>12</v>
      </c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>
        <v>10</v>
      </c>
      <c r="R25" s="26"/>
      <c r="S25" s="26"/>
      <c r="T25" s="26"/>
      <c r="U25" s="26"/>
      <c r="V25" s="26"/>
      <c r="W25" s="26">
        <v>48</v>
      </c>
      <c r="X25" s="26"/>
      <c r="Y25" s="72"/>
    </row>
    <row r="26" spans="1:25" x14ac:dyDescent="0.25"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84B47-53DC-4D93-A269-7626527096A3}">
  <dimension ref="A2:Y43"/>
  <sheetViews>
    <sheetView topLeftCell="A41" zoomScale="72" zoomScaleNormal="100" workbookViewId="0">
      <selection activeCell="A48" sqref="A48"/>
    </sheetView>
  </sheetViews>
  <sheetFormatPr baseColWidth="10" defaultRowHeight="15" x14ac:dyDescent="0.25"/>
  <cols>
    <col min="1" max="1" width="21.28515625" bestFit="1" customWidth="1"/>
    <col min="2" max="2" width="20" bestFit="1" customWidth="1"/>
    <col min="3" max="3" width="15.42578125" bestFit="1" customWidth="1"/>
    <col min="4" max="25" width="19" customWidth="1"/>
  </cols>
  <sheetData>
    <row r="2" spans="1:25" x14ac:dyDescent="0.25">
      <c r="A2" t="s">
        <v>21</v>
      </c>
      <c r="B2" t="s">
        <v>22</v>
      </c>
      <c r="C2" t="s">
        <v>4319</v>
      </c>
      <c r="D2" t="s">
        <v>2109</v>
      </c>
      <c r="E2" t="s">
        <v>2107</v>
      </c>
      <c r="F2" t="s">
        <v>1068</v>
      </c>
      <c r="G2" t="s">
        <v>2110</v>
      </c>
      <c r="H2" t="s">
        <v>2112</v>
      </c>
      <c r="I2" t="s">
        <v>2113</v>
      </c>
      <c r="J2" t="s">
        <v>2114</v>
      </c>
      <c r="K2" t="s">
        <v>2116</v>
      </c>
      <c r="L2" t="s">
        <v>2117</v>
      </c>
      <c r="M2" t="s">
        <v>2118</v>
      </c>
      <c r="N2" t="s">
        <v>2119</v>
      </c>
      <c r="O2" t="s">
        <v>2120</v>
      </c>
      <c r="P2" t="s">
        <v>2121</v>
      </c>
      <c r="Q2" t="s">
        <v>2122</v>
      </c>
      <c r="R2" t="s">
        <v>2123</v>
      </c>
      <c r="S2" t="s">
        <v>1152</v>
      </c>
      <c r="T2" t="s">
        <v>3388</v>
      </c>
      <c r="U2" t="s">
        <v>2125</v>
      </c>
      <c r="V2" t="s">
        <v>2128</v>
      </c>
      <c r="W2" t="s">
        <v>1490</v>
      </c>
      <c r="X2" t="s">
        <v>2129</v>
      </c>
      <c r="Y2" t="s">
        <v>2130</v>
      </c>
    </row>
    <row r="3" spans="1:25" x14ac:dyDescent="0.25">
      <c r="A3" t="s">
        <v>2982</v>
      </c>
      <c r="B3" t="s">
        <v>2983</v>
      </c>
      <c r="C3" s="73">
        <v>31927</v>
      </c>
      <c r="E3">
        <v>52</v>
      </c>
      <c r="F3">
        <v>0</v>
      </c>
      <c r="G3">
        <v>15</v>
      </c>
      <c r="I3">
        <v>80</v>
      </c>
      <c r="J3">
        <v>145</v>
      </c>
      <c r="K3">
        <v>49</v>
      </c>
      <c r="M3">
        <v>12</v>
      </c>
      <c r="O3">
        <v>17</v>
      </c>
      <c r="P3">
        <v>20</v>
      </c>
      <c r="Q3">
        <v>19</v>
      </c>
      <c r="R3">
        <v>510</v>
      </c>
      <c r="U3">
        <v>58</v>
      </c>
      <c r="V3">
        <v>60</v>
      </c>
      <c r="X3">
        <v>10</v>
      </c>
    </row>
    <row r="4" spans="1:25" x14ac:dyDescent="0.25">
      <c r="A4" t="s">
        <v>2982</v>
      </c>
      <c r="B4" t="s">
        <v>2985</v>
      </c>
      <c r="C4" s="73">
        <v>15657</v>
      </c>
      <c r="I4">
        <v>8</v>
      </c>
      <c r="M4">
        <v>60</v>
      </c>
      <c r="Q4">
        <v>6</v>
      </c>
      <c r="R4">
        <v>35</v>
      </c>
      <c r="X4">
        <v>45</v>
      </c>
    </row>
    <row r="5" spans="1:25" x14ac:dyDescent="0.25">
      <c r="A5" t="s">
        <v>2982</v>
      </c>
      <c r="B5" t="s">
        <v>2988</v>
      </c>
      <c r="C5" s="73">
        <v>4247</v>
      </c>
      <c r="E5">
        <v>170</v>
      </c>
      <c r="F5">
        <v>4</v>
      </c>
      <c r="G5">
        <v>1333</v>
      </c>
      <c r="I5">
        <v>411</v>
      </c>
      <c r="J5">
        <v>300</v>
      </c>
      <c r="M5">
        <v>120</v>
      </c>
      <c r="O5">
        <v>33</v>
      </c>
      <c r="P5">
        <v>22</v>
      </c>
      <c r="Q5">
        <v>4427</v>
      </c>
      <c r="R5">
        <v>2811</v>
      </c>
      <c r="U5">
        <v>333</v>
      </c>
      <c r="X5">
        <v>2055</v>
      </c>
      <c r="Y5">
        <v>8</v>
      </c>
    </row>
    <row r="6" spans="1:25" x14ac:dyDescent="0.25">
      <c r="A6" t="s">
        <v>2982</v>
      </c>
      <c r="B6" t="s">
        <v>2989</v>
      </c>
      <c r="C6" s="73">
        <v>11310</v>
      </c>
      <c r="E6">
        <v>4</v>
      </c>
      <c r="I6">
        <v>21</v>
      </c>
      <c r="J6">
        <v>15</v>
      </c>
      <c r="M6">
        <v>120</v>
      </c>
      <c r="Q6">
        <v>12</v>
      </c>
      <c r="R6">
        <v>202</v>
      </c>
    </row>
    <row r="7" spans="1:25" x14ac:dyDescent="0.25">
      <c r="A7" t="s">
        <v>2990</v>
      </c>
      <c r="B7" t="s">
        <v>2991</v>
      </c>
      <c r="C7" s="73">
        <v>72444</v>
      </c>
      <c r="F7">
        <v>0</v>
      </c>
      <c r="G7">
        <v>11</v>
      </c>
      <c r="I7">
        <v>13</v>
      </c>
      <c r="K7">
        <v>102</v>
      </c>
      <c r="M7">
        <v>10</v>
      </c>
      <c r="O7">
        <v>0</v>
      </c>
      <c r="P7">
        <v>0</v>
      </c>
      <c r="Q7">
        <v>97</v>
      </c>
      <c r="R7">
        <v>92</v>
      </c>
      <c r="V7">
        <v>112</v>
      </c>
      <c r="X7">
        <v>5</v>
      </c>
    </row>
    <row r="8" spans="1:25" x14ac:dyDescent="0.25">
      <c r="A8" t="s">
        <v>2990</v>
      </c>
      <c r="B8" t="s">
        <v>2993</v>
      </c>
      <c r="C8" s="73">
        <v>36594</v>
      </c>
      <c r="F8">
        <v>0</v>
      </c>
      <c r="G8">
        <v>15</v>
      </c>
      <c r="I8">
        <v>0</v>
      </c>
      <c r="M8">
        <v>50</v>
      </c>
      <c r="O8">
        <v>60</v>
      </c>
      <c r="P8">
        <v>0</v>
      </c>
      <c r="Q8">
        <v>218</v>
      </c>
      <c r="R8">
        <v>189</v>
      </c>
      <c r="X8">
        <v>8</v>
      </c>
    </row>
    <row r="9" spans="1:25" x14ac:dyDescent="0.25">
      <c r="A9" t="s">
        <v>2994</v>
      </c>
      <c r="B9" t="s">
        <v>2995</v>
      </c>
      <c r="C9" s="73">
        <v>14472</v>
      </c>
      <c r="D9">
        <v>300</v>
      </c>
      <c r="E9">
        <v>10</v>
      </c>
      <c r="G9">
        <v>86</v>
      </c>
      <c r="I9">
        <v>240</v>
      </c>
      <c r="J9">
        <v>80</v>
      </c>
      <c r="K9">
        <v>232</v>
      </c>
      <c r="M9">
        <v>30</v>
      </c>
      <c r="O9">
        <v>0</v>
      </c>
      <c r="V9">
        <v>510</v>
      </c>
      <c r="X9">
        <v>1911</v>
      </c>
    </row>
    <row r="10" spans="1:25" x14ac:dyDescent="0.25">
      <c r="A10" t="s">
        <v>2994</v>
      </c>
      <c r="B10" t="s">
        <v>39</v>
      </c>
      <c r="C10" s="73">
        <v>9129</v>
      </c>
      <c r="E10">
        <v>0</v>
      </c>
      <c r="F10">
        <v>30</v>
      </c>
      <c r="G10">
        <v>48</v>
      </c>
      <c r="I10">
        <v>36</v>
      </c>
      <c r="J10">
        <v>15</v>
      </c>
      <c r="K10">
        <v>609</v>
      </c>
      <c r="M10">
        <v>36</v>
      </c>
      <c r="P10">
        <v>0</v>
      </c>
      <c r="Q10">
        <v>103</v>
      </c>
      <c r="R10">
        <v>1126</v>
      </c>
      <c r="X10">
        <v>148</v>
      </c>
      <c r="Y10">
        <v>0</v>
      </c>
    </row>
    <row r="11" spans="1:25" x14ac:dyDescent="0.25">
      <c r="A11" t="s">
        <v>42</v>
      </c>
      <c r="B11" t="s">
        <v>43</v>
      </c>
      <c r="C11" s="73">
        <v>25131</v>
      </c>
      <c r="E11">
        <v>16</v>
      </c>
      <c r="F11">
        <v>0</v>
      </c>
      <c r="G11">
        <v>27</v>
      </c>
      <c r="I11">
        <v>60</v>
      </c>
      <c r="J11">
        <v>10</v>
      </c>
      <c r="K11">
        <v>180</v>
      </c>
      <c r="N11">
        <v>20</v>
      </c>
      <c r="O11">
        <v>230</v>
      </c>
      <c r="P11">
        <v>0</v>
      </c>
      <c r="Q11">
        <v>409</v>
      </c>
      <c r="R11">
        <v>541</v>
      </c>
      <c r="X11">
        <v>233</v>
      </c>
    </row>
    <row r="12" spans="1:25" x14ac:dyDescent="0.25">
      <c r="A12" t="s">
        <v>2998</v>
      </c>
      <c r="B12" t="s">
        <v>2985</v>
      </c>
      <c r="C12" s="73">
        <v>35063.800000000003</v>
      </c>
      <c r="E12">
        <v>35</v>
      </c>
      <c r="G12">
        <v>32</v>
      </c>
      <c r="H12">
        <v>16</v>
      </c>
      <c r="I12">
        <v>16</v>
      </c>
      <c r="J12">
        <v>32</v>
      </c>
      <c r="K12">
        <v>34</v>
      </c>
      <c r="O12">
        <v>78</v>
      </c>
      <c r="Q12">
        <v>6</v>
      </c>
      <c r="R12">
        <v>96</v>
      </c>
      <c r="V12">
        <v>935</v>
      </c>
      <c r="X12">
        <v>15</v>
      </c>
    </row>
    <row r="13" spans="1:25" x14ac:dyDescent="0.25">
      <c r="A13" t="s">
        <v>2998</v>
      </c>
      <c r="B13" t="s">
        <v>3002</v>
      </c>
      <c r="C13" s="73">
        <v>72003.600000000006</v>
      </c>
      <c r="E13">
        <v>20</v>
      </c>
      <c r="K13">
        <v>20</v>
      </c>
      <c r="Q13">
        <v>3</v>
      </c>
      <c r="X13">
        <v>1</v>
      </c>
    </row>
    <row r="14" spans="1:25" x14ac:dyDescent="0.25">
      <c r="A14" t="s">
        <v>3003</v>
      </c>
      <c r="B14" t="s">
        <v>2985</v>
      </c>
      <c r="C14" s="73">
        <v>23687</v>
      </c>
      <c r="D14">
        <v>0</v>
      </c>
      <c r="E14">
        <v>150</v>
      </c>
      <c r="G14">
        <v>135</v>
      </c>
      <c r="I14">
        <v>22</v>
      </c>
      <c r="J14">
        <v>40</v>
      </c>
      <c r="K14">
        <v>116</v>
      </c>
      <c r="P14">
        <v>10</v>
      </c>
      <c r="Q14">
        <v>98</v>
      </c>
      <c r="R14">
        <v>108</v>
      </c>
      <c r="X14">
        <v>493</v>
      </c>
    </row>
    <row r="15" spans="1:25" x14ac:dyDescent="0.25">
      <c r="A15" t="s">
        <v>3003</v>
      </c>
      <c r="B15" t="s">
        <v>50</v>
      </c>
      <c r="C15" s="73">
        <v>181249</v>
      </c>
      <c r="D15">
        <v>174</v>
      </c>
      <c r="G15">
        <v>1</v>
      </c>
      <c r="R15">
        <v>0</v>
      </c>
    </row>
    <row r="16" spans="1:25" x14ac:dyDescent="0.25">
      <c r="A16" t="s">
        <v>3003</v>
      </c>
      <c r="B16" t="s">
        <v>3007</v>
      </c>
      <c r="C16" s="73">
        <v>349448</v>
      </c>
      <c r="D16">
        <v>147</v>
      </c>
      <c r="I16">
        <v>2</v>
      </c>
      <c r="V16">
        <v>4</v>
      </c>
      <c r="W16">
        <v>2</v>
      </c>
    </row>
    <row r="17" spans="1:25" x14ac:dyDescent="0.25">
      <c r="A17" t="s">
        <v>3008</v>
      </c>
      <c r="B17" t="s">
        <v>3012</v>
      </c>
      <c r="C17" s="73">
        <v>24190</v>
      </c>
      <c r="E17">
        <v>100</v>
      </c>
      <c r="I17">
        <v>880</v>
      </c>
      <c r="Q17">
        <v>20</v>
      </c>
      <c r="V17">
        <v>2280</v>
      </c>
      <c r="X17">
        <v>74</v>
      </c>
    </row>
    <row r="18" spans="1:25" x14ac:dyDescent="0.25">
      <c r="A18" t="s">
        <v>3008</v>
      </c>
      <c r="B18" t="s">
        <v>3011</v>
      </c>
      <c r="C18" s="73">
        <v>13705</v>
      </c>
      <c r="D18">
        <v>810</v>
      </c>
      <c r="E18">
        <v>789</v>
      </c>
      <c r="F18">
        <v>0</v>
      </c>
      <c r="G18">
        <v>295</v>
      </c>
      <c r="I18">
        <v>1017</v>
      </c>
      <c r="J18">
        <v>350</v>
      </c>
      <c r="K18">
        <v>2094</v>
      </c>
      <c r="L18">
        <v>0</v>
      </c>
      <c r="M18">
        <v>30</v>
      </c>
      <c r="N18">
        <v>100</v>
      </c>
      <c r="O18">
        <v>1260</v>
      </c>
      <c r="P18">
        <v>0</v>
      </c>
      <c r="Q18">
        <v>581</v>
      </c>
      <c r="R18">
        <v>1967</v>
      </c>
      <c r="U18">
        <v>40</v>
      </c>
      <c r="V18">
        <v>3356</v>
      </c>
      <c r="X18">
        <v>3472</v>
      </c>
      <c r="Y18">
        <v>5</v>
      </c>
    </row>
    <row r="19" spans="1:25" x14ac:dyDescent="0.25">
      <c r="A19" t="s">
        <v>3008</v>
      </c>
      <c r="B19" t="s">
        <v>3009</v>
      </c>
      <c r="C19" s="73">
        <v>25674</v>
      </c>
      <c r="D19">
        <v>230</v>
      </c>
      <c r="E19">
        <v>195</v>
      </c>
      <c r="F19">
        <v>0</v>
      </c>
      <c r="G19">
        <v>33</v>
      </c>
      <c r="I19">
        <v>235</v>
      </c>
      <c r="J19">
        <v>80</v>
      </c>
      <c r="K19">
        <v>1175</v>
      </c>
      <c r="M19">
        <v>48</v>
      </c>
      <c r="O19">
        <v>91</v>
      </c>
      <c r="P19">
        <v>30</v>
      </c>
      <c r="Q19">
        <v>201</v>
      </c>
      <c r="R19">
        <v>1110</v>
      </c>
      <c r="V19">
        <v>955</v>
      </c>
      <c r="X19">
        <v>330</v>
      </c>
      <c r="Y19">
        <v>22</v>
      </c>
    </row>
    <row r="20" spans="1:25" x14ac:dyDescent="0.25">
      <c r="A20" t="s">
        <v>3014</v>
      </c>
      <c r="B20" t="s">
        <v>3015</v>
      </c>
      <c r="C20" s="73">
        <v>27942</v>
      </c>
      <c r="D20">
        <v>36</v>
      </c>
      <c r="G20">
        <v>12</v>
      </c>
      <c r="R20">
        <v>10</v>
      </c>
      <c r="X20">
        <v>48</v>
      </c>
    </row>
    <row r="22" spans="1:25" x14ac:dyDescent="0.25">
      <c r="D22" t="s">
        <v>2109</v>
      </c>
      <c r="E22" t="s">
        <v>2107</v>
      </c>
      <c r="F22" t="s">
        <v>1068</v>
      </c>
      <c r="G22" t="s">
        <v>2110</v>
      </c>
      <c r="H22" t="s">
        <v>2112</v>
      </c>
      <c r="I22" t="s">
        <v>2113</v>
      </c>
      <c r="J22" t="s">
        <v>2114</v>
      </c>
      <c r="K22" t="s">
        <v>2116</v>
      </c>
      <c r="L22" t="s">
        <v>2117</v>
      </c>
      <c r="M22" t="s">
        <v>2118</v>
      </c>
      <c r="N22" t="s">
        <v>2119</v>
      </c>
      <c r="O22" t="s">
        <v>2120</v>
      </c>
      <c r="P22" t="s">
        <v>2121</v>
      </c>
      <c r="Q22" t="s">
        <v>2122</v>
      </c>
      <c r="R22" t="s">
        <v>2123</v>
      </c>
      <c r="S22" t="s">
        <v>1152</v>
      </c>
      <c r="T22" t="s">
        <v>3388</v>
      </c>
      <c r="U22" t="s">
        <v>2125</v>
      </c>
      <c r="V22" t="s">
        <v>2128</v>
      </c>
      <c r="W22" t="s">
        <v>1490</v>
      </c>
      <c r="X22" t="s">
        <v>2129</v>
      </c>
      <c r="Y22" t="s">
        <v>2130</v>
      </c>
    </row>
    <row r="23" spans="1:25" x14ac:dyDescent="0.25">
      <c r="D23" s="74">
        <f>D3*$C3</f>
        <v>0</v>
      </c>
      <c r="E23" s="74">
        <f t="shared" ref="E23:Y35" si="0">E3*$C3</f>
        <v>1660204</v>
      </c>
      <c r="F23" s="74">
        <f t="shared" si="0"/>
        <v>0</v>
      </c>
      <c r="G23" s="74">
        <f t="shared" si="0"/>
        <v>478905</v>
      </c>
      <c r="H23" s="74">
        <f t="shared" si="0"/>
        <v>0</v>
      </c>
      <c r="I23" s="74">
        <f t="shared" si="0"/>
        <v>2554160</v>
      </c>
      <c r="J23" s="74">
        <f t="shared" si="0"/>
        <v>4629415</v>
      </c>
      <c r="K23" s="74">
        <f t="shared" si="0"/>
        <v>1564423</v>
      </c>
      <c r="L23" s="74">
        <f t="shared" si="0"/>
        <v>0</v>
      </c>
      <c r="M23" s="74">
        <f t="shared" si="0"/>
        <v>383124</v>
      </c>
      <c r="N23" s="74">
        <f t="shared" si="0"/>
        <v>0</v>
      </c>
      <c r="O23" s="74">
        <f t="shared" si="0"/>
        <v>542759</v>
      </c>
      <c r="P23" s="74">
        <f t="shared" si="0"/>
        <v>638540</v>
      </c>
      <c r="Q23" s="74">
        <f t="shared" si="0"/>
        <v>606613</v>
      </c>
      <c r="R23" s="74">
        <f t="shared" si="0"/>
        <v>16282770</v>
      </c>
      <c r="S23" s="74">
        <f t="shared" si="0"/>
        <v>0</v>
      </c>
      <c r="T23" s="74">
        <f t="shared" si="0"/>
        <v>0</v>
      </c>
      <c r="U23" s="74">
        <f t="shared" si="0"/>
        <v>1851766</v>
      </c>
      <c r="V23" s="74">
        <f t="shared" si="0"/>
        <v>1915620</v>
      </c>
      <c r="W23" s="74">
        <f t="shared" si="0"/>
        <v>0</v>
      </c>
      <c r="X23" s="74">
        <f t="shared" si="0"/>
        <v>319270</v>
      </c>
      <c r="Y23" s="74">
        <f t="shared" si="0"/>
        <v>0</v>
      </c>
    </row>
    <row r="24" spans="1:25" x14ac:dyDescent="0.25">
      <c r="D24" s="74">
        <f t="shared" ref="D24:S40" si="1">D4*$C4</f>
        <v>0</v>
      </c>
      <c r="E24" s="74">
        <f t="shared" si="1"/>
        <v>0</v>
      </c>
      <c r="F24" s="74">
        <f t="shared" si="1"/>
        <v>0</v>
      </c>
      <c r="G24" s="74">
        <f t="shared" si="1"/>
        <v>0</v>
      </c>
      <c r="H24" s="74">
        <f t="shared" si="1"/>
        <v>0</v>
      </c>
      <c r="I24" s="74">
        <f t="shared" si="1"/>
        <v>125256</v>
      </c>
      <c r="J24" s="74">
        <f t="shared" si="1"/>
        <v>0</v>
      </c>
      <c r="K24" s="74">
        <f t="shared" si="1"/>
        <v>0</v>
      </c>
      <c r="L24" s="74">
        <f t="shared" si="1"/>
        <v>0</v>
      </c>
      <c r="M24" s="74">
        <f t="shared" si="1"/>
        <v>939420</v>
      </c>
      <c r="N24" s="74">
        <f t="shared" si="1"/>
        <v>0</v>
      </c>
      <c r="O24" s="74">
        <f t="shared" si="1"/>
        <v>0</v>
      </c>
      <c r="P24" s="74">
        <f t="shared" si="1"/>
        <v>0</v>
      </c>
      <c r="Q24" s="74">
        <f t="shared" si="1"/>
        <v>93942</v>
      </c>
      <c r="R24" s="74">
        <f t="shared" si="1"/>
        <v>547995</v>
      </c>
      <c r="S24" s="74">
        <f t="shared" si="1"/>
        <v>0</v>
      </c>
      <c r="T24" s="74">
        <f t="shared" si="0"/>
        <v>0</v>
      </c>
      <c r="U24" s="74">
        <f t="shared" si="0"/>
        <v>0</v>
      </c>
      <c r="V24" s="74">
        <f t="shared" si="0"/>
        <v>0</v>
      </c>
      <c r="W24" s="74">
        <f t="shared" si="0"/>
        <v>0</v>
      </c>
      <c r="X24" s="74">
        <f t="shared" si="0"/>
        <v>704565</v>
      </c>
      <c r="Y24" s="74">
        <f t="shared" si="0"/>
        <v>0</v>
      </c>
    </row>
    <row r="25" spans="1:25" x14ac:dyDescent="0.25">
      <c r="D25" s="74">
        <f t="shared" si="1"/>
        <v>0</v>
      </c>
      <c r="E25" s="74">
        <f t="shared" si="0"/>
        <v>721990</v>
      </c>
      <c r="F25" s="74">
        <f t="shared" si="0"/>
        <v>16988</v>
      </c>
      <c r="G25" s="74">
        <f t="shared" si="0"/>
        <v>5661251</v>
      </c>
      <c r="H25" s="74">
        <f t="shared" si="0"/>
        <v>0</v>
      </c>
      <c r="I25" s="74">
        <f t="shared" si="0"/>
        <v>1745517</v>
      </c>
      <c r="J25" s="74">
        <f t="shared" si="0"/>
        <v>1274100</v>
      </c>
      <c r="K25" s="74">
        <f t="shared" si="0"/>
        <v>0</v>
      </c>
      <c r="L25" s="74">
        <f t="shared" si="0"/>
        <v>0</v>
      </c>
      <c r="M25" s="74">
        <f t="shared" si="0"/>
        <v>509640</v>
      </c>
      <c r="N25" s="74">
        <f t="shared" si="0"/>
        <v>0</v>
      </c>
      <c r="O25" s="74">
        <f t="shared" si="0"/>
        <v>140151</v>
      </c>
      <c r="P25" s="74">
        <f t="shared" si="0"/>
        <v>93434</v>
      </c>
      <c r="Q25" s="74">
        <f t="shared" si="0"/>
        <v>18801469</v>
      </c>
      <c r="R25" s="74">
        <f t="shared" si="0"/>
        <v>11938317</v>
      </c>
      <c r="S25" s="74">
        <f t="shared" si="0"/>
        <v>0</v>
      </c>
      <c r="T25" s="74">
        <f t="shared" si="0"/>
        <v>0</v>
      </c>
      <c r="U25" s="74">
        <f t="shared" si="0"/>
        <v>1414251</v>
      </c>
      <c r="V25" s="74">
        <f t="shared" si="0"/>
        <v>0</v>
      </c>
      <c r="W25" s="74">
        <f t="shared" si="0"/>
        <v>0</v>
      </c>
      <c r="X25" s="74">
        <f t="shared" si="0"/>
        <v>8727585</v>
      </c>
      <c r="Y25" s="74">
        <f t="shared" si="0"/>
        <v>33976</v>
      </c>
    </row>
    <row r="26" spans="1:25" x14ac:dyDescent="0.25">
      <c r="D26" s="74">
        <f t="shared" si="1"/>
        <v>0</v>
      </c>
      <c r="E26" s="74">
        <f t="shared" si="0"/>
        <v>45240</v>
      </c>
      <c r="F26" s="74">
        <f t="shared" si="0"/>
        <v>0</v>
      </c>
      <c r="G26" s="74">
        <f t="shared" si="0"/>
        <v>0</v>
      </c>
      <c r="H26" s="74">
        <f t="shared" si="0"/>
        <v>0</v>
      </c>
      <c r="I26" s="74">
        <f t="shared" si="0"/>
        <v>237510</v>
      </c>
      <c r="J26" s="74">
        <f t="shared" si="0"/>
        <v>169650</v>
      </c>
      <c r="K26" s="74">
        <f t="shared" si="0"/>
        <v>0</v>
      </c>
      <c r="L26" s="74">
        <f t="shared" si="0"/>
        <v>0</v>
      </c>
      <c r="M26" s="74">
        <f t="shared" si="0"/>
        <v>1357200</v>
      </c>
      <c r="N26" s="74">
        <f t="shared" si="0"/>
        <v>0</v>
      </c>
      <c r="O26" s="74">
        <f t="shared" si="0"/>
        <v>0</v>
      </c>
      <c r="P26" s="74">
        <f t="shared" si="0"/>
        <v>0</v>
      </c>
      <c r="Q26" s="74">
        <f t="shared" si="0"/>
        <v>135720</v>
      </c>
      <c r="R26" s="74">
        <f t="shared" si="0"/>
        <v>2284620</v>
      </c>
      <c r="S26" s="74">
        <f t="shared" si="0"/>
        <v>0</v>
      </c>
      <c r="T26" s="74">
        <f t="shared" si="0"/>
        <v>0</v>
      </c>
      <c r="U26" s="74">
        <f t="shared" si="0"/>
        <v>0</v>
      </c>
      <c r="V26" s="74">
        <f t="shared" si="0"/>
        <v>0</v>
      </c>
      <c r="W26" s="74">
        <f t="shared" si="0"/>
        <v>0</v>
      </c>
      <c r="X26" s="74">
        <f t="shared" si="0"/>
        <v>0</v>
      </c>
      <c r="Y26" s="74">
        <f t="shared" si="0"/>
        <v>0</v>
      </c>
    </row>
    <row r="27" spans="1:25" x14ac:dyDescent="0.25">
      <c r="D27" s="74">
        <f t="shared" si="1"/>
        <v>0</v>
      </c>
      <c r="E27" s="74">
        <f t="shared" si="0"/>
        <v>0</v>
      </c>
      <c r="F27" s="74">
        <f t="shared" si="0"/>
        <v>0</v>
      </c>
      <c r="G27" s="74">
        <f t="shared" si="0"/>
        <v>796884</v>
      </c>
      <c r="H27" s="74">
        <f t="shared" si="0"/>
        <v>0</v>
      </c>
      <c r="I27" s="74">
        <f t="shared" si="0"/>
        <v>941772</v>
      </c>
      <c r="J27" s="74">
        <f t="shared" si="0"/>
        <v>0</v>
      </c>
      <c r="K27" s="74">
        <f t="shared" si="0"/>
        <v>7389288</v>
      </c>
      <c r="L27" s="74">
        <f t="shared" si="0"/>
        <v>0</v>
      </c>
      <c r="M27" s="74">
        <f t="shared" si="0"/>
        <v>724440</v>
      </c>
      <c r="N27" s="74">
        <f t="shared" si="0"/>
        <v>0</v>
      </c>
      <c r="O27" s="74">
        <f t="shared" si="0"/>
        <v>0</v>
      </c>
      <c r="P27" s="74">
        <f t="shared" si="0"/>
        <v>0</v>
      </c>
      <c r="Q27" s="74">
        <f t="shared" si="0"/>
        <v>7027068</v>
      </c>
      <c r="R27" s="74">
        <f t="shared" si="0"/>
        <v>6664848</v>
      </c>
      <c r="S27" s="74">
        <f t="shared" si="0"/>
        <v>0</v>
      </c>
      <c r="T27" s="74">
        <f t="shared" si="0"/>
        <v>0</v>
      </c>
      <c r="U27" s="74">
        <f t="shared" si="0"/>
        <v>0</v>
      </c>
      <c r="V27" s="74">
        <f t="shared" si="0"/>
        <v>8113728</v>
      </c>
      <c r="W27" s="74">
        <f t="shared" si="0"/>
        <v>0</v>
      </c>
      <c r="X27" s="74">
        <f t="shared" si="0"/>
        <v>362220</v>
      </c>
      <c r="Y27" s="74">
        <f t="shared" si="0"/>
        <v>0</v>
      </c>
    </row>
    <row r="28" spans="1:25" x14ac:dyDescent="0.25">
      <c r="D28" s="74">
        <f t="shared" si="1"/>
        <v>0</v>
      </c>
      <c r="E28" s="74">
        <f t="shared" si="0"/>
        <v>0</v>
      </c>
      <c r="F28" s="74">
        <f t="shared" si="0"/>
        <v>0</v>
      </c>
      <c r="G28" s="74">
        <f t="shared" si="0"/>
        <v>548910</v>
      </c>
      <c r="H28" s="74">
        <f t="shared" si="0"/>
        <v>0</v>
      </c>
      <c r="I28" s="74">
        <f t="shared" si="0"/>
        <v>0</v>
      </c>
      <c r="J28" s="74">
        <f t="shared" si="0"/>
        <v>0</v>
      </c>
      <c r="K28" s="74">
        <f t="shared" si="0"/>
        <v>0</v>
      </c>
      <c r="L28" s="74">
        <f t="shared" si="0"/>
        <v>0</v>
      </c>
      <c r="M28" s="74">
        <f t="shared" si="0"/>
        <v>1829700</v>
      </c>
      <c r="N28" s="74">
        <f t="shared" si="0"/>
        <v>0</v>
      </c>
      <c r="O28" s="74">
        <f t="shared" si="0"/>
        <v>2195640</v>
      </c>
      <c r="P28" s="74">
        <f t="shared" si="0"/>
        <v>0</v>
      </c>
      <c r="Q28" s="74">
        <f t="shared" si="0"/>
        <v>7977492</v>
      </c>
      <c r="R28" s="74">
        <f t="shared" si="0"/>
        <v>6916266</v>
      </c>
      <c r="S28" s="74">
        <f t="shared" si="0"/>
        <v>0</v>
      </c>
      <c r="T28" s="74">
        <f t="shared" si="0"/>
        <v>0</v>
      </c>
      <c r="U28" s="74">
        <f t="shared" si="0"/>
        <v>0</v>
      </c>
      <c r="V28" s="74">
        <f t="shared" si="0"/>
        <v>0</v>
      </c>
      <c r="W28" s="74">
        <f t="shared" si="0"/>
        <v>0</v>
      </c>
      <c r="X28" s="74">
        <f t="shared" si="0"/>
        <v>292752</v>
      </c>
      <c r="Y28" s="74">
        <f t="shared" si="0"/>
        <v>0</v>
      </c>
    </row>
    <row r="29" spans="1:25" x14ac:dyDescent="0.25">
      <c r="D29" s="74">
        <f t="shared" si="1"/>
        <v>4341600</v>
      </c>
      <c r="E29" s="74">
        <f t="shared" si="0"/>
        <v>144720</v>
      </c>
      <c r="F29" s="74">
        <f t="shared" si="0"/>
        <v>0</v>
      </c>
      <c r="G29" s="74">
        <f t="shared" si="0"/>
        <v>1244592</v>
      </c>
      <c r="H29" s="74">
        <f t="shared" si="0"/>
        <v>0</v>
      </c>
      <c r="I29" s="74">
        <f t="shared" si="0"/>
        <v>3473280</v>
      </c>
      <c r="J29" s="74">
        <f t="shared" si="0"/>
        <v>1157760</v>
      </c>
      <c r="K29" s="74">
        <f t="shared" si="0"/>
        <v>3357504</v>
      </c>
      <c r="L29" s="74">
        <f t="shared" si="0"/>
        <v>0</v>
      </c>
      <c r="M29" s="74">
        <f t="shared" si="0"/>
        <v>434160</v>
      </c>
      <c r="N29" s="74">
        <f t="shared" si="0"/>
        <v>0</v>
      </c>
      <c r="O29" s="74">
        <f t="shared" si="0"/>
        <v>0</v>
      </c>
      <c r="P29" s="74">
        <f t="shared" si="0"/>
        <v>0</v>
      </c>
      <c r="Q29" s="74">
        <f t="shared" si="0"/>
        <v>0</v>
      </c>
      <c r="R29" s="74">
        <f t="shared" si="0"/>
        <v>0</v>
      </c>
      <c r="S29" s="74">
        <f t="shared" si="0"/>
        <v>0</v>
      </c>
      <c r="T29" s="74">
        <f t="shared" si="0"/>
        <v>0</v>
      </c>
      <c r="U29" s="74">
        <f t="shared" si="0"/>
        <v>0</v>
      </c>
      <c r="V29" s="74">
        <f t="shared" si="0"/>
        <v>7380720</v>
      </c>
      <c r="W29" s="74">
        <f t="shared" si="0"/>
        <v>0</v>
      </c>
      <c r="X29" s="74">
        <f t="shared" si="0"/>
        <v>27655992</v>
      </c>
      <c r="Y29" s="74">
        <f t="shared" si="0"/>
        <v>0</v>
      </c>
    </row>
    <row r="30" spans="1:25" x14ac:dyDescent="0.25">
      <c r="D30" s="74">
        <f t="shared" si="1"/>
        <v>0</v>
      </c>
      <c r="E30" s="74">
        <f t="shared" si="0"/>
        <v>0</v>
      </c>
      <c r="F30" s="74">
        <f t="shared" si="0"/>
        <v>273870</v>
      </c>
      <c r="G30" s="74">
        <f t="shared" si="0"/>
        <v>438192</v>
      </c>
      <c r="H30" s="74">
        <f t="shared" si="0"/>
        <v>0</v>
      </c>
      <c r="I30" s="74">
        <f t="shared" si="0"/>
        <v>328644</v>
      </c>
      <c r="J30" s="74">
        <f t="shared" si="0"/>
        <v>136935</v>
      </c>
      <c r="K30" s="74">
        <f t="shared" si="0"/>
        <v>5559561</v>
      </c>
      <c r="L30" s="74">
        <f t="shared" si="0"/>
        <v>0</v>
      </c>
      <c r="M30" s="74">
        <f t="shared" si="0"/>
        <v>328644</v>
      </c>
      <c r="N30" s="74">
        <f t="shared" si="0"/>
        <v>0</v>
      </c>
      <c r="O30" s="74">
        <f t="shared" si="0"/>
        <v>0</v>
      </c>
      <c r="P30" s="74">
        <f t="shared" si="0"/>
        <v>0</v>
      </c>
      <c r="Q30" s="74">
        <f t="shared" si="0"/>
        <v>940287</v>
      </c>
      <c r="R30" s="74">
        <f t="shared" si="0"/>
        <v>10279254</v>
      </c>
      <c r="S30" s="74">
        <f t="shared" si="0"/>
        <v>0</v>
      </c>
      <c r="T30" s="74">
        <f t="shared" si="0"/>
        <v>0</v>
      </c>
      <c r="U30" s="74">
        <f t="shared" si="0"/>
        <v>0</v>
      </c>
      <c r="V30" s="74">
        <f t="shared" si="0"/>
        <v>0</v>
      </c>
      <c r="W30" s="74">
        <f t="shared" si="0"/>
        <v>0</v>
      </c>
      <c r="X30" s="74">
        <f t="shared" si="0"/>
        <v>1351092</v>
      </c>
      <c r="Y30" s="74">
        <f t="shared" si="0"/>
        <v>0</v>
      </c>
    </row>
    <row r="31" spans="1:25" x14ac:dyDescent="0.25">
      <c r="D31" s="74">
        <f t="shared" si="1"/>
        <v>0</v>
      </c>
      <c r="E31" s="74">
        <f t="shared" si="0"/>
        <v>402096</v>
      </c>
      <c r="F31" s="74">
        <f t="shared" si="0"/>
        <v>0</v>
      </c>
      <c r="G31" s="74">
        <f t="shared" si="0"/>
        <v>678537</v>
      </c>
      <c r="H31" s="74">
        <f t="shared" si="0"/>
        <v>0</v>
      </c>
      <c r="I31" s="74">
        <f t="shared" si="0"/>
        <v>1507860</v>
      </c>
      <c r="J31" s="74">
        <f t="shared" si="0"/>
        <v>251310</v>
      </c>
      <c r="K31" s="74">
        <f t="shared" si="0"/>
        <v>4523580</v>
      </c>
      <c r="L31" s="74">
        <f t="shared" si="0"/>
        <v>0</v>
      </c>
      <c r="M31" s="74">
        <f t="shared" si="0"/>
        <v>0</v>
      </c>
      <c r="N31" s="74">
        <f t="shared" si="0"/>
        <v>502620</v>
      </c>
      <c r="O31" s="74">
        <f t="shared" si="0"/>
        <v>5780130</v>
      </c>
      <c r="P31" s="74">
        <f t="shared" si="0"/>
        <v>0</v>
      </c>
      <c r="Q31" s="74">
        <f t="shared" si="0"/>
        <v>10278579</v>
      </c>
      <c r="R31" s="74">
        <f t="shared" si="0"/>
        <v>13595871</v>
      </c>
      <c r="S31" s="74">
        <f t="shared" si="0"/>
        <v>0</v>
      </c>
      <c r="T31" s="74">
        <f t="shared" si="0"/>
        <v>0</v>
      </c>
      <c r="U31" s="74">
        <f t="shared" si="0"/>
        <v>0</v>
      </c>
      <c r="V31" s="74">
        <f t="shared" si="0"/>
        <v>0</v>
      </c>
      <c r="W31" s="74">
        <f t="shared" si="0"/>
        <v>0</v>
      </c>
      <c r="X31" s="74">
        <f t="shared" si="0"/>
        <v>5855523</v>
      </c>
      <c r="Y31" s="74">
        <f t="shared" si="0"/>
        <v>0</v>
      </c>
    </row>
    <row r="32" spans="1:25" x14ac:dyDescent="0.25">
      <c r="D32" s="74">
        <f t="shared" si="1"/>
        <v>0</v>
      </c>
      <c r="E32" s="74">
        <f t="shared" si="0"/>
        <v>1227233</v>
      </c>
      <c r="F32" s="74">
        <f t="shared" si="0"/>
        <v>0</v>
      </c>
      <c r="G32" s="74">
        <f t="shared" si="0"/>
        <v>1122041.6000000001</v>
      </c>
      <c r="H32" s="74">
        <f t="shared" si="0"/>
        <v>561020.80000000005</v>
      </c>
      <c r="I32" s="74">
        <f t="shared" si="0"/>
        <v>561020.80000000005</v>
      </c>
      <c r="J32" s="74">
        <f t="shared" si="0"/>
        <v>1122041.6000000001</v>
      </c>
      <c r="K32" s="74">
        <f t="shared" si="0"/>
        <v>1192169.2000000002</v>
      </c>
      <c r="L32" s="74">
        <f t="shared" si="0"/>
        <v>0</v>
      </c>
      <c r="M32" s="74">
        <f t="shared" si="0"/>
        <v>0</v>
      </c>
      <c r="N32" s="74">
        <f t="shared" si="0"/>
        <v>0</v>
      </c>
      <c r="O32" s="74">
        <f t="shared" si="0"/>
        <v>2734976.4000000004</v>
      </c>
      <c r="P32" s="74">
        <f t="shared" si="0"/>
        <v>0</v>
      </c>
      <c r="Q32" s="74">
        <f t="shared" si="0"/>
        <v>210382.80000000002</v>
      </c>
      <c r="R32" s="74">
        <f t="shared" si="0"/>
        <v>3366124.8000000003</v>
      </c>
      <c r="S32" s="74">
        <f t="shared" si="0"/>
        <v>0</v>
      </c>
      <c r="T32" s="74">
        <f t="shared" si="0"/>
        <v>0</v>
      </c>
      <c r="U32" s="74">
        <f t="shared" si="0"/>
        <v>0</v>
      </c>
      <c r="V32" s="74">
        <f t="shared" si="0"/>
        <v>32784653.000000004</v>
      </c>
      <c r="W32" s="74">
        <f t="shared" si="0"/>
        <v>0</v>
      </c>
      <c r="X32" s="74">
        <f t="shared" si="0"/>
        <v>525957</v>
      </c>
      <c r="Y32" s="74">
        <f t="shared" si="0"/>
        <v>0</v>
      </c>
    </row>
    <row r="33" spans="4:25" x14ac:dyDescent="0.25">
      <c r="D33" s="74">
        <f t="shared" si="1"/>
        <v>0</v>
      </c>
      <c r="E33" s="74">
        <f t="shared" si="0"/>
        <v>1440072</v>
      </c>
      <c r="F33" s="74">
        <f t="shared" si="0"/>
        <v>0</v>
      </c>
      <c r="G33" s="74">
        <f t="shared" si="0"/>
        <v>0</v>
      </c>
      <c r="H33" s="74">
        <f t="shared" si="0"/>
        <v>0</v>
      </c>
      <c r="I33" s="74">
        <f t="shared" si="0"/>
        <v>0</v>
      </c>
      <c r="J33" s="74">
        <f t="shared" si="0"/>
        <v>0</v>
      </c>
      <c r="K33" s="74">
        <f t="shared" si="0"/>
        <v>1440072</v>
      </c>
      <c r="L33" s="74">
        <f t="shared" si="0"/>
        <v>0</v>
      </c>
      <c r="M33" s="74">
        <f t="shared" si="0"/>
        <v>0</v>
      </c>
      <c r="N33" s="74">
        <f t="shared" si="0"/>
        <v>0</v>
      </c>
      <c r="O33" s="74">
        <f t="shared" si="0"/>
        <v>0</v>
      </c>
      <c r="P33" s="74">
        <f t="shared" si="0"/>
        <v>0</v>
      </c>
      <c r="Q33" s="74">
        <f t="shared" si="0"/>
        <v>216010.80000000002</v>
      </c>
      <c r="R33" s="74">
        <f t="shared" si="0"/>
        <v>0</v>
      </c>
      <c r="S33" s="74">
        <f t="shared" si="0"/>
        <v>0</v>
      </c>
      <c r="T33" s="74">
        <f t="shared" si="0"/>
        <v>0</v>
      </c>
      <c r="U33" s="74">
        <f t="shared" si="0"/>
        <v>0</v>
      </c>
      <c r="V33" s="74">
        <f t="shared" si="0"/>
        <v>0</v>
      </c>
      <c r="W33" s="74">
        <f t="shared" si="0"/>
        <v>0</v>
      </c>
      <c r="X33" s="74">
        <f t="shared" si="0"/>
        <v>72003.600000000006</v>
      </c>
      <c r="Y33" s="74">
        <f t="shared" si="0"/>
        <v>0</v>
      </c>
    </row>
    <row r="34" spans="4:25" x14ac:dyDescent="0.25">
      <c r="D34" s="74">
        <f t="shared" si="1"/>
        <v>0</v>
      </c>
      <c r="E34" s="74">
        <f t="shared" si="0"/>
        <v>3553050</v>
      </c>
      <c r="F34" s="74">
        <f t="shared" si="0"/>
        <v>0</v>
      </c>
      <c r="G34" s="74">
        <f t="shared" si="0"/>
        <v>3197745</v>
      </c>
      <c r="H34" s="74">
        <f t="shared" si="0"/>
        <v>0</v>
      </c>
      <c r="I34" s="74">
        <f t="shared" si="0"/>
        <v>521114</v>
      </c>
      <c r="J34" s="74">
        <f t="shared" si="0"/>
        <v>947480</v>
      </c>
      <c r="K34" s="74">
        <f t="shared" si="0"/>
        <v>2747692</v>
      </c>
      <c r="L34" s="74">
        <f t="shared" si="0"/>
        <v>0</v>
      </c>
      <c r="M34" s="74">
        <f t="shared" si="0"/>
        <v>0</v>
      </c>
      <c r="N34" s="74">
        <f t="shared" si="0"/>
        <v>0</v>
      </c>
      <c r="O34" s="74">
        <f t="shared" si="0"/>
        <v>0</v>
      </c>
      <c r="P34" s="74">
        <f t="shared" si="0"/>
        <v>236870</v>
      </c>
      <c r="Q34" s="74">
        <f t="shared" si="0"/>
        <v>2321326</v>
      </c>
      <c r="R34" s="74">
        <f t="shared" si="0"/>
        <v>2558196</v>
      </c>
      <c r="S34" s="74">
        <f t="shared" si="0"/>
        <v>0</v>
      </c>
      <c r="T34" s="74">
        <f t="shared" si="0"/>
        <v>0</v>
      </c>
      <c r="U34" s="74">
        <f t="shared" si="0"/>
        <v>0</v>
      </c>
      <c r="V34" s="74">
        <f t="shared" si="0"/>
        <v>0</v>
      </c>
      <c r="W34" s="74">
        <f t="shared" si="0"/>
        <v>0</v>
      </c>
      <c r="X34" s="74">
        <f t="shared" si="0"/>
        <v>11677691</v>
      </c>
      <c r="Y34" s="74">
        <f t="shared" si="0"/>
        <v>0</v>
      </c>
    </row>
    <row r="35" spans="4:25" x14ac:dyDescent="0.25">
      <c r="D35" s="74">
        <f t="shared" si="1"/>
        <v>31537326</v>
      </c>
      <c r="E35" s="74">
        <f t="shared" si="0"/>
        <v>0</v>
      </c>
      <c r="F35" s="74">
        <f t="shared" si="0"/>
        <v>0</v>
      </c>
      <c r="G35" s="74">
        <f t="shared" si="0"/>
        <v>181249</v>
      </c>
      <c r="H35" s="74">
        <f t="shared" si="0"/>
        <v>0</v>
      </c>
      <c r="I35" s="74">
        <f t="shared" si="0"/>
        <v>0</v>
      </c>
      <c r="J35" s="74">
        <f t="shared" si="0"/>
        <v>0</v>
      </c>
      <c r="K35" s="74">
        <f t="shared" si="0"/>
        <v>0</v>
      </c>
      <c r="L35" s="74">
        <f t="shared" si="0"/>
        <v>0</v>
      </c>
      <c r="M35" s="74">
        <f t="shared" si="0"/>
        <v>0</v>
      </c>
      <c r="N35" s="74">
        <f t="shared" si="0"/>
        <v>0</v>
      </c>
      <c r="O35" s="74">
        <f t="shared" si="0"/>
        <v>0</v>
      </c>
      <c r="P35" s="74">
        <f t="shared" si="0"/>
        <v>0</v>
      </c>
      <c r="Q35" s="74">
        <f t="shared" si="0"/>
        <v>0</v>
      </c>
      <c r="R35" s="74">
        <f t="shared" si="0"/>
        <v>0</v>
      </c>
      <c r="S35" s="74">
        <f t="shared" si="0"/>
        <v>0</v>
      </c>
      <c r="T35" s="74">
        <f t="shared" si="0"/>
        <v>0</v>
      </c>
      <c r="U35" s="74">
        <f t="shared" si="0"/>
        <v>0</v>
      </c>
      <c r="V35" s="74">
        <f t="shared" si="0"/>
        <v>0</v>
      </c>
      <c r="W35" s="74">
        <f t="shared" ref="E35:Y40" si="2">W15*$C15</f>
        <v>0</v>
      </c>
      <c r="X35" s="74">
        <f t="shared" si="2"/>
        <v>0</v>
      </c>
      <c r="Y35" s="74">
        <f t="shared" si="2"/>
        <v>0</v>
      </c>
    </row>
    <row r="36" spans="4:25" x14ac:dyDescent="0.25">
      <c r="D36" s="74">
        <f t="shared" si="1"/>
        <v>51368856</v>
      </c>
      <c r="E36" s="74">
        <f t="shared" si="2"/>
        <v>0</v>
      </c>
      <c r="F36" s="74">
        <f t="shared" si="2"/>
        <v>0</v>
      </c>
      <c r="G36" s="74">
        <f t="shared" si="2"/>
        <v>0</v>
      </c>
      <c r="H36" s="74">
        <f t="shared" si="2"/>
        <v>0</v>
      </c>
      <c r="I36" s="74">
        <f t="shared" si="2"/>
        <v>698896</v>
      </c>
      <c r="J36" s="74">
        <f t="shared" si="2"/>
        <v>0</v>
      </c>
      <c r="K36" s="74">
        <f t="shared" si="2"/>
        <v>0</v>
      </c>
      <c r="L36" s="74">
        <f t="shared" si="2"/>
        <v>0</v>
      </c>
      <c r="M36" s="74">
        <f t="shared" si="2"/>
        <v>0</v>
      </c>
      <c r="N36" s="74">
        <f t="shared" si="2"/>
        <v>0</v>
      </c>
      <c r="O36" s="74">
        <f t="shared" si="2"/>
        <v>0</v>
      </c>
      <c r="P36" s="74">
        <f t="shared" si="2"/>
        <v>0</v>
      </c>
      <c r="Q36" s="74">
        <f t="shared" si="2"/>
        <v>0</v>
      </c>
      <c r="R36" s="74">
        <f t="shared" si="2"/>
        <v>0</v>
      </c>
      <c r="S36" s="74">
        <f t="shared" si="2"/>
        <v>0</v>
      </c>
      <c r="T36" s="74">
        <f t="shared" si="2"/>
        <v>0</v>
      </c>
      <c r="U36" s="74">
        <f t="shared" si="2"/>
        <v>0</v>
      </c>
      <c r="V36" s="74">
        <f t="shared" si="2"/>
        <v>1397792</v>
      </c>
      <c r="W36" s="74">
        <f t="shared" si="2"/>
        <v>698896</v>
      </c>
      <c r="X36" s="74">
        <f t="shared" si="2"/>
        <v>0</v>
      </c>
      <c r="Y36" s="74">
        <f t="shared" si="2"/>
        <v>0</v>
      </c>
    </row>
    <row r="37" spans="4:25" x14ac:dyDescent="0.25">
      <c r="D37" s="74">
        <f t="shared" si="1"/>
        <v>0</v>
      </c>
      <c r="E37" s="74">
        <f t="shared" si="2"/>
        <v>2419000</v>
      </c>
      <c r="F37" s="74">
        <f t="shared" si="2"/>
        <v>0</v>
      </c>
      <c r="G37" s="74">
        <f t="shared" si="2"/>
        <v>0</v>
      </c>
      <c r="H37" s="74">
        <f t="shared" si="2"/>
        <v>0</v>
      </c>
      <c r="I37" s="74">
        <f t="shared" si="2"/>
        <v>21287200</v>
      </c>
      <c r="J37" s="74">
        <f t="shared" si="2"/>
        <v>0</v>
      </c>
      <c r="K37" s="74">
        <f t="shared" si="2"/>
        <v>0</v>
      </c>
      <c r="L37" s="74">
        <f t="shared" si="2"/>
        <v>0</v>
      </c>
      <c r="M37" s="74">
        <f t="shared" si="2"/>
        <v>0</v>
      </c>
      <c r="N37" s="74">
        <f t="shared" si="2"/>
        <v>0</v>
      </c>
      <c r="O37" s="74">
        <f t="shared" si="2"/>
        <v>0</v>
      </c>
      <c r="P37" s="74">
        <f t="shared" si="2"/>
        <v>0</v>
      </c>
      <c r="Q37" s="74">
        <f t="shared" si="2"/>
        <v>483800</v>
      </c>
      <c r="R37" s="74">
        <f t="shared" si="2"/>
        <v>0</v>
      </c>
      <c r="S37" s="74">
        <f t="shared" si="2"/>
        <v>0</v>
      </c>
      <c r="T37" s="74">
        <f t="shared" si="2"/>
        <v>0</v>
      </c>
      <c r="U37" s="74">
        <f t="shared" si="2"/>
        <v>0</v>
      </c>
      <c r="V37" s="74">
        <f t="shared" si="2"/>
        <v>55153200</v>
      </c>
      <c r="W37" s="74">
        <f t="shared" si="2"/>
        <v>0</v>
      </c>
      <c r="X37" s="74">
        <f t="shared" si="2"/>
        <v>1790060</v>
      </c>
      <c r="Y37" s="74">
        <f t="shared" si="2"/>
        <v>0</v>
      </c>
    </row>
    <row r="38" spans="4:25" x14ac:dyDescent="0.25">
      <c r="D38" s="74">
        <f t="shared" si="1"/>
        <v>11101050</v>
      </c>
      <c r="E38" s="74">
        <f t="shared" si="2"/>
        <v>10813245</v>
      </c>
      <c r="F38" s="74">
        <f t="shared" si="2"/>
        <v>0</v>
      </c>
      <c r="G38" s="74">
        <f t="shared" si="2"/>
        <v>4042975</v>
      </c>
      <c r="H38" s="74">
        <f t="shared" si="2"/>
        <v>0</v>
      </c>
      <c r="I38" s="74">
        <f t="shared" si="2"/>
        <v>13937985</v>
      </c>
      <c r="J38" s="74">
        <f t="shared" si="2"/>
        <v>4796750</v>
      </c>
      <c r="K38" s="74">
        <f t="shared" si="2"/>
        <v>28698270</v>
      </c>
      <c r="L38" s="74">
        <f t="shared" si="2"/>
        <v>0</v>
      </c>
      <c r="M38" s="74">
        <f t="shared" si="2"/>
        <v>411150</v>
      </c>
      <c r="N38" s="74">
        <f t="shared" si="2"/>
        <v>1370500</v>
      </c>
      <c r="O38" s="74">
        <f t="shared" si="2"/>
        <v>17268300</v>
      </c>
      <c r="P38" s="74">
        <f t="shared" si="2"/>
        <v>0</v>
      </c>
      <c r="Q38" s="74">
        <f t="shared" si="2"/>
        <v>7962605</v>
      </c>
      <c r="R38" s="74">
        <f t="shared" si="2"/>
        <v>26957735</v>
      </c>
      <c r="S38" s="74">
        <f t="shared" si="2"/>
        <v>0</v>
      </c>
      <c r="T38" s="74">
        <f t="shared" si="2"/>
        <v>0</v>
      </c>
      <c r="U38" s="74">
        <f t="shared" si="2"/>
        <v>548200</v>
      </c>
      <c r="V38" s="74">
        <f t="shared" si="2"/>
        <v>45993980</v>
      </c>
      <c r="W38" s="74">
        <f t="shared" si="2"/>
        <v>0</v>
      </c>
      <c r="X38" s="74">
        <f t="shared" si="2"/>
        <v>47583760</v>
      </c>
      <c r="Y38" s="74">
        <f t="shared" si="2"/>
        <v>68525</v>
      </c>
    </row>
    <row r="39" spans="4:25" x14ac:dyDescent="0.25">
      <c r="D39" s="74">
        <f t="shared" si="1"/>
        <v>5905020</v>
      </c>
      <c r="E39" s="74">
        <f t="shared" si="2"/>
        <v>5006430</v>
      </c>
      <c r="F39" s="74">
        <f t="shared" si="2"/>
        <v>0</v>
      </c>
      <c r="G39" s="74">
        <f t="shared" si="2"/>
        <v>847242</v>
      </c>
      <c r="H39" s="74">
        <f t="shared" si="2"/>
        <v>0</v>
      </c>
      <c r="I39" s="74">
        <f t="shared" si="2"/>
        <v>6033390</v>
      </c>
      <c r="J39" s="74">
        <f t="shared" si="2"/>
        <v>2053920</v>
      </c>
      <c r="K39" s="74">
        <f t="shared" si="2"/>
        <v>30166950</v>
      </c>
      <c r="L39" s="74">
        <f t="shared" si="2"/>
        <v>0</v>
      </c>
      <c r="M39" s="74">
        <f t="shared" si="2"/>
        <v>1232352</v>
      </c>
      <c r="N39" s="74">
        <f t="shared" si="2"/>
        <v>0</v>
      </c>
      <c r="O39" s="74">
        <f t="shared" si="2"/>
        <v>2336334</v>
      </c>
      <c r="P39" s="74">
        <f t="shared" si="2"/>
        <v>770220</v>
      </c>
      <c r="Q39" s="74">
        <f t="shared" si="2"/>
        <v>5160474</v>
      </c>
      <c r="R39" s="74">
        <f t="shared" si="2"/>
        <v>28498140</v>
      </c>
      <c r="S39" s="74">
        <f t="shared" si="2"/>
        <v>0</v>
      </c>
      <c r="T39" s="74">
        <f t="shared" si="2"/>
        <v>0</v>
      </c>
      <c r="U39" s="74">
        <f t="shared" si="2"/>
        <v>0</v>
      </c>
      <c r="V39" s="74">
        <f t="shared" si="2"/>
        <v>24518670</v>
      </c>
      <c r="W39" s="74">
        <f t="shared" si="2"/>
        <v>0</v>
      </c>
      <c r="X39" s="74">
        <f t="shared" si="2"/>
        <v>8472420</v>
      </c>
      <c r="Y39" s="74">
        <f t="shared" si="2"/>
        <v>564828</v>
      </c>
    </row>
    <row r="40" spans="4:25" x14ac:dyDescent="0.25">
      <c r="D40" s="74">
        <f t="shared" si="1"/>
        <v>1005912</v>
      </c>
      <c r="E40" s="74">
        <f t="shared" si="2"/>
        <v>0</v>
      </c>
      <c r="F40" s="74">
        <f t="shared" si="2"/>
        <v>0</v>
      </c>
      <c r="G40" s="74">
        <f t="shared" si="2"/>
        <v>335304</v>
      </c>
      <c r="H40" s="74">
        <f t="shared" si="2"/>
        <v>0</v>
      </c>
      <c r="I40" s="74">
        <f t="shared" si="2"/>
        <v>0</v>
      </c>
      <c r="J40" s="74">
        <f t="shared" si="2"/>
        <v>0</v>
      </c>
      <c r="K40" s="74">
        <f t="shared" si="2"/>
        <v>0</v>
      </c>
      <c r="L40" s="74">
        <f t="shared" si="2"/>
        <v>0</v>
      </c>
      <c r="M40" s="74">
        <f t="shared" si="2"/>
        <v>0</v>
      </c>
      <c r="N40" s="74">
        <f t="shared" si="2"/>
        <v>0</v>
      </c>
      <c r="O40" s="74">
        <f t="shared" si="2"/>
        <v>0</v>
      </c>
      <c r="P40" s="74">
        <f t="shared" si="2"/>
        <v>0</v>
      </c>
      <c r="Q40" s="74">
        <f t="shared" si="2"/>
        <v>0</v>
      </c>
      <c r="R40" s="74">
        <f t="shared" si="2"/>
        <v>279420</v>
      </c>
      <c r="S40" s="74">
        <f t="shared" si="2"/>
        <v>0</v>
      </c>
      <c r="T40" s="74">
        <f t="shared" si="2"/>
        <v>0</v>
      </c>
      <c r="U40" s="74">
        <f t="shared" si="2"/>
        <v>0</v>
      </c>
      <c r="V40" s="74">
        <f t="shared" si="2"/>
        <v>0</v>
      </c>
      <c r="W40" s="74">
        <f t="shared" si="2"/>
        <v>0</v>
      </c>
      <c r="X40" s="74">
        <f t="shared" si="2"/>
        <v>1341216</v>
      </c>
      <c r="Y40" s="74">
        <f t="shared" si="2"/>
        <v>0</v>
      </c>
    </row>
    <row r="43" spans="4:25" x14ac:dyDescent="0.25">
      <c r="D43" s="74">
        <f>SUM(D23:D40)</f>
        <v>105259764</v>
      </c>
      <c r="E43" s="74">
        <f t="shared" ref="E43:Y43" si="3">SUM(E23:E40)</f>
        <v>27433280</v>
      </c>
      <c r="F43" s="74">
        <f t="shared" si="3"/>
        <v>290858</v>
      </c>
      <c r="G43" s="74">
        <f t="shared" si="3"/>
        <v>19573827.600000001</v>
      </c>
      <c r="H43" s="74">
        <f t="shared" si="3"/>
        <v>561020.80000000005</v>
      </c>
      <c r="I43" s="74">
        <f t="shared" si="3"/>
        <v>53953604.799999997</v>
      </c>
      <c r="J43" s="74">
        <f t="shared" si="3"/>
        <v>16539361.6</v>
      </c>
      <c r="K43" s="74">
        <f t="shared" si="3"/>
        <v>86639509.200000003</v>
      </c>
      <c r="L43" s="74">
        <f t="shared" si="3"/>
        <v>0</v>
      </c>
      <c r="M43" s="74">
        <f t="shared" si="3"/>
        <v>8149830</v>
      </c>
      <c r="N43" s="74">
        <f t="shared" si="3"/>
        <v>1873120</v>
      </c>
      <c r="O43" s="74">
        <f t="shared" si="3"/>
        <v>30998290.399999999</v>
      </c>
      <c r="P43" s="74">
        <f t="shared" si="3"/>
        <v>1739064</v>
      </c>
      <c r="Q43" s="74">
        <f t="shared" si="3"/>
        <v>62215768.599999994</v>
      </c>
      <c r="R43" s="74">
        <f t="shared" si="3"/>
        <v>130169556.8</v>
      </c>
      <c r="S43" s="74">
        <f t="shared" si="3"/>
        <v>0</v>
      </c>
      <c r="T43" s="74">
        <f t="shared" si="3"/>
        <v>0</v>
      </c>
      <c r="U43" s="74">
        <f t="shared" si="3"/>
        <v>3814217</v>
      </c>
      <c r="V43" s="74">
        <f t="shared" si="3"/>
        <v>177258363</v>
      </c>
      <c r="W43" s="74">
        <f t="shared" si="3"/>
        <v>698896</v>
      </c>
      <c r="X43" s="74">
        <f t="shared" si="3"/>
        <v>116732106.59999999</v>
      </c>
      <c r="Y43" s="74">
        <f t="shared" si="3"/>
        <v>667329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6943A-A008-4202-BADF-8E2F95598BB1}">
  <dimension ref="A1:E22"/>
  <sheetViews>
    <sheetView tabSelected="1" workbookViewId="0">
      <selection activeCell="B2" sqref="B2"/>
    </sheetView>
  </sheetViews>
  <sheetFormatPr baseColWidth="10" defaultRowHeight="15" x14ac:dyDescent="0.25"/>
  <cols>
    <col min="2" max="2" width="16.7109375" bestFit="1" customWidth="1"/>
    <col min="3" max="3" width="18.28515625" bestFit="1" customWidth="1"/>
    <col min="4" max="4" width="12" bestFit="1" customWidth="1"/>
    <col min="5" max="5" width="57.42578125" bestFit="1" customWidth="1"/>
  </cols>
  <sheetData>
    <row r="1" spans="1:5" x14ac:dyDescent="0.25">
      <c r="B1" t="s">
        <v>4332</v>
      </c>
      <c r="C1" t="s">
        <v>4333</v>
      </c>
    </row>
    <row r="2" spans="1:5" x14ac:dyDescent="0.25">
      <c r="A2" t="s">
        <v>2109</v>
      </c>
      <c r="B2" s="73">
        <v>105259764</v>
      </c>
      <c r="C2" s="73">
        <v>2639436812.0599999</v>
      </c>
      <c r="D2" s="75">
        <f>1-(B2/SUM(B2:C2))</f>
        <v>0.96164976306739891</v>
      </c>
    </row>
    <row r="3" spans="1:5" x14ac:dyDescent="0.25">
      <c r="A3" t="s">
        <v>2107</v>
      </c>
      <c r="B3" s="73">
        <v>27433280</v>
      </c>
      <c r="C3" s="73">
        <v>660771741</v>
      </c>
      <c r="D3" s="75">
        <f t="shared" ref="D3:D22" si="0">1-(B3/SUM(B3:C3))</f>
        <v>0.96013792523609032</v>
      </c>
    </row>
    <row r="4" spans="1:5" x14ac:dyDescent="0.25">
      <c r="A4" t="s">
        <v>1068</v>
      </c>
      <c r="B4" s="73">
        <v>290858</v>
      </c>
      <c r="C4" s="73" t="s">
        <v>3722</v>
      </c>
      <c r="D4" s="75">
        <f t="shared" si="0"/>
        <v>0</v>
      </c>
    </row>
    <row r="5" spans="1:5" x14ac:dyDescent="0.25">
      <c r="A5" t="s">
        <v>2110</v>
      </c>
      <c r="B5" s="73">
        <v>19573827.600000001</v>
      </c>
      <c r="C5" s="73">
        <v>205832852</v>
      </c>
      <c r="D5" s="75">
        <f t="shared" si="0"/>
        <v>0.91316216700083985</v>
      </c>
    </row>
    <row r="6" spans="1:5" x14ac:dyDescent="0.25">
      <c r="A6" t="s">
        <v>2112</v>
      </c>
      <c r="B6" s="73">
        <v>561020.80000000005</v>
      </c>
      <c r="C6" s="73">
        <v>68748597</v>
      </c>
      <c r="D6" s="75">
        <f t="shared" si="0"/>
        <v>0.99190558514376914</v>
      </c>
    </row>
    <row r="7" spans="1:5" x14ac:dyDescent="0.25">
      <c r="A7" t="s">
        <v>2113</v>
      </c>
      <c r="B7" s="73">
        <v>53953604.799999997</v>
      </c>
      <c r="C7" s="73">
        <v>15065387</v>
      </c>
      <c r="D7" s="75">
        <f t="shared" si="0"/>
        <v>0.2182788621957239</v>
      </c>
      <c r="E7" t="s">
        <v>4320</v>
      </c>
    </row>
    <row r="8" spans="1:5" x14ac:dyDescent="0.25">
      <c r="A8" t="s">
        <v>2114</v>
      </c>
      <c r="B8" s="73">
        <v>16539361.6</v>
      </c>
      <c r="C8" s="73">
        <v>73278520</v>
      </c>
      <c r="D8" s="75">
        <f t="shared" si="0"/>
        <v>0.8158566946205954</v>
      </c>
      <c r="E8" t="s">
        <v>4321</v>
      </c>
    </row>
    <row r="9" spans="1:5" x14ac:dyDescent="0.25">
      <c r="A9" t="s">
        <v>2116</v>
      </c>
      <c r="B9" s="73">
        <v>86639509.200000003</v>
      </c>
      <c r="C9" s="73">
        <v>194244518</v>
      </c>
      <c r="D9" s="75">
        <f t="shared" si="0"/>
        <v>0.69154704144743184</v>
      </c>
      <c r="E9" t="s">
        <v>4323</v>
      </c>
    </row>
    <row r="10" spans="1:5" x14ac:dyDescent="0.25">
      <c r="A10" t="s">
        <v>2117</v>
      </c>
      <c r="B10" s="73">
        <v>0</v>
      </c>
      <c r="C10" s="73" t="s">
        <v>3722</v>
      </c>
      <c r="D10" s="75">
        <v>0</v>
      </c>
    </row>
    <row r="11" spans="1:5" x14ac:dyDescent="0.25">
      <c r="A11" t="s">
        <v>2118</v>
      </c>
      <c r="B11" s="73">
        <v>8149830</v>
      </c>
      <c r="C11" s="73">
        <v>0</v>
      </c>
      <c r="D11" s="75">
        <f t="shared" si="0"/>
        <v>0</v>
      </c>
    </row>
    <row r="12" spans="1:5" x14ac:dyDescent="0.25">
      <c r="A12" t="s">
        <v>2119</v>
      </c>
      <c r="B12" s="73">
        <v>1873120</v>
      </c>
      <c r="C12" s="73">
        <v>5042630</v>
      </c>
      <c r="D12" s="75">
        <f t="shared" si="0"/>
        <v>0.7291515743050283</v>
      </c>
    </row>
    <row r="13" spans="1:5" x14ac:dyDescent="0.25">
      <c r="A13" t="s">
        <v>2120</v>
      </c>
      <c r="B13" s="73">
        <v>30998290.399999999</v>
      </c>
      <c r="C13" s="73">
        <v>106690740</v>
      </c>
      <c r="D13" s="75">
        <f t="shared" si="0"/>
        <v>0.77486739277670158</v>
      </c>
      <c r="E13" t="s">
        <v>4324</v>
      </c>
    </row>
    <row r="14" spans="1:5" x14ac:dyDescent="0.25">
      <c r="A14" t="s">
        <v>2121</v>
      </c>
      <c r="B14" s="73">
        <v>1739064</v>
      </c>
      <c r="C14" s="73">
        <v>23614289</v>
      </c>
      <c r="D14" s="75">
        <f t="shared" si="0"/>
        <v>0.93140694250579004</v>
      </c>
      <c r="E14" t="s">
        <v>4325</v>
      </c>
    </row>
    <row r="15" spans="1:5" x14ac:dyDescent="0.25">
      <c r="A15" t="s">
        <v>2122</v>
      </c>
      <c r="B15" s="73">
        <v>62215768.599999994</v>
      </c>
      <c r="C15" s="73">
        <v>0</v>
      </c>
      <c r="D15" s="75">
        <f t="shared" si="0"/>
        <v>0</v>
      </c>
    </row>
    <row r="16" spans="1:5" x14ac:dyDescent="0.25">
      <c r="A16" t="s">
        <v>2123</v>
      </c>
      <c r="B16" s="73">
        <v>130169556.8</v>
      </c>
      <c r="C16" s="73">
        <v>90024043</v>
      </c>
      <c r="D16" s="75">
        <f t="shared" si="0"/>
        <v>0.40884041625990986</v>
      </c>
      <c r="E16" t="s">
        <v>4326</v>
      </c>
    </row>
    <row r="17" spans="1:5" x14ac:dyDescent="0.25">
      <c r="A17" t="s">
        <v>1152</v>
      </c>
      <c r="B17" s="73">
        <v>0</v>
      </c>
      <c r="C17" s="73">
        <v>98413614</v>
      </c>
      <c r="D17" s="75">
        <f t="shared" si="0"/>
        <v>1</v>
      </c>
      <c r="E17" s="51" t="s">
        <v>4327</v>
      </c>
    </row>
    <row r="18" spans="1:5" x14ac:dyDescent="0.25">
      <c r="A18" t="s">
        <v>2125</v>
      </c>
      <c r="B18" s="73">
        <v>3814217</v>
      </c>
      <c r="C18" s="73">
        <v>24997292</v>
      </c>
      <c r="D18" s="75">
        <f t="shared" si="0"/>
        <v>0.86761481323314238</v>
      </c>
      <c r="E18" t="s">
        <v>4328</v>
      </c>
    </row>
    <row r="19" spans="1:5" x14ac:dyDescent="0.25">
      <c r="A19" t="s">
        <v>2128</v>
      </c>
      <c r="B19" s="73">
        <v>177258363</v>
      </c>
      <c r="C19" s="73">
        <v>513585740</v>
      </c>
      <c r="D19" s="75">
        <f t="shared" si="0"/>
        <v>0.74341770852461053</v>
      </c>
      <c r="E19" t="s">
        <v>4329</v>
      </c>
    </row>
    <row r="20" spans="1:5" x14ac:dyDescent="0.25">
      <c r="A20" t="s">
        <v>1490</v>
      </c>
      <c r="B20" s="73">
        <v>698896</v>
      </c>
      <c r="C20" s="73">
        <v>65985368</v>
      </c>
      <c r="D20" s="75">
        <f t="shared" si="0"/>
        <v>0.98951932647858276</v>
      </c>
      <c r="E20" t="s">
        <v>4330</v>
      </c>
    </row>
    <row r="21" spans="1:5" x14ac:dyDescent="0.25">
      <c r="A21" t="s">
        <v>2129</v>
      </c>
      <c r="B21" s="73">
        <v>116732106.59999999</v>
      </c>
      <c r="C21" s="73">
        <v>320770519.39999998</v>
      </c>
      <c r="D21" s="75">
        <f t="shared" si="0"/>
        <v>0.73318535784057215</v>
      </c>
      <c r="E21" t="s">
        <v>4331</v>
      </c>
    </row>
    <row r="22" spans="1:5" x14ac:dyDescent="0.25">
      <c r="A22" t="s">
        <v>2130</v>
      </c>
      <c r="B22" s="73">
        <v>667329</v>
      </c>
      <c r="C22" s="73">
        <v>1357494766.8</v>
      </c>
      <c r="D22" s="75">
        <f t="shared" si="0"/>
        <v>0.99950865290522861</v>
      </c>
      <c r="E22" t="s">
        <v>4322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E1253"/>
  <sheetViews>
    <sheetView topLeftCell="B1" zoomScale="85" zoomScaleNormal="85" workbookViewId="0">
      <pane ySplit="1" topLeftCell="A2" activePane="bottomLeft" state="frozen"/>
      <selection pane="bottomLeft" activeCell="B1" sqref="B1:AD1233"/>
    </sheetView>
  </sheetViews>
  <sheetFormatPr baseColWidth="10" defaultColWidth="10.85546875" defaultRowHeight="15" x14ac:dyDescent="0.25"/>
  <cols>
    <col min="1" max="1" width="1.140625" style="10" customWidth="1"/>
    <col min="2" max="2" width="22" style="10" customWidth="1"/>
    <col min="3" max="3" width="36.5703125" style="10" customWidth="1"/>
    <col min="4" max="4" width="24" style="10" customWidth="1"/>
    <col min="5" max="5" width="50.42578125" style="10" customWidth="1"/>
    <col min="6" max="6" width="16.85546875" style="10" customWidth="1"/>
    <col min="7" max="7" width="24.5703125" style="10" customWidth="1"/>
    <col min="8" max="8" width="26" style="10" customWidth="1"/>
    <col min="9" max="9" width="17.28515625" style="10" customWidth="1"/>
    <col min="10" max="10" width="21" style="10" customWidth="1"/>
    <col min="11" max="11" width="43" style="10" customWidth="1"/>
    <col min="12" max="12" width="21.42578125" style="10" customWidth="1"/>
    <col min="13" max="13" width="27.5703125" style="10" customWidth="1"/>
    <col min="14" max="14" width="24.85546875" style="20" bestFit="1" customWidth="1"/>
    <col min="15" max="15" width="30" style="10" bestFit="1" customWidth="1"/>
    <col min="16" max="16" width="25.42578125" style="10" customWidth="1"/>
    <col min="17" max="17" width="13.7109375" style="20" customWidth="1"/>
    <col min="18" max="18" width="17.7109375" style="10" customWidth="1"/>
    <col min="19" max="19" width="12.5703125" style="10" customWidth="1"/>
    <col min="20" max="20" width="55.140625" style="10" customWidth="1"/>
    <col min="21" max="21" width="21.5703125" style="10" customWidth="1"/>
    <col min="22" max="22" width="24.28515625" style="10" customWidth="1"/>
    <col min="23" max="23" width="46.140625" style="10" customWidth="1"/>
    <col min="24" max="24" width="21" style="10" customWidth="1"/>
    <col min="25" max="25" width="16.42578125" style="10" customWidth="1"/>
    <col min="26" max="26" width="25.42578125" style="10" customWidth="1"/>
    <col min="27" max="27" width="18.7109375" style="10" customWidth="1"/>
    <col min="28" max="28" width="30.140625" style="10" customWidth="1"/>
    <col min="29" max="29" width="24.28515625" style="10" customWidth="1"/>
    <col min="30" max="30" width="36" style="10" customWidth="1"/>
    <col min="31" max="31" width="64.5703125" style="10" customWidth="1"/>
    <col min="32" max="16384" width="10.85546875" style="10"/>
  </cols>
  <sheetData>
    <row r="1" spans="2:31" ht="30" x14ac:dyDescent="0.25">
      <c r="B1" s="3" t="s">
        <v>0</v>
      </c>
      <c r="C1" s="3" t="s">
        <v>1</v>
      </c>
      <c r="D1" s="3" t="s">
        <v>2</v>
      </c>
      <c r="E1" s="3" t="s">
        <v>3</v>
      </c>
      <c r="F1" s="3" t="s">
        <v>2133</v>
      </c>
      <c r="G1" s="3" t="s">
        <v>4</v>
      </c>
      <c r="H1" s="3" t="s">
        <v>5</v>
      </c>
      <c r="I1" s="3" t="s">
        <v>16</v>
      </c>
      <c r="J1" s="3" t="s">
        <v>17</v>
      </c>
      <c r="K1" s="3" t="s">
        <v>6</v>
      </c>
      <c r="L1" s="3" t="s">
        <v>7</v>
      </c>
      <c r="M1" s="2" t="s">
        <v>11</v>
      </c>
      <c r="N1" s="4" t="s">
        <v>8</v>
      </c>
      <c r="O1" s="3" t="s">
        <v>9</v>
      </c>
      <c r="P1" s="2" t="s">
        <v>10</v>
      </c>
      <c r="Q1" s="4" t="s">
        <v>12</v>
      </c>
      <c r="R1" s="2" t="s">
        <v>13</v>
      </c>
      <c r="S1" s="3" t="s">
        <v>14</v>
      </c>
      <c r="T1" s="3" t="s">
        <v>15</v>
      </c>
      <c r="U1" s="3" t="s">
        <v>2134</v>
      </c>
      <c r="V1" s="3" t="s">
        <v>2135</v>
      </c>
      <c r="W1" s="3" t="s">
        <v>18</v>
      </c>
      <c r="X1" s="2" t="s">
        <v>19</v>
      </c>
      <c r="Y1" s="2" t="s">
        <v>20</v>
      </c>
      <c r="Z1" s="2" t="s">
        <v>21</v>
      </c>
      <c r="AA1" s="2" t="s">
        <v>22</v>
      </c>
      <c r="AB1" s="2" t="s">
        <v>23</v>
      </c>
      <c r="AC1" s="2" t="s">
        <v>24</v>
      </c>
      <c r="AD1" s="2" t="s">
        <v>25</v>
      </c>
      <c r="AE1" s="27" t="s">
        <v>3016</v>
      </c>
    </row>
    <row r="2" spans="2:31" x14ac:dyDescent="0.25">
      <c r="B2" s="10">
        <v>1</v>
      </c>
      <c r="C2" s="10" t="s">
        <v>2140</v>
      </c>
      <c r="D2" s="10" t="s">
        <v>2141</v>
      </c>
      <c r="E2" s="10" t="s">
        <v>2142</v>
      </c>
      <c r="F2" s="10">
        <v>9001814192</v>
      </c>
      <c r="G2" s="10" t="s">
        <v>2143</v>
      </c>
      <c r="H2" s="10" t="s">
        <v>2144</v>
      </c>
      <c r="I2" s="10" t="s">
        <v>2129</v>
      </c>
      <c r="J2" s="10" t="s">
        <v>2011</v>
      </c>
      <c r="K2" s="10" t="s">
        <v>2148</v>
      </c>
      <c r="L2" s="11">
        <v>202124100001812</v>
      </c>
      <c r="M2" s="20">
        <v>44200</v>
      </c>
      <c r="N2" s="20" t="str">
        <f>UPPER(TEXT(Tabla1[[#This Row],[FECHA RADICADO ENTRADA]],"MMM"))</f>
        <v>ENE</v>
      </c>
      <c r="O2" s="11">
        <v>202124110002601</v>
      </c>
      <c r="P2" s="20">
        <v>44200</v>
      </c>
      <c r="Q2" s="20" t="str">
        <f>UPPER(TEXT(Tabla1[[#This Row],[FECHA RADICADO ENTRADA]],"MMM"))</f>
        <v>ENE</v>
      </c>
      <c r="R2" s="10">
        <f t="shared" ref="R2:R65" si="0">_xlfn.DAYS(M2,P2)</f>
        <v>0</v>
      </c>
      <c r="S2" s="10" t="s">
        <v>2145</v>
      </c>
      <c r="T2" s="10" t="s">
        <v>2146</v>
      </c>
      <c r="U2" s="10" t="s">
        <v>2147</v>
      </c>
      <c r="V2" s="20">
        <v>43726</v>
      </c>
      <c r="W2" s="10" t="s">
        <v>63</v>
      </c>
      <c r="X2" s="10">
        <v>0</v>
      </c>
      <c r="Y2" s="11">
        <f>IFERROR(INT(Tabla1[[#This Row],[CANTIDAD UND FARMACEUTICAS]]/(VLOOKUP(Tabla1[[#This Row],[MEDICAMENTO]],TAB_REF!$K$3:$L$27,2,0))),"")</f>
        <v>0</v>
      </c>
      <c r="Z2" s="10" t="str">
        <f>IFERROR(VLOOKUP(Tabla1[[#This Row],[MEDICAMENTO]],TAB_REF!$B$3:$F$27,2,0), "")</f>
        <v xml:space="preserve">Morfina HCl </v>
      </c>
      <c r="AA2" s="10" t="str">
        <f>IFERROR(VLOOKUP(Tabla1[[#This Row],[MEDICAMENTO]],TAB_REF!$B$3:$F$27,3,0), "")</f>
        <v xml:space="preserve">10 mg/mL </v>
      </c>
      <c r="AB2" s="10" t="str">
        <f>IFERROR(VLOOKUP(Tabla1[[#This Row],[MEDICAMENTO]],TAB_REF!$B$3:$F$27,4,0), "")</f>
        <v>Solución Inyectable</v>
      </c>
      <c r="AC2" s="10" t="str">
        <f>IFERROR(VLOOKUP(Tabla1[[#This Row],[MEDICAMENTO]],TAB_REF!$B$3:$F$27,5,0), "")</f>
        <v>Caja x 10 unidades</v>
      </c>
      <c r="AD2" s="10" t="str">
        <f>IFERROR(VLOOKUP(Tabla1[[#This Row],[CANTIDAD UND COMERCIALES]],TAB_REF!$H$3:$I$1003,2,0)&amp;" ("&amp;Tabla1[[#This Row],[CANTIDAD UND COMERCIALES]]&amp;")"&amp;"_"&amp;Tabla1[[#This Row],[CANTIDAD]],"")</f>
        <v/>
      </c>
      <c r="AE2" s="31" t="e">
        <f>CONCATENATE([1]!Tabla1[[#This Row],[NOMBRE MED.]],[1]!Tabla1[[#This Row],[CONCENTRACION]],[1]!Tabla1[[#This Row],[FORMA FARMACEUTICA]])</f>
        <v>#REF!</v>
      </c>
    </row>
    <row r="3" spans="2:31" x14ac:dyDescent="0.25">
      <c r="B3" s="10">
        <v>2</v>
      </c>
      <c r="C3" s="10" t="s">
        <v>2149</v>
      </c>
      <c r="D3" s="10" t="s">
        <v>2141</v>
      </c>
      <c r="E3" s="10" t="s">
        <v>2150</v>
      </c>
      <c r="F3" s="10" t="s">
        <v>2192</v>
      </c>
      <c r="G3" s="22" t="s">
        <v>2152</v>
      </c>
      <c r="H3" s="10" t="s">
        <v>2151</v>
      </c>
      <c r="I3" s="10" t="s">
        <v>2116</v>
      </c>
      <c r="J3" s="10" t="s">
        <v>1550</v>
      </c>
      <c r="K3" s="10" t="s">
        <v>2148</v>
      </c>
      <c r="L3" s="11">
        <v>202124100009822</v>
      </c>
      <c r="M3" s="20">
        <v>44201</v>
      </c>
      <c r="N3" s="20" t="str">
        <f>UPPER(TEXT(Tabla1[[#This Row],[FECHA RADICADO ENTRADA]],"MMM"))</f>
        <v>ENE</v>
      </c>
      <c r="O3" s="11">
        <v>202124110010251</v>
      </c>
      <c r="P3" s="20">
        <v>44202</v>
      </c>
      <c r="Q3" s="20" t="str">
        <f>UPPER(TEXT(Tabla1[[#This Row],[FECHA RADICADO ENTRADA]],"MMM"))</f>
        <v>ENE</v>
      </c>
      <c r="R3" s="10">
        <f t="shared" si="0"/>
        <v>-1</v>
      </c>
      <c r="S3" s="10" t="s">
        <v>2154</v>
      </c>
      <c r="U3" s="10" t="s">
        <v>2153</v>
      </c>
      <c r="V3" s="20">
        <v>43829</v>
      </c>
      <c r="W3" s="10" t="s">
        <v>60</v>
      </c>
      <c r="X3" s="10">
        <v>100</v>
      </c>
      <c r="Y3" s="11">
        <f>IFERROR(INT(Tabla1[[#This Row],[CANTIDAD UND FARMACEUTICAS]]/(VLOOKUP(Tabla1[[#This Row],[MEDICAMENTO]],TAB_REF!$K$3:$L$27,2,0))),"")</f>
        <v>100</v>
      </c>
      <c r="Z3" s="10" t="str">
        <f>IFERROR(VLOOKUP(Tabla1[[#This Row],[MEDICAMENTO]],TAB_REF!$B$3:$F$27,2,0), "")</f>
        <v xml:space="preserve">Morfina HCl </v>
      </c>
      <c r="AA3" s="10" t="str">
        <f>IFERROR(VLOOKUP(Tabla1[[#This Row],[MEDICAMENTO]],TAB_REF!$B$3:$F$27,3,0), "")</f>
        <v xml:space="preserve">3%. </v>
      </c>
      <c r="AB3" s="10" t="str">
        <f>IFERROR(VLOOKUP(Tabla1[[#This Row],[MEDICAMENTO]],TAB_REF!$B$3:$F$27,4,0), "")</f>
        <v>Solución Oral</v>
      </c>
      <c r="AC3" s="10" t="str">
        <f>IFERROR(VLOOKUP(Tabla1[[#This Row],[MEDICAMENTO]],TAB_REF!$B$3:$F$27,5,0), "")</f>
        <v>Frasco x 30 mL</v>
      </c>
      <c r="AD3" s="10" t="str">
        <f>IFERROR(VLOOKUP(Tabla1[[#This Row],[CANTIDAD UND COMERCIALES]],TAB_REF!$H$3:$I$1003,2,0)&amp;" ("&amp;Tabla1[[#This Row],[CANTIDAD UND COMERCIALES]]&amp;")"&amp;"_"&amp;Tabla1[[#This Row],[CANTIDAD]],"")</f>
        <v>Cien (100)_Frasco x 30 mL</v>
      </c>
      <c r="AE3" s="31" t="e">
        <f>CONCATENATE([1]!Tabla1[[#This Row],[NOMBRE MED.]],[1]!Tabla1[[#This Row],[CONCENTRACION]],[1]!Tabla1[[#This Row],[FORMA FARMACEUTICA]])</f>
        <v>#REF!</v>
      </c>
    </row>
    <row r="4" spans="2:31" x14ac:dyDescent="0.25">
      <c r="B4" s="10">
        <v>2</v>
      </c>
      <c r="C4" s="10" t="s">
        <v>2149</v>
      </c>
      <c r="D4" s="10" t="s">
        <v>2141</v>
      </c>
      <c r="E4" s="10" t="s">
        <v>2150</v>
      </c>
      <c r="F4" s="10" t="s">
        <v>2192</v>
      </c>
      <c r="G4" s="22" t="s">
        <v>2152</v>
      </c>
      <c r="H4" s="10" t="s">
        <v>2151</v>
      </c>
      <c r="I4" s="10" t="s">
        <v>2116</v>
      </c>
      <c r="J4" s="10" t="s">
        <v>1550</v>
      </c>
      <c r="K4" s="10" t="s">
        <v>2148</v>
      </c>
      <c r="L4" s="11">
        <v>202124100009822</v>
      </c>
      <c r="M4" s="20">
        <v>44201</v>
      </c>
      <c r="N4" s="20" t="str">
        <f>UPPER(TEXT(Tabla1[[#This Row],[FECHA RADICADO ENTRADA]],"MMM"))</f>
        <v>ENE</v>
      </c>
      <c r="O4" s="11">
        <v>202124110010251</v>
      </c>
      <c r="P4" s="20">
        <v>44202</v>
      </c>
      <c r="Q4" s="20" t="str">
        <f>UPPER(TEXT(Tabla1[[#This Row],[FECHA RADICADO ENTRADA]],"MMM"))</f>
        <v>ENE</v>
      </c>
      <c r="R4" s="10">
        <f t="shared" si="0"/>
        <v>-1</v>
      </c>
      <c r="S4" s="10" t="s">
        <v>2145</v>
      </c>
      <c r="T4" s="10" t="s">
        <v>2146</v>
      </c>
      <c r="U4" s="10" t="s">
        <v>2153</v>
      </c>
      <c r="V4" s="20">
        <v>43829</v>
      </c>
      <c r="W4" s="10" t="s">
        <v>37</v>
      </c>
      <c r="X4" s="10">
        <v>0</v>
      </c>
      <c r="Y4" s="11">
        <f>IFERROR(INT(Tabla1[[#This Row],[CANTIDAD UND FARMACEUTICAS]]/(VLOOKUP(Tabla1[[#This Row],[MEDICAMENTO]],TAB_REF!$K$3:$L$27,2,0))),"")</f>
        <v>0</v>
      </c>
      <c r="Z4" s="10" t="str">
        <f>IFERROR(VLOOKUP(Tabla1[[#This Row],[MEDICAMENTO]],TAB_REF!$B$3:$F$27,2,0), "")</f>
        <v xml:space="preserve">Hidromorfona HCl </v>
      </c>
      <c r="AA4" s="10" t="str">
        <f>IFERROR(VLOOKUP(Tabla1[[#This Row],[MEDICAMENTO]],TAB_REF!$B$3:$F$27,3,0), "")</f>
        <v xml:space="preserve">2 mg/mL </v>
      </c>
      <c r="AB4" s="10" t="str">
        <f>IFERROR(VLOOKUP(Tabla1[[#This Row],[MEDICAMENTO]],TAB_REF!$B$3:$F$27,4,0), "")</f>
        <v>Solución Inyectable</v>
      </c>
      <c r="AC4" s="10" t="str">
        <f>IFERROR(VLOOKUP(Tabla1[[#This Row],[MEDICAMENTO]],TAB_REF!$B$3:$F$27,5,0), "")</f>
        <v>Caja x 10 unidades</v>
      </c>
      <c r="AD4" s="10" t="str">
        <f>IFERROR(VLOOKUP(Tabla1[[#This Row],[CANTIDAD UND COMERCIALES]],TAB_REF!$H$3:$I$1003,2,0)&amp;" ("&amp;Tabla1[[#This Row],[CANTIDAD UND COMERCIALES]]&amp;")"&amp;"_"&amp;Tabla1[[#This Row],[CANTIDAD]],"")</f>
        <v/>
      </c>
      <c r="AE4" s="31" t="e">
        <f>CONCATENATE([1]!Tabla1[[#This Row],[NOMBRE MED.]],[1]!Tabla1[[#This Row],[CONCENTRACION]],[1]!Tabla1[[#This Row],[FORMA FARMACEUTICA]])</f>
        <v>#REF!</v>
      </c>
    </row>
    <row r="5" spans="2:31" x14ac:dyDescent="0.25">
      <c r="B5" s="10">
        <v>2</v>
      </c>
      <c r="C5" s="10" t="s">
        <v>2149</v>
      </c>
      <c r="D5" s="10" t="s">
        <v>2141</v>
      </c>
      <c r="E5" s="10" t="s">
        <v>2150</v>
      </c>
      <c r="F5" s="10" t="s">
        <v>2192</v>
      </c>
      <c r="G5" s="22" t="s">
        <v>2152</v>
      </c>
      <c r="H5" s="10" t="s">
        <v>2151</v>
      </c>
      <c r="I5" s="10" t="s">
        <v>2116</v>
      </c>
      <c r="J5" s="10" t="s">
        <v>1550</v>
      </c>
      <c r="K5" s="10" t="s">
        <v>2148</v>
      </c>
      <c r="L5" s="11">
        <v>202124100009822</v>
      </c>
      <c r="M5" s="20">
        <v>44201</v>
      </c>
      <c r="N5" s="20" t="str">
        <f>UPPER(TEXT(Tabla1[[#This Row],[FECHA RADICADO ENTRADA]],"MMM"))</f>
        <v>ENE</v>
      </c>
      <c r="O5" s="11">
        <v>202124110010251</v>
      </c>
      <c r="P5" s="20">
        <v>44202</v>
      </c>
      <c r="Q5" s="20" t="str">
        <f>UPPER(TEXT(Tabla1[[#This Row],[FECHA RADICADO ENTRADA]],"MMM"))</f>
        <v>ENE</v>
      </c>
      <c r="R5" s="10">
        <f t="shared" si="0"/>
        <v>-1</v>
      </c>
      <c r="S5" s="10" t="s">
        <v>2154</v>
      </c>
      <c r="U5" s="10" t="s">
        <v>2153</v>
      </c>
      <c r="V5" s="20">
        <v>43829</v>
      </c>
      <c r="W5" s="10" t="s">
        <v>45</v>
      </c>
      <c r="X5" s="10">
        <v>150</v>
      </c>
      <c r="Y5" s="11">
        <f>IFERROR(INT(Tabla1[[#This Row],[CANTIDAD UND FARMACEUTICAS]]/(VLOOKUP(Tabla1[[#This Row],[MEDICAMENTO]],TAB_REF!$K$3:$L$27,2,0))),"")</f>
        <v>5</v>
      </c>
      <c r="Z5" s="10" t="str">
        <f>IFERROR(VLOOKUP(Tabla1[[#This Row],[MEDICAMENTO]],TAB_REF!$B$3:$F$27,2,0), "")</f>
        <v xml:space="preserve">Metadona HCl </v>
      </c>
      <c r="AA5" s="10" t="str">
        <f>IFERROR(VLOOKUP(Tabla1[[#This Row],[MEDICAMENTO]],TAB_REF!$B$3:$F$27,3,0), "")</f>
        <v xml:space="preserve">10 mg </v>
      </c>
      <c r="AB5" s="10" t="str">
        <f>IFERROR(VLOOKUP(Tabla1[[#This Row],[MEDICAMENTO]],TAB_REF!$B$3:$F$27,4,0), "")</f>
        <v>Tabletas NACIONAL</v>
      </c>
      <c r="AC5" s="10" t="str">
        <f>IFERROR(VLOOKUP(Tabla1[[#This Row],[MEDICAMENTO]],TAB_REF!$B$3:$F$27,5,0), "")</f>
        <v>Caja x 30 unidades</v>
      </c>
      <c r="AD5" s="10" t="str">
        <f>IFERROR(VLOOKUP(Tabla1[[#This Row],[CANTIDAD UND COMERCIALES]],TAB_REF!$H$3:$I$1003,2,0)&amp;" ("&amp;Tabla1[[#This Row],[CANTIDAD UND COMERCIALES]]&amp;")"&amp;"_"&amp;Tabla1[[#This Row],[CANTIDAD]],"")</f>
        <v>Cinco (5)_Caja x 30 unidades</v>
      </c>
      <c r="AE5" s="31" t="e">
        <f>CONCATENATE([1]!Tabla1[[#This Row],[NOMBRE MED.]],[1]!Tabla1[[#This Row],[CONCENTRACION]],[1]!Tabla1[[#This Row],[FORMA FARMACEUTICA]])</f>
        <v>#REF!</v>
      </c>
    </row>
    <row r="6" spans="2:31" x14ac:dyDescent="0.25">
      <c r="B6" s="10">
        <v>2</v>
      </c>
      <c r="C6" s="10" t="s">
        <v>2149</v>
      </c>
      <c r="D6" s="10" t="s">
        <v>2141</v>
      </c>
      <c r="E6" s="10" t="s">
        <v>2150</v>
      </c>
      <c r="F6" s="10" t="s">
        <v>2192</v>
      </c>
      <c r="G6" s="21" t="s">
        <v>2152</v>
      </c>
      <c r="H6" s="10" t="s">
        <v>2151</v>
      </c>
      <c r="I6" s="10" t="s">
        <v>2116</v>
      </c>
      <c r="J6" s="10" t="s">
        <v>1550</v>
      </c>
      <c r="K6" s="10" t="s">
        <v>2148</v>
      </c>
      <c r="L6" s="11">
        <v>202124100009822</v>
      </c>
      <c r="M6" s="20">
        <v>44201</v>
      </c>
      <c r="N6" s="20" t="str">
        <f>UPPER(TEXT(Tabla1[[#This Row],[FECHA RADICADO ENTRADA]],"MMM"))</f>
        <v>ENE</v>
      </c>
      <c r="O6" s="11">
        <v>202124110010251</v>
      </c>
      <c r="P6" s="20">
        <v>44202</v>
      </c>
      <c r="Q6" s="20" t="str">
        <f>UPPER(TEXT(Tabla1[[#This Row],[FECHA RADICADO ENTRADA]],"MMM"))</f>
        <v>ENE</v>
      </c>
      <c r="R6" s="10">
        <f t="shared" si="0"/>
        <v>-1</v>
      </c>
      <c r="S6" s="10" t="s">
        <v>2154</v>
      </c>
      <c r="U6" s="10" t="s">
        <v>2153</v>
      </c>
      <c r="V6" s="20">
        <v>43829</v>
      </c>
      <c r="W6" s="10" t="s">
        <v>47</v>
      </c>
      <c r="X6" s="10">
        <v>150</v>
      </c>
      <c r="Y6" s="11">
        <f>IFERROR(INT(Tabla1[[#This Row],[CANTIDAD UND FARMACEUTICAS]]/(VLOOKUP(Tabla1[[#This Row],[MEDICAMENTO]],TAB_REF!$K$3:$L$27,2,0))),"")</f>
        <v>5</v>
      </c>
      <c r="Z6" s="10" t="str">
        <f>IFERROR(VLOOKUP(Tabla1[[#This Row],[MEDICAMENTO]],TAB_REF!$B$3:$F$27,2,0), "")</f>
        <v xml:space="preserve">Metadona HCl </v>
      </c>
      <c r="AA6" s="10" t="str">
        <f>IFERROR(VLOOKUP(Tabla1[[#This Row],[MEDICAMENTO]],TAB_REF!$B$3:$F$27,3,0), "")</f>
        <v xml:space="preserve">40 mg </v>
      </c>
      <c r="AB6" s="10" t="str">
        <f>IFERROR(VLOOKUP(Tabla1[[#This Row],[MEDICAMENTO]],TAB_REF!$B$3:$F$27,4,0), "")</f>
        <v>Tabletas NACIONAL</v>
      </c>
      <c r="AC6" s="10" t="str">
        <f>IFERROR(VLOOKUP(Tabla1[[#This Row],[MEDICAMENTO]],TAB_REF!$B$3:$F$27,5,0), "")</f>
        <v>Caja x 30 unidades</v>
      </c>
      <c r="AD6" s="10" t="str">
        <f>IFERROR(VLOOKUP(Tabla1[[#This Row],[CANTIDAD UND COMERCIALES]],TAB_REF!$H$3:$I$1003,2,0)&amp;" ("&amp;Tabla1[[#This Row],[CANTIDAD UND COMERCIALES]]&amp;")"&amp;"_"&amp;Tabla1[[#This Row],[CANTIDAD]],"")</f>
        <v>Cinco (5)_Caja x 30 unidades</v>
      </c>
      <c r="AE6" s="31" t="e">
        <f>CONCATENATE([1]!Tabla1[[#This Row],[NOMBRE MED.]],[1]!Tabla1[[#This Row],[CONCENTRACION]],[1]!Tabla1[[#This Row],[FORMA FARMACEUTICA]])</f>
        <v>#REF!</v>
      </c>
    </row>
    <row r="7" spans="2:31" x14ac:dyDescent="0.25">
      <c r="B7" s="10">
        <v>3</v>
      </c>
      <c r="C7" s="10" t="s">
        <v>2155</v>
      </c>
      <c r="D7" s="10" t="s">
        <v>2141</v>
      </c>
      <c r="E7" s="10" t="s">
        <v>2156</v>
      </c>
      <c r="F7" s="10" t="s">
        <v>2157</v>
      </c>
      <c r="G7" s="21" t="s">
        <v>2158</v>
      </c>
      <c r="H7" s="10" t="s">
        <v>2159</v>
      </c>
      <c r="I7" s="10" t="s">
        <v>2110</v>
      </c>
      <c r="J7" s="10" t="s">
        <v>1235</v>
      </c>
      <c r="K7" s="10" t="s">
        <v>2148</v>
      </c>
      <c r="L7" s="11">
        <v>202124100006002</v>
      </c>
      <c r="M7" s="20">
        <v>44200</v>
      </c>
      <c r="N7" s="20" t="str">
        <f>UPPER(TEXT(Tabla1[[#This Row],[FECHA RADICADO ENTRADA]],"MMM"))</f>
        <v>ENE</v>
      </c>
      <c r="O7" s="11">
        <v>202124110010281</v>
      </c>
      <c r="P7" s="20">
        <v>44202</v>
      </c>
      <c r="Q7" s="20" t="str">
        <f>UPPER(TEXT(Tabla1[[#This Row],[FECHA RADICADO ENTRADA]],"MMM"))</f>
        <v>ENE</v>
      </c>
      <c r="R7" s="10">
        <f t="shared" si="0"/>
        <v>-2</v>
      </c>
      <c r="S7" s="10" t="s">
        <v>2145</v>
      </c>
      <c r="T7" s="10" t="s">
        <v>2146</v>
      </c>
      <c r="U7" s="10" t="s">
        <v>2160</v>
      </c>
      <c r="V7" s="20">
        <v>42710</v>
      </c>
      <c r="W7" s="10" t="s">
        <v>37</v>
      </c>
      <c r="X7" s="10">
        <v>0</v>
      </c>
      <c r="Y7" s="11">
        <f>IFERROR(INT(Tabla1[[#This Row],[CANTIDAD UND FARMACEUTICAS]]/(VLOOKUP(Tabla1[[#This Row],[MEDICAMENTO]],TAB_REF!$K$3:$L$27,2,0))),"")</f>
        <v>0</v>
      </c>
      <c r="Z7" s="10" t="str">
        <f>IFERROR(VLOOKUP(Tabla1[[#This Row],[MEDICAMENTO]],TAB_REF!$B$3:$F$27,2,0), "")</f>
        <v xml:space="preserve">Hidromorfona HCl </v>
      </c>
      <c r="AA7" s="10" t="str">
        <f>IFERROR(VLOOKUP(Tabla1[[#This Row],[MEDICAMENTO]],TAB_REF!$B$3:$F$27,3,0), "")</f>
        <v xml:space="preserve">2 mg/mL </v>
      </c>
      <c r="AB7" s="10" t="str">
        <f>IFERROR(VLOOKUP(Tabla1[[#This Row],[MEDICAMENTO]],TAB_REF!$B$3:$F$27,4,0), "")</f>
        <v>Solución Inyectable</v>
      </c>
      <c r="AC7" s="10" t="str">
        <f>IFERROR(VLOOKUP(Tabla1[[#This Row],[MEDICAMENTO]],TAB_REF!$B$3:$F$27,5,0), "")</f>
        <v>Caja x 10 unidades</v>
      </c>
      <c r="AD7" s="10" t="str">
        <f>IFERROR(VLOOKUP(Tabla1[[#This Row],[CANTIDAD UND COMERCIALES]],TAB_REF!$H$3:$I$1003,2,0)&amp;" ("&amp;Tabla1[[#This Row],[CANTIDAD UND COMERCIALES]]&amp;")"&amp;"_"&amp;Tabla1[[#This Row],[CANTIDAD]],"")</f>
        <v/>
      </c>
      <c r="AE7" s="31" t="e">
        <f>CONCATENATE([1]!Tabla1[[#This Row],[NOMBRE MED.]],[1]!Tabla1[[#This Row],[CONCENTRACION]],[1]!Tabla1[[#This Row],[FORMA FARMACEUTICA]])</f>
        <v>#REF!</v>
      </c>
    </row>
    <row r="8" spans="2:31" x14ac:dyDescent="0.25">
      <c r="B8" s="10">
        <v>3</v>
      </c>
      <c r="C8" s="10" t="s">
        <v>2155</v>
      </c>
      <c r="D8" s="10" t="s">
        <v>2141</v>
      </c>
      <c r="E8" s="10" t="s">
        <v>2156</v>
      </c>
      <c r="F8" s="10" t="s">
        <v>2157</v>
      </c>
      <c r="G8" s="21" t="s">
        <v>2158</v>
      </c>
      <c r="H8" s="10" t="s">
        <v>2159</v>
      </c>
      <c r="I8" s="10" t="s">
        <v>2110</v>
      </c>
      <c r="J8" s="10" t="s">
        <v>1235</v>
      </c>
      <c r="K8" s="10" t="s">
        <v>2148</v>
      </c>
      <c r="L8" s="11">
        <v>202124100006002</v>
      </c>
      <c r="M8" s="20">
        <v>44200</v>
      </c>
      <c r="N8" s="20" t="str">
        <f>UPPER(TEXT(Tabla1[[#This Row],[FECHA RADICADO ENTRADA]],"MMM"))</f>
        <v>ENE</v>
      </c>
      <c r="O8" s="11">
        <v>202124110010281</v>
      </c>
      <c r="P8" s="20">
        <v>44202</v>
      </c>
      <c r="Q8" s="20" t="str">
        <f>UPPER(TEXT(Tabla1[[#This Row],[FECHA RADICADO ENTRADA]],"MMM"))</f>
        <v>ENE</v>
      </c>
      <c r="R8" s="10">
        <f t="shared" si="0"/>
        <v>-2</v>
      </c>
      <c r="S8" s="10" t="s">
        <v>2145</v>
      </c>
      <c r="T8" s="10" t="s">
        <v>2146</v>
      </c>
      <c r="U8" s="10" t="s">
        <v>2160</v>
      </c>
      <c r="V8" s="20">
        <v>42710</v>
      </c>
      <c r="W8" s="10" t="s">
        <v>63</v>
      </c>
      <c r="X8" s="10">
        <v>0</v>
      </c>
      <c r="Y8" s="11">
        <f>IFERROR(INT(Tabla1[[#This Row],[CANTIDAD UND FARMACEUTICAS]]/(VLOOKUP(Tabla1[[#This Row],[MEDICAMENTO]],TAB_REF!$K$3:$L$27,2,0))),"")</f>
        <v>0</v>
      </c>
      <c r="Z8" s="10" t="str">
        <f>IFERROR(VLOOKUP(Tabla1[[#This Row],[MEDICAMENTO]],TAB_REF!$B$3:$F$27,2,0), "")</f>
        <v xml:space="preserve">Morfina HCl </v>
      </c>
      <c r="AA8" s="10" t="str">
        <f>IFERROR(VLOOKUP(Tabla1[[#This Row],[MEDICAMENTO]],TAB_REF!$B$3:$F$27,3,0), "")</f>
        <v xml:space="preserve">10 mg/mL </v>
      </c>
      <c r="AB8" s="10" t="str">
        <f>IFERROR(VLOOKUP(Tabla1[[#This Row],[MEDICAMENTO]],TAB_REF!$B$3:$F$27,4,0), "")</f>
        <v>Solución Inyectable</v>
      </c>
      <c r="AC8" s="10" t="str">
        <f>IFERROR(VLOOKUP(Tabla1[[#This Row],[MEDICAMENTO]],TAB_REF!$B$3:$F$27,5,0), "")</f>
        <v>Caja x 10 unidades</v>
      </c>
      <c r="AD8" s="10" t="str">
        <f>IFERROR(VLOOKUP(Tabla1[[#This Row],[CANTIDAD UND COMERCIALES]],TAB_REF!$H$3:$I$1003,2,0)&amp;" ("&amp;Tabla1[[#This Row],[CANTIDAD UND COMERCIALES]]&amp;")"&amp;"_"&amp;Tabla1[[#This Row],[CANTIDAD]],"")</f>
        <v/>
      </c>
      <c r="AE8" s="31" t="e">
        <f>CONCATENATE([1]!Tabla1[[#This Row],[NOMBRE MED.]],[1]!Tabla1[[#This Row],[CONCENTRACION]],[1]!Tabla1[[#This Row],[FORMA FARMACEUTICA]])</f>
        <v>#REF!</v>
      </c>
    </row>
    <row r="9" spans="2:31" x14ac:dyDescent="0.25">
      <c r="B9" s="10">
        <v>4</v>
      </c>
      <c r="C9" s="10" t="s">
        <v>2161</v>
      </c>
      <c r="D9" s="10" t="s">
        <v>2162</v>
      </c>
      <c r="E9" s="10" t="s">
        <v>2163</v>
      </c>
      <c r="F9" s="10" t="s">
        <v>2164</v>
      </c>
      <c r="G9" s="21" t="s">
        <v>2165</v>
      </c>
      <c r="H9" s="10" t="s">
        <v>2166</v>
      </c>
      <c r="I9" s="10" t="s">
        <v>2110</v>
      </c>
      <c r="J9" s="10" t="s">
        <v>1235</v>
      </c>
      <c r="K9" s="10" t="s">
        <v>2148</v>
      </c>
      <c r="L9" s="11">
        <v>202124100004362</v>
      </c>
      <c r="M9" s="20">
        <v>44200</v>
      </c>
      <c r="N9" s="20" t="str">
        <f>UPPER(TEXT(Tabla1[[#This Row],[FECHA RADICADO ENTRADA]],"MMM"))</f>
        <v>ENE</v>
      </c>
      <c r="O9" s="11">
        <v>202124110010301</v>
      </c>
      <c r="P9" s="20">
        <v>44202</v>
      </c>
      <c r="Q9" s="20" t="str">
        <f>UPPER(TEXT(Tabla1[[#This Row],[FECHA RADICADO ENTRADA]],"MMM"))</f>
        <v>ENE</v>
      </c>
      <c r="R9" s="10">
        <f t="shared" si="0"/>
        <v>-2</v>
      </c>
      <c r="S9" s="10" t="s">
        <v>2145</v>
      </c>
      <c r="T9" s="10" t="s">
        <v>2167</v>
      </c>
      <c r="U9" s="10" t="s">
        <v>2164</v>
      </c>
      <c r="V9" s="20" t="s">
        <v>2164</v>
      </c>
      <c r="W9" s="10" t="s">
        <v>63</v>
      </c>
      <c r="X9" s="10">
        <v>0</v>
      </c>
      <c r="Y9" s="11">
        <f>IFERROR(INT(Tabla1[[#This Row],[CANTIDAD UND FARMACEUTICAS]]/(VLOOKUP(Tabla1[[#This Row],[MEDICAMENTO]],TAB_REF!$K$3:$L$27,2,0))),"")</f>
        <v>0</v>
      </c>
      <c r="Z9" s="10" t="str">
        <f>IFERROR(VLOOKUP(Tabla1[[#This Row],[MEDICAMENTO]],TAB_REF!$B$3:$F$27,2,0), "")</f>
        <v xml:space="preserve">Morfina HCl </v>
      </c>
      <c r="AA9" s="10" t="str">
        <f>IFERROR(VLOOKUP(Tabla1[[#This Row],[MEDICAMENTO]],TAB_REF!$B$3:$F$27,3,0), "")</f>
        <v xml:space="preserve">10 mg/mL </v>
      </c>
      <c r="AB9" s="10" t="str">
        <f>IFERROR(VLOOKUP(Tabla1[[#This Row],[MEDICAMENTO]],TAB_REF!$B$3:$F$27,4,0), "")</f>
        <v>Solución Inyectable</v>
      </c>
      <c r="AC9" s="10" t="str">
        <f>IFERROR(VLOOKUP(Tabla1[[#This Row],[MEDICAMENTO]],TAB_REF!$B$3:$F$27,5,0), "")</f>
        <v>Caja x 10 unidades</v>
      </c>
      <c r="AD9" s="10" t="str">
        <f>IFERROR(VLOOKUP(Tabla1[[#This Row],[CANTIDAD UND COMERCIALES]],TAB_REF!$H$3:$I$1003,2,0)&amp;" ("&amp;Tabla1[[#This Row],[CANTIDAD UND COMERCIALES]]&amp;")"&amp;"_"&amp;Tabla1[[#This Row],[CANTIDAD]],"")</f>
        <v/>
      </c>
      <c r="AE9" s="31" t="e">
        <f>CONCATENATE([1]!Tabla1[[#This Row],[NOMBRE MED.]],[1]!Tabla1[[#This Row],[CONCENTRACION]],[1]!Tabla1[[#This Row],[FORMA FARMACEUTICA]])</f>
        <v>#REF!</v>
      </c>
    </row>
    <row r="10" spans="2:31" x14ac:dyDescent="0.25">
      <c r="B10" s="10">
        <v>4</v>
      </c>
      <c r="C10" s="10" t="s">
        <v>2161</v>
      </c>
      <c r="D10" s="10" t="s">
        <v>2162</v>
      </c>
      <c r="E10" s="10" t="s">
        <v>2163</v>
      </c>
      <c r="F10" s="10" t="s">
        <v>2164</v>
      </c>
      <c r="G10" s="21" t="s">
        <v>2165</v>
      </c>
      <c r="H10" s="10" t="s">
        <v>2166</v>
      </c>
      <c r="I10" s="10" t="s">
        <v>2110</v>
      </c>
      <c r="J10" s="10" t="s">
        <v>1235</v>
      </c>
      <c r="K10" s="10" t="s">
        <v>2148</v>
      </c>
      <c r="L10" s="11">
        <v>202124100004362</v>
      </c>
      <c r="M10" s="20">
        <v>44200</v>
      </c>
      <c r="N10" s="20" t="str">
        <f>UPPER(TEXT(Tabla1[[#This Row],[FECHA RADICADO ENTRADA]],"MMM"))</f>
        <v>ENE</v>
      </c>
      <c r="O10" s="11">
        <v>202124110010301</v>
      </c>
      <c r="P10" s="20">
        <v>44202</v>
      </c>
      <c r="Q10" s="20" t="str">
        <f>UPPER(TEXT(Tabla1[[#This Row],[FECHA RADICADO ENTRADA]],"MMM"))</f>
        <v>ENE</v>
      </c>
      <c r="R10" s="10">
        <f t="shared" si="0"/>
        <v>-2</v>
      </c>
      <c r="S10" s="10" t="s">
        <v>2145</v>
      </c>
      <c r="T10" s="10" t="s">
        <v>2167</v>
      </c>
      <c r="U10" s="10" t="s">
        <v>2164</v>
      </c>
      <c r="V10" s="20" t="s">
        <v>2164</v>
      </c>
      <c r="W10" s="10" t="s">
        <v>34</v>
      </c>
      <c r="X10" s="10">
        <v>0</v>
      </c>
      <c r="Y10" s="11">
        <f>IFERROR(INT(Tabla1[[#This Row],[CANTIDAD UND FARMACEUTICAS]]/(VLOOKUP(Tabla1[[#This Row],[MEDICAMENTO]],TAB_REF!$K$3:$L$27,2,0))),"")</f>
        <v>0</v>
      </c>
      <c r="Z10" s="10" t="str">
        <f>IFERROR(VLOOKUP(Tabla1[[#This Row],[MEDICAMENTO]],TAB_REF!$B$3:$F$27,2,0), "")</f>
        <v xml:space="preserve">Fenobarbital Sódico </v>
      </c>
      <c r="AA10" s="10" t="str">
        <f>IFERROR(VLOOKUP(Tabla1[[#This Row],[MEDICAMENTO]],TAB_REF!$B$3:$F$27,3,0), "")</f>
        <v xml:space="preserve">200 mg/Ml </v>
      </c>
      <c r="AB10" s="10" t="str">
        <f>IFERROR(VLOOKUP(Tabla1[[#This Row],[MEDICAMENTO]],TAB_REF!$B$3:$F$27,4,0), "")</f>
        <v>Solución Inyectable</v>
      </c>
      <c r="AC10" s="10" t="str">
        <f>IFERROR(VLOOKUP(Tabla1[[#This Row],[MEDICAMENTO]],TAB_REF!$B$3:$F$27,5,0), "")</f>
        <v>Caja x 10 unidades</v>
      </c>
      <c r="AD10" s="10" t="str">
        <f>IFERROR(VLOOKUP(Tabla1[[#This Row],[CANTIDAD UND COMERCIALES]],TAB_REF!$H$3:$I$1003,2,0)&amp;" ("&amp;Tabla1[[#This Row],[CANTIDAD UND COMERCIALES]]&amp;")"&amp;"_"&amp;Tabla1[[#This Row],[CANTIDAD]],"")</f>
        <v/>
      </c>
      <c r="AE10" s="31" t="e">
        <f>CONCATENATE([1]!Tabla1[[#This Row],[NOMBRE MED.]],[1]!Tabla1[[#This Row],[CONCENTRACION]],[1]!Tabla1[[#This Row],[FORMA FARMACEUTICA]])</f>
        <v>#REF!</v>
      </c>
    </row>
    <row r="11" spans="2:31" x14ac:dyDescent="0.25">
      <c r="B11" s="10">
        <v>4</v>
      </c>
      <c r="C11" s="10" t="s">
        <v>2161</v>
      </c>
      <c r="D11" s="10" t="s">
        <v>2162</v>
      </c>
      <c r="E11" s="10" t="s">
        <v>2163</v>
      </c>
      <c r="F11" s="10" t="s">
        <v>2164</v>
      </c>
      <c r="G11" s="21" t="s">
        <v>2165</v>
      </c>
      <c r="H11" s="10" t="s">
        <v>2166</v>
      </c>
      <c r="I11" s="10" t="s">
        <v>2110</v>
      </c>
      <c r="J11" s="10" t="s">
        <v>1235</v>
      </c>
      <c r="K11" s="10" t="s">
        <v>2148</v>
      </c>
      <c r="L11" s="11">
        <v>202124100004362</v>
      </c>
      <c r="M11" s="20">
        <v>44200</v>
      </c>
      <c r="N11" s="20" t="str">
        <f>UPPER(TEXT(Tabla1[[#This Row],[FECHA RADICADO ENTRADA]],"MMM"))</f>
        <v>ENE</v>
      </c>
      <c r="O11" s="11">
        <v>202124110010301</v>
      </c>
      <c r="P11" s="20">
        <v>44202</v>
      </c>
      <c r="Q11" s="20" t="str">
        <f>UPPER(TEXT(Tabla1[[#This Row],[FECHA RADICADO ENTRADA]],"MMM"))</f>
        <v>ENE</v>
      </c>
      <c r="R11" s="10">
        <f t="shared" si="0"/>
        <v>-2</v>
      </c>
      <c r="S11" s="10" t="s">
        <v>2145</v>
      </c>
      <c r="T11" s="10" t="s">
        <v>2167</v>
      </c>
      <c r="U11" s="10" t="s">
        <v>2164</v>
      </c>
      <c r="V11" s="20" t="s">
        <v>2164</v>
      </c>
      <c r="W11" s="10" t="s">
        <v>36</v>
      </c>
      <c r="X11" s="10">
        <v>0</v>
      </c>
      <c r="Y11" s="11">
        <f>IFERROR(INT(Tabla1[[#This Row],[CANTIDAD UND FARMACEUTICAS]]/(VLOOKUP(Tabla1[[#This Row],[MEDICAMENTO]],TAB_REF!$K$3:$L$27,2,0))),"")</f>
        <v>0</v>
      </c>
      <c r="Z11" s="10" t="str">
        <f>IFERROR(VLOOKUP(Tabla1[[#This Row],[MEDICAMENTO]],TAB_REF!$B$3:$F$27,2,0), "")</f>
        <v xml:space="preserve">Fenobarbital Sódico </v>
      </c>
      <c r="AA11" s="10" t="str">
        <f>IFERROR(VLOOKUP(Tabla1[[#This Row],[MEDICAMENTO]],TAB_REF!$B$3:$F$27,3,0), "")</f>
        <v xml:space="preserve">40 mg/mL </v>
      </c>
      <c r="AB11" s="10" t="str">
        <f>IFERROR(VLOOKUP(Tabla1[[#This Row],[MEDICAMENTO]],TAB_REF!$B$3:$F$27,4,0), "")</f>
        <v>Solución Inyectable</v>
      </c>
      <c r="AC11" s="10" t="str">
        <f>IFERROR(VLOOKUP(Tabla1[[#This Row],[MEDICAMENTO]],TAB_REF!$B$3:$F$27,5,0), "")</f>
        <v>Caja x 10 unidades</v>
      </c>
      <c r="AD11" s="10" t="str">
        <f>IFERROR(VLOOKUP(Tabla1[[#This Row],[CANTIDAD UND COMERCIALES]],TAB_REF!$H$3:$I$1003,2,0)&amp;" ("&amp;Tabla1[[#This Row],[CANTIDAD UND COMERCIALES]]&amp;")"&amp;"_"&amp;Tabla1[[#This Row],[CANTIDAD]],"")</f>
        <v/>
      </c>
      <c r="AE11" s="31" t="e">
        <f>CONCATENATE([1]!Tabla1[[#This Row],[NOMBRE MED.]],[1]!Tabla1[[#This Row],[CONCENTRACION]],[1]!Tabla1[[#This Row],[FORMA FARMACEUTICA]])</f>
        <v>#REF!</v>
      </c>
    </row>
    <row r="12" spans="2:31" ht="30" x14ac:dyDescent="0.25">
      <c r="B12" s="10">
        <v>5</v>
      </c>
      <c r="C12" s="10" t="s">
        <v>2168</v>
      </c>
      <c r="D12" s="10" t="s">
        <v>2169</v>
      </c>
      <c r="E12" s="10" t="s">
        <v>2170</v>
      </c>
      <c r="F12" s="10" t="s">
        <v>2171</v>
      </c>
      <c r="G12" s="21" t="s">
        <v>2172</v>
      </c>
      <c r="H12" s="33" t="s">
        <v>2173</v>
      </c>
      <c r="I12" s="10" t="s">
        <v>2107</v>
      </c>
      <c r="J12" s="10" t="s">
        <v>1212</v>
      </c>
      <c r="K12" s="10" t="s">
        <v>2148</v>
      </c>
      <c r="L12" s="11">
        <v>202124100002442</v>
      </c>
      <c r="M12" s="20">
        <v>44200</v>
      </c>
      <c r="N12" s="20" t="str">
        <f>UPPER(TEXT(Tabla1[[#This Row],[FECHA RADICADO ENTRADA]],"MMM"))</f>
        <v>ENE</v>
      </c>
      <c r="O12" s="11">
        <v>202124110010321</v>
      </c>
      <c r="P12" s="20">
        <v>44202</v>
      </c>
      <c r="Q12" s="20" t="str">
        <f>UPPER(TEXT(Tabla1[[#This Row],[FECHA RADICADO ENTRADA]],"MMM"))</f>
        <v>ENE</v>
      </c>
      <c r="R12" s="10">
        <f t="shared" si="0"/>
        <v>-2</v>
      </c>
      <c r="S12" s="10" t="s">
        <v>2145</v>
      </c>
      <c r="T12" s="10" t="s">
        <v>2167</v>
      </c>
      <c r="U12" s="10" t="s">
        <v>2164</v>
      </c>
      <c r="V12" s="20" t="s">
        <v>2164</v>
      </c>
      <c r="W12" s="10" t="s">
        <v>48</v>
      </c>
      <c r="X12" s="10">
        <v>0</v>
      </c>
      <c r="Y12" s="11">
        <f>IFERROR(INT(Tabla1[[#This Row],[CANTIDAD UND FARMACEUTICAS]]/(VLOOKUP(Tabla1[[#This Row],[MEDICAMENTO]],TAB_REF!$K$3:$L$27,2,0))),"")</f>
        <v>0</v>
      </c>
      <c r="Z12" s="10" t="str">
        <f>IFERROR(VLOOKUP(Tabla1[[#This Row],[MEDICAMENTO]],TAB_REF!$B$3:$F$27,2,0), "")</f>
        <v xml:space="preserve">Metilfenidato HCl </v>
      </c>
      <c r="AA12" s="10" t="str">
        <f>IFERROR(VLOOKUP(Tabla1[[#This Row],[MEDICAMENTO]],TAB_REF!$B$3:$F$27,3,0), "")</f>
        <v xml:space="preserve">10 mg </v>
      </c>
      <c r="AB12" s="10" t="str">
        <f>IFERROR(VLOOKUP(Tabla1[[#This Row],[MEDICAMENTO]],TAB_REF!$B$3:$F$27,4,0), "")</f>
        <v>Comprimidos</v>
      </c>
      <c r="AC12" s="10" t="str">
        <f>IFERROR(VLOOKUP(Tabla1[[#This Row],[MEDICAMENTO]],TAB_REF!$B$3:$F$27,5,0), "")</f>
        <v>Caja x 30 unidades</v>
      </c>
      <c r="AD12" s="10" t="str">
        <f>IFERROR(VLOOKUP(Tabla1[[#This Row],[CANTIDAD UND COMERCIALES]],TAB_REF!$H$3:$I$1003,2,0)&amp;" ("&amp;Tabla1[[#This Row],[CANTIDAD UND COMERCIALES]]&amp;")"&amp;"_"&amp;Tabla1[[#This Row],[CANTIDAD]],"")</f>
        <v/>
      </c>
      <c r="AE12" s="31" t="e">
        <f>CONCATENATE([1]!Tabla1[[#This Row],[NOMBRE MED.]],[1]!Tabla1[[#This Row],[CONCENTRACION]],[1]!Tabla1[[#This Row],[FORMA FARMACEUTICA]])</f>
        <v>#REF!</v>
      </c>
    </row>
    <row r="13" spans="2:31" x14ac:dyDescent="0.25">
      <c r="B13" s="10">
        <v>6</v>
      </c>
      <c r="C13" s="3" t="s">
        <v>2174</v>
      </c>
      <c r="D13" s="10" t="s">
        <v>2175</v>
      </c>
      <c r="E13" s="10" t="s">
        <v>2176</v>
      </c>
      <c r="F13" s="10" t="s">
        <v>2177</v>
      </c>
      <c r="G13" s="23" t="s">
        <v>2178</v>
      </c>
      <c r="H13" s="10" t="s">
        <v>2179</v>
      </c>
      <c r="I13" s="10" t="s">
        <v>2129</v>
      </c>
      <c r="J13" s="10" t="s">
        <v>2011</v>
      </c>
      <c r="K13" s="10" t="s">
        <v>2148</v>
      </c>
      <c r="L13" s="11">
        <v>202124100016302</v>
      </c>
      <c r="M13" s="20">
        <v>44202</v>
      </c>
      <c r="N13" s="20" t="str">
        <f>UPPER(TEXT(Tabla1[[#This Row],[FECHA RADICADO ENTRADA]],"MMM"))</f>
        <v>ENE</v>
      </c>
      <c r="O13" s="11">
        <v>202124110013541</v>
      </c>
      <c r="P13" s="20">
        <v>44202</v>
      </c>
      <c r="Q13" s="20" t="str">
        <f>UPPER(TEXT(Tabla1[[#This Row],[FECHA RADICADO ENTRADA]],"MMM"))</f>
        <v>ENE</v>
      </c>
      <c r="R13" s="10">
        <f t="shared" si="0"/>
        <v>0</v>
      </c>
      <c r="S13" s="10" t="s">
        <v>2154</v>
      </c>
      <c r="U13" s="10" t="s">
        <v>2180</v>
      </c>
      <c r="V13" s="20">
        <v>43206</v>
      </c>
      <c r="W13" s="10" t="s">
        <v>32</v>
      </c>
      <c r="X13" s="10">
        <v>9000</v>
      </c>
      <c r="Y13" s="11">
        <f>IFERROR(INT(Tabla1[[#This Row],[CANTIDAD UND FARMACEUTICAS]]/(VLOOKUP(Tabla1[[#This Row],[MEDICAMENTO]],TAB_REF!$K$3:$L$27,2,0))),"")</f>
        <v>300</v>
      </c>
      <c r="Z13" s="10" t="str">
        <f>IFERROR(VLOOKUP(Tabla1[[#This Row],[MEDICAMENTO]],TAB_REF!$B$3:$F$27,2,0), "")</f>
        <v xml:space="preserve">Fenobarbital </v>
      </c>
      <c r="AA13" s="10" t="str">
        <f>IFERROR(VLOOKUP(Tabla1[[#This Row],[MEDICAMENTO]],TAB_REF!$B$3:$F$27,3,0), "")</f>
        <v xml:space="preserve">100 mg </v>
      </c>
      <c r="AB13" s="10" t="str">
        <f>IFERROR(VLOOKUP(Tabla1[[#This Row],[MEDICAMENTO]],TAB_REF!$B$3:$F$27,4,0), "")</f>
        <v>Tabletas</v>
      </c>
      <c r="AC13" s="10" t="str">
        <f>IFERROR(VLOOKUP(Tabla1[[#This Row],[MEDICAMENTO]],TAB_REF!$B$3:$F$27,5,0), "")</f>
        <v>Caja x 30 unidades</v>
      </c>
      <c r="AD13" s="10" t="str">
        <f>IFERROR(VLOOKUP(Tabla1[[#This Row],[CANTIDAD UND COMERCIALES]],TAB_REF!$H$3:$I$1003,2,0)&amp;" ("&amp;Tabla1[[#This Row],[CANTIDAD UND COMERCIALES]]&amp;")"&amp;"_"&amp;Tabla1[[#This Row],[CANTIDAD]],"")</f>
        <v>Trescientos (300)_Caja x 30 unidades</v>
      </c>
      <c r="AE13" s="31" t="e">
        <f>CONCATENATE([1]!Tabla1[[#This Row],[NOMBRE MED.]],[1]!Tabla1[[#This Row],[CONCENTRACION]],[1]!Tabla1[[#This Row],[FORMA FARMACEUTICA]])</f>
        <v>#REF!</v>
      </c>
    </row>
    <row r="14" spans="2:31" x14ac:dyDescent="0.25">
      <c r="B14" s="10">
        <v>6</v>
      </c>
      <c r="C14" s="3" t="s">
        <v>2174</v>
      </c>
      <c r="D14" s="10" t="s">
        <v>2175</v>
      </c>
      <c r="E14" s="10" t="s">
        <v>2176</v>
      </c>
      <c r="F14" s="10" t="s">
        <v>2177</v>
      </c>
      <c r="G14" s="23" t="s">
        <v>2178</v>
      </c>
      <c r="H14" s="10" t="s">
        <v>2179</v>
      </c>
      <c r="I14" s="10" t="s">
        <v>2129</v>
      </c>
      <c r="J14" s="10" t="s">
        <v>2011</v>
      </c>
      <c r="K14" s="10" t="s">
        <v>2148</v>
      </c>
      <c r="L14" s="11">
        <v>202124100016302</v>
      </c>
      <c r="M14" s="20">
        <v>44202</v>
      </c>
      <c r="N14" s="20" t="str">
        <f>UPPER(TEXT(Tabla1[[#This Row],[FECHA RADICADO ENTRADA]],"MMM"))</f>
        <v>ENE</v>
      </c>
      <c r="O14" s="11">
        <v>202124110013541</v>
      </c>
      <c r="P14" s="20">
        <v>44202</v>
      </c>
      <c r="Q14" s="20" t="str">
        <f>UPPER(TEXT(Tabla1[[#This Row],[FECHA RADICADO ENTRADA]],"MMM"))</f>
        <v>ENE</v>
      </c>
      <c r="R14" s="10">
        <f t="shared" si="0"/>
        <v>0</v>
      </c>
      <c r="S14" s="10" t="s">
        <v>2154</v>
      </c>
      <c r="U14" s="10" t="s">
        <v>2180</v>
      </c>
      <c r="V14" s="20">
        <v>43206</v>
      </c>
      <c r="W14" s="10" t="s">
        <v>41</v>
      </c>
      <c r="X14" s="10">
        <v>500</v>
      </c>
      <c r="Y14" s="11">
        <f>IFERROR(INT(Tabla1[[#This Row],[CANTIDAD UND FARMACEUTICAS]]/(VLOOKUP(Tabla1[[#This Row],[MEDICAMENTO]],TAB_REF!$K$3:$L$27,2,0))),"")</f>
        <v>50</v>
      </c>
      <c r="Z14" s="10" t="str">
        <f>IFERROR(VLOOKUP(Tabla1[[#This Row],[MEDICAMENTO]],TAB_REF!$B$3:$F$27,2,0), "")</f>
        <v xml:space="preserve">Meperidina HCl </v>
      </c>
      <c r="AA14" s="10" t="str">
        <f>IFERROR(VLOOKUP(Tabla1[[#This Row],[MEDICAMENTO]],TAB_REF!$B$3:$F$27,3,0), "")</f>
        <v xml:space="preserve">100 mg/2mL </v>
      </c>
      <c r="AB14" s="10" t="str">
        <f>IFERROR(VLOOKUP(Tabla1[[#This Row],[MEDICAMENTO]],TAB_REF!$B$3:$F$27,4,0), "")</f>
        <v>Solución Inyectable</v>
      </c>
      <c r="AC14" s="10" t="str">
        <f>IFERROR(VLOOKUP(Tabla1[[#This Row],[MEDICAMENTO]],TAB_REF!$B$3:$F$27,5,0), "")</f>
        <v>Caja 10 ampollas</v>
      </c>
      <c r="AD14" s="10" t="str">
        <f>IFERROR(VLOOKUP(Tabla1[[#This Row],[CANTIDAD UND COMERCIALES]],TAB_REF!$H$3:$I$1003,2,0)&amp;" ("&amp;Tabla1[[#This Row],[CANTIDAD UND COMERCIALES]]&amp;")"&amp;"_"&amp;Tabla1[[#This Row],[CANTIDAD]],"")</f>
        <v>Cincuenta (50)_Caja 10 ampollas</v>
      </c>
      <c r="AE14" s="31" t="e">
        <f>CONCATENATE([1]!Tabla1[[#This Row],[NOMBRE MED.]],[1]!Tabla1[[#This Row],[CONCENTRACION]],[1]!Tabla1[[#This Row],[FORMA FARMACEUTICA]])</f>
        <v>#REF!</v>
      </c>
    </row>
    <row r="15" spans="2:31" x14ac:dyDescent="0.25">
      <c r="B15" s="10">
        <v>6</v>
      </c>
      <c r="C15" s="3" t="s">
        <v>2174</v>
      </c>
      <c r="D15" s="10" t="s">
        <v>2175</v>
      </c>
      <c r="E15" s="10" t="s">
        <v>2176</v>
      </c>
      <c r="F15" s="10" t="s">
        <v>2177</v>
      </c>
      <c r="G15" s="23" t="s">
        <v>2178</v>
      </c>
      <c r="H15" s="10" t="s">
        <v>2179</v>
      </c>
      <c r="I15" s="10" t="s">
        <v>2129</v>
      </c>
      <c r="J15" s="10" t="s">
        <v>2011</v>
      </c>
      <c r="K15" s="10" t="s">
        <v>2148</v>
      </c>
      <c r="L15" s="11">
        <v>202124100016302</v>
      </c>
      <c r="M15" s="20">
        <v>44202</v>
      </c>
      <c r="N15" s="20" t="str">
        <f>UPPER(TEXT(Tabla1[[#This Row],[FECHA RADICADO ENTRADA]],"MMM"))</f>
        <v>ENE</v>
      </c>
      <c r="O15" s="11">
        <v>202124110013541</v>
      </c>
      <c r="P15" s="20">
        <v>44202</v>
      </c>
      <c r="Q15" s="20" t="str">
        <f>UPPER(TEXT(Tabla1[[#This Row],[FECHA RADICADO ENTRADA]],"MMM"))</f>
        <v>ENE</v>
      </c>
      <c r="R15" s="10">
        <f t="shared" si="0"/>
        <v>0</v>
      </c>
      <c r="S15" s="10" t="s">
        <v>2154</v>
      </c>
      <c r="U15" s="10" t="s">
        <v>2180</v>
      </c>
      <c r="V15" s="20">
        <v>43206</v>
      </c>
      <c r="W15" s="10" t="s">
        <v>34</v>
      </c>
      <c r="X15" s="10">
        <v>20</v>
      </c>
      <c r="Y15" s="11">
        <f>IFERROR(INT(Tabla1[[#This Row],[CANTIDAD UND FARMACEUTICAS]]/(VLOOKUP(Tabla1[[#This Row],[MEDICAMENTO]],TAB_REF!$K$3:$L$27,2,0))),"")</f>
        <v>2</v>
      </c>
      <c r="Z15" s="10" t="str">
        <f>IFERROR(VLOOKUP(Tabla1[[#This Row],[MEDICAMENTO]],TAB_REF!$B$3:$F$27,2,0), "")</f>
        <v xml:space="preserve">Fenobarbital Sódico </v>
      </c>
      <c r="AA15" s="10" t="str">
        <f>IFERROR(VLOOKUP(Tabla1[[#This Row],[MEDICAMENTO]],TAB_REF!$B$3:$F$27,3,0), "")</f>
        <v xml:space="preserve">200 mg/Ml </v>
      </c>
      <c r="AB15" s="10" t="str">
        <f>IFERROR(VLOOKUP(Tabla1[[#This Row],[MEDICAMENTO]],TAB_REF!$B$3:$F$27,4,0), "")</f>
        <v>Solución Inyectable</v>
      </c>
      <c r="AC15" s="10" t="str">
        <f>IFERROR(VLOOKUP(Tabla1[[#This Row],[MEDICAMENTO]],TAB_REF!$B$3:$F$27,5,0), "")</f>
        <v>Caja x 10 unidades</v>
      </c>
      <c r="AD15" s="10" t="str">
        <f>IFERROR(VLOOKUP(Tabla1[[#This Row],[CANTIDAD UND COMERCIALES]],TAB_REF!$H$3:$I$1003,2,0)&amp;" ("&amp;Tabla1[[#This Row],[CANTIDAD UND COMERCIALES]]&amp;")"&amp;"_"&amp;Tabla1[[#This Row],[CANTIDAD]],"")</f>
        <v>Dos (2)_Caja x 10 unidades</v>
      </c>
      <c r="AE15" s="31" t="e">
        <f>CONCATENATE([1]!Tabla1[[#This Row],[NOMBRE MED.]],[1]!Tabla1[[#This Row],[CONCENTRACION]],[1]!Tabla1[[#This Row],[FORMA FARMACEUTICA]])</f>
        <v>#REF!</v>
      </c>
    </row>
    <row r="16" spans="2:31" x14ac:dyDescent="0.25">
      <c r="B16" s="10">
        <v>6</v>
      </c>
      <c r="C16" s="3" t="s">
        <v>2174</v>
      </c>
      <c r="D16" s="10" t="s">
        <v>2175</v>
      </c>
      <c r="E16" s="10" t="s">
        <v>2176</v>
      </c>
      <c r="F16" s="10" t="s">
        <v>2177</v>
      </c>
      <c r="G16" s="23" t="s">
        <v>2178</v>
      </c>
      <c r="H16" s="10" t="s">
        <v>2179</v>
      </c>
      <c r="I16" s="10" t="s">
        <v>2129</v>
      </c>
      <c r="J16" s="10" t="s">
        <v>2011</v>
      </c>
      <c r="K16" s="10" t="s">
        <v>2148</v>
      </c>
      <c r="L16" s="11">
        <v>202124100016302</v>
      </c>
      <c r="M16" s="20">
        <v>44202</v>
      </c>
      <c r="N16" s="20" t="str">
        <f>UPPER(TEXT(Tabla1[[#This Row],[FECHA RADICADO ENTRADA]],"MMM"))</f>
        <v>ENE</v>
      </c>
      <c r="O16" s="11">
        <v>202124110013541</v>
      </c>
      <c r="P16" s="20">
        <v>44202</v>
      </c>
      <c r="Q16" s="20" t="str">
        <f>UPPER(TEXT(Tabla1[[#This Row],[FECHA RADICADO ENTRADA]],"MMM"))</f>
        <v>ENE</v>
      </c>
      <c r="R16" s="10">
        <f t="shared" si="0"/>
        <v>0</v>
      </c>
      <c r="S16" s="10" t="s">
        <v>2145</v>
      </c>
      <c r="T16" s="10" t="s">
        <v>2146</v>
      </c>
      <c r="U16" s="10" t="s">
        <v>2180</v>
      </c>
      <c r="V16" s="20">
        <v>43206</v>
      </c>
      <c r="W16" s="10" t="s">
        <v>63</v>
      </c>
      <c r="X16" s="10">
        <v>0</v>
      </c>
      <c r="Y16" s="11">
        <f>IFERROR(INT(Tabla1[[#This Row],[CANTIDAD UND FARMACEUTICAS]]/(VLOOKUP(Tabla1[[#This Row],[MEDICAMENTO]],TAB_REF!$K$3:$L$27,2,0))),"")</f>
        <v>0</v>
      </c>
      <c r="Z16" s="10" t="str">
        <f>IFERROR(VLOOKUP(Tabla1[[#This Row],[MEDICAMENTO]],TAB_REF!$B$3:$F$27,2,0), "")</f>
        <v xml:space="preserve">Morfina HCl </v>
      </c>
      <c r="AA16" s="10" t="str">
        <f>IFERROR(VLOOKUP(Tabla1[[#This Row],[MEDICAMENTO]],TAB_REF!$B$3:$F$27,3,0), "")</f>
        <v xml:space="preserve">10 mg/mL </v>
      </c>
      <c r="AB16" s="10" t="str">
        <f>IFERROR(VLOOKUP(Tabla1[[#This Row],[MEDICAMENTO]],TAB_REF!$B$3:$F$27,4,0), "")</f>
        <v>Solución Inyectable</v>
      </c>
      <c r="AC16" s="10" t="str">
        <f>IFERROR(VLOOKUP(Tabla1[[#This Row],[MEDICAMENTO]],TAB_REF!$B$3:$F$27,5,0), "")</f>
        <v>Caja x 10 unidades</v>
      </c>
      <c r="AD16" s="10" t="str">
        <f>IFERROR(VLOOKUP(Tabla1[[#This Row],[CANTIDAD UND COMERCIALES]],TAB_REF!$H$3:$I$1003,2,0)&amp;" ("&amp;Tabla1[[#This Row],[CANTIDAD UND COMERCIALES]]&amp;")"&amp;"_"&amp;Tabla1[[#This Row],[CANTIDAD]],"")</f>
        <v/>
      </c>
      <c r="AE16" s="31" t="e">
        <f>CONCATENATE([1]!Tabla1[[#This Row],[NOMBRE MED.]],[1]!Tabla1[[#This Row],[CONCENTRACION]],[1]!Tabla1[[#This Row],[FORMA FARMACEUTICA]])</f>
        <v>#REF!</v>
      </c>
    </row>
    <row r="17" spans="2:31" x14ac:dyDescent="0.25">
      <c r="B17" s="10">
        <v>6</v>
      </c>
      <c r="C17" s="3" t="s">
        <v>2174</v>
      </c>
      <c r="D17" s="10" t="s">
        <v>2175</v>
      </c>
      <c r="E17" s="10" t="s">
        <v>2176</v>
      </c>
      <c r="F17" s="10" t="s">
        <v>2177</v>
      </c>
      <c r="G17" s="23" t="s">
        <v>2178</v>
      </c>
      <c r="H17" s="10" t="s">
        <v>2179</v>
      </c>
      <c r="I17" s="10" t="s">
        <v>2129</v>
      </c>
      <c r="J17" s="10" t="s">
        <v>2011</v>
      </c>
      <c r="K17" s="10" t="s">
        <v>2148</v>
      </c>
      <c r="L17" s="11">
        <v>202124100016302</v>
      </c>
      <c r="M17" s="20">
        <v>44202</v>
      </c>
      <c r="N17" s="20" t="str">
        <f>UPPER(TEXT(Tabla1[[#This Row],[FECHA RADICADO ENTRADA]],"MMM"))</f>
        <v>ENE</v>
      </c>
      <c r="O17" s="11">
        <v>202124110013541</v>
      </c>
      <c r="P17" s="20">
        <v>44202</v>
      </c>
      <c r="Q17" s="20" t="str">
        <f>UPPER(TEXT(Tabla1[[#This Row],[FECHA RADICADO ENTRADA]],"MMM"))</f>
        <v>ENE</v>
      </c>
      <c r="R17" s="10">
        <f t="shared" si="0"/>
        <v>0</v>
      </c>
      <c r="S17" s="10" t="s">
        <v>2154</v>
      </c>
      <c r="U17" s="10" t="s">
        <v>2180</v>
      </c>
      <c r="V17" s="20">
        <v>43206</v>
      </c>
      <c r="W17" s="10" t="s">
        <v>60</v>
      </c>
      <c r="X17" s="10">
        <v>5</v>
      </c>
      <c r="Y17" s="11">
        <f>IFERROR(INT(Tabla1[[#This Row],[CANTIDAD UND FARMACEUTICAS]]/(VLOOKUP(Tabla1[[#This Row],[MEDICAMENTO]],TAB_REF!$K$3:$L$27,2,0))),"")</f>
        <v>5</v>
      </c>
      <c r="Z17" s="10" t="str">
        <f>IFERROR(VLOOKUP(Tabla1[[#This Row],[MEDICAMENTO]],TAB_REF!$B$3:$F$27,2,0), "")</f>
        <v xml:space="preserve">Morfina HCl </v>
      </c>
      <c r="AA17" s="10" t="str">
        <f>IFERROR(VLOOKUP(Tabla1[[#This Row],[MEDICAMENTO]],TAB_REF!$B$3:$F$27,3,0), "")</f>
        <v xml:space="preserve">3%. </v>
      </c>
      <c r="AB17" s="10" t="str">
        <f>IFERROR(VLOOKUP(Tabla1[[#This Row],[MEDICAMENTO]],TAB_REF!$B$3:$F$27,4,0), "")</f>
        <v>Solución Oral</v>
      </c>
      <c r="AC17" s="10" t="str">
        <f>IFERROR(VLOOKUP(Tabla1[[#This Row],[MEDICAMENTO]],TAB_REF!$B$3:$F$27,5,0), "")</f>
        <v>Frasco x 30 mL</v>
      </c>
      <c r="AD17" s="10" t="str">
        <f>IFERROR(VLOOKUP(Tabla1[[#This Row],[CANTIDAD UND COMERCIALES]],TAB_REF!$H$3:$I$1003,2,0)&amp;" ("&amp;Tabla1[[#This Row],[CANTIDAD UND COMERCIALES]]&amp;")"&amp;"_"&amp;Tabla1[[#This Row],[CANTIDAD]],"")</f>
        <v>Cinco (5)_Frasco x 30 mL</v>
      </c>
      <c r="AE17" s="31" t="e">
        <f>CONCATENATE([1]!Tabla1[[#This Row],[NOMBRE MED.]],[1]!Tabla1[[#This Row],[CONCENTRACION]],[1]!Tabla1[[#This Row],[FORMA FARMACEUTICA]])</f>
        <v>#REF!</v>
      </c>
    </row>
    <row r="18" spans="2:31" x14ac:dyDescent="0.25">
      <c r="B18" s="10">
        <v>7</v>
      </c>
      <c r="C18" s="10" t="s">
        <v>2181</v>
      </c>
      <c r="D18" s="10" t="s">
        <v>2182</v>
      </c>
      <c r="E18" s="10" t="s">
        <v>2183</v>
      </c>
      <c r="F18" s="10" t="s">
        <v>2184</v>
      </c>
      <c r="G18" s="10" t="s">
        <v>2185</v>
      </c>
      <c r="H18" s="10" t="s">
        <v>2186</v>
      </c>
      <c r="I18" s="10" t="s">
        <v>2129</v>
      </c>
      <c r="J18" s="10" t="s">
        <v>2027</v>
      </c>
      <c r="K18" s="10" t="s">
        <v>2148</v>
      </c>
      <c r="L18" s="11">
        <v>202124100017182</v>
      </c>
      <c r="M18" s="20">
        <v>44202</v>
      </c>
      <c r="N18" s="20" t="str">
        <f>UPPER(TEXT(Tabla1[[#This Row],[FECHA RADICADO ENTRADA]],"MMM"))</f>
        <v>ENE</v>
      </c>
      <c r="O18" s="11">
        <v>202124110013471</v>
      </c>
      <c r="P18" s="20">
        <v>44202</v>
      </c>
      <c r="Q18" s="20" t="str">
        <f>UPPER(TEXT(Tabla1[[#This Row],[FECHA RADICADO ENTRADA]],"MMM"))</f>
        <v>ENE</v>
      </c>
      <c r="R18" s="10">
        <f t="shared" si="0"/>
        <v>0</v>
      </c>
      <c r="S18" s="10" t="s">
        <v>2154</v>
      </c>
      <c r="U18" s="10" t="s">
        <v>2187</v>
      </c>
      <c r="V18" s="20">
        <v>43822</v>
      </c>
      <c r="W18" s="10" t="s">
        <v>32</v>
      </c>
      <c r="X18" s="10">
        <v>600</v>
      </c>
      <c r="Y18" s="11">
        <f>IFERROR(INT(Tabla1[[#This Row],[CANTIDAD UND FARMACEUTICAS]]/(VLOOKUP(Tabla1[[#This Row],[MEDICAMENTO]],TAB_REF!$K$3:$L$27,2,0))),"")</f>
        <v>20</v>
      </c>
      <c r="Z18" s="10" t="str">
        <f>IFERROR(VLOOKUP(Tabla1[[#This Row],[MEDICAMENTO]],TAB_REF!$B$3:$F$27,2,0), "")</f>
        <v xml:space="preserve">Fenobarbital </v>
      </c>
      <c r="AA18" s="10" t="str">
        <f>IFERROR(VLOOKUP(Tabla1[[#This Row],[MEDICAMENTO]],TAB_REF!$B$3:$F$27,3,0), "")</f>
        <v xml:space="preserve">100 mg </v>
      </c>
      <c r="AB18" s="10" t="str">
        <f>IFERROR(VLOOKUP(Tabla1[[#This Row],[MEDICAMENTO]],TAB_REF!$B$3:$F$27,4,0), "")</f>
        <v>Tabletas</v>
      </c>
      <c r="AC18" s="10" t="str">
        <f>IFERROR(VLOOKUP(Tabla1[[#This Row],[MEDICAMENTO]],TAB_REF!$B$3:$F$27,5,0), "")</f>
        <v>Caja x 30 unidades</v>
      </c>
      <c r="AD18" s="10" t="str">
        <f>IFERROR(VLOOKUP(Tabla1[[#This Row],[CANTIDAD UND COMERCIALES]],TAB_REF!$H$3:$I$1003,2,0)&amp;" ("&amp;Tabla1[[#This Row],[CANTIDAD UND COMERCIALES]]&amp;")"&amp;"_"&amp;Tabla1[[#This Row],[CANTIDAD]],"")</f>
        <v>Veinte (20)_Caja x 30 unidades</v>
      </c>
      <c r="AE18" s="31" t="e">
        <f>CONCATENATE([1]!Tabla1[[#This Row],[NOMBRE MED.]],[1]!Tabla1[[#This Row],[CONCENTRACION]],[1]!Tabla1[[#This Row],[FORMA FARMACEUTICA]])</f>
        <v>#REF!</v>
      </c>
    </row>
    <row r="19" spans="2:31" x14ac:dyDescent="0.25">
      <c r="B19" s="24">
        <v>8</v>
      </c>
      <c r="C19" s="10" t="s">
        <v>2188</v>
      </c>
      <c r="D19" s="10" t="s">
        <v>2175</v>
      </c>
      <c r="E19" s="10" t="s">
        <v>2163</v>
      </c>
      <c r="F19" s="10" t="s">
        <v>2189</v>
      </c>
      <c r="G19" s="10" t="s">
        <v>2190</v>
      </c>
      <c r="H19" s="10" t="s">
        <v>2166</v>
      </c>
      <c r="I19" s="10" t="s">
        <v>2110</v>
      </c>
      <c r="J19" s="10" t="s">
        <v>1235</v>
      </c>
      <c r="K19" s="10" t="s">
        <v>2148</v>
      </c>
      <c r="L19" s="11">
        <v>202124100021002</v>
      </c>
      <c r="M19" s="20">
        <v>44202</v>
      </c>
      <c r="N19" s="20" t="str">
        <f>UPPER(TEXT(Tabla1[[#This Row],[FECHA RADICADO ENTRADA]],"MMM"))</f>
        <v>ENE</v>
      </c>
      <c r="O19" s="34">
        <v>202124110038111</v>
      </c>
      <c r="P19" s="20">
        <v>44209</v>
      </c>
      <c r="Q19" s="20" t="str">
        <f>UPPER(TEXT(Tabla1[[#This Row],[FECHA RADICADO ENTRADA]],"MMM"))</f>
        <v>ENE</v>
      </c>
      <c r="R19" s="10">
        <f t="shared" si="0"/>
        <v>-7</v>
      </c>
      <c r="S19" s="10" t="s">
        <v>2154</v>
      </c>
      <c r="U19" s="10" t="s">
        <v>2191</v>
      </c>
      <c r="V19" s="20">
        <v>43796</v>
      </c>
      <c r="W19" s="10" t="s">
        <v>32</v>
      </c>
      <c r="X19" s="10">
        <v>30</v>
      </c>
      <c r="Y19" s="11">
        <f>IFERROR(INT(Tabla1[[#This Row],[CANTIDAD UND FARMACEUTICAS]]/(VLOOKUP(Tabla1[[#This Row],[MEDICAMENTO]],TAB_REF!$K$3:$L$27,2,0))),"")</f>
        <v>1</v>
      </c>
      <c r="Z19" s="10" t="str">
        <f>IFERROR(VLOOKUP(Tabla1[[#This Row],[MEDICAMENTO]],TAB_REF!$B$3:$F$27,2,0), "")</f>
        <v xml:space="preserve">Fenobarbital </v>
      </c>
      <c r="AA19" s="10" t="str">
        <f>IFERROR(VLOOKUP(Tabla1[[#This Row],[MEDICAMENTO]],TAB_REF!$B$3:$F$27,3,0), "")</f>
        <v xml:space="preserve">100 mg </v>
      </c>
      <c r="AB19" s="10" t="str">
        <f>IFERROR(VLOOKUP(Tabla1[[#This Row],[MEDICAMENTO]],TAB_REF!$B$3:$F$27,4,0), "")</f>
        <v>Tabletas</v>
      </c>
      <c r="AC19" s="10" t="str">
        <f>IFERROR(VLOOKUP(Tabla1[[#This Row],[MEDICAMENTO]],TAB_REF!$B$3:$F$27,5,0), "")</f>
        <v>Caja x 30 unidades</v>
      </c>
      <c r="AD19" s="10" t="str">
        <f>IFERROR(VLOOKUP(Tabla1[[#This Row],[CANTIDAD UND COMERCIALES]],TAB_REF!$H$3:$I$1003,2,0)&amp;" ("&amp;Tabla1[[#This Row],[CANTIDAD UND COMERCIALES]]&amp;")"&amp;"_"&amp;Tabla1[[#This Row],[CANTIDAD]],"")</f>
        <v>Uno (1)_Caja x 30 unidades</v>
      </c>
      <c r="AE19" s="31" t="e">
        <f>CONCATENATE([1]!Tabla1[[#This Row],[NOMBRE MED.]],[1]!Tabla1[[#This Row],[CONCENTRACION]],[1]!Tabla1[[#This Row],[FORMA FARMACEUTICA]])</f>
        <v>#REF!</v>
      </c>
    </row>
    <row r="20" spans="2:31" x14ac:dyDescent="0.25">
      <c r="B20" s="24">
        <v>8</v>
      </c>
      <c r="C20" s="10" t="s">
        <v>2188</v>
      </c>
      <c r="D20" s="10" t="s">
        <v>2175</v>
      </c>
      <c r="E20" s="10" t="s">
        <v>2163</v>
      </c>
      <c r="F20" s="10" t="s">
        <v>2189</v>
      </c>
      <c r="G20" s="10" t="s">
        <v>2190</v>
      </c>
      <c r="H20" s="10" t="s">
        <v>2166</v>
      </c>
      <c r="I20" s="10" t="s">
        <v>2110</v>
      </c>
      <c r="J20" s="10" t="s">
        <v>1235</v>
      </c>
      <c r="K20" s="10" t="s">
        <v>2148</v>
      </c>
      <c r="L20" s="11">
        <v>202124100021002</v>
      </c>
      <c r="M20" s="20">
        <v>44202</v>
      </c>
      <c r="N20" s="20" t="str">
        <f>UPPER(TEXT(Tabla1[[#This Row],[FECHA RADICADO ENTRADA]],"MMM"))</f>
        <v>ENE</v>
      </c>
      <c r="O20" s="34">
        <v>202124110038111</v>
      </c>
      <c r="P20" s="20">
        <v>44209</v>
      </c>
      <c r="Q20" s="20" t="str">
        <f>UPPER(TEXT(Tabla1[[#This Row],[FECHA RADICADO ENTRADA]],"MMM"))</f>
        <v>ENE</v>
      </c>
      <c r="R20" s="10">
        <f t="shared" si="0"/>
        <v>-7</v>
      </c>
      <c r="S20" s="10" t="s">
        <v>2154</v>
      </c>
      <c r="U20" s="10" t="s">
        <v>2191</v>
      </c>
      <c r="V20" s="20">
        <v>43796</v>
      </c>
      <c r="W20" s="10" t="s">
        <v>41</v>
      </c>
      <c r="X20" s="10">
        <v>50</v>
      </c>
      <c r="Y20" s="11">
        <f>IFERROR(INT(Tabla1[[#This Row],[CANTIDAD UND FARMACEUTICAS]]/(VLOOKUP(Tabla1[[#This Row],[MEDICAMENTO]],TAB_REF!$K$3:$L$27,2,0))),"")</f>
        <v>5</v>
      </c>
      <c r="Z20" s="10" t="str">
        <f>IFERROR(VLOOKUP(Tabla1[[#This Row],[MEDICAMENTO]],TAB_REF!$B$3:$F$27,2,0), "")</f>
        <v xml:space="preserve">Meperidina HCl </v>
      </c>
      <c r="AA20" s="10" t="str">
        <f>IFERROR(VLOOKUP(Tabla1[[#This Row],[MEDICAMENTO]],TAB_REF!$B$3:$F$27,3,0), "")</f>
        <v xml:space="preserve">100 mg/2mL </v>
      </c>
      <c r="AB20" s="10" t="str">
        <f>IFERROR(VLOOKUP(Tabla1[[#This Row],[MEDICAMENTO]],TAB_REF!$B$3:$F$27,4,0), "")</f>
        <v>Solución Inyectable</v>
      </c>
      <c r="AC20" s="10" t="str">
        <f>IFERROR(VLOOKUP(Tabla1[[#This Row],[MEDICAMENTO]],TAB_REF!$B$3:$F$27,5,0), "")</f>
        <v>Caja 10 ampollas</v>
      </c>
      <c r="AD20" s="10" t="str">
        <f>IFERROR(VLOOKUP(Tabla1[[#This Row],[CANTIDAD UND COMERCIALES]],TAB_REF!$H$3:$I$1003,2,0)&amp;" ("&amp;Tabla1[[#This Row],[CANTIDAD UND COMERCIALES]]&amp;")"&amp;"_"&amp;Tabla1[[#This Row],[CANTIDAD]],"")</f>
        <v>Cinco (5)_Caja 10 ampollas</v>
      </c>
      <c r="AE20" s="31" t="e">
        <f>CONCATENATE([1]!Tabla1[[#This Row],[NOMBRE MED.]],[1]!Tabla1[[#This Row],[CONCENTRACION]],[1]!Tabla1[[#This Row],[FORMA FARMACEUTICA]])</f>
        <v>#REF!</v>
      </c>
    </row>
    <row r="21" spans="2:31" x14ac:dyDescent="0.25">
      <c r="B21" s="24">
        <v>8</v>
      </c>
      <c r="C21" s="10" t="s">
        <v>2188</v>
      </c>
      <c r="D21" s="10" t="s">
        <v>2175</v>
      </c>
      <c r="E21" s="10" t="s">
        <v>2163</v>
      </c>
      <c r="F21" s="10" t="s">
        <v>2189</v>
      </c>
      <c r="G21" s="10" t="s">
        <v>2190</v>
      </c>
      <c r="H21" s="10" t="s">
        <v>2166</v>
      </c>
      <c r="I21" s="10" t="s">
        <v>2110</v>
      </c>
      <c r="J21" s="10" t="s">
        <v>1235</v>
      </c>
      <c r="K21" s="10" t="s">
        <v>2148</v>
      </c>
      <c r="L21" s="11">
        <v>202124100021002</v>
      </c>
      <c r="M21" s="20">
        <v>44202</v>
      </c>
      <c r="N21" s="20" t="str">
        <f>UPPER(TEXT(Tabla1[[#This Row],[FECHA RADICADO ENTRADA]],"MMM"))</f>
        <v>ENE</v>
      </c>
      <c r="O21" s="34">
        <v>202124110038111</v>
      </c>
      <c r="P21" s="20">
        <v>44209</v>
      </c>
      <c r="Q21" s="20" t="str">
        <f>UPPER(TEXT(Tabla1[[#This Row],[FECHA RADICADO ENTRADA]],"MMM"))</f>
        <v>ENE</v>
      </c>
      <c r="R21" s="10">
        <f t="shared" si="0"/>
        <v>-7</v>
      </c>
      <c r="S21" s="10" t="s">
        <v>2154</v>
      </c>
      <c r="U21" s="10" t="s">
        <v>2191</v>
      </c>
      <c r="V21" s="20">
        <v>43796</v>
      </c>
      <c r="W21" s="10" t="s">
        <v>63</v>
      </c>
      <c r="X21" s="10">
        <v>100</v>
      </c>
      <c r="Y21" s="11">
        <f>IFERROR(INT(Tabla1[[#This Row],[CANTIDAD UND FARMACEUTICAS]]/(VLOOKUP(Tabla1[[#This Row],[MEDICAMENTO]],TAB_REF!$K$3:$L$27,2,0))),"")</f>
        <v>10</v>
      </c>
      <c r="Z21" s="10" t="str">
        <f>IFERROR(VLOOKUP(Tabla1[[#This Row],[MEDICAMENTO]],TAB_REF!$B$3:$F$27,2,0), "")</f>
        <v xml:space="preserve">Morfina HCl </v>
      </c>
      <c r="AA21" s="10" t="str">
        <f>IFERROR(VLOOKUP(Tabla1[[#This Row],[MEDICAMENTO]],TAB_REF!$B$3:$F$27,3,0), "")</f>
        <v xml:space="preserve">10 mg/mL </v>
      </c>
      <c r="AB21" s="10" t="str">
        <f>IFERROR(VLOOKUP(Tabla1[[#This Row],[MEDICAMENTO]],TAB_REF!$B$3:$F$27,4,0), "")</f>
        <v>Solución Inyectable</v>
      </c>
      <c r="AC21" s="10" t="str">
        <f>IFERROR(VLOOKUP(Tabla1[[#This Row],[MEDICAMENTO]],TAB_REF!$B$3:$F$27,5,0), "")</f>
        <v>Caja x 10 unidades</v>
      </c>
      <c r="AD21" s="10" t="str">
        <f>IFERROR(VLOOKUP(Tabla1[[#This Row],[CANTIDAD UND COMERCIALES]],TAB_REF!$H$3:$I$1003,2,0)&amp;" ("&amp;Tabla1[[#This Row],[CANTIDAD UND COMERCIALES]]&amp;")"&amp;"_"&amp;Tabla1[[#This Row],[CANTIDAD]],"")</f>
        <v>Diez (10)_Caja x 10 unidades</v>
      </c>
      <c r="AE21" s="31" t="e">
        <f>CONCATENATE([1]!Tabla1[[#This Row],[NOMBRE MED.]],[1]!Tabla1[[#This Row],[CONCENTRACION]],[1]!Tabla1[[#This Row],[FORMA FARMACEUTICA]])</f>
        <v>#REF!</v>
      </c>
    </row>
    <row r="22" spans="2:31" x14ac:dyDescent="0.25">
      <c r="B22" s="24">
        <v>8</v>
      </c>
      <c r="C22" s="10" t="s">
        <v>2188</v>
      </c>
      <c r="D22" s="10" t="s">
        <v>2175</v>
      </c>
      <c r="E22" s="10" t="s">
        <v>2163</v>
      </c>
      <c r="F22" s="10" t="s">
        <v>2189</v>
      </c>
      <c r="G22" s="10" t="s">
        <v>2190</v>
      </c>
      <c r="H22" s="10" t="s">
        <v>2166</v>
      </c>
      <c r="I22" s="10" t="s">
        <v>2110</v>
      </c>
      <c r="J22" s="10" t="s">
        <v>1235</v>
      </c>
      <c r="K22" s="10" t="s">
        <v>2148</v>
      </c>
      <c r="L22" s="11">
        <v>202124100021002</v>
      </c>
      <c r="M22" s="20">
        <v>44202</v>
      </c>
      <c r="N22" s="20" t="str">
        <f>UPPER(TEXT(Tabla1[[#This Row],[FECHA RADICADO ENTRADA]],"MMM"))</f>
        <v>ENE</v>
      </c>
      <c r="O22" s="34">
        <v>202124110038111</v>
      </c>
      <c r="P22" s="20">
        <v>44209</v>
      </c>
      <c r="Q22" s="20" t="str">
        <f>UPPER(TEXT(Tabla1[[#This Row],[FECHA RADICADO ENTRADA]],"MMM"))</f>
        <v>ENE</v>
      </c>
      <c r="R22" s="10">
        <f t="shared" si="0"/>
        <v>-7</v>
      </c>
      <c r="S22" s="10" t="s">
        <v>2154</v>
      </c>
      <c r="U22" s="10" t="s">
        <v>2191</v>
      </c>
      <c r="V22" s="20">
        <v>43796</v>
      </c>
      <c r="W22" s="10" t="s">
        <v>36</v>
      </c>
      <c r="X22" s="10">
        <v>10</v>
      </c>
      <c r="Y22" s="11">
        <f>IFERROR(INT(Tabla1[[#This Row],[CANTIDAD UND FARMACEUTICAS]]/(VLOOKUP(Tabla1[[#This Row],[MEDICAMENTO]],TAB_REF!$K$3:$L$27,2,0))),"")</f>
        <v>1</v>
      </c>
      <c r="Z22" s="10" t="str">
        <f>IFERROR(VLOOKUP(Tabla1[[#This Row],[MEDICAMENTO]],TAB_REF!$B$3:$F$27,2,0), "")</f>
        <v xml:space="preserve">Fenobarbital Sódico </v>
      </c>
      <c r="AA22" s="10" t="str">
        <f>IFERROR(VLOOKUP(Tabla1[[#This Row],[MEDICAMENTO]],TAB_REF!$B$3:$F$27,3,0), "")</f>
        <v xml:space="preserve">40 mg/mL </v>
      </c>
      <c r="AB22" s="10" t="str">
        <f>IFERROR(VLOOKUP(Tabla1[[#This Row],[MEDICAMENTO]],TAB_REF!$B$3:$F$27,4,0), "")</f>
        <v>Solución Inyectable</v>
      </c>
      <c r="AC22" s="10" t="str">
        <f>IFERROR(VLOOKUP(Tabla1[[#This Row],[MEDICAMENTO]],TAB_REF!$B$3:$F$27,5,0), "")</f>
        <v>Caja x 10 unidades</v>
      </c>
      <c r="AD22" s="10" t="str">
        <f>IFERROR(VLOOKUP(Tabla1[[#This Row],[CANTIDAD UND COMERCIALES]],TAB_REF!$H$3:$I$1003,2,0)&amp;" ("&amp;Tabla1[[#This Row],[CANTIDAD UND COMERCIALES]]&amp;")"&amp;"_"&amp;Tabla1[[#This Row],[CANTIDAD]],"")</f>
        <v>Uno (1)_Caja x 10 unidades</v>
      </c>
      <c r="AE22" s="31" t="e">
        <f>CONCATENATE([1]!Tabla1[[#This Row],[NOMBRE MED.]],[1]!Tabla1[[#This Row],[CONCENTRACION]],[1]!Tabla1[[#This Row],[FORMA FARMACEUTICA]])</f>
        <v>#REF!</v>
      </c>
    </row>
    <row r="23" spans="2:31" x14ac:dyDescent="0.25">
      <c r="B23" s="24">
        <v>8</v>
      </c>
      <c r="C23" s="10" t="s">
        <v>2188</v>
      </c>
      <c r="D23" s="10" t="s">
        <v>2175</v>
      </c>
      <c r="E23" s="10" t="s">
        <v>2163</v>
      </c>
      <c r="F23" s="10" t="s">
        <v>2189</v>
      </c>
      <c r="G23" s="10" t="s">
        <v>2190</v>
      </c>
      <c r="H23" s="10" t="s">
        <v>2166</v>
      </c>
      <c r="I23" s="10" t="s">
        <v>2110</v>
      </c>
      <c r="J23" s="10" t="s">
        <v>1235</v>
      </c>
      <c r="K23" s="10" t="s">
        <v>2148</v>
      </c>
      <c r="L23" s="11">
        <v>202124100021002</v>
      </c>
      <c r="M23" s="20">
        <v>44202</v>
      </c>
      <c r="N23" s="20" t="str">
        <f>UPPER(TEXT(Tabla1[[#This Row],[FECHA RADICADO ENTRADA]],"MMM"))</f>
        <v>ENE</v>
      </c>
      <c r="O23" s="34">
        <v>202124110038111</v>
      </c>
      <c r="P23" s="20">
        <v>44209</v>
      </c>
      <c r="Q23" s="20" t="str">
        <f>UPPER(TEXT(Tabla1[[#This Row],[FECHA RADICADO ENTRADA]],"MMM"))</f>
        <v>ENE</v>
      </c>
      <c r="R23" s="10">
        <f t="shared" si="0"/>
        <v>-7</v>
      </c>
      <c r="S23" s="10" t="s">
        <v>2154</v>
      </c>
      <c r="U23" s="10" t="s">
        <v>2191</v>
      </c>
      <c r="V23" s="20">
        <v>43796</v>
      </c>
      <c r="W23" s="10" t="s">
        <v>34</v>
      </c>
      <c r="X23" s="10">
        <v>10</v>
      </c>
      <c r="Y23" s="11">
        <f>IFERROR(INT(Tabla1[[#This Row],[CANTIDAD UND FARMACEUTICAS]]/(VLOOKUP(Tabla1[[#This Row],[MEDICAMENTO]],TAB_REF!$K$3:$L$27,2,0))),"")</f>
        <v>1</v>
      </c>
      <c r="Z23" s="10" t="str">
        <f>IFERROR(VLOOKUP(Tabla1[[#This Row],[MEDICAMENTO]],TAB_REF!$B$3:$F$27,2,0), "")</f>
        <v xml:space="preserve">Fenobarbital Sódico </v>
      </c>
      <c r="AA23" s="10" t="str">
        <f>IFERROR(VLOOKUP(Tabla1[[#This Row],[MEDICAMENTO]],TAB_REF!$B$3:$F$27,3,0), "")</f>
        <v xml:space="preserve">200 mg/Ml </v>
      </c>
      <c r="AB23" s="10" t="str">
        <f>IFERROR(VLOOKUP(Tabla1[[#This Row],[MEDICAMENTO]],TAB_REF!$B$3:$F$27,4,0), "")</f>
        <v>Solución Inyectable</v>
      </c>
      <c r="AC23" s="10" t="str">
        <f>IFERROR(VLOOKUP(Tabla1[[#This Row],[MEDICAMENTO]],TAB_REF!$B$3:$F$27,5,0), "")</f>
        <v>Caja x 10 unidades</v>
      </c>
      <c r="AD23" s="10" t="str">
        <f>IFERROR(VLOOKUP(Tabla1[[#This Row],[CANTIDAD UND COMERCIALES]],TAB_REF!$H$3:$I$1003,2,0)&amp;" ("&amp;Tabla1[[#This Row],[CANTIDAD UND COMERCIALES]]&amp;")"&amp;"_"&amp;Tabla1[[#This Row],[CANTIDAD]],"")</f>
        <v>Uno (1)_Caja x 10 unidades</v>
      </c>
      <c r="AE23" s="31" t="e">
        <f>CONCATENATE([1]!Tabla1[[#This Row],[NOMBRE MED.]],[1]!Tabla1[[#This Row],[CONCENTRACION]],[1]!Tabla1[[#This Row],[FORMA FARMACEUTICA]])</f>
        <v>#REF!</v>
      </c>
    </row>
    <row r="24" spans="2:31" x14ac:dyDescent="0.25">
      <c r="B24" s="10">
        <v>9</v>
      </c>
      <c r="C24" s="10" t="s">
        <v>2149</v>
      </c>
      <c r="D24" s="10" t="s">
        <v>2162</v>
      </c>
      <c r="E24" s="10" t="s">
        <v>2150</v>
      </c>
      <c r="F24" s="10" t="s">
        <v>2192</v>
      </c>
      <c r="G24" s="10" t="s">
        <v>2193</v>
      </c>
      <c r="H24" s="10" t="s">
        <v>2151</v>
      </c>
      <c r="I24" s="10" t="s">
        <v>2116</v>
      </c>
      <c r="J24" s="10" t="s">
        <v>1550</v>
      </c>
      <c r="K24" s="10" t="s">
        <v>2148</v>
      </c>
      <c r="L24" s="11">
        <v>202124100021032</v>
      </c>
      <c r="M24" s="20">
        <v>44202</v>
      </c>
      <c r="N24" s="20" t="str">
        <f>UPPER(TEXT(Tabla1[[#This Row],[FECHA RADICADO ENTRADA]],"MMM"))</f>
        <v>ENE</v>
      </c>
      <c r="O24" s="11">
        <v>202124110024831</v>
      </c>
      <c r="P24" s="20">
        <v>44204</v>
      </c>
      <c r="Q24" s="20" t="str">
        <f>UPPER(TEXT(Tabla1[[#This Row],[FECHA RADICADO ENTRADA]],"MMM"))</f>
        <v>ENE</v>
      </c>
      <c r="R24" s="10">
        <f t="shared" si="0"/>
        <v>-2</v>
      </c>
      <c r="S24" s="10" t="s">
        <v>2154</v>
      </c>
      <c r="T24" s="10" t="s">
        <v>2239</v>
      </c>
      <c r="U24" s="10" t="s">
        <v>2164</v>
      </c>
      <c r="V24" s="20">
        <v>43829</v>
      </c>
      <c r="W24" s="10" t="s">
        <v>60</v>
      </c>
      <c r="X24" s="10">
        <v>0</v>
      </c>
      <c r="Y24" s="11">
        <f>IFERROR(INT(Tabla1[[#This Row],[CANTIDAD UND FARMACEUTICAS]]/(VLOOKUP(Tabla1[[#This Row],[MEDICAMENTO]],TAB_REF!$K$3:$L$27,2,0))),"")</f>
        <v>0</v>
      </c>
      <c r="Z24" s="10" t="str">
        <f>IFERROR(VLOOKUP(Tabla1[[#This Row],[MEDICAMENTO]],TAB_REF!$B$3:$F$27,2,0), "")</f>
        <v xml:space="preserve">Morfina HCl </v>
      </c>
      <c r="AA24" s="10" t="str">
        <f>IFERROR(VLOOKUP(Tabla1[[#This Row],[MEDICAMENTO]],TAB_REF!$B$3:$F$27,3,0), "")</f>
        <v xml:space="preserve">3%. </v>
      </c>
      <c r="AB24" s="10" t="str">
        <f>IFERROR(VLOOKUP(Tabla1[[#This Row],[MEDICAMENTO]],TAB_REF!$B$3:$F$27,4,0), "")</f>
        <v>Solución Oral</v>
      </c>
      <c r="AC24" s="10" t="str">
        <f>IFERROR(VLOOKUP(Tabla1[[#This Row],[MEDICAMENTO]],TAB_REF!$B$3:$F$27,5,0), "")</f>
        <v>Frasco x 30 mL</v>
      </c>
      <c r="AD24" s="10" t="str">
        <f>IFERROR(VLOOKUP(Tabla1[[#This Row],[CANTIDAD UND COMERCIALES]],TAB_REF!$H$3:$I$1003,2,0)&amp;" ("&amp;Tabla1[[#This Row],[CANTIDAD UND COMERCIALES]]&amp;")"&amp;"_"&amp;Tabla1[[#This Row],[CANTIDAD]],"")</f>
        <v/>
      </c>
      <c r="AE24" s="31" t="e">
        <f>CONCATENATE([1]!Tabla1[[#This Row],[NOMBRE MED.]],[1]!Tabla1[[#This Row],[CONCENTRACION]],[1]!Tabla1[[#This Row],[FORMA FARMACEUTICA]])</f>
        <v>#REF!</v>
      </c>
    </row>
    <row r="25" spans="2:31" x14ac:dyDescent="0.25">
      <c r="B25" s="10">
        <v>9</v>
      </c>
      <c r="C25" s="10" t="s">
        <v>2149</v>
      </c>
      <c r="D25" s="10" t="s">
        <v>2162</v>
      </c>
      <c r="E25" s="10" t="s">
        <v>2150</v>
      </c>
      <c r="F25" s="10" t="s">
        <v>2192</v>
      </c>
      <c r="G25" s="10" t="s">
        <v>2193</v>
      </c>
      <c r="H25" s="10" t="s">
        <v>2151</v>
      </c>
      <c r="I25" s="10" t="s">
        <v>2116</v>
      </c>
      <c r="J25" s="10" t="s">
        <v>1550</v>
      </c>
      <c r="K25" s="10" t="s">
        <v>2148</v>
      </c>
      <c r="L25" s="11">
        <v>202124100021032</v>
      </c>
      <c r="M25" s="20">
        <v>44202</v>
      </c>
      <c r="N25" s="20" t="str">
        <f>UPPER(TEXT(Tabla1[[#This Row],[FECHA RADICADO ENTRADA]],"MMM"))</f>
        <v>ENE</v>
      </c>
      <c r="O25" s="11">
        <v>202124110024831</v>
      </c>
      <c r="P25" s="20">
        <v>44204</v>
      </c>
      <c r="Q25" s="20" t="str">
        <f>UPPER(TEXT(Tabla1[[#This Row],[FECHA RADICADO ENTRADA]],"MMM"))</f>
        <v>ENE</v>
      </c>
      <c r="R25" s="10">
        <f t="shared" si="0"/>
        <v>-2</v>
      </c>
      <c r="S25" s="10" t="s">
        <v>2154</v>
      </c>
      <c r="T25" s="10" t="s">
        <v>2240</v>
      </c>
      <c r="U25" s="10" t="s">
        <v>2164</v>
      </c>
      <c r="V25" s="20">
        <v>43829</v>
      </c>
      <c r="W25" s="10" t="s">
        <v>45</v>
      </c>
      <c r="X25" s="10">
        <v>0</v>
      </c>
      <c r="Y25" s="11">
        <f>IFERROR(INT(Tabla1[[#This Row],[CANTIDAD UND FARMACEUTICAS]]/(VLOOKUP(Tabla1[[#This Row],[MEDICAMENTO]],TAB_REF!$K$3:$L$27,2,0))),"")</f>
        <v>0</v>
      </c>
      <c r="Z25" s="10" t="str">
        <f>IFERROR(VLOOKUP(Tabla1[[#This Row],[MEDICAMENTO]],TAB_REF!$B$3:$F$27,2,0), "")</f>
        <v xml:space="preserve">Metadona HCl </v>
      </c>
      <c r="AA25" s="10" t="str">
        <f>IFERROR(VLOOKUP(Tabla1[[#This Row],[MEDICAMENTO]],TAB_REF!$B$3:$F$27,3,0), "")</f>
        <v xml:space="preserve">10 mg </v>
      </c>
      <c r="AB25" s="10" t="str">
        <f>IFERROR(VLOOKUP(Tabla1[[#This Row],[MEDICAMENTO]],TAB_REF!$B$3:$F$27,4,0), "")</f>
        <v>Tabletas NACIONAL</v>
      </c>
      <c r="AC25" s="10" t="str">
        <f>IFERROR(VLOOKUP(Tabla1[[#This Row],[MEDICAMENTO]],TAB_REF!$B$3:$F$27,5,0), "")</f>
        <v>Caja x 30 unidades</v>
      </c>
      <c r="AD25" s="10" t="str">
        <f>IFERROR(VLOOKUP(Tabla1[[#This Row],[CANTIDAD UND COMERCIALES]],TAB_REF!$H$3:$I$1003,2,0)&amp;" ("&amp;Tabla1[[#This Row],[CANTIDAD UND COMERCIALES]]&amp;")"&amp;"_"&amp;Tabla1[[#This Row],[CANTIDAD]],"")</f>
        <v/>
      </c>
      <c r="AE25" s="31" t="e">
        <f>CONCATENATE([1]!Tabla1[[#This Row],[NOMBRE MED.]],[1]!Tabla1[[#This Row],[CONCENTRACION]],[1]!Tabla1[[#This Row],[FORMA FARMACEUTICA]])</f>
        <v>#REF!</v>
      </c>
    </row>
    <row r="26" spans="2:31" x14ac:dyDescent="0.25">
      <c r="B26" s="10">
        <v>10</v>
      </c>
      <c r="C26" s="10" t="s">
        <v>2194</v>
      </c>
      <c r="D26" s="10" t="s">
        <v>2195</v>
      </c>
      <c r="E26" s="10" t="s">
        <v>2196</v>
      </c>
      <c r="F26" s="10" t="s">
        <v>2164</v>
      </c>
      <c r="G26" s="10" t="s">
        <v>2197</v>
      </c>
      <c r="H26" s="10" t="s">
        <v>2198</v>
      </c>
      <c r="I26" s="10" t="s">
        <v>2129</v>
      </c>
      <c r="J26" s="10" t="s">
        <v>2011</v>
      </c>
      <c r="K26" s="10" t="s">
        <v>2148</v>
      </c>
      <c r="L26" s="11">
        <v>202124100021042</v>
      </c>
      <c r="M26" s="20">
        <v>44202</v>
      </c>
      <c r="N26" s="20" t="str">
        <f>UPPER(TEXT(Tabla1[[#This Row],[FECHA RADICADO ENTRADA]],"MMM"))</f>
        <v>ENE</v>
      </c>
      <c r="O26" s="11">
        <v>202124110024871</v>
      </c>
      <c r="P26" s="20">
        <v>44204</v>
      </c>
      <c r="Q26" s="20" t="str">
        <f>UPPER(TEXT(Tabla1[[#This Row],[FECHA RADICADO ENTRADA]],"MMM"))</f>
        <v>ENE</v>
      </c>
      <c r="R26" s="10">
        <f t="shared" si="0"/>
        <v>-2</v>
      </c>
      <c r="S26" s="10" t="s">
        <v>2145</v>
      </c>
      <c r="T26" s="10" t="s">
        <v>2167</v>
      </c>
      <c r="U26" s="10" t="s">
        <v>2164</v>
      </c>
      <c r="V26" s="20" t="s">
        <v>2164</v>
      </c>
      <c r="W26" s="10" t="s">
        <v>32</v>
      </c>
      <c r="X26" s="10">
        <v>0</v>
      </c>
      <c r="Y26" s="11">
        <f>IFERROR(INT(Tabla1[[#This Row],[CANTIDAD UND FARMACEUTICAS]]/(VLOOKUP(Tabla1[[#This Row],[MEDICAMENTO]],TAB_REF!$K$3:$L$27,2,0))),"")</f>
        <v>0</v>
      </c>
      <c r="Z26" s="10" t="str">
        <f>IFERROR(VLOOKUP(Tabla1[[#This Row],[MEDICAMENTO]],TAB_REF!$B$3:$F$27,2,0), "")</f>
        <v xml:space="preserve">Fenobarbital </v>
      </c>
      <c r="AA26" s="10" t="str">
        <f>IFERROR(VLOOKUP(Tabla1[[#This Row],[MEDICAMENTO]],TAB_REF!$B$3:$F$27,3,0), "")</f>
        <v xml:space="preserve">100 mg </v>
      </c>
      <c r="AB26" s="10" t="str">
        <f>IFERROR(VLOOKUP(Tabla1[[#This Row],[MEDICAMENTO]],TAB_REF!$B$3:$F$27,4,0), "")</f>
        <v>Tabletas</v>
      </c>
      <c r="AC26" s="10" t="str">
        <f>IFERROR(VLOOKUP(Tabla1[[#This Row],[MEDICAMENTO]],TAB_REF!$B$3:$F$27,5,0), "")</f>
        <v>Caja x 30 unidades</v>
      </c>
      <c r="AD26" s="10" t="str">
        <f>IFERROR(VLOOKUP(Tabla1[[#This Row],[CANTIDAD UND COMERCIALES]],TAB_REF!$H$3:$I$1003,2,0)&amp;" ("&amp;Tabla1[[#This Row],[CANTIDAD UND COMERCIALES]]&amp;")"&amp;"_"&amp;Tabla1[[#This Row],[CANTIDAD]],"")</f>
        <v/>
      </c>
      <c r="AE26" s="31" t="e">
        <f>CONCATENATE([1]!Tabla1[[#This Row],[NOMBRE MED.]],[1]!Tabla1[[#This Row],[CONCENTRACION]],[1]!Tabla1[[#This Row],[FORMA FARMACEUTICA]])</f>
        <v>#REF!</v>
      </c>
    </row>
    <row r="27" spans="2:31" x14ac:dyDescent="0.25">
      <c r="B27" s="10">
        <v>10</v>
      </c>
      <c r="C27" s="10" t="s">
        <v>2194</v>
      </c>
      <c r="D27" s="10" t="s">
        <v>2195</v>
      </c>
      <c r="E27" s="10" t="s">
        <v>2196</v>
      </c>
      <c r="F27" s="10" t="s">
        <v>2164</v>
      </c>
      <c r="G27" s="10" t="s">
        <v>2197</v>
      </c>
      <c r="H27" s="10" t="s">
        <v>2198</v>
      </c>
      <c r="I27" s="10" t="s">
        <v>2129</v>
      </c>
      <c r="J27" s="10" t="s">
        <v>2011</v>
      </c>
      <c r="K27" s="10" t="s">
        <v>2148</v>
      </c>
      <c r="L27" s="11">
        <v>202124100021042</v>
      </c>
      <c r="M27" s="20">
        <v>44202</v>
      </c>
      <c r="N27" s="20" t="str">
        <f>UPPER(TEXT(Tabla1[[#This Row],[FECHA RADICADO ENTRADA]],"MMM"))</f>
        <v>ENE</v>
      </c>
      <c r="O27" s="11">
        <v>202124110024871</v>
      </c>
      <c r="P27" s="20">
        <v>44204</v>
      </c>
      <c r="Q27" s="20" t="str">
        <f>UPPER(TEXT(Tabla1[[#This Row],[FECHA RADICADO ENTRADA]],"MMM"))</f>
        <v>ENE</v>
      </c>
      <c r="R27" s="10">
        <f t="shared" si="0"/>
        <v>-2</v>
      </c>
      <c r="S27" s="10" t="s">
        <v>2145</v>
      </c>
      <c r="T27" s="10" t="s">
        <v>2167</v>
      </c>
      <c r="U27" s="10" t="s">
        <v>2164</v>
      </c>
      <c r="V27" s="20" t="s">
        <v>2164</v>
      </c>
      <c r="W27" s="10" t="s">
        <v>30</v>
      </c>
      <c r="X27" s="10">
        <v>0</v>
      </c>
      <c r="Y27" s="11">
        <f>IFERROR(INT(Tabla1[[#This Row],[CANTIDAD UND FARMACEUTICAS]]/(VLOOKUP(Tabla1[[#This Row],[MEDICAMENTO]],TAB_REF!$K$3:$L$27,2,0))),"")</f>
        <v>0</v>
      </c>
      <c r="Z27" s="10" t="str">
        <f>IFERROR(VLOOKUP(Tabla1[[#This Row],[MEDICAMENTO]],TAB_REF!$B$3:$F$27,2,0), "")</f>
        <v xml:space="preserve">Fenobarbital </v>
      </c>
      <c r="AA27" s="10" t="str">
        <f>IFERROR(VLOOKUP(Tabla1[[#This Row],[MEDICAMENTO]],TAB_REF!$B$3:$F$27,3,0), "")</f>
        <v xml:space="preserve">10 mg </v>
      </c>
      <c r="AB27" s="10" t="str">
        <f>IFERROR(VLOOKUP(Tabla1[[#This Row],[MEDICAMENTO]],TAB_REF!$B$3:$F$27,4,0), "")</f>
        <v>Tabletas</v>
      </c>
      <c r="AC27" s="10" t="str">
        <f>IFERROR(VLOOKUP(Tabla1[[#This Row],[MEDICAMENTO]],TAB_REF!$B$3:$F$27,5,0), "")</f>
        <v>Caja x 30 unidades</v>
      </c>
      <c r="AD27" s="10" t="str">
        <f>IFERROR(VLOOKUP(Tabla1[[#This Row],[CANTIDAD UND COMERCIALES]],TAB_REF!$H$3:$I$1003,2,0)&amp;" ("&amp;Tabla1[[#This Row],[CANTIDAD UND COMERCIALES]]&amp;")"&amp;"_"&amp;Tabla1[[#This Row],[CANTIDAD]],"")</f>
        <v/>
      </c>
      <c r="AE27" s="31" t="e">
        <f>CONCATENATE([1]!Tabla1[[#This Row],[NOMBRE MED.]],[1]!Tabla1[[#This Row],[CONCENTRACION]],[1]!Tabla1[[#This Row],[FORMA FARMACEUTICA]])</f>
        <v>#REF!</v>
      </c>
    </row>
    <row r="28" spans="2:31" x14ac:dyDescent="0.25">
      <c r="B28" s="10">
        <v>10</v>
      </c>
      <c r="C28" s="10" t="s">
        <v>2194</v>
      </c>
      <c r="D28" s="10" t="s">
        <v>2195</v>
      </c>
      <c r="E28" s="10" t="s">
        <v>2196</v>
      </c>
      <c r="F28" s="10" t="s">
        <v>2164</v>
      </c>
      <c r="G28" s="10" t="s">
        <v>2197</v>
      </c>
      <c r="H28" s="10" t="s">
        <v>2198</v>
      </c>
      <c r="I28" s="10" t="s">
        <v>2129</v>
      </c>
      <c r="J28" s="10" t="s">
        <v>2011</v>
      </c>
      <c r="K28" s="10" t="s">
        <v>2148</v>
      </c>
      <c r="L28" s="11">
        <v>202124100021042</v>
      </c>
      <c r="M28" s="20">
        <v>44202</v>
      </c>
      <c r="N28" s="20" t="str">
        <f>UPPER(TEXT(Tabla1[[#This Row],[FECHA RADICADO ENTRADA]],"MMM"))</f>
        <v>ENE</v>
      </c>
      <c r="O28" s="11">
        <v>202124110024871</v>
      </c>
      <c r="P28" s="20">
        <v>44204</v>
      </c>
      <c r="Q28" s="20" t="str">
        <f>UPPER(TEXT(Tabla1[[#This Row],[FECHA RADICADO ENTRADA]],"MMM"))</f>
        <v>ENE</v>
      </c>
      <c r="R28" s="10">
        <f t="shared" si="0"/>
        <v>-2</v>
      </c>
      <c r="S28" s="10" t="s">
        <v>2145</v>
      </c>
      <c r="T28" s="10" t="s">
        <v>2167</v>
      </c>
      <c r="U28" s="10" t="s">
        <v>2164</v>
      </c>
      <c r="V28" s="20" t="s">
        <v>2164</v>
      </c>
      <c r="W28" s="10" t="s">
        <v>37</v>
      </c>
      <c r="X28" s="10">
        <v>0</v>
      </c>
      <c r="Y28" s="11">
        <f>IFERROR(INT(Tabla1[[#This Row],[CANTIDAD UND FARMACEUTICAS]]/(VLOOKUP(Tabla1[[#This Row],[MEDICAMENTO]],TAB_REF!$K$3:$L$27,2,0))),"")</f>
        <v>0</v>
      </c>
      <c r="Z28" s="10" t="str">
        <f>IFERROR(VLOOKUP(Tabla1[[#This Row],[MEDICAMENTO]],TAB_REF!$B$3:$F$27,2,0), "")</f>
        <v xml:space="preserve">Hidromorfona HCl </v>
      </c>
      <c r="AA28" s="10" t="str">
        <f>IFERROR(VLOOKUP(Tabla1[[#This Row],[MEDICAMENTO]],TAB_REF!$B$3:$F$27,3,0), "")</f>
        <v xml:space="preserve">2 mg/mL </v>
      </c>
      <c r="AB28" s="10" t="str">
        <f>IFERROR(VLOOKUP(Tabla1[[#This Row],[MEDICAMENTO]],TAB_REF!$B$3:$F$27,4,0), "")</f>
        <v>Solución Inyectable</v>
      </c>
      <c r="AC28" s="10" t="str">
        <f>IFERROR(VLOOKUP(Tabla1[[#This Row],[MEDICAMENTO]],TAB_REF!$B$3:$F$27,5,0), "")</f>
        <v>Caja x 10 unidades</v>
      </c>
      <c r="AD28" s="10" t="str">
        <f>IFERROR(VLOOKUP(Tabla1[[#This Row],[CANTIDAD UND COMERCIALES]],TAB_REF!$H$3:$I$1003,2,0)&amp;" ("&amp;Tabla1[[#This Row],[CANTIDAD UND COMERCIALES]]&amp;")"&amp;"_"&amp;Tabla1[[#This Row],[CANTIDAD]],"")</f>
        <v/>
      </c>
      <c r="AE28" s="31" t="e">
        <f>CONCATENATE([1]!Tabla1[[#This Row],[NOMBRE MED.]],[1]!Tabla1[[#This Row],[CONCENTRACION]],[1]!Tabla1[[#This Row],[FORMA FARMACEUTICA]])</f>
        <v>#REF!</v>
      </c>
    </row>
    <row r="29" spans="2:31" x14ac:dyDescent="0.25">
      <c r="B29" s="10">
        <v>10</v>
      </c>
      <c r="C29" s="10" t="s">
        <v>2194</v>
      </c>
      <c r="D29" s="10" t="s">
        <v>2195</v>
      </c>
      <c r="E29" s="10" t="s">
        <v>2196</v>
      </c>
      <c r="F29" s="10" t="s">
        <v>2164</v>
      </c>
      <c r="G29" s="10" t="s">
        <v>2197</v>
      </c>
      <c r="H29" s="10" t="s">
        <v>2198</v>
      </c>
      <c r="I29" s="10" t="s">
        <v>2129</v>
      </c>
      <c r="J29" s="10" t="s">
        <v>2011</v>
      </c>
      <c r="K29" s="10" t="s">
        <v>2148</v>
      </c>
      <c r="L29" s="11">
        <v>202124100021042</v>
      </c>
      <c r="M29" s="20">
        <v>44202</v>
      </c>
      <c r="N29" s="20" t="str">
        <f>UPPER(TEXT(Tabla1[[#This Row],[FECHA RADICADO ENTRADA]],"MMM"))</f>
        <v>ENE</v>
      </c>
      <c r="O29" s="11">
        <v>202124110024871</v>
      </c>
      <c r="P29" s="20">
        <v>44204</v>
      </c>
      <c r="Q29" s="20" t="str">
        <f>UPPER(TEXT(Tabla1[[#This Row],[FECHA RADICADO ENTRADA]],"MMM"))</f>
        <v>ENE</v>
      </c>
      <c r="R29" s="10">
        <f t="shared" si="0"/>
        <v>-2</v>
      </c>
      <c r="S29" s="10" t="s">
        <v>2145</v>
      </c>
      <c r="T29" s="10" t="s">
        <v>2167</v>
      </c>
      <c r="U29" s="10" t="s">
        <v>2164</v>
      </c>
      <c r="V29" s="20" t="s">
        <v>2164</v>
      </c>
      <c r="W29" s="10" t="s">
        <v>38</v>
      </c>
      <c r="X29" s="10">
        <v>0</v>
      </c>
      <c r="Y29" s="11">
        <f>IFERROR(INT(Tabla1[[#This Row],[CANTIDAD UND FARMACEUTICAS]]/(VLOOKUP(Tabla1[[#This Row],[MEDICAMENTO]],TAB_REF!$K$3:$L$27,2,0))),"")</f>
        <v>0</v>
      </c>
      <c r="Z29" s="10" t="str">
        <f>IFERROR(VLOOKUP(Tabla1[[#This Row],[MEDICAMENTO]],TAB_REF!$B$3:$F$27,2,0), "")</f>
        <v xml:space="preserve">Hidromorfona HCl </v>
      </c>
      <c r="AA29" s="10" t="str">
        <f>IFERROR(VLOOKUP(Tabla1[[#This Row],[MEDICAMENTO]],TAB_REF!$B$3:$F$27,3,0), "")</f>
        <v xml:space="preserve">2,5 mg </v>
      </c>
      <c r="AB29" s="10" t="str">
        <f>IFERROR(VLOOKUP(Tabla1[[#This Row],[MEDICAMENTO]],TAB_REF!$B$3:$F$27,4,0), "")</f>
        <v>Tabletas</v>
      </c>
      <c r="AC29" s="10" t="str">
        <f>IFERROR(VLOOKUP(Tabla1[[#This Row],[MEDICAMENTO]],TAB_REF!$B$3:$F$27,5,0), "")</f>
        <v>Caja x 20 unidades</v>
      </c>
      <c r="AD29" s="10" t="str">
        <f>IFERROR(VLOOKUP(Tabla1[[#This Row],[CANTIDAD UND COMERCIALES]],TAB_REF!$H$3:$I$1003,2,0)&amp;" ("&amp;Tabla1[[#This Row],[CANTIDAD UND COMERCIALES]]&amp;")"&amp;"_"&amp;Tabla1[[#This Row],[CANTIDAD]],"")</f>
        <v/>
      </c>
      <c r="AE29" s="31" t="e">
        <f>CONCATENATE([1]!Tabla1[[#This Row],[NOMBRE MED.]],[1]!Tabla1[[#This Row],[CONCENTRACION]],[1]!Tabla1[[#This Row],[FORMA FARMACEUTICA]])</f>
        <v>#REF!</v>
      </c>
    </row>
    <row r="30" spans="2:31" x14ac:dyDescent="0.25">
      <c r="B30" s="10">
        <v>10</v>
      </c>
      <c r="C30" s="10" t="s">
        <v>2194</v>
      </c>
      <c r="D30" s="10" t="s">
        <v>2195</v>
      </c>
      <c r="E30" s="10" t="s">
        <v>2196</v>
      </c>
      <c r="F30" s="10" t="s">
        <v>2164</v>
      </c>
      <c r="G30" s="10" t="s">
        <v>2197</v>
      </c>
      <c r="H30" s="10" t="s">
        <v>2198</v>
      </c>
      <c r="I30" s="10" t="s">
        <v>2129</v>
      </c>
      <c r="J30" s="10" t="s">
        <v>2011</v>
      </c>
      <c r="K30" s="10" t="s">
        <v>2148</v>
      </c>
      <c r="L30" s="11">
        <v>202124100021042</v>
      </c>
      <c r="M30" s="20">
        <v>44202</v>
      </c>
      <c r="N30" s="20" t="str">
        <f>UPPER(TEXT(Tabla1[[#This Row],[FECHA RADICADO ENTRADA]],"MMM"))</f>
        <v>ENE</v>
      </c>
      <c r="O30" s="11">
        <v>202124110024871</v>
      </c>
      <c r="P30" s="20">
        <v>44204</v>
      </c>
      <c r="Q30" s="20" t="str">
        <f>UPPER(TEXT(Tabla1[[#This Row],[FECHA RADICADO ENTRADA]],"MMM"))</f>
        <v>ENE</v>
      </c>
      <c r="R30" s="10">
        <f t="shared" si="0"/>
        <v>-2</v>
      </c>
      <c r="S30" s="10" t="s">
        <v>2145</v>
      </c>
      <c r="T30" s="10" t="s">
        <v>2167</v>
      </c>
      <c r="U30" s="10" t="s">
        <v>2164</v>
      </c>
      <c r="V30" s="20" t="s">
        <v>2164</v>
      </c>
      <c r="W30" s="10" t="s">
        <v>60</v>
      </c>
      <c r="X30" s="10">
        <v>0</v>
      </c>
      <c r="Y30" s="11">
        <f>IFERROR(INT(Tabla1[[#This Row],[CANTIDAD UND FARMACEUTICAS]]/(VLOOKUP(Tabla1[[#This Row],[MEDICAMENTO]],TAB_REF!$K$3:$L$27,2,0))),"")</f>
        <v>0</v>
      </c>
      <c r="Z30" s="10" t="str">
        <f>IFERROR(VLOOKUP(Tabla1[[#This Row],[MEDICAMENTO]],TAB_REF!$B$3:$F$27,2,0), "")</f>
        <v xml:space="preserve">Morfina HCl </v>
      </c>
      <c r="AA30" s="10" t="str">
        <f>IFERROR(VLOOKUP(Tabla1[[#This Row],[MEDICAMENTO]],TAB_REF!$B$3:$F$27,3,0), "")</f>
        <v xml:space="preserve">3%. </v>
      </c>
      <c r="AB30" s="10" t="str">
        <f>IFERROR(VLOOKUP(Tabla1[[#This Row],[MEDICAMENTO]],TAB_REF!$B$3:$F$27,4,0), "")</f>
        <v>Solución Oral</v>
      </c>
      <c r="AC30" s="10" t="str">
        <f>IFERROR(VLOOKUP(Tabla1[[#This Row],[MEDICAMENTO]],TAB_REF!$B$3:$F$27,5,0), "")</f>
        <v>Frasco x 30 mL</v>
      </c>
      <c r="AD30" s="10" t="str">
        <f>IFERROR(VLOOKUP(Tabla1[[#This Row],[CANTIDAD UND COMERCIALES]],TAB_REF!$H$3:$I$1003,2,0)&amp;" ("&amp;Tabla1[[#This Row],[CANTIDAD UND COMERCIALES]]&amp;")"&amp;"_"&amp;Tabla1[[#This Row],[CANTIDAD]],"")</f>
        <v/>
      </c>
      <c r="AE30" s="31" t="e">
        <f>CONCATENATE([1]!Tabla1[[#This Row],[NOMBRE MED.]],[1]!Tabla1[[#This Row],[CONCENTRACION]],[1]!Tabla1[[#This Row],[FORMA FARMACEUTICA]])</f>
        <v>#REF!</v>
      </c>
    </row>
    <row r="31" spans="2:31" x14ac:dyDescent="0.25">
      <c r="B31" s="10">
        <v>10</v>
      </c>
      <c r="C31" s="10" t="s">
        <v>2194</v>
      </c>
      <c r="D31" s="10" t="s">
        <v>2195</v>
      </c>
      <c r="E31" s="10" t="s">
        <v>2196</v>
      </c>
      <c r="F31" s="10" t="s">
        <v>2164</v>
      </c>
      <c r="G31" s="10" t="s">
        <v>2197</v>
      </c>
      <c r="H31" s="10" t="s">
        <v>2198</v>
      </c>
      <c r="I31" s="10" t="s">
        <v>2129</v>
      </c>
      <c r="J31" s="10" t="s">
        <v>2011</v>
      </c>
      <c r="K31" s="10" t="s">
        <v>2148</v>
      </c>
      <c r="L31" s="11">
        <v>202124100021042</v>
      </c>
      <c r="M31" s="20">
        <v>44202</v>
      </c>
      <c r="N31" s="20" t="str">
        <f>UPPER(TEXT(Tabla1[[#This Row],[FECHA RADICADO ENTRADA]],"MMM"))</f>
        <v>ENE</v>
      </c>
      <c r="O31" s="11">
        <v>202124110024871</v>
      </c>
      <c r="P31" s="20">
        <v>44204</v>
      </c>
      <c r="Q31" s="20" t="str">
        <f>UPPER(TEXT(Tabla1[[#This Row],[FECHA RADICADO ENTRADA]],"MMM"))</f>
        <v>ENE</v>
      </c>
      <c r="R31" s="10">
        <f t="shared" si="0"/>
        <v>-2</v>
      </c>
      <c r="S31" s="10" t="s">
        <v>2145</v>
      </c>
      <c r="T31" s="10" t="s">
        <v>2167</v>
      </c>
      <c r="U31" s="10" t="s">
        <v>2164</v>
      </c>
      <c r="V31" s="20" t="s">
        <v>2164</v>
      </c>
      <c r="W31" s="10" t="s">
        <v>63</v>
      </c>
      <c r="X31" s="10">
        <v>0</v>
      </c>
      <c r="Y31" s="11">
        <f>IFERROR(INT(Tabla1[[#This Row],[CANTIDAD UND FARMACEUTICAS]]/(VLOOKUP(Tabla1[[#This Row],[MEDICAMENTO]],TAB_REF!$K$3:$L$27,2,0))),"")</f>
        <v>0</v>
      </c>
      <c r="Z31" s="10" t="str">
        <f>IFERROR(VLOOKUP(Tabla1[[#This Row],[MEDICAMENTO]],TAB_REF!$B$3:$F$27,2,0), "")</f>
        <v xml:space="preserve">Morfina HCl </v>
      </c>
      <c r="AA31" s="10" t="str">
        <f>IFERROR(VLOOKUP(Tabla1[[#This Row],[MEDICAMENTO]],TAB_REF!$B$3:$F$27,3,0), "")</f>
        <v xml:space="preserve">10 mg/mL </v>
      </c>
      <c r="AB31" s="10" t="str">
        <f>IFERROR(VLOOKUP(Tabla1[[#This Row],[MEDICAMENTO]],TAB_REF!$B$3:$F$27,4,0), "")</f>
        <v>Solución Inyectable</v>
      </c>
      <c r="AC31" s="10" t="str">
        <f>IFERROR(VLOOKUP(Tabla1[[#This Row],[MEDICAMENTO]],TAB_REF!$B$3:$F$27,5,0), "")</f>
        <v>Caja x 10 unidades</v>
      </c>
      <c r="AD31" s="10" t="str">
        <f>IFERROR(VLOOKUP(Tabla1[[#This Row],[CANTIDAD UND COMERCIALES]],TAB_REF!$H$3:$I$1003,2,0)&amp;" ("&amp;Tabla1[[#This Row],[CANTIDAD UND COMERCIALES]]&amp;")"&amp;"_"&amp;Tabla1[[#This Row],[CANTIDAD]],"")</f>
        <v/>
      </c>
      <c r="AE31" s="31" t="e">
        <f>CONCATENATE([1]!Tabla1[[#This Row],[NOMBRE MED.]],[1]!Tabla1[[#This Row],[CONCENTRACION]],[1]!Tabla1[[#This Row],[FORMA FARMACEUTICA]])</f>
        <v>#REF!</v>
      </c>
    </row>
    <row r="32" spans="2:31" x14ac:dyDescent="0.25">
      <c r="B32" s="10">
        <v>11</v>
      </c>
      <c r="C32" s="10" t="s">
        <v>2168</v>
      </c>
      <c r="D32" s="10" t="s">
        <v>2169</v>
      </c>
      <c r="E32" s="10" t="s">
        <v>2170</v>
      </c>
      <c r="F32" s="10" t="s">
        <v>2171</v>
      </c>
      <c r="G32" s="10" t="s">
        <v>2172</v>
      </c>
      <c r="H32" s="10" t="s">
        <v>2199</v>
      </c>
      <c r="I32" s="10" t="s">
        <v>2107</v>
      </c>
      <c r="J32" s="10" t="s">
        <v>1212</v>
      </c>
      <c r="K32" s="10" t="s">
        <v>2148</v>
      </c>
      <c r="L32" s="11">
        <v>202124100021082</v>
      </c>
      <c r="M32" s="20">
        <v>44202</v>
      </c>
      <c r="N32" s="20" t="str">
        <f>UPPER(TEXT(Tabla1[[#This Row],[FECHA RADICADO ENTRADA]],"MMM"))</f>
        <v>ENE</v>
      </c>
      <c r="O32" s="11">
        <v>202124110024891</v>
      </c>
      <c r="P32" s="20">
        <v>44204</v>
      </c>
      <c r="Q32" s="20" t="str">
        <f>UPPER(TEXT(Tabla1[[#This Row],[FECHA RADICADO ENTRADA]],"MMM"))</f>
        <v>ENE</v>
      </c>
      <c r="R32" s="10">
        <f t="shared" si="0"/>
        <v>-2</v>
      </c>
      <c r="S32" s="10" t="s">
        <v>2145</v>
      </c>
      <c r="T32" s="10" t="s">
        <v>2200</v>
      </c>
      <c r="U32" s="10" t="s">
        <v>2201</v>
      </c>
      <c r="V32" s="20">
        <v>44119</v>
      </c>
      <c r="W32" s="10" t="s">
        <v>48</v>
      </c>
      <c r="X32" s="10">
        <v>0</v>
      </c>
      <c r="Y32" s="11">
        <f>IFERROR(INT(Tabla1[[#This Row],[CANTIDAD UND FARMACEUTICAS]]/(VLOOKUP(Tabla1[[#This Row],[MEDICAMENTO]],TAB_REF!$K$3:$L$27,2,0))),"")</f>
        <v>0</v>
      </c>
      <c r="Z32" s="10" t="str">
        <f>IFERROR(VLOOKUP(Tabla1[[#This Row],[MEDICAMENTO]],TAB_REF!$B$3:$F$27,2,0), "")</f>
        <v xml:space="preserve">Metilfenidato HCl </v>
      </c>
      <c r="AA32" s="10" t="str">
        <f>IFERROR(VLOOKUP(Tabla1[[#This Row],[MEDICAMENTO]],TAB_REF!$B$3:$F$27,3,0), "")</f>
        <v xml:space="preserve">10 mg </v>
      </c>
      <c r="AB32" s="10" t="str">
        <f>IFERROR(VLOOKUP(Tabla1[[#This Row],[MEDICAMENTO]],TAB_REF!$B$3:$F$27,4,0), "")</f>
        <v>Comprimidos</v>
      </c>
      <c r="AC32" s="10" t="str">
        <f>IFERROR(VLOOKUP(Tabla1[[#This Row],[MEDICAMENTO]],TAB_REF!$B$3:$F$27,5,0), "")</f>
        <v>Caja x 30 unidades</v>
      </c>
      <c r="AD32" s="10" t="str">
        <f>IFERROR(VLOOKUP(Tabla1[[#This Row],[CANTIDAD UND COMERCIALES]],TAB_REF!$H$3:$I$1003,2,0)&amp;" ("&amp;Tabla1[[#This Row],[CANTIDAD UND COMERCIALES]]&amp;")"&amp;"_"&amp;Tabla1[[#This Row],[CANTIDAD]],"")</f>
        <v/>
      </c>
      <c r="AE32" s="31" t="e">
        <f>CONCATENATE([1]!Tabla1[[#This Row],[NOMBRE MED.]],[1]!Tabla1[[#This Row],[CONCENTRACION]],[1]!Tabla1[[#This Row],[FORMA FARMACEUTICA]])</f>
        <v>#REF!</v>
      </c>
    </row>
    <row r="33" spans="2:31" x14ac:dyDescent="0.25">
      <c r="B33" s="10">
        <v>12</v>
      </c>
      <c r="C33" s="10" t="s">
        <v>2202</v>
      </c>
      <c r="D33" s="10" t="s">
        <v>2203</v>
      </c>
      <c r="E33" s="10" t="s">
        <v>2204</v>
      </c>
      <c r="F33" s="10" t="s">
        <v>2205</v>
      </c>
      <c r="G33" s="10" t="s">
        <v>2206</v>
      </c>
      <c r="H33" s="10" t="s">
        <v>2207</v>
      </c>
      <c r="I33" s="10" t="s">
        <v>2129</v>
      </c>
      <c r="J33" s="10" t="s">
        <v>2011</v>
      </c>
      <c r="K33" s="10" t="s">
        <v>2148</v>
      </c>
      <c r="L33" s="11">
        <v>202124100022772</v>
      </c>
      <c r="M33" s="20">
        <v>44203</v>
      </c>
      <c r="N33" s="20" t="str">
        <f>UPPER(TEXT(Tabla1[[#This Row],[FECHA RADICADO ENTRADA]],"MMM"))</f>
        <v>ENE</v>
      </c>
      <c r="O33" s="11">
        <v>202124110038141</v>
      </c>
      <c r="P33" s="20">
        <v>44209</v>
      </c>
      <c r="Q33" s="20" t="str">
        <f>UPPER(TEXT(Tabla1[[#This Row],[FECHA RADICADO ENTRADA]],"MMM"))</f>
        <v>ENE</v>
      </c>
      <c r="R33" s="10">
        <f t="shared" si="0"/>
        <v>-6</v>
      </c>
      <c r="S33" s="10" t="s">
        <v>2154</v>
      </c>
      <c r="U33" s="10" t="s">
        <v>2208</v>
      </c>
      <c r="V33" s="20">
        <v>43592</v>
      </c>
      <c r="W33" s="10" t="s">
        <v>32</v>
      </c>
      <c r="X33" s="10">
        <v>11730</v>
      </c>
      <c r="Y33" s="11">
        <f>IFERROR(INT(Tabla1[[#This Row],[CANTIDAD UND FARMACEUTICAS]]/(VLOOKUP(Tabla1[[#This Row],[MEDICAMENTO]],TAB_REF!$K$3:$L$27,2,0))),"")</f>
        <v>391</v>
      </c>
      <c r="Z33" s="10" t="str">
        <f>IFERROR(VLOOKUP(Tabla1[[#This Row],[MEDICAMENTO]],TAB_REF!$B$3:$F$27,2,0), "")</f>
        <v xml:space="preserve">Fenobarbital </v>
      </c>
      <c r="AA33" s="10" t="str">
        <f>IFERROR(VLOOKUP(Tabla1[[#This Row],[MEDICAMENTO]],TAB_REF!$B$3:$F$27,3,0), "")</f>
        <v xml:space="preserve">100 mg </v>
      </c>
      <c r="AB33" s="10" t="str">
        <f>IFERROR(VLOOKUP(Tabla1[[#This Row],[MEDICAMENTO]],TAB_REF!$B$3:$F$27,4,0), "")</f>
        <v>Tabletas</v>
      </c>
      <c r="AC33" s="10" t="str">
        <f>IFERROR(VLOOKUP(Tabla1[[#This Row],[MEDICAMENTO]],TAB_REF!$B$3:$F$27,5,0), "")</f>
        <v>Caja x 30 unidades</v>
      </c>
      <c r="AD33" s="10" t="str">
        <f>IFERROR(VLOOKUP(Tabla1[[#This Row],[CANTIDAD UND COMERCIALES]],TAB_REF!$H$3:$I$1003,2,0)&amp;" ("&amp;Tabla1[[#This Row],[CANTIDAD UND COMERCIALES]]&amp;")"&amp;"_"&amp;Tabla1[[#This Row],[CANTIDAD]],"")</f>
        <v>Trescientos Noventa Y Uno (391)_Caja x 30 unidades</v>
      </c>
      <c r="AE33" s="31" t="e">
        <f>CONCATENATE([1]!Tabla1[[#This Row],[NOMBRE MED.]],[1]!Tabla1[[#This Row],[CONCENTRACION]],[1]!Tabla1[[#This Row],[FORMA FARMACEUTICA]])</f>
        <v>#REF!</v>
      </c>
    </row>
    <row r="34" spans="2:31" x14ac:dyDescent="0.25">
      <c r="B34" s="10">
        <v>12</v>
      </c>
      <c r="C34" s="10" t="s">
        <v>2202</v>
      </c>
      <c r="D34" s="10" t="s">
        <v>2203</v>
      </c>
      <c r="E34" s="10" t="s">
        <v>2204</v>
      </c>
      <c r="F34" s="10" t="s">
        <v>2205</v>
      </c>
      <c r="G34" s="10" t="s">
        <v>2206</v>
      </c>
      <c r="H34" s="10" t="s">
        <v>2207</v>
      </c>
      <c r="I34" s="10" t="s">
        <v>2129</v>
      </c>
      <c r="J34" s="10" t="s">
        <v>2011</v>
      </c>
      <c r="K34" s="10" t="s">
        <v>2148</v>
      </c>
      <c r="L34" s="11">
        <v>202124100022772</v>
      </c>
      <c r="M34" s="20">
        <v>44203</v>
      </c>
      <c r="N34" s="20" t="str">
        <f>UPPER(TEXT(Tabla1[[#This Row],[FECHA RADICADO ENTRADA]],"MMM"))</f>
        <v>ENE</v>
      </c>
      <c r="O34" s="11">
        <v>202124110038141</v>
      </c>
      <c r="P34" s="20">
        <v>44209</v>
      </c>
      <c r="Q34" s="20" t="str">
        <f>UPPER(TEXT(Tabla1[[#This Row],[FECHA RADICADO ENTRADA]],"MMM"))</f>
        <v>ENE</v>
      </c>
      <c r="R34" s="10">
        <f t="shared" si="0"/>
        <v>-6</v>
      </c>
      <c r="S34" s="10" t="s">
        <v>2154</v>
      </c>
      <c r="U34" s="10" t="s">
        <v>2208</v>
      </c>
      <c r="V34" s="20">
        <v>43592</v>
      </c>
      <c r="W34" s="10" t="s">
        <v>38</v>
      </c>
      <c r="X34" s="10">
        <v>500</v>
      </c>
      <c r="Y34" s="11">
        <f>IFERROR(INT(Tabla1[[#This Row],[CANTIDAD UND FARMACEUTICAS]]/(VLOOKUP(Tabla1[[#This Row],[MEDICAMENTO]],TAB_REF!$K$3:$L$27,2,0))),"")</f>
        <v>25</v>
      </c>
      <c r="Z34" s="10" t="str">
        <f>IFERROR(VLOOKUP(Tabla1[[#This Row],[MEDICAMENTO]],TAB_REF!$B$3:$F$27,2,0), "")</f>
        <v xml:space="preserve">Hidromorfona HCl </v>
      </c>
      <c r="AA34" s="10" t="str">
        <f>IFERROR(VLOOKUP(Tabla1[[#This Row],[MEDICAMENTO]],TAB_REF!$B$3:$F$27,3,0), "")</f>
        <v xml:space="preserve">2,5 mg </v>
      </c>
      <c r="AB34" s="10" t="str">
        <f>IFERROR(VLOOKUP(Tabla1[[#This Row],[MEDICAMENTO]],TAB_REF!$B$3:$F$27,4,0), "")</f>
        <v>Tabletas</v>
      </c>
      <c r="AC34" s="10" t="str">
        <f>IFERROR(VLOOKUP(Tabla1[[#This Row],[MEDICAMENTO]],TAB_REF!$B$3:$F$27,5,0), "")</f>
        <v>Caja x 20 unidades</v>
      </c>
      <c r="AD34" s="10" t="str">
        <f>IFERROR(VLOOKUP(Tabla1[[#This Row],[CANTIDAD UND COMERCIALES]],TAB_REF!$H$3:$I$1003,2,0)&amp;" ("&amp;Tabla1[[#This Row],[CANTIDAD UND COMERCIALES]]&amp;")"&amp;"_"&amp;Tabla1[[#This Row],[CANTIDAD]],"")</f>
        <v>Veinticinco (25)_Caja x 20 unidades</v>
      </c>
      <c r="AE34" s="31" t="e">
        <f>CONCATENATE([1]!Tabla1[[#This Row],[NOMBRE MED.]],[1]!Tabla1[[#This Row],[CONCENTRACION]],[1]!Tabla1[[#This Row],[FORMA FARMACEUTICA]])</f>
        <v>#REF!</v>
      </c>
    </row>
    <row r="35" spans="2:31" x14ac:dyDescent="0.25">
      <c r="B35" s="10">
        <v>12</v>
      </c>
      <c r="C35" s="10" t="s">
        <v>2202</v>
      </c>
      <c r="D35" s="10" t="s">
        <v>2203</v>
      </c>
      <c r="E35" s="10" t="s">
        <v>2204</v>
      </c>
      <c r="F35" s="10" t="s">
        <v>2205</v>
      </c>
      <c r="G35" s="10" t="s">
        <v>2206</v>
      </c>
      <c r="H35" s="10" t="s">
        <v>2207</v>
      </c>
      <c r="I35" s="10" t="s">
        <v>2129</v>
      </c>
      <c r="J35" s="10" t="s">
        <v>2011</v>
      </c>
      <c r="K35" s="10" t="s">
        <v>2148</v>
      </c>
      <c r="L35" s="11">
        <v>202124100022772</v>
      </c>
      <c r="M35" s="20">
        <v>44203</v>
      </c>
      <c r="N35" s="20" t="str">
        <f>UPPER(TEXT(Tabla1[[#This Row],[FECHA RADICADO ENTRADA]],"MMM"))</f>
        <v>ENE</v>
      </c>
      <c r="O35" s="11">
        <v>202124110038141</v>
      </c>
      <c r="P35" s="20">
        <v>44209</v>
      </c>
      <c r="Q35" s="20" t="str">
        <f>UPPER(TEXT(Tabla1[[#This Row],[FECHA RADICADO ENTRADA]],"MMM"))</f>
        <v>ENE</v>
      </c>
      <c r="R35" s="10">
        <f t="shared" si="0"/>
        <v>-6</v>
      </c>
      <c r="S35" s="10" t="s">
        <v>2154</v>
      </c>
      <c r="U35" s="10" t="s">
        <v>2208</v>
      </c>
      <c r="V35" s="20">
        <v>43592</v>
      </c>
      <c r="W35" s="10" t="s">
        <v>63</v>
      </c>
      <c r="X35" s="10">
        <v>700</v>
      </c>
      <c r="Y35" s="11">
        <f>IFERROR(INT(Tabla1[[#This Row],[CANTIDAD UND FARMACEUTICAS]]/(VLOOKUP(Tabla1[[#This Row],[MEDICAMENTO]],TAB_REF!$K$3:$L$27,2,0))),"")</f>
        <v>70</v>
      </c>
      <c r="Z35" s="10" t="str">
        <f>IFERROR(VLOOKUP(Tabla1[[#This Row],[MEDICAMENTO]],TAB_REF!$B$3:$F$27,2,0), "")</f>
        <v xml:space="preserve">Morfina HCl </v>
      </c>
      <c r="AA35" s="10" t="str">
        <f>IFERROR(VLOOKUP(Tabla1[[#This Row],[MEDICAMENTO]],TAB_REF!$B$3:$F$27,3,0), "")</f>
        <v xml:space="preserve">10 mg/mL </v>
      </c>
      <c r="AB35" s="10" t="str">
        <f>IFERROR(VLOOKUP(Tabla1[[#This Row],[MEDICAMENTO]],TAB_REF!$B$3:$F$27,4,0), "")</f>
        <v>Solución Inyectable</v>
      </c>
      <c r="AC35" s="10" t="str">
        <f>IFERROR(VLOOKUP(Tabla1[[#This Row],[MEDICAMENTO]],TAB_REF!$B$3:$F$27,5,0), "")</f>
        <v>Caja x 10 unidades</v>
      </c>
      <c r="AD35" s="10" t="str">
        <f>IFERROR(VLOOKUP(Tabla1[[#This Row],[CANTIDAD UND COMERCIALES]],TAB_REF!$H$3:$I$1003,2,0)&amp;" ("&amp;Tabla1[[#This Row],[CANTIDAD UND COMERCIALES]]&amp;")"&amp;"_"&amp;Tabla1[[#This Row],[CANTIDAD]],"")</f>
        <v>Setenta (70)_Caja x 10 unidades</v>
      </c>
      <c r="AE35" s="31" t="e">
        <f>CONCATENATE([1]!Tabla1[[#This Row],[NOMBRE MED.]],[1]!Tabla1[[#This Row],[CONCENTRACION]],[1]!Tabla1[[#This Row],[FORMA FARMACEUTICA]])</f>
        <v>#REF!</v>
      </c>
    </row>
    <row r="36" spans="2:31" x14ac:dyDescent="0.25">
      <c r="B36" s="10">
        <v>12</v>
      </c>
      <c r="C36" s="10" t="s">
        <v>2202</v>
      </c>
      <c r="D36" s="10" t="s">
        <v>2203</v>
      </c>
      <c r="E36" s="10" t="s">
        <v>2204</v>
      </c>
      <c r="F36" s="10" t="s">
        <v>2205</v>
      </c>
      <c r="G36" s="10" t="s">
        <v>2206</v>
      </c>
      <c r="H36" s="10" t="s">
        <v>2207</v>
      </c>
      <c r="I36" s="10" t="s">
        <v>2129</v>
      </c>
      <c r="J36" s="10" t="s">
        <v>2011</v>
      </c>
      <c r="K36" s="10" t="s">
        <v>2148</v>
      </c>
      <c r="L36" s="11">
        <v>202124100022772</v>
      </c>
      <c r="M36" s="20">
        <v>44203</v>
      </c>
      <c r="N36" s="20" t="str">
        <f>UPPER(TEXT(Tabla1[[#This Row],[FECHA RADICADO ENTRADA]],"MMM"))</f>
        <v>ENE</v>
      </c>
      <c r="O36" s="11">
        <v>202124110038141</v>
      </c>
      <c r="P36" s="20">
        <v>44209</v>
      </c>
      <c r="Q36" s="20" t="str">
        <f>UPPER(TEXT(Tabla1[[#This Row],[FECHA RADICADO ENTRADA]],"MMM"))</f>
        <v>ENE</v>
      </c>
      <c r="R36" s="10">
        <f t="shared" si="0"/>
        <v>-6</v>
      </c>
      <c r="S36" s="10" t="s">
        <v>2145</v>
      </c>
      <c r="T36" s="10" t="s">
        <v>2209</v>
      </c>
      <c r="U36" s="10" t="s">
        <v>2208</v>
      </c>
      <c r="V36" s="20">
        <v>43592</v>
      </c>
      <c r="W36" s="10" t="s">
        <v>61</v>
      </c>
      <c r="X36" s="10">
        <v>0</v>
      </c>
      <c r="Y36" s="11">
        <f>IFERROR(INT(Tabla1[[#This Row],[CANTIDAD UND FARMACEUTICAS]]/(VLOOKUP(Tabla1[[#This Row],[MEDICAMENTO]],TAB_REF!$K$3:$L$27,2,0))),"")</f>
        <v>0</v>
      </c>
      <c r="Z36" s="10" t="str">
        <f>IFERROR(VLOOKUP(Tabla1[[#This Row],[MEDICAMENTO]],TAB_REF!$B$3:$F$27,2,0), "")</f>
        <v xml:space="preserve">Primidona </v>
      </c>
      <c r="AA36" s="10" t="str">
        <f>IFERROR(VLOOKUP(Tabla1[[#This Row],[MEDICAMENTO]],TAB_REF!$B$3:$F$27,3,0), "")</f>
        <v xml:space="preserve">250 mg </v>
      </c>
      <c r="AB36" s="10" t="str">
        <f>IFERROR(VLOOKUP(Tabla1[[#This Row],[MEDICAMENTO]],TAB_REF!$B$3:$F$27,4,0), "")</f>
        <v>Tabletas</v>
      </c>
      <c r="AC36" s="10" t="str">
        <f>IFERROR(VLOOKUP(Tabla1[[#This Row],[MEDICAMENTO]],TAB_REF!$B$3:$F$27,5,0), "")</f>
        <v>Caja X 50 unidades c/u</v>
      </c>
      <c r="AD36" s="10" t="str">
        <f>IFERROR(VLOOKUP(Tabla1[[#This Row],[CANTIDAD UND COMERCIALES]],TAB_REF!$H$3:$I$1003,2,0)&amp;" ("&amp;Tabla1[[#This Row],[CANTIDAD UND COMERCIALES]]&amp;")"&amp;"_"&amp;Tabla1[[#This Row],[CANTIDAD]],"")</f>
        <v/>
      </c>
      <c r="AE36" s="31" t="e">
        <f>CONCATENATE([1]!Tabla1[[#This Row],[NOMBRE MED.]],[1]!Tabla1[[#This Row],[CONCENTRACION]],[1]!Tabla1[[#This Row],[FORMA FARMACEUTICA]])</f>
        <v>#REF!</v>
      </c>
    </row>
    <row r="37" spans="2:31" x14ac:dyDescent="0.25">
      <c r="B37" s="10">
        <v>12</v>
      </c>
      <c r="C37" s="10" t="s">
        <v>2202</v>
      </c>
      <c r="D37" s="10" t="s">
        <v>2203</v>
      </c>
      <c r="E37" s="10" t="s">
        <v>2204</v>
      </c>
      <c r="F37" s="10" t="s">
        <v>2205</v>
      </c>
      <c r="G37" s="10" t="s">
        <v>2206</v>
      </c>
      <c r="H37" s="10" t="s">
        <v>2207</v>
      </c>
      <c r="I37" s="10" t="s">
        <v>2129</v>
      </c>
      <c r="J37" s="10" t="s">
        <v>2011</v>
      </c>
      <c r="K37" s="10" t="s">
        <v>2148</v>
      </c>
      <c r="L37" s="11">
        <v>202124100022772</v>
      </c>
      <c r="M37" s="20">
        <v>44203</v>
      </c>
      <c r="N37" s="20" t="str">
        <f>UPPER(TEXT(Tabla1[[#This Row],[FECHA RADICADO ENTRADA]],"MMM"))</f>
        <v>ENE</v>
      </c>
      <c r="O37" s="11">
        <v>202124110038141</v>
      </c>
      <c r="P37" s="20">
        <v>44209</v>
      </c>
      <c r="Q37" s="20" t="str">
        <f>UPPER(TEXT(Tabla1[[#This Row],[FECHA RADICADO ENTRADA]],"MMM"))</f>
        <v>ENE</v>
      </c>
      <c r="R37" s="10">
        <f t="shared" si="0"/>
        <v>-6</v>
      </c>
      <c r="S37" s="10" t="s">
        <v>2154</v>
      </c>
      <c r="U37" s="10" t="s">
        <v>2208</v>
      </c>
      <c r="V37" s="20">
        <v>43592</v>
      </c>
      <c r="W37" s="10" t="s">
        <v>48</v>
      </c>
      <c r="X37" s="10">
        <v>750</v>
      </c>
      <c r="Y37" s="11">
        <f>IFERROR(INT(Tabla1[[#This Row],[CANTIDAD UND FARMACEUTICAS]]/(VLOOKUP(Tabla1[[#This Row],[MEDICAMENTO]],TAB_REF!$K$3:$L$27,2,0))),"")</f>
        <v>25</v>
      </c>
      <c r="Z37" s="10" t="str">
        <f>IFERROR(VLOOKUP(Tabla1[[#This Row],[MEDICAMENTO]],TAB_REF!$B$3:$F$27,2,0), "")</f>
        <v xml:space="preserve">Metilfenidato HCl </v>
      </c>
      <c r="AA37" s="10" t="str">
        <f>IFERROR(VLOOKUP(Tabla1[[#This Row],[MEDICAMENTO]],TAB_REF!$B$3:$F$27,3,0), "")</f>
        <v xml:space="preserve">10 mg </v>
      </c>
      <c r="AB37" s="10" t="str">
        <f>IFERROR(VLOOKUP(Tabla1[[#This Row],[MEDICAMENTO]],TAB_REF!$B$3:$F$27,4,0), "")</f>
        <v>Comprimidos</v>
      </c>
      <c r="AC37" s="10" t="str">
        <f>IFERROR(VLOOKUP(Tabla1[[#This Row],[MEDICAMENTO]],TAB_REF!$B$3:$F$27,5,0), "")</f>
        <v>Caja x 30 unidades</v>
      </c>
      <c r="AD37" s="10" t="str">
        <f>IFERROR(VLOOKUP(Tabla1[[#This Row],[CANTIDAD UND COMERCIALES]],TAB_REF!$H$3:$I$1003,2,0)&amp;" ("&amp;Tabla1[[#This Row],[CANTIDAD UND COMERCIALES]]&amp;")"&amp;"_"&amp;Tabla1[[#This Row],[CANTIDAD]],"")</f>
        <v>Veinticinco (25)_Caja x 30 unidades</v>
      </c>
      <c r="AE37" s="31" t="e">
        <f>CONCATENATE([1]!Tabla1[[#This Row],[NOMBRE MED.]],[1]!Tabla1[[#This Row],[CONCENTRACION]],[1]!Tabla1[[#This Row],[FORMA FARMACEUTICA]])</f>
        <v>#REF!</v>
      </c>
    </row>
    <row r="38" spans="2:31" x14ac:dyDescent="0.25">
      <c r="B38" s="10">
        <v>13</v>
      </c>
      <c r="C38" s="10" t="s">
        <v>2210</v>
      </c>
      <c r="D38" s="10" t="s">
        <v>2162</v>
      </c>
      <c r="E38" s="10" t="s">
        <v>2211</v>
      </c>
      <c r="F38" s="10" t="s">
        <v>2212</v>
      </c>
      <c r="G38" s="10" t="s">
        <v>2213</v>
      </c>
      <c r="H38" s="10" t="s">
        <v>2214</v>
      </c>
      <c r="I38" s="10" t="s">
        <v>2129</v>
      </c>
      <c r="J38" s="10" t="s">
        <v>2011</v>
      </c>
      <c r="K38" s="10" t="s">
        <v>2148</v>
      </c>
      <c r="L38" s="11">
        <v>202124100026612</v>
      </c>
      <c r="M38" s="20">
        <v>44204</v>
      </c>
      <c r="N38" s="20" t="str">
        <f>UPPER(TEXT(Tabla1[[#This Row],[FECHA RADICADO ENTRADA]],"MMM"))</f>
        <v>ENE</v>
      </c>
      <c r="O38" s="11">
        <v>202124110038151</v>
      </c>
      <c r="P38" s="20">
        <v>44209</v>
      </c>
      <c r="Q38" s="20" t="str">
        <f>UPPER(TEXT(Tabla1[[#This Row],[FECHA RADICADO ENTRADA]],"MMM"))</f>
        <v>ENE</v>
      </c>
      <c r="R38" s="10">
        <f t="shared" si="0"/>
        <v>-5</v>
      </c>
      <c r="S38" s="10" t="s">
        <v>2154</v>
      </c>
      <c r="U38" s="10" t="s">
        <v>2216</v>
      </c>
      <c r="V38" s="20">
        <v>43664</v>
      </c>
      <c r="W38" s="10" t="s">
        <v>28</v>
      </c>
      <c r="X38" s="10">
        <v>5</v>
      </c>
      <c r="Y38" s="11">
        <f>IFERROR(INT(Tabla1[[#This Row],[CANTIDAD UND FARMACEUTICAS]]/(VLOOKUP(Tabla1[[#This Row],[MEDICAMENTO]],TAB_REF!$K$3:$L$27,2,0))),"")</f>
        <v>5</v>
      </c>
      <c r="Z38" s="10" t="str">
        <f>IFERROR(VLOOKUP(Tabla1[[#This Row],[MEDICAMENTO]],TAB_REF!$B$3:$F$27,2,0), "")</f>
        <v xml:space="preserve">Fenobarbital </v>
      </c>
      <c r="AA38" s="10" t="str">
        <f>IFERROR(VLOOKUP(Tabla1[[#This Row],[MEDICAMENTO]],TAB_REF!$B$3:$F$27,3,0), "")</f>
        <v xml:space="preserve">0,4%. </v>
      </c>
      <c r="AB38" s="10" t="str">
        <f>IFERROR(VLOOKUP(Tabla1[[#This Row],[MEDICAMENTO]],TAB_REF!$B$3:$F$27,4,0), "")</f>
        <v>Solución Oral</v>
      </c>
      <c r="AC38" s="10" t="str">
        <f>IFERROR(VLOOKUP(Tabla1[[#This Row],[MEDICAMENTO]],TAB_REF!$B$3:$F$27,5,0), "")</f>
        <v>Frasco x 120 mL</v>
      </c>
      <c r="AD38" s="10" t="str">
        <f>IFERROR(VLOOKUP(Tabla1[[#This Row],[CANTIDAD UND COMERCIALES]],TAB_REF!$H$3:$I$1003,2,0)&amp;" ("&amp;Tabla1[[#This Row],[CANTIDAD UND COMERCIALES]]&amp;")"&amp;"_"&amp;Tabla1[[#This Row],[CANTIDAD]],"")</f>
        <v>Cinco (5)_Frasco x 120 mL</v>
      </c>
      <c r="AE38" s="31" t="e">
        <f>CONCATENATE([1]!Tabla1[[#This Row],[NOMBRE MED.]],[1]!Tabla1[[#This Row],[CONCENTRACION]],[1]!Tabla1[[#This Row],[FORMA FARMACEUTICA]])</f>
        <v>#REF!</v>
      </c>
    </row>
    <row r="39" spans="2:31" x14ac:dyDescent="0.25">
      <c r="B39" s="10">
        <v>13</v>
      </c>
      <c r="C39" s="10" t="s">
        <v>2210</v>
      </c>
      <c r="D39" s="10" t="s">
        <v>2162</v>
      </c>
      <c r="E39" s="10" t="s">
        <v>2211</v>
      </c>
      <c r="F39" s="10" t="s">
        <v>2212</v>
      </c>
      <c r="G39" s="10" t="s">
        <v>2213</v>
      </c>
      <c r="H39" s="10" t="s">
        <v>2215</v>
      </c>
      <c r="I39" s="10" t="s">
        <v>2129</v>
      </c>
      <c r="J39" s="10" t="s">
        <v>2011</v>
      </c>
      <c r="K39" s="10" t="s">
        <v>2148</v>
      </c>
      <c r="L39" s="11">
        <v>202124100026612</v>
      </c>
      <c r="M39" s="20">
        <v>44204</v>
      </c>
      <c r="N39" s="20" t="str">
        <f>UPPER(TEXT(Tabla1[[#This Row],[FECHA RADICADO ENTRADA]],"MMM"))</f>
        <v>ENE</v>
      </c>
      <c r="O39" s="11">
        <v>202124110038151</v>
      </c>
      <c r="P39" s="20">
        <v>44209</v>
      </c>
      <c r="Q39" s="20" t="str">
        <f>UPPER(TEXT(Tabla1[[#This Row],[FECHA RADICADO ENTRADA]],"MMM"))</f>
        <v>ENE</v>
      </c>
      <c r="R39" s="10">
        <f t="shared" si="0"/>
        <v>-5</v>
      </c>
      <c r="S39" s="10" t="s">
        <v>2154</v>
      </c>
      <c r="U39" s="10" t="s">
        <v>2216</v>
      </c>
      <c r="V39" s="20">
        <v>43664</v>
      </c>
      <c r="W39" s="10" t="s">
        <v>36</v>
      </c>
      <c r="X39" s="10">
        <v>50</v>
      </c>
      <c r="Y39" s="11">
        <f>IFERROR(INT(Tabla1[[#This Row],[CANTIDAD UND FARMACEUTICAS]]/(VLOOKUP(Tabla1[[#This Row],[MEDICAMENTO]],TAB_REF!$K$3:$L$27,2,0))),"")</f>
        <v>5</v>
      </c>
      <c r="Z39" s="10" t="str">
        <f>IFERROR(VLOOKUP(Tabla1[[#This Row],[MEDICAMENTO]],TAB_REF!$B$3:$F$27,2,0), "")</f>
        <v xml:space="preserve">Fenobarbital Sódico </v>
      </c>
      <c r="AA39" s="10" t="str">
        <f>IFERROR(VLOOKUP(Tabla1[[#This Row],[MEDICAMENTO]],TAB_REF!$B$3:$F$27,3,0), "")</f>
        <v xml:space="preserve">40 mg/mL </v>
      </c>
      <c r="AB39" s="10" t="str">
        <f>IFERROR(VLOOKUP(Tabla1[[#This Row],[MEDICAMENTO]],TAB_REF!$B$3:$F$27,4,0), "")</f>
        <v>Solución Inyectable</v>
      </c>
      <c r="AC39" s="10" t="str">
        <f>IFERROR(VLOOKUP(Tabla1[[#This Row],[MEDICAMENTO]],TAB_REF!$B$3:$F$27,5,0), "")</f>
        <v>Caja x 10 unidades</v>
      </c>
      <c r="AD39" s="10" t="str">
        <f>IFERROR(VLOOKUP(Tabla1[[#This Row],[CANTIDAD UND COMERCIALES]],TAB_REF!$H$3:$I$1003,2,0)&amp;" ("&amp;Tabla1[[#This Row],[CANTIDAD UND COMERCIALES]]&amp;")"&amp;"_"&amp;Tabla1[[#This Row],[CANTIDAD]],"")</f>
        <v>Cinco (5)_Caja x 10 unidades</v>
      </c>
      <c r="AE39" s="31" t="e">
        <f>CONCATENATE([1]!Tabla1[[#This Row],[NOMBRE MED.]],[1]!Tabla1[[#This Row],[CONCENTRACION]],[1]!Tabla1[[#This Row],[FORMA FARMACEUTICA]])</f>
        <v>#REF!</v>
      </c>
    </row>
    <row r="40" spans="2:31" x14ac:dyDescent="0.25">
      <c r="B40" s="10">
        <v>14</v>
      </c>
      <c r="C40" s="10" t="s">
        <v>2217</v>
      </c>
      <c r="D40" s="10" t="s">
        <v>2162</v>
      </c>
      <c r="E40" s="10" t="s">
        <v>2218</v>
      </c>
      <c r="F40" s="10">
        <v>819000413</v>
      </c>
      <c r="G40" s="10" t="s">
        <v>2219</v>
      </c>
      <c r="H40" s="10" t="s">
        <v>2220</v>
      </c>
      <c r="I40" s="10" t="s">
        <v>2122</v>
      </c>
      <c r="J40" s="10" t="s">
        <v>1742</v>
      </c>
      <c r="K40" s="10" t="s">
        <v>2148</v>
      </c>
      <c r="L40" s="11">
        <v>202124100045982</v>
      </c>
      <c r="M40" s="20">
        <v>44209</v>
      </c>
      <c r="N40" s="20" t="str">
        <f>UPPER(TEXT(Tabla1[[#This Row],[FECHA RADICADO ENTRADA]],"MMM"))</f>
        <v>ENE</v>
      </c>
      <c r="O40" s="11">
        <v>202124110041591</v>
      </c>
      <c r="P40" s="20">
        <v>44209</v>
      </c>
      <c r="Q40" s="20" t="str">
        <f>UPPER(TEXT(Tabla1[[#This Row],[FECHA RADICADO ENTRADA]],"MMM"))</f>
        <v>ENE</v>
      </c>
      <c r="R40" s="10">
        <f t="shared" si="0"/>
        <v>0</v>
      </c>
      <c r="S40" s="10" t="s">
        <v>2145</v>
      </c>
      <c r="T40" s="10" t="s">
        <v>2167</v>
      </c>
      <c r="U40" s="10" t="s">
        <v>2164</v>
      </c>
      <c r="V40" s="20" t="s">
        <v>2164</v>
      </c>
      <c r="W40" s="10" t="s">
        <v>32</v>
      </c>
      <c r="X40" s="10">
        <v>0</v>
      </c>
      <c r="Y40" s="11">
        <f>IFERROR(INT(Tabla1[[#This Row],[CANTIDAD UND FARMACEUTICAS]]/(VLOOKUP(Tabla1[[#This Row],[MEDICAMENTO]],TAB_REF!$K$3:$L$27,2,0))),"")</f>
        <v>0</v>
      </c>
      <c r="Z40" s="10" t="str">
        <f>IFERROR(VLOOKUP(Tabla1[[#This Row],[MEDICAMENTO]],TAB_REF!$B$3:$F$27,2,0), "")</f>
        <v xml:space="preserve">Fenobarbital </v>
      </c>
      <c r="AA40" s="10" t="str">
        <f>IFERROR(VLOOKUP(Tabla1[[#This Row],[MEDICAMENTO]],TAB_REF!$B$3:$F$27,3,0), "")</f>
        <v xml:space="preserve">100 mg </v>
      </c>
      <c r="AB40" s="10" t="str">
        <f>IFERROR(VLOOKUP(Tabla1[[#This Row],[MEDICAMENTO]],TAB_REF!$B$3:$F$27,4,0), "")</f>
        <v>Tabletas</v>
      </c>
      <c r="AC40" s="10" t="str">
        <f>IFERROR(VLOOKUP(Tabla1[[#This Row],[MEDICAMENTO]],TAB_REF!$B$3:$F$27,5,0), "")</f>
        <v>Caja x 30 unidades</v>
      </c>
      <c r="AD40" s="10" t="str">
        <f>IFERROR(VLOOKUP(Tabla1[[#This Row],[CANTIDAD UND COMERCIALES]],TAB_REF!$H$3:$I$1003,2,0)&amp;" ("&amp;Tabla1[[#This Row],[CANTIDAD UND COMERCIALES]]&amp;")"&amp;"_"&amp;Tabla1[[#This Row],[CANTIDAD]],"")</f>
        <v/>
      </c>
      <c r="AE40" s="31" t="e">
        <f>CONCATENATE([1]!Tabla1[[#This Row],[NOMBRE MED.]],[1]!Tabla1[[#This Row],[CONCENTRACION]],[1]!Tabla1[[#This Row],[FORMA FARMACEUTICA]])</f>
        <v>#REF!</v>
      </c>
    </row>
    <row r="41" spans="2:31" x14ac:dyDescent="0.25">
      <c r="B41" s="10">
        <v>14</v>
      </c>
      <c r="C41" s="10" t="s">
        <v>2217</v>
      </c>
      <c r="D41" s="10" t="s">
        <v>2162</v>
      </c>
      <c r="E41" s="10" t="s">
        <v>2218</v>
      </c>
      <c r="F41" s="10">
        <v>819000413</v>
      </c>
      <c r="G41" s="10" t="s">
        <v>2219</v>
      </c>
      <c r="H41" s="10" t="s">
        <v>2221</v>
      </c>
      <c r="I41" s="10" t="s">
        <v>2122</v>
      </c>
      <c r="J41" s="10" t="s">
        <v>1742</v>
      </c>
      <c r="K41" s="10" t="s">
        <v>2148</v>
      </c>
      <c r="L41" s="11">
        <v>202124100045982</v>
      </c>
      <c r="M41" s="20">
        <v>44209</v>
      </c>
      <c r="N41" s="20" t="str">
        <f>UPPER(TEXT(Tabla1[[#This Row],[FECHA RADICADO ENTRADA]],"MMM"))</f>
        <v>ENE</v>
      </c>
      <c r="O41" s="11">
        <v>202124110041591</v>
      </c>
      <c r="P41" s="20">
        <v>44209</v>
      </c>
      <c r="Q41" s="20" t="str">
        <f>UPPER(TEXT(Tabla1[[#This Row],[FECHA RADICADO ENTRADA]],"MMM"))</f>
        <v>ENE</v>
      </c>
      <c r="R41" s="10">
        <f t="shared" si="0"/>
        <v>0</v>
      </c>
      <c r="S41" s="10" t="s">
        <v>2145</v>
      </c>
      <c r="T41" s="10" t="s">
        <v>2167</v>
      </c>
      <c r="U41" s="10" t="s">
        <v>2164</v>
      </c>
      <c r="V41" s="20" t="s">
        <v>2164</v>
      </c>
      <c r="W41" s="10" t="s">
        <v>63</v>
      </c>
      <c r="X41" s="10">
        <v>0</v>
      </c>
      <c r="Y41" s="11">
        <f>IFERROR(INT(Tabla1[[#This Row],[CANTIDAD UND FARMACEUTICAS]]/(VLOOKUP(Tabla1[[#This Row],[MEDICAMENTO]],TAB_REF!$K$3:$L$27,2,0))),"")</f>
        <v>0</v>
      </c>
      <c r="Z41" s="10" t="str">
        <f>IFERROR(VLOOKUP(Tabla1[[#This Row],[MEDICAMENTO]],TAB_REF!$B$3:$F$27,2,0), "")</f>
        <v xml:space="preserve">Morfina HCl </v>
      </c>
      <c r="AA41" s="10" t="str">
        <f>IFERROR(VLOOKUP(Tabla1[[#This Row],[MEDICAMENTO]],TAB_REF!$B$3:$F$27,3,0), "")</f>
        <v xml:space="preserve">10 mg/mL </v>
      </c>
      <c r="AB41" s="10" t="str">
        <f>IFERROR(VLOOKUP(Tabla1[[#This Row],[MEDICAMENTO]],TAB_REF!$B$3:$F$27,4,0), "")</f>
        <v>Solución Inyectable</v>
      </c>
      <c r="AC41" s="10" t="str">
        <f>IFERROR(VLOOKUP(Tabla1[[#This Row],[MEDICAMENTO]],TAB_REF!$B$3:$F$27,5,0), "")</f>
        <v>Caja x 10 unidades</v>
      </c>
      <c r="AD41" s="10" t="str">
        <f>IFERROR(VLOOKUP(Tabla1[[#This Row],[CANTIDAD UND COMERCIALES]],TAB_REF!$H$3:$I$1003,2,0)&amp;" ("&amp;Tabla1[[#This Row],[CANTIDAD UND COMERCIALES]]&amp;")"&amp;"_"&amp;Tabla1[[#This Row],[CANTIDAD]],"")</f>
        <v/>
      </c>
      <c r="AE41" s="31" t="e">
        <f>CONCATENATE([1]!Tabla1[[#This Row],[NOMBRE MED.]],[1]!Tabla1[[#This Row],[CONCENTRACION]],[1]!Tabla1[[#This Row],[FORMA FARMACEUTICA]])</f>
        <v>#REF!</v>
      </c>
    </row>
    <row r="42" spans="2:31" x14ac:dyDescent="0.25">
      <c r="B42" s="10">
        <v>14</v>
      </c>
      <c r="C42" s="10" t="s">
        <v>2217</v>
      </c>
      <c r="D42" s="10" t="s">
        <v>2162</v>
      </c>
      <c r="E42" s="10" t="s">
        <v>2218</v>
      </c>
      <c r="F42" s="10">
        <v>819000413</v>
      </c>
      <c r="G42" s="10" t="s">
        <v>2219</v>
      </c>
      <c r="H42" s="10" t="s">
        <v>2222</v>
      </c>
      <c r="I42" s="10" t="s">
        <v>2122</v>
      </c>
      <c r="J42" s="10" t="s">
        <v>1742</v>
      </c>
      <c r="K42" s="10" t="s">
        <v>2148</v>
      </c>
      <c r="L42" s="11">
        <v>202124100045982</v>
      </c>
      <c r="M42" s="20">
        <v>44209</v>
      </c>
      <c r="N42" s="20" t="str">
        <f>UPPER(TEXT(Tabla1[[#This Row],[FECHA RADICADO ENTRADA]],"MMM"))</f>
        <v>ENE</v>
      </c>
      <c r="O42" s="11">
        <v>202124110041591</v>
      </c>
      <c r="P42" s="20">
        <v>44209</v>
      </c>
      <c r="Q42" s="20" t="str">
        <f>UPPER(TEXT(Tabla1[[#This Row],[FECHA RADICADO ENTRADA]],"MMM"))</f>
        <v>ENE</v>
      </c>
      <c r="R42" s="10">
        <f t="shared" si="0"/>
        <v>0</v>
      </c>
      <c r="S42" s="10" t="s">
        <v>2145</v>
      </c>
      <c r="T42" s="10" t="s">
        <v>2167</v>
      </c>
      <c r="U42" s="10" t="s">
        <v>2164</v>
      </c>
      <c r="V42" s="20" t="s">
        <v>2164</v>
      </c>
      <c r="W42" s="10" t="s">
        <v>41</v>
      </c>
      <c r="X42" s="10">
        <v>0</v>
      </c>
      <c r="Y42" s="11">
        <f>IFERROR(INT(Tabla1[[#This Row],[CANTIDAD UND FARMACEUTICAS]]/(VLOOKUP(Tabla1[[#This Row],[MEDICAMENTO]],TAB_REF!$K$3:$L$27,2,0))),"")</f>
        <v>0</v>
      </c>
      <c r="Z42" s="10" t="str">
        <f>IFERROR(VLOOKUP(Tabla1[[#This Row],[MEDICAMENTO]],TAB_REF!$B$3:$F$27,2,0), "")</f>
        <v xml:space="preserve">Meperidina HCl </v>
      </c>
      <c r="AA42" s="10" t="str">
        <f>IFERROR(VLOOKUP(Tabla1[[#This Row],[MEDICAMENTO]],TAB_REF!$B$3:$F$27,3,0), "")</f>
        <v xml:space="preserve">100 mg/2mL </v>
      </c>
      <c r="AB42" s="10" t="str">
        <f>IFERROR(VLOOKUP(Tabla1[[#This Row],[MEDICAMENTO]],TAB_REF!$B$3:$F$27,4,0), "")</f>
        <v>Solución Inyectable</v>
      </c>
      <c r="AC42" s="10" t="str">
        <f>IFERROR(VLOOKUP(Tabla1[[#This Row],[MEDICAMENTO]],TAB_REF!$B$3:$F$27,5,0), "")</f>
        <v>Caja 10 ampollas</v>
      </c>
      <c r="AD42" s="10" t="str">
        <f>IFERROR(VLOOKUP(Tabla1[[#This Row],[CANTIDAD UND COMERCIALES]],TAB_REF!$H$3:$I$1003,2,0)&amp;" ("&amp;Tabla1[[#This Row],[CANTIDAD UND COMERCIALES]]&amp;")"&amp;"_"&amp;Tabla1[[#This Row],[CANTIDAD]],"")</f>
        <v/>
      </c>
      <c r="AE42" s="31" t="e">
        <f>CONCATENATE([1]!Tabla1[[#This Row],[NOMBRE MED.]],[1]!Tabla1[[#This Row],[CONCENTRACION]],[1]!Tabla1[[#This Row],[FORMA FARMACEUTICA]])</f>
        <v>#REF!</v>
      </c>
    </row>
    <row r="43" spans="2:31" x14ac:dyDescent="0.25">
      <c r="B43" s="10">
        <v>15</v>
      </c>
      <c r="C43" s="10" t="s">
        <v>2223</v>
      </c>
      <c r="D43" s="10" t="s">
        <v>2162</v>
      </c>
      <c r="E43" s="10" t="s">
        <v>2224</v>
      </c>
      <c r="F43" s="10" t="s">
        <v>2225</v>
      </c>
      <c r="G43" s="10" t="s">
        <v>2226</v>
      </c>
      <c r="H43" s="10" t="s">
        <v>2227</v>
      </c>
      <c r="I43" s="10" t="s">
        <v>2125</v>
      </c>
      <c r="J43" s="10" t="s">
        <v>1885</v>
      </c>
      <c r="K43" s="10" t="s">
        <v>2148</v>
      </c>
      <c r="L43" s="11">
        <v>202124100054072</v>
      </c>
      <c r="M43" s="20">
        <v>44210</v>
      </c>
      <c r="N43" s="20" t="str">
        <f>UPPER(TEXT(Tabla1[[#This Row],[FECHA RADICADO ENTRADA]],"MMM"))</f>
        <v>ENE</v>
      </c>
      <c r="O43" s="11">
        <v>202124110063711</v>
      </c>
      <c r="P43" s="20">
        <v>44214</v>
      </c>
      <c r="Q43" s="20" t="str">
        <f>UPPER(TEXT(Tabla1[[#This Row],[FECHA RADICADO ENTRADA]],"MMM"))</f>
        <v>ENE</v>
      </c>
      <c r="R43" s="10">
        <f t="shared" si="0"/>
        <v>-4</v>
      </c>
      <c r="S43" s="10" t="s">
        <v>2154</v>
      </c>
      <c r="U43" s="10" t="s">
        <v>2228</v>
      </c>
      <c r="V43" s="20">
        <v>43524</v>
      </c>
      <c r="W43" s="10" t="s">
        <v>63</v>
      </c>
      <c r="X43" s="10">
        <v>200</v>
      </c>
      <c r="Y43" s="11">
        <f>IFERROR(INT(Tabla1[[#This Row],[CANTIDAD UND FARMACEUTICAS]]/(VLOOKUP(Tabla1[[#This Row],[MEDICAMENTO]],TAB_REF!$K$3:$L$27,2,0))),"")</f>
        <v>20</v>
      </c>
      <c r="Z43" s="10" t="str">
        <f>IFERROR(VLOOKUP(Tabla1[[#This Row],[MEDICAMENTO]],TAB_REF!$B$3:$F$27,2,0), "")</f>
        <v xml:space="preserve">Morfina HCl </v>
      </c>
      <c r="AA43" s="10" t="str">
        <f>IFERROR(VLOOKUP(Tabla1[[#This Row],[MEDICAMENTO]],TAB_REF!$B$3:$F$27,3,0), "")</f>
        <v xml:space="preserve">10 mg/mL </v>
      </c>
      <c r="AB43" s="10" t="str">
        <f>IFERROR(VLOOKUP(Tabla1[[#This Row],[MEDICAMENTO]],TAB_REF!$B$3:$F$27,4,0), "")</f>
        <v>Solución Inyectable</v>
      </c>
      <c r="AC43" s="10" t="str">
        <f>IFERROR(VLOOKUP(Tabla1[[#This Row],[MEDICAMENTO]],TAB_REF!$B$3:$F$27,5,0), "")</f>
        <v>Caja x 10 unidades</v>
      </c>
      <c r="AD43" s="10" t="str">
        <f>IFERROR(VLOOKUP(Tabla1[[#This Row],[CANTIDAD UND COMERCIALES]],TAB_REF!$H$3:$I$1003,2,0)&amp;" ("&amp;Tabla1[[#This Row],[CANTIDAD UND COMERCIALES]]&amp;")"&amp;"_"&amp;Tabla1[[#This Row],[CANTIDAD]],"")</f>
        <v>Veinte (20)_Caja x 10 unidades</v>
      </c>
      <c r="AE43" s="31" t="e">
        <f>CONCATENATE([1]!Tabla1[[#This Row],[NOMBRE MED.]],[1]!Tabla1[[#This Row],[CONCENTRACION]],[1]!Tabla1[[#This Row],[FORMA FARMACEUTICA]])</f>
        <v>#REF!</v>
      </c>
    </row>
    <row r="44" spans="2:31" x14ac:dyDescent="0.25">
      <c r="B44" s="24">
        <v>16</v>
      </c>
      <c r="C44" s="10" t="s">
        <v>2229</v>
      </c>
      <c r="D44" s="10" t="s">
        <v>2182</v>
      </c>
      <c r="E44" s="10" t="s">
        <v>2230</v>
      </c>
      <c r="F44" s="10" t="s">
        <v>2231</v>
      </c>
      <c r="G44" s="10" t="s">
        <v>2232</v>
      </c>
      <c r="H44" s="10" t="s">
        <v>2233</v>
      </c>
      <c r="I44" s="10" t="s">
        <v>2123</v>
      </c>
      <c r="J44" s="10" t="s">
        <v>1790</v>
      </c>
      <c r="K44" s="10" t="s">
        <v>2148</v>
      </c>
      <c r="L44" s="11">
        <v>202124100056802</v>
      </c>
      <c r="M44" s="20">
        <v>44210</v>
      </c>
      <c r="N44" s="20" t="str">
        <f>UPPER(TEXT(Tabla1[[#This Row],[FECHA RADICADO ENTRADA]],"MMM"))</f>
        <v>ENE</v>
      </c>
      <c r="O44" s="11">
        <v>202124110063761</v>
      </c>
      <c r="P44" s="20">
        <v>44214</v>
      </c>
      <c r="Q44" s="20" t="str">
        <f>UPPER(TEXT(Tabla1[[#This Row],[FECHA RADICADO ENTRADA]],"MMM"))</f>
        <v>ENE</v>
      </c>
      <c r="R44" s="10">
        <f t="shared" si="0"/>
        <v>-4</v>
      </c>
      <c r="S44" s="10" t="s">
        <v>2154</v>
      </c>
      <c r="U44" s="10" t="s">
        <v>2234</v>
      </c>
      <c r="V44" s="20">
        <v>42907</v>
      </c>
      <c r="W44" s="10" t="s">
        <v>63</v>
      </c>
      <c r="X44" s="10">
        <v>150</v>
      </c>
      <c r="Y44" s="11">
        <f>IFERROR(INT(Tabla1[[#This Row],[CANTIDAD UND FARMACEUTICAS]]/(VLOOKUP(Tabla1[[#This Row],[MEDICAMENTO]],TAB_REF!$K$3:$L$27,2,0))),"")</f>
        <v>15</v>
      </c>
      <c r="Z44" s="10" t="str">
        <f>IFERROR(VLOOKUP(Tabla1[[#This Row],[MEDICAMENTO]],TAB_REF!$B$3:$F$27,2,0), "")</f>
        <v xml:space="preserve">Morfina HCl </v>
      </c>
      <c r="AA44" s="10" t="str">
        <f>IFERROR(VLOOKUP(Tabla1[[#This Row],[MEDICAMENTO]],TAB_REF!$B$3:$F$27,3,0), "")</f>
        <v xml:space="preserve">10 mg/mL </v>
      </c>
      <c r="AB44" s="10" t="str">
        <f>IFERROR(VLOOKUP(Tabla1[[#This Row],[MEDICAMENTO]],TAB_REF!$B$3:$F$27,4,0), "")</f>
        <v>Solución Inyectable</v>
      </c>
      <c r="AC44" s="10" t="str">
        <f>IFERROR(VLOOKUP(Tabla1[[#This Row],[MEDICAMENTO]],TAB_REF!$B$3:$F$27,5,0), "")</f>
        <v>Caja x 10 unidades</v>
      </c>
      <c r="AD44" s="10" t="str">
        <f>IFERROR(VLOOKUP(Tabla1[[#This Row],[CANTIDAD UND COMERCIALES]],TAB_REF!$H$3:$I$1003,2,0)&amp;" ("&amp;Tabla1[[#This Row],[CANTIDAD UND COMERCIALES]]&amp;")"&amp;"_"&amp;Tabla1[[#This Row],[CANTIDAD]],"")</f>
        <v>Quince (15)_Caja x 10 unidades</v>
      </c>
      <c r="AE44" s="31" t="e">
        <f>CONCATENATE([1]!Tabla1[[#This Row],[NOMBRE MED.]],[1]!Tabla1[[#This Row],[CONCENTRACION]],[1]!Tabla1[[#This Row],[FORMA FARMACEUTICA]])</f>
        <v>#REF!</v>
      </c>
    </row>
    <row r="45" spans="2:31" x14ac:dyDescent="0.25">
      <c r="B45" s="24">
        <v>16</v>
      </c>
      <c r="C45" s="10" t="s">
        <v>2229</v>
      </c>
      <c r="D45" s="10" t="s">
        <v>2182</v>
      </c>
      <c r="E45" s="10" t="s">
        <v>2230</v>
      </c>
      <c r="F45" s="10" t="s">
        <v>2231</v>
      </c>
      <c r="G45" s="10" t="s">
        <v>2232</v>
      </c>
      <c r="H45" s="10" t="s">
        <v>2233</v>
      </c>
      <c r="I45" s="10" t="s">
        <v>2123</v>
      </c>
      <c r="J45" s="10" t="s">
        <v>1790</v>
      </c>
      <c r="K45" s="10" t="s">
        <v>2148</v>
      </c>
      <c r="L45" s="11">
        <v>202124100056802</v>
      </c>
      <c r="M45" s="20">
        <v>44210</v>
      </c>
      <c r="N45" s="20" t="str">
        <f>UPPER(TEXT(Tabla1[[#This Row],[FECHA RADICADO ENTRADA]],"MMM"))</f>
        <v>ENE</v>
      </c>
      <c r="O45" s="11">
        <v>202124110063761</v>
      </c>
      <c r="P45" s="20">
        <v>44214</v>
      </c>
      <c r="Q45" s="20" t="str">
        <f>UPPER(TEXT(Tabla1[[#This Row],[FECHA RADICADO ENTRADA]],"MMM"))</f>
        <v>ENE</v>
      </c>
      <c r="R45" s="10">
        <f t="shared" si="0"/>
        <v>-4</v>
      </c>
      <c r="S45" s="10" t="s">
        <v>2154</v>
      </c>
      <c r="U45" s="10" t="s">
        <v>2234</v>
      </c>
      <c r="V45" s="20">
        <v>42907</v>
      </c>
      <c r="W45" s="10" t="s">
        <v>41</v>
      </c>
      <c r="X45" s="10">
        <v>150</v>
      </c>
      <c r="Y45" s="11">
        <f>IFERROR(INT(Tabla1[[#This Row],[CANTIDAD UND FARMACEUTICAS]]/(VLOOKUP(Tabla1[[#This Row],[MEDICAMENTO]],TAB_REF!$K$3:$L$27,2,0))),"")</f>
        <v>15</v>
      </c>
      <c r="Z45" s="10" t="str">
        <f>IFERROR(VLOOKUP(Tabla1[[#This Row],[MEDICAMENTO]],TAB_REF!$B$3:$F$27,2,0), "")</f>
        <v xml:space="preserve">Meperidina HCl </v>
      </c>
      <c r="AA45" s="10" t="str">
        <f>IFERROR(VLOOKUP(Tabla1[[#This Row],[MEDICAMENTO]],TAB_REF!$B$3:$F$27,3,0), "")</f>
        <v xml:space="preserve">100 mg/2mL </v>
      </c>
      <c r="AB45" s="10" t="str">
        <f>IFERROR(VLOOKUP(Tabla1[[#This Row],[MEDICAMENTO]],TAB_REF!$B$3:$F$27,4,0), "")</f>
        <v>Solución Inyectable</v>
      </c>
      <c r="AC45" s="10" t="str">
        <f>IFERROR(VLOOKUP(Tabla1[[#This Row],[MEDICAMENTO]],TAB_REF!$B$3:$F$27,5,0), "")</f>
        <v>Caja 10 ampollas</v>
      </c>
      <c r="AD45" s="10" t="str">
        <f>IFERROR(VLOOKUP(Tabla1[[#This Row],[CANTIDAD UND COMERCIALES]],TAB_REF!$H$3:$I$1003,2,0)&amp;" ("&amp;Tabla1[[#This Row],[CANTIDAD UND COMERCIALES]]&amp;")"&amp;"_"&amp;Tabla1[[#This Row],[CANTIDAD]],"")</f>
        <v>Quince (15)_Caja 10 ampollas</v>
      </c>
      <c r="AE45" s="31" t="e">
        <f>CONCATENATE([1]!Tabla1[[#This Row],[NOMBRE MED.]],[1]!Tabla1[[#This Row],[CONCENTRACION]],[1]!Tabla1[[#This Row],[FORMA FARMACEUTICA]])</f>
        <v>#REF!</v>
      </c>
    </row>
    <row r="46" spans="2:31" x14ac:dyDescent="0.25">
      <c r="B46" s="24">
        <v>16</v>
      </c>
      <c r="C46" s="10" t="s">
        <v>2229</v>
      </c>
      <c r="D46" s="10" t="s">
        <v>2182</v>
      </c>
      <c r="E46" s="10" t="s">
        <v>2230</v>
      </c>
      <c r="F46" s="10" t="s">
        <v>2231</v>
      </c>
      <c r="G46" s="10" t="s">
        <v>2232</v>
      </c>
      <c r="H46" s="10" t="s">
        <v>2233</v>
      </c>
      <c r="I46" s="10" t="s">
        <v>2123</v>
      </c>
      <c r="J46" s="10" t="s">
        <v>1790</v>
      </c>
      <c r="K46" s="10" t="s">
        <v>2148</v>
      </c>
      <c r="L46" s="11">
        <v>202124100056802</v>
      </c>
      <c r="M46" s="20">
        <v>44210</v>
      </c>
      <c r="N46" s="20" t="str">
        <f>UPPER(TEXT(Tabla1[[#This Row],[FECHA RADICADO ENTRADA]],"MMM"))</f>
        <v>ENE</v>
      </c>
      <c r="O46" s="11">
        <v>202124110063761</v>
      </c>
      <c r="P46" s="20">
        <v>44214</v>
      </c>
      <c r="Q46" s="20" t="str">
        <f>UPPER(TEXT(Tabla1[[#This Row],[FECHA RADICADO ENTRADA]],"MMM"))</f>
        <v>ENE</v>
      </c>
      <c r="R46" s="10">
        <f t="shared" si="0"/>
        <v>-4</v>
      </c>
      <c r="S46" s="10" t="s">
        <v>2154</v>
      </c>
      <c r="U46" s="10" t="s">
        <v>2234</v>
      </c>
      <c r="V46" s="20">
        <v>42907</v>
      </c>
      <c r="W46" s="10" t="s">
        <v>34</v>
      </c>
      <c r="X46" s="10">
        <v>100</v>
      </c>
      <c r="Y46" s="11">
        <f>IFERROR(INT(Tabla1[[#This Row],[CANTIDAD UND FARMACEUTICAS]]/(VLOOKUP(Tabla1[[#This Row],[MEDICAMENTO]],TAB_REF!$K$3:$L$27,2,0))),"")</f>
        <v>10</v>
      </c>
      <c r="Z46" s="10" t="str">
        <f>IFERROR(VLOOKUP(Tabla1[[#This Row],[MEDICAMENTO]],TAB_REF!$B$3:$F$27,2,0), "")</f>
        <v xml:space="preserve">Fenobarbital Sódico </v>
      </c>
      <c r="AA46" s="10" t="str">
        <f>IFERROR(VLOOKUP(Tabla1[[#This Row],[MEDICAMENTO]],TAB_REF!$B$3:$F$27,3,0), "")</f>
        <v xml:space="preserve">200 mg/Ml </v>
      </c>
      <c r="AB46" s="10" t="str">
        <f>IFERROR(VLOOKUP(Tabla1[[#This Row],[MEDICAMENTO]],TAB_REF!$B$3:$F$27,4,0), "")</f>
        <v>Solución Inyectable</v>
      </c>
      <c r="AC46" s="10" t="str">
        <f>IFERROR(VLOOKUP(Tabla1[[#This Row],[MEDICAMENTO]],TAB_REF!$B$3:$F$27,5,0), "")</f>
        <v>Caja x 10 unidades</v>
      </c>
      <c r="AD46" s="10" t="str">
        <f>IFERROR(VLOOKUP(Tabla1[[#This Row],[CANTIDAD UND COMERCIALES]],TAB_REF!$H$3:$I$1003,2,0)&amp;" ("&amp;Tabla1[[#This Row],[CANTIDAD UND COMERCIALES]]&amp;")"&amp;"_"&amp;Tabla1[[#This Row],[CANTIDAD]],"")</f>
        <v>Diez (10)_Caja x 10 unidades</v>
      </c>
      <c r="AE46" s="31" t="e">
        <f>CONCATENATE([1]!Tabla1[[#This Row],[NOMBRE MED.]],[1]!Tabla1[[#This Row],[CONCENTRACION]],[1]!Tabla1[[#This Row],[FORMA FARMACEUTICA]])</f>
        <v>#REF!</v>
      </c>
    </row>
    <row r="47" spans="2:31" x14ac:dyDescent="0.25">
      <c r="B47" s="10">
        <v>17</v>
      </c>
      <c r="C47" s="10" t="s">
        <v>2194</v>
      </c>
      <c r="D47" s="10" t="s">
        <v>2195</v>
      </c>
      <c r="E47" s="10" t="s">
        <v>2196</v>
      </c>
      <c r="F47" s="10" t="s">
        <v>2164</v>
      </c>
      <c r="G47" s="10" t="s">
        <v>2197</v>
      </c>
      <c r="H47" s="10" t="s">
        <v>2198</v>
      </c>
      <c r="I47" s="10" t="s">
        <v>2129</v>
      </c>
      <c r="J47" s="10" t="s">
        <v>2011</v>
      </c>
      <c r="K47" s="10" t="s">
        <v>2148</v>
      </c>
      <c r="L47" s="11">
        <v>202124100021042</v>
      </c>
      <c r="M47" s="20">
        <v>44210</v>
      </c>
      <c r="N47" s="20" t="str">
        <f>UPPER(TEXT(Tabla1[[#This Row],[FECHA RADICADO ENTRADA]],"MMM"))</f>
        <v>ENE</v>
      </c>
      <c r="O47" s="11">
        <v>202124110063801</v>
      </c>
      <c r="P47" s="20">
        <v>44214</v>
      </c>
      <c r="Q47" s="20" t="str">
        <f>UPPER(TEXT(Tabla1[[#This Row],[FECHA RADICADO ENTRADA]],"MMM"))</f>
        <v>ENE</v>
      </c>
      <c r="R47" s="10">
        <f t="shared" si="0"/>
        <v>-4</v>
      </c>
      <c r="S47" s="10" t="s">
        <v>2145</v>
      </c>
      <c r="T47" s="10" t="s">
        <v>2167</v>
      </c>
      <c r="U47" s="10" t="s">
        <v>2164</v>
      </c>
      <c r="V47" s="20" t="s">
        <v>2164</v>
      </c>
      <c r="W47" s="10" t="s">
        <v>32</v>
      </c>
      <c r="X47" s="10">
        <v>0</v>
      </c>
      <c r="Y47" s="11">
        <f>IFERROR(INT(Tabla1[[#This Row],[CANTIDAD UND FARMACEUTICAS]]/(VLOOKUP(Tabla1[[#This Row],[MEDICAMENTO]],TAB_REF!$K$3:$L$27,2,0))),"")</f>
        <v>0</v>
      </c>
      <c r="Z47" s="10" t="str">
        <f>IFERROR(VLOOKUP(Tabla1[[#This Row],[MEDICAMENTO]],TAB_REF!$B$3:$F$27,2,0), "")</f>
        <v xml:space="preserve">Fenobarbital </v>
      </c>
      <c r="AA47" s="10" t="str">
        <f>IFERROR(VLOOKUP(Tabla1[[#This Row],[MEDICAMENTO]],TAB_REF!$B$3:$F$27,3,0), "")</f>
        <v xml:space="preserve">100 mg </v>
      </c>
      <c r="AB47" s="10" t="str">
        <f>IFERROR(VLOOKUP(Tabla1[[#This Row],[MEDICAMENTO]],TAB_REF!$B$3:$F$27,4,0), "")</f>
        <v>Tabletas</v>
      </c>
      <c r="AC47" s="10" t="str">
        <f>IFERROR(VLOOKUP(Tabla1[[#This Row],[MEDICAMENTO]],TAB_REF!$B$3:$F$27,5,0), "")</f>
        <v>Caja x 30 unidades</v>
      </c>
      <c r="AD47" s="10" t="str">
        <f>IFERROR(VLOOKUP(Tabla1[[#This Row],[CANTIDAD UND COMERCIALES]],TAB_REF!$H$3:$I$1003,2,0)&amp;" ("&amp;Tabla1[[#This Row],[CANTIDAD UND COMERCIALES]]&amp;")"&amp;"_"&amp;Tabla1[[#This Row],[CANTIDAD]],"")</f>
        <v/>
      </c>
      <c r="AE47" s="31" t="e">
        <f>CONCATENATE([1]!Tabla1[[#This Row],[NOMBRE MED.]],[1]!Tabla1[[#This Row],[CONCENTRACION]],[1]!Tabla1[[#This Row],[FORMA FARMACEUTICA]])</f>
        <v>#REF!</v>
      </c>
    </row>
    <row r="48" spans="2:31" x14ac:dyDescent="0.25">
      <c r="B48" s="10">
        <v>17</v>
      </c>
      <c r="C48" s="10" t="s">
        <v>2194</v>
      </c>
      <c r="D48" s="10" t="s">
        <v>2195</v>
      </c>
      <c r="E48" s="10" t="s">
        <v>2196</v>
      </c>
      <c r="F48" s="10" t="s">
        <v>2164</v>
      </c>
      <c r="G48" s="10" t="s">
        <v>2197</v>
      </c>
      <c r="H48" s="10" t="s">
        <v>2198</v>
      </c>
      <c r="I48" s="10" t="s">
        <v>2129</v>
      </c>
      <c r="J48" s="10" t="s">
        <v>2011</v>
      </c>
      <c r="K48" s="10" t="s">
        <v>2148</v>
      </c>
      <c r="L48" s="11">
        <v>202124100021042</v>
      </c>
      <c r="M48" s="20">
        <v>44210</v>
      </c>
      <c r="N48" s="20" t="str">
        <f>UPPER(TEXT(Tabla1[[#This Row],[FECHA RADICADO ENTRADA]],"MMM"))</f>
        <v>ENE</v>
      </c>
      <c r="O48" s="11">
        <v>202124110063801</v>
      </c>
      <c r="P48" s="20">
        <v>44214</v>
      </c>
      <c r="Q48" s="20" t="str">
        <f>UPPER(TEXT(Tabla1[[#This Row],[FECHA RADICADO ENTRADA]],"MMM"))</f>
        <v>ENE</v>
      </c>
      <c r="R48" s="10">
        <f t="shared" si="0"/>
        <v>-4</v>
      </c>
      <c r="S48" s="10" t="s">
        <v>2145</v>
      </c>
      <c r="T48" s="10" t="s">
        <v>2167</v>
      </c>
      <c r="U48" s="10" t="s">
        <v>2164</v>
      </c>
      <c r="V48" s="20" t="s">
        <v>2164</v>
      </c>
      <c r="W48" s="10" t="s">
        <v>30</v>
      </c>
      <c r="X48" s="10">
        <v>0</v>
      </c>
      <c r="Y48" s="11">
        <f>IFERROR(INT(Tabla1[[#This Row],[CANTIDAD UND FARMACEUTICAS]]/(VLOOKUP(Tabla1[[#This Row],[MEDICAMENTO]],TAB_REF!$K$3:$L$27,2,0))),"")</f>
        <v>0</v>
      </c>
      <c r="Z48" s="10" t="str">
        <f>IFERROR(VLOOKUP(Tabla1[[#This Row],[MEDICAMENTO]],TAB_REF!$B$3:$F$27,2,0), "")</f>
        <v xml:space="preserve">Fenobarbital </v>
      </c>
      <c r="AA48" s="10" t="str">
        <f>IFERROR(VLOOKUP(Tabla1[[#This Row],[MEDICAMENTO]],TAB_REF!$B$3:$F$27,3,0), "")</f>
        <v xml:space="preserve">10 mg </v>
      </c>
      <c r="AB48" s="10" t="str">
        <f>IFERROR(VLOOKUP(Tabla1[[#This Row],[MEDICAMENTO]],TAB_REF!$B$3:$F$27,4,0), "")</f>
        <v>Tabletas</v>
      </c>
      <c r="AC48" s="10" t="str">
        <f>IFERROR(VLOOKUP(Tabla1[[#This Row],[MEDICAMENTO]],TAB_REF!$B$3:$F$27,5,0), "")</f>
        <v>Caja x 30 unidades</v>
      </c>
      <c r="AD48" s="10" t="str">
        <f>IFERROR(VLOOKUP(Tabla1[[#This Row],[CANTIDAD UND COMERCIALES]],TAB_REF!$H$3:$I$1003,2,0)&amp;" ("&amp;Tabla1[[#This Row],[CANTIDAD UND COMERCIALES]]&amp;")"&amp;"_"&amp;Tabla1[[#This Row],[CANTIDAD]],"")</f>
        <v/>
      </c>
      <c r="AE48" s="31" t="e">
        <f>CONCATENATE([1]!Tabla1[[#This Row],[NOMBRE MED.]],[1]!Tabla1[[#This Row],[CONCENTRACION]],[1]!Tabla1[[#This Row],[FORMA FARMACEUTICA]])</f>
        <v>#REF!</v>
      </c>
    </row>
    <row r="49" spans="2:31" x14ac:dyDescent="0.25">
      <c r="B49" s="10">
        <v>17</v>
      </c>
      <c r="C49" s="10" t="s">
        <v>2194</v>
      </c>
      <c r="D49" s="10" t="s">
        <v>2195</v>
      </c>
      <c r="E49" s="10" t="s">
        <v>2196</v>
      </c>
      <c r="F49" s="10" t="s">
        <v>2164</v>
      </c>
      <c r="G49" s="10" t="s">
        <v>2197</v>
      </c>
      <c r="H49" s="10" t="s">
        <v>2198</v>
      </c>
      <c r="I49" s="10" t="s">
        <v>2129</v>
      </c>
      <c r="J49" s="10" t="s">
        <v>2011</v>
      </c>
      <c r="K49" s="10" t="s">
        <v>2148</v>
      </c>
      <c r="L49" s="11">
        <v>202124100021042</v>
      </c>
      <c r="M49" s="20">
        <v>44210</v>
      </c>
      <c r="N49" s="20" t="str">
        <f>UPPER(TEXT(Tabla1[[#This Row],[FECHA RADICADO ENTRADA]],"MMM"))</f>
        <v>ENE</v>
      </c>
      <c r="O49" s="11">
        <v>202124110063801</v>
      </c>
      <c r="P49" s="20">
        <v>44214</v>
      </c>
      <c r="Q49" s="20" t="str">
        <f>UPPER(TEXT(Tabla1[[#This Row],[FECHA RADICADO ENTRADA]],"MMM"))</f>
        <v>ENE</v>
      </c>
      <c r="R49" s="10">
        <f t="shared" si="0"/>
        <v>-4</v>
      </c>
      <c r="S49" s="10" t="s">
        <v>2145</v>
      </c>
      <c r="T49" s="10" t="s">
        <v>2167</v>
      </c>
      <c r="U49" s="10" t="s">
        <v>2164</v>
      </c>
      <c r="V49" s="20" t="s">
        <v>2164</v>
      </c>
      <c r="W49" s="10" t="s">
        <v>37</v>
      </c>
      <c r="X49" s="10">
        <v>0</v>
      </c>
      <c r="Y49" s="11">
        <f>IFERROR(INT(Tabla1[[#This Row],[CANTIDAD UND FARMACEUTICAS]]/(VLOOKUP(Tabla1[[#This Row],[MEDICAMENTO]],TAB_REF!$K$3:$L$27,2,0))),"")</f>
        <v>0</v>
      </c>
      <c r="Z49" s="10" t="str">
        <f>IFERROR(VLOOKUP(Tabla1[[#This Row],[MEDICAMENTO]],TAB_REF!$B$3:$F$27,2,0), "")</f>
        <v xml:space="preserve">Hidromorfona HCl </v>
      </c>
      <c r="AA49" s="10" t="str">
        <f>IFERROR(VLOOKUP(Tabla1[[#This Row],[MEDICAMENTO]],TAB_REF!$B$3:$F$27,3,0), "")</f>
        <v xml:space="preserve">2 mg/mL </v>
      </c>
      <c r="AB49" s="10" t="str">
        <f>IFERROR(VLOOKUP(Tabla1[[#This Row],[MEDICAMENTO]],TAB_REF!$B$3:$F$27,4,0), "")</f>
        <v>Solución Inyectable</v>
      </c>
      <c r="AC49" s="10" t="str">
        <f>IFERROR(VLOOKUP(Tabla1[[#This Row],[MEDICAMENTO]],TAB_REF!$B$3:$F$27,5,0), "")</f>
        <v>Caja x 10 unidades</v>
      </c>
      <c r="AD49" s="10" t="str">
        <f>IFERROR(VLOOKUP(Tabla1[[#This Row],[CANTIDAD UND COMERCIALES]],TAB_REF!$H$3:$I$1003,2,0)&amp;" ("&amp;Tabla1[[#This Row],[CANTIDAD UND COMERCIALES]]&amp;")"&amp;"_"&amp;Tabla1[[#This Row],[CANTIDAD]],"")</f>
        <v/>
      </c>
      <c r="AE49" s="31" t="e">
        <f>CONCATENATE([1]!Tabla1[[#This Row],[NOMBRE MED.]],[1]!Tabla1[[#This Row],[CONCENTRACION]],[1]!Tabla1[[#This Row],[FORMA FARMACEUTICA]])</f>
        <v>#REF!</v>
      </c>
    </row>
    <row r="50" spans="2:31" x14ac:dyDescent="0.25">
      <c r="B50" s="10">
        <v>17</v>
      </c>
      <c r="C50" s="10" t="s">
        <v>2194</v>
      </c>
      <c r="D50" s="10" t="s">
        <v>2195</v>
      </c>
      <c r="E50" s="10" t="s">
        <v>2196</v>
      </c>
      <c r="F50" s="10" t="s">
        <v>2164</v>
      </c>
      <c r="G50" s="10" t="s">
        <v>2197</v>
      </c>
      <c r="H50" s="10" t="s">
        <v>2198</v>
      </c>
      <c r="I50" s="10" t="s">
        <v>2129</v>
      </c>
      <c r="J50" s="10" t="s">
        <v>2011</v>
      </c>
      <c r="K50" s="10" t="s">
        <v>2148</v>
      </c>
      <c r="L50" s="11">
        <v>202124100021042</v>
      </c>
      <c r="M50" s="20">
        <v>44210</v>
      </c>
      <c r="N50" s="20" t="str">
        <f>UPPER(TEXT(Tabla1[[#This Row],[FECHA RADICADO ENTRADA]],"MMM"))</f>
        <v>ENE</v>
      </c>
      <c r="O50" s="11">
        <v>202124110063801</v>
      </c>
      <c r="P50" s="20">
        <v>44214</v>
      </c>
      <c r="Q50" s="20" t="str">
        <f>UPPER(TEXT(Tabla1[[#This Row],[FECHA RADICADO ENTRADA]],"MMM"))</f>
        <v>ENE</v>
      </c>
      <c r="R50" s="10">
        <f t="shared" si="0"/>
        <v>-4</v>
      </c>
      <c r="S50" s="10" t="s">
        <v>2145</v>
      </c>
      <c r="T50" s="10" t="s">
        <v>2167</v>
      </c>
      <c r="U50" s="10" t="s">
        <v>2164</v>
      </c>
      <c r="V50" s="20" t="s">
        <v>2164</v>
      </c>
      <c r="W50" s="10" t="s">
        <v>38</v>
      </c>
      <c r="X50" s="10">
        <v>0</v>
      </c>
      <c r="Y50" s="11">
        <f>IFERROR(INT(Tabla1[[#This Row],[CANTIDAD UND FARMACEUTICAS]]/(VLOOKUP(Tabla1[[#This Row],[MEDICAMENTO]],TAB_REF!$K$3:$L$27,2,0))),"")</f>
        <v>0</v>
      </c>
      <c r="Z50" s="10" t="str">
        <f>IFERROR(VLOOKUP(Tabla1[[#This Row],[MEDICAMENTO]],TAB_REF!$B$3:$F$27,2,0), "")</f>
        <v xml:space="preserve">Hidromorfona HCl </v>
      </c>
      <c r="AA50" s="10" t="str">
        <f>IFERROR(VLOOKUP(Tabla1[[#This Row],[MEDICAMENTO]],TAB_REF!$B$3:$F$27,3,0), "")</f>
        <v xml:space="preserve">2,5 mg </v>
      </c>
      <c r="AB50" s="10" t="str">
        <f>IFERROR(VLOOKUP(Tabla1[[#This Row],[MEDICAMENTO]],TAB_REF!$B$3:$F$27,4,0), "")</f>
        <v>Tabletas</v>
      </c>
      <c r="AC50" s="10" t="str">
        <f>IFERROR(VLOOKUP(Tabla1[[#This Row],[MEDICAMENTO]],TAB_REF!$B$3:$F$27,5,0), "")</f>
        <v>Caja x 20 unidades</v>
      </c>
      <c r="AD50" s="10" t="str">
        <f>IFERROR(VLOOKUP(Tabla1[[#This Row],[CANTIDAD UND COMERCIALES]],TAB_REF!$H$3:$I$1003,2,0)&amp;" ("&amp;Tabla1[[#This Row],[CANTIDAD UND COMERCIALES]]&amp;")"&amp;"_"&amp;Tabla1[[#This Row],[CANTIDAD]],"")</f>
        <v/>
      </c>
      <c r="AE50" s="31" t="e">
        <f>CONCATENATE([1]!Tabla1[[#This Row],[NOMBRE MED.]],[1]!Tabla1[[#This Row],[CONCENTRACION]],[1]!Tabla1[[#This Row],[FORMA FARMACEUTICA]])</f>
        <v>#REF!</v>
      </c>
    </row>
    <row r="51" spans="2:31" x14ac:dyDescent="0.25">
      <c r="B51" s="10">
        <v>17</v>
      </c>
      <c r="C51" s="10" t="s">
        <v>2194</v>
      </c>
      <c r="D51" s="10" t="s">
        <v>2195</v>
      </c>
      <c r="E51" s="10" t="s">
        <v>2196</v>
      </c>
      <c r="F51" s="10" t="s">
        <v>2164</v>
      </c>
      <c r="G51" s="10" t="s">
        <v>2197</v>
      </c>
      <c r="H51" s="10" t="s">
        <v>2198</v>
      </c>
      <c r="I51" s="10" t="s">
        <v>2129</v>
      </c>
      <c r="J51" s="10" t="s">
        <v>2011</v>
      </c>
      <c r="K51" s="10" t="s">
        <v>2148</v>
      </c>
      <c r="L51" s="11">
        <v>202124100021042</v>
      </c>
      <c r="M51" s="20">
        <v>44210</v>
      </c>
      <c r="N51" s="20" t="str">
        <f>UPPER(TEXT(Tabla1[[#This Row],[FECHA RADICADO ENTRADA]],"MMM"))</f>
        <v>ENE</v>
      </c>
      <c r="O51" s="11">
        <v>202124110063801</v>
      </c>
      <c r="P51" s="20">
        <v>44214</v>
      </c>
      <c r="Q51" s="20" t="str">
        <f>UPPER(TEXT(Tabla1[[#This Row],[FECHA RADICADO ENTRADA]],"MMM"))</f>
        <v>ENE</v>
      </c>
      <c r="R51" s="10">
        <f t="shared" si="0"/>
        <v>-4</v>
      </c>
      <c r="S51" s="10" t="s">
        <v>2145</v>
      </c>
      <c r="T51" s="10" t="s">
        <v>2167</v>
      </c>
      <c r="U51" s="10" t="s">
        <v>2164</v>
      </c>
      <c r="V51" s="20" t="s">
        <v>2164</v>
      </c>
      <c r="W51" s="10" t="s">
        <v>60</v>
      </c>
      <c r="X51" s="10">
        <v>0</v>
      </c>
      <c r="Y51" s="11">
        <f>IFERROR(INT(Tabla1[[#This Row],[CANTIDAD UND FARMACEUTICAS]]/(VLOOKUP(Tabla1[[#This Row],[MEDICAMENTO]],TAB_REF!$K$3:$L$27,2,0))),"")</f>
        <v>0</v>
      </c>
      <c r="Z51" s="10" t="str">
        <f>IFERROR(VLOOKUP(Tabla1[[#This Row],[MEDICAMENTO]],TAB_REF!$B$3:$F$27,2,0), "")</f>
        <v xml:space="preserve">Morfina HCl </v>
      </c>
      <c r="AA51" s="10" t="str">
        <f>IFERROR(VLOOKUP(Tabla1[[#This Row],[MEDICAMENTO]],TAB_REF!$B$3:$F$27,3,0), "")</f>
        <v xml:space="preserve">3%. </v>
      </c>
      <c r="AB51" s="10" t="str">
        <f>IFERROR(VLOOKUP(Tabla1[[#This Row],[MEDICAMENTO]],TAB_REF!$B$3:$F$27,4,0), "")</f>
        <v>Solución Oral</v>
      </c>
      <c r="AC51" s="10" t="str">
        <f>IFERROR(VLOOKUP(Tabla1[[#This Row],[MEDICAMENTO]],TAB_REF!$B$3:$F$27,5,0), "")</f>
        <v>Frasco x 30 mL</v>
      </c>
      <c r="AD51" s="10" t="str">
        <f>IFERROR(VLOOKUP(Tabla1[[#This Row],[CANTIDAD UND COMERCIALES]],TAB_REF!$H$3:$I$1003,2,0)&amp;" ("&amp;Tabla1[[#This Row],[CANTIDAD UND COMERCIALES]]&amp;")"&amp;"_"&amp;Tabla1[[#This Row],[CANTIDAD]],"")</f>
        <v/>
      </c>
      <c r="AE51" s="31" t="e">
        <f>CONCATENATE([1]!Tabla1[[#This Row],[NOMBRE MED.]],[1]!Tabla1[[#This Row],[CONCENTRACION]],[1]!Tabla1[[#This Row],[FORMA FARMACEUTICA]])</f>
        <v>#REF!</v>
      </c>
    </row>
    <row r="52" spans="2:31" x14ac:dyDescent="0.25">
      <c r="B52" s="10">
        <v>17</v>
      </c>
      <c r="C52" s="10" t="s">
        <v>2194</v>
      </c>
      <c r="D52" s="10" t="s">
        <v>2195</v>
      </c>
      <c r="E52" s="10" t="s">
        <v>2196</v>
      </c>
      <c r="F52" s="10" t="s">
        <v>2164</v>
      </c>
      <c r="G52" s="10" t="s">
        <v>2197</v>
      </c>
      <c r="H52" s="10" t="s">
        <v>2198</v>
      </c>
      <c r="I52" s="10" t="s">
        <v>2129</v>
      </c>
      <c r="J52" s="10" t="s">
        <v>2011</v>
      </c>
      <c r="K52" s="10" t="s">
        <v>2148</v>
      </c>
      <c r="L52" s="11">
        <v>202124100021042</v>
      </c>
      <c r="M52" s="20">
        <v>44210</v>
      </c>
      <c r="N52" s="20" t="str">
        <f>UPPER(TEXT(Tabla1[[#This Row],[FECHA RADICADO ENTRADA]],"MMM"))</f>
        <v>ENE</v>
      </c>
      <c r="O52" s="11">
        <v>202124110063801</v>
      </c>
      <c r="P52" s="20">
        <v>44214</v>
      </c>
      <c r="Q52" s="20" t="str">
        <f>UPPER(TEXT(Tabla1[[#This Row],[FECHA RADICADO ENTRADA]],"MMM"))</f>
        <v>ENE</v>
      </c>
      <c r="R52" s="10">
        <f t="shared" si="0"/>
        <v>-4</v>
      </c>
      <c r="S52" s="10" t="s">
        <v>2145</v>
      </c>
      <c r="T52" s="10" t="s">
        <v>2167</v>
      </c>
      <c r="U52" s="10" t="s">
        <v>2164</v>
      </c>
      <c r="V52" s="20" t="s">
        <v>2164</v>
      </c>
      <c r="W52" s="10" t="s">
        <v>63</v>
      </c>
      <c r="X52" s="10">
        <v>0</v>
      </c>
      <c r="Y52" s="11">
        <f>IFERROR(INT(Tabla1[[#This Row],[CANTIDAD UND FARMACEUTICAS]]/(VLOOKUP(Tabla1[[#This Row],[MEDICAMENTO]],TAB_REF!$K$3:$L$27,2,0))),"")</f>
        <v>0</v>
      </c>
      <c r="Z52" s="10" t="str">
        <f>IFERROR(VLOOKUP(Tabla1[[#This Row],[MEDICAMENTO]],TAB_REF!$B$3:$F$27,2,0), "")</f>
        <v xml:space="preserve">Morfina HCl </v>
      </c>
      <c r="AA52" s="10" t="str">
        <f>IFERROR(VLOOKUP(Tabla1[[#This Row],[MEDICAMENTO]],TAB_REF!$B$3:$F$27,3,0), "")</f>
        <v xml:space="preserve">10 mg/mL </v>
      </c>
      <c r="AB52" s="10" t="str">
        <f>IFERROR(VLOOKUP(Tabla1[[#This Row],[MEDICAMENTO]],TAB_REF!$B$3:$F$27,4,0), "")</f>
        <v>Solución Inyectable</v>
      </c>
      <c r="AC52" s="10" t="str">
        <f>IFERROR(VLOOKUP(Tabla1[[#This Row],[MEDICAMENTO]],TAB_REF!$B$3:$F$27,5,0), "")</f>
        <v>Caja x 10 unidades</v>
      </c>
      <c r="AD52" s="10" t="str">
        <f>IFERROR(VLOOKUP(Tabla1[[#This Row],[CANTIDAD UND COMERCIALES]],TAB_REF!$H$3:$I$1003,2,0)&amp;" ("&amp;Tabla1[[#This Row],[CANTIDAD UND COMERCIALES]]&amp;")"&amp;"_"&amp;Tabla1[[#This Row],[CANTIDAD]],"")</f>
        <v/>
      </c>
      <c r="AE52" s="31" t="e">
        <f>CONCATENATE([1]!Tabla1[[#This Row],[NOMBRE MED.]],[1]!Tabla1[[#This Row],[CONCENTRACION]],[1]!Tabla1[[#This Row],[FORMA FARMACEUTICA]])</f>
        <v>#REF!</v>
      </c>
    </row>
    <row r="53" spans="2:31" x14ac:dyDescent="0.25">
      <c r="B53" s="10">
        <v>18</v>
      </c>
      <c r="C53" s="10" t="s">
        <v>2149</v>
      </c>
      <c r="D53" s="10" t="s">
        <v>2162</v>
      </c>
      <c r="E53" s="10" t="s">
        <v>2235</v>
      </c>
      <c r="F53" s="10" t="s">
        <v>2236</v>
      </c>
      <c r="G53" s="10" t="s">
        <v>2193</v>
      </c>
      <c r="H53" s="10" t="s">
        <v>2237</v>
      </c>
      <c r="I53" s="10" t="s">
        <v>2116</v>
      </c>
      <c r="J53" s="10" t="s">
        <v>1550</v>
      </c>
      <c r="K53" s="10" t="s">
        <v>2148</v>
      </c>
      <c r="L53" s="11">
        <v>202124100060662</v>
      </c>
      <c r="M53" s="20">
        <v>44210</v>
      </c>
      <c r="N53" s="20" t="str">
        <f>UPPER(TEXT(Tabla1[[#This Row],[FECHA RADICADO ENTRADA]],"MMM"))</f>
        <v>ENE</v>
      </c>
      <c r="O53" s="11">
        <v>202124110069721</v>
      </c>
      <c r="P53" s="20">
        <v>44214</v>
      </c>
      <c r="Q53" s="20" t="str">
        <f>UPPER(TEXT(Tabla1[[#This Row],[FECHA RADICADO ENTRADA]],"MMM"))</f>
        <v>ENE</v>
      </c>
      <c r="R53" s="10">
        <f t="shared" si="0"/>
        <v>-4</v>
      </c>
      <c r="S53" s="10" t="s">
        <v>2154</v>
      </c>
      <c r="U53" s="10" t="s">
        <v>2238</v>
      </c>
      <c r="V53" s="20">
        <v>43829</v>
      </c>
      <c r="W53" s="10" t="s">
        <v>60</v>
      </c>
      <c r="X53" s="10">
        <v>400</v>
      </c>
      <c r="Y53" s="11">
        <f>IFERROR(INT(Tabla1[[#This Row],[CANTIDAD UND FARMACEUTICAS]]/(VLOOKUP(Tabla1[[#This Row],[MEDICAMENTO]],TAB_REF!$K$3:$L$27,2,0))),"")</f>
        <v>400</v>
      </c>
      <c r="Z53" s="10" t="str">
        <f>IFERROR(VLOOKUP(Tabla1[[#This Row],[MEDICAMENTO]],TAB_REF!$B$3:$F$27,2,0), "")</f>
        <v xml:space="preserve">Morfina HCl </v>
      </c>
      <c r="AA53" s="10" t="str">
        <f>IFERROR(VLOOKUP(Tabla1[[#This Row],[MEDICAMENTO]],TAB_REF!$B$3:$F$27,3,0), "")</f>
        <v xml:space="preserve">3%. </v>
      </c>
      <c r="AB53" s="10" t="str">
        <f>IFERROR(VLOOKUP(Tabla1[[#This Row],[MEDICAMENTO]],TAB_REF!$B$3:$F$27,4,0), "")</f>
        <v>Solución Oral</v>
      </c>
      <c r="AC53" s="10" t="str">
        <f>IFERROR(VLOOKUP(Tabla1[[#This Row],[MEDICAMENTO]],TAB_REF!$B$3:$F$27,5,0), "")</f>
        <v>Frasco x 30 mL</v>
      </c>
      <c r="AD53" s="10" t="str">
        <f>IFERROR(VLOOKUP(Tabla1[[#This Row],[CANTIDAD UND COMERCIALES]],TAB_REF!$H$3:$I$1003,2,0)&amp;" ("&amp;Tabla1[[#This Row],[CANTIDAD UND COMERCIALES]]&amp;")"&amp;"_"&amp;Tabla1[[#This Row],[CANTIDAD]],"")</f>
        <v>Cuatrocientos (400)_Frasco x 30 mL</v>
      </c>
      <c r="AE53" s="31" t="e">
        <f>CONCATENATE([1]!Tabla1[[#This Row],[NOMBRE MED.]],[1]!Tabla1[[#This Row],[CONCENTRACION]],[1]!Tabla1[[#This Row],[FORMA FARMACEUTICA]])</f>
        <v>#REF!</v>
      </c>
    </row>
    <row r="54" spans="2:31" x14ac:dyDescent="0.25">
      <c r="B54" s="10">
        <v>18</v>
      </c>
      <c r="C54" s="10" t="s">
        <v>2149</v>
      </c>
      <c r="D54" s="10" t="s">
        <v>2162</v>
      </c>
      <c r="E54" s="10" t="s">
        <v>2235</v>
      </c>
      <c r="F54" s="10" t="s">
        <v>2236</v>
      </c>
      <c r="G54" s="10" t="s">
        <v>2193</v>
      </c>
      <c r="H54" s="10" t="s">
        <v>2237</v>
      </c>
      <c r="I54" s="10" t="s">
        <v>2116</v>
      </c>
      <c r="J54" s="10" t="s">
        <v>1550</v>
      </c>
      <c r="K54" s="10" t="s">
        <v>2148</v>
      </c>
      <c r="L54" s="11">
        <v>202124100060662</v>
      </c>
      <c r="M54" s="20">
        <v>44210</v>
      </c>
      <c r="N54" s="20" t="str">
        <f>UPPER(TEXT(Tabla1[[#This Row],[FECHA RADICADO ENTRADA]],"MMM"))</f>
        <v>ENE</v>
      </c>
      <c r="O54" s="11">
        <v>202124110069721</v>
      </c>
      <c r="P54" s="20">
        <v>44214</v>
      </c>
      <c r="Q54" s="20" t="str">
        <f>UPPER(TEXT(Tabla1[[#This Row],[FECHA RADICADO ENTRADA]],"MMM"))</f>
        <v>ENE</v>
      </c>
      <c r="R54" s="10">
        <f t="shared" si="0"/>
        <v>-4</v>
      </c>
      <c r="S54" s="10" t="s">
        <v>2154</v>
      </c>
      <c r="U54" s="10" t="s">
        <v>2238</v>
      </c>
      <c r="V54" s="20">
        <v>43829</v>
      </c>
      <c r="W54" s="10" t="s">
        <v>45</v>
      </c>
      <c r="X54" s="10">
        <v>150</v>
      </c>
      <c r="Y54" s="11">
        <f>IFERROR(INT(Tabla1[[#This Row],[CANTIDAD UND FARMACEUTICAS]]/(VLOOKUP(Tabla1[[#This Row],[MEDICAMENTO]],TAB_REF!$K$3:$L$27,2,0))),"")</f>
        <v>5</v>
      </c>
      <c r="Z54" s="10" t="str">
        <f>IFERROR(VLOOKUP(Tabla1[[#This Row],[MEDICAMENTO]],TAB_REF!$B$3:$F$27,2,0), "")</f>
        <v xml:space="preserve">Metadona HCl </v>
      </c>
      <c r="AA54" s="10" t="str">
        <f>IFERROR(VLOOKUP(Tabla1[[#This Row],[MEDICAMENTO]],TAB_REF!$B$3:$F$27,3,0), "")</f>
        <v xml:space="preserve">10 mg </v>
      </c>
      <c r="AB54" s="10" t="str">
        <f>IFERROR(VLOOKUP(Tabla1[[#This Row],[MEDICAMENTO]],TAB_REF!$B$3:$F$27,4,0), "")</f>
        <v>Tabletas NACIONAL</v>
      </c>
      <c r="AC54" s="10" t="str">
        <f>IFERROR(VLOOKUP(Tabla1[[#This Row],[MEDICAMENTO]],TAB_REF!$B$3:$F$27,5,0), "")</f>
        <v>Caja x 30 unidades</v>
      </c>
      <c r="AD54" s="10" t="str">
        <f>IFERROR(VLOOKUP(Tabla1[[#This Row],[CANTIDAD UND COMERCIALES]],TAB_REF!$H$3:$I$1003,2,0)&amp;" ("&amp;Tabla1[[#This Row],[CANTIDAD UND COMERCIALES]]&amp;")"&amp;"_"&amp;Tabla1[[#This Row],[CANTIDAD]],"")</f>
        <v>Cinco (5)_Caja x 30 unidades</v>
      </c>
      <c r="AE54" s="31" t="e">
        <f>CONCATENATE([1]!Tabla1[[#This Row],[NOMBRE MED.]],[1]!Tabla1[[#This Row],[CONCENTRACION]],[1]!Tabla1[[#This Row],[FORMA FARMACEUTICA]])</f>
        <v>#REF!</v>
      </c>
    </row>
    <row r="55" spans="2:31" x14ac:dyDescent="0.25">
      <c r="B55" s="10">
        <v>19</v>
      </c>
      <c r="C55" s="10" t="s">
        <v>2241</v>
      </c>
      <c r="D55" s="10" t="s">
        <v>2182</v>
      </c>
      <c r="E55" s="10" t="s">
        <v>2242</v>
      </c>
      <c r="F55" s="10" t="s">
        <v>2243</v>
      </c>
      <c r="G55" s="10" t="s">
        <v>2244</v>
      </c>
      <c r="H55" s="10" t="s">
        <v>2245</v>
      </c>
      <c r="I55" s="10" t="s">
        <v>2129</v>
      </c>
      <c r="J55" s="10" t="s">
        <v>2045</v>
      </c>
      <c r="K55" s="10" t="s">
        <v>2148</v>
      </c>
      <c r="L55" s="11">
        <v>202124100065242</v>
      </c>
      <c r="M55" s="20">
        <v>44211</v>
      </c>
      <c r="N55" s="20" t="str">
        <f>UPPER(TEXT(Tabla1[[#This Row],[FECHA RADICADO ENTRADA]],"MMM"))</f>
        <v>ENE</v>
      </c>
      <c r="O55" s="11">
        <v>202124110069821</v>
      </c>
      <c r="P55" s="20">
        <v>44214</v>
      </c>
      <c r="Q55" s="20" t="str">
        <f>UPPER(TEXT(Tabla1[[#This Row],[FECHA RADICADO ENTRADA]],"MMM"))</f>
        <v>ENE</v>
      </c>
      <c r="R55" s="10">
        <f t="shared" si="0"/>
        <v>-3</v>
      </c>
      <c r="S55" s="10" t="s">
        <v>2154</v>
      </c>
      <c r="U55" s="10" t="s">
        <v>2246</v>
      </c>
      <c r="V55" s="20">
        <v>43803</v>
      </c>
      <c r="W55" s="10" t="s">
        <v>32</v>
      </c>
      <c r="X55" s="10">
        <v>1800</v>
      </c>
      <c r="Y55" s="11">
        <f>IFERROR(INT(Tabla1[[#This Row],[CANTIDAD UND FARMACEUTICAS]]/(VLOOKUP(Tabla1[[#This Row],[MEDICAMENTO]],TAB_REF!$K$3:$L$27,2,0))),"")</f>
        <v>60</v>
      </c>
      <c r="Z55" s="10" t="str">
        <f>IFERROR(VLOOKUP(Tabla1[[#This Row],[MEDICAMENTO]],TAB_REF!$B$3:$F$27,2,0), "")</f>
        <v xml:space="preserve">Fenobarbital </v>
      </c>
      <c r="AA55" s="10" t="str">
        <f>IFERROR(VLOOKUP(Tabla1[[#This Row],[MEDICAMENTO]],TAB_REF!$B$3:$F$27,3,0), "")</f>
        <v xml:space="preserve">100 mg </v>
      </c>
      <c r="AB55" s="10" t="str">
        <f>IFERROR(VLOOKUP(Tabla1[[#This Row],[MEDICAMENTO]],TAB_REF!$B$3:$F$27,4,0), "")</f>
        <v>Tabletas</v>
      </c>
      <c r="AC55" s="10" t="str">
        <f>IFERROR(VLOOKUP(Tabla1[[#This Row],[MEDICAMENTO]],TAB_REF!$B$3:$F$27,5,0), "")</f>
        <v>Caja x 30 unidades</v>
      </c>
      <c r="AD55" s="10" t="str">
        <f>IFERROR(VLOOKUP(Tabla1[[#This Row],[CANTIDAD UND COMERCIALES]],TAB_REF!$H$3:$I$1003,2,0)&amp;" ("&amp;Tabla1[[#This Row],[CANTIDAD UND COMERCIALES]]&amp;")"&amp;"_"&amp;Tabla1[[#This Row],[CANTIDAD]],"")</f>
        <v>Sesenta (60)_Caja x 30 unidades</v>
      </c>
      <c r="AE55" s="31" t="e">
        <f>CONCATENATE([1]!Tabla1[[#This Row],[NOMBRE MED.]],[1]!Tabla1[[#This Row],[CONCENTRACION]],[1]!Tabla1[[#This Row],[FORMA FARMACEUTICA]])</f>
        <v>#REF!</v>
      </c>
    </row>
    <row r="56" spans="2:31" x14ac:dyDescent="0.25">
      <c r="B56" s="10">
        <v>19</v>
      </c>
      <c r="C56" s="10" t="s">
        <v>2241</v>
      </c>
      <c r="D56" s="10" t="s">
        <v>2182</v>
      </c>
      <c r="E56" s="10" t="s">
        <v>2242</v>
      </c>
      <c r="F56" s="10" t="s">
        <v>2243</v>
      </c>
      <c r="G56" s="10" t="s">
        <v>2244</v>
      </c>
      <c r="H56" s="10" t="s">
        <v>2245</v>
      </c>
      <c r="I56" s="10" t="s">
        <v>2129</v>
      </c>
      <c r="J56" s="10" t="s">
        <v>2045</v>
      </c>
      <c r="K56" s="10" t="s">
        <v>2148</v>
      </c>
      <c r="L56" s="11">
        <v>202124100065242</v>
      </c>
      <c r="M56" s="20">
        <v>44211</v>
      </c>
      <c r="N56" s="20" t="str">
        <f>UPPER(TEXT(Tabla1[[#This Row],[FECHA RADICADO ENTRADA]],"MMM"))</f>
        <v>ENE</v>
      </c>
      <c r="O56" s="11">
        <v>202124110069821</v>
      </c>
      <c r="P56" s="20">
        <v>44214</v>
      </c>
      <c r="Q56" s="20" t="str">
        <f>UPPER(TEXT(Tabla1[[#This Row],[FECHA RADICADO ENTRADA]],"MMM"))</f>
        <v>ENE</v>
      </c>
      <c r="R56" s="10">
        <f t="shared" si="0"/>
        <v>-3</v>
      </c>
      <c r="S56" s="10" t="s">
        <v>2154</v>
      </c>
      <c r="U56" s="10" t="s">
        <v>2246</v>
      </c>
      <c r="V56" s="20">
        <v>43803</v>
      </c>
      <c r="W56" s="10" t="s">
        <v>41</v>
      </c>
      <c r="X56" s="10">
        <v>50</v>
      </c>
      <c r="Y56" s="11">
        <f>IFERROR(INT(Tabla1[[#This Row],[CANTIDAD UND FARMACEUTICAS]]/(VLOOKUP(Tabla1[[#This Row],[MEDICAMENTO]],TAB_REF!$K$3:$L$27,2,0))),"")</f>
        <v>5</v>
      </c>
      <c r="Z56" s="10" t="str">
        <f>IFERROR(VLOOKUP(Tabla1[[#This Row],[MEDICAMENTO]],TAB_REF!$B$3:$F$27,2,0), "")</f>
        <v xml:space="preserve">Meperidina HCl </v>
      </c>
      <c r="AA56" s="10" t="str">
        <f>IFERROR(VLOOKUP(Tabla1[[#This Row],[MEDICAMENTO]],TAB_REF!$B$3:$F$27,3,0), "")</f>
        <v xml:space="preserve">100 mg/2mL </v>
      </c>
      <c r="AB56" s="10" t="str">
        <f>IFERROR(VLOOKUP(Tabla1[[#This Row],[MEDICAMENTO]],TAB_REF!$B$3:$F$27,4,0), "")</f>
        <v>Solución Inyectable</v>
      </c>
      <c r="AC56" s="10" t="str">
        <f>IFERROR(VLOOKUP(Tabla1[[#This Row],[MEDICAMENTO]],TAB_REF!$B$3:$F$27,5,0), "")</f>
        <v>Caja 10 ampollas</v>
      </c>
      <c r="AD56" s="10" t="str">
        <f>IFERROR(VLOOKUP(Tabla1[[#This Row],[CANTIDAD UND COMERCIALES]],TAB_REF!$H$3:$I$1003,2,0)&amp;" ("&amp;Tabla1[[#This Row],[CANTIDAD UND COMERCIALES]]&amp;")"&amp;"_"&amp;Tabla1[[#This Row],[CANTIDAD]],"")</f>
        <v>Cinco (5)_Caja 10 ampollas</v>
      </c>
      <c r="AE56" s="31" t="e">
        <f>CONCATENATE([1]!Tabla1[[#This Row],[NOMBRE MED.]],[1]!Tabla1[[#This Row],[CONCENTRACION]],[1]!Tabla1[[#This Row],[FORMA FARMACEUTICA]])</f>
        <v>#REF!</v>
      </c>
    </row>
    <row r="57" spans="2:31" x14ac:dyDescent="0.25">
      <c r="B57" s="10">
        <v>19</v>
      </c>
      <c r="C57" s="10" t="s">
        <v>2241</v>
      </c>
      <c r="D57" s="10" t="s">
        <v>2182</v>
      </c>
      <c r="E57" s="10" t="s">
        <v>2242</v>
      </c>
      <c r="F57" s="10" t="s">
        <v>2243</v>
      </c>
      <c r="G57" s="10" t="s">
        <v>2244</v>
      </c>
      <c r="H57" s="10" t="s">
        <v>2245</v>
      </c>
      <c r="I57" s="10" t="s">
        <v>2129</v>
      </c>
      <c r="J57" s="10" t="s">
        <v>2045</v>
      </c>
      <c r="K57" s="10" t="s">
        <v>2148</v>
      </c>
      <c r="L57" s="11">
        <v>202124100065242</v>
      </c>
      <c r="M57" s="20">
        <v>44211</v>
      </c>
      <c r="N57" s="20" t="str">
        <f>UPPER(TEXT(Tabla1[[#This Row],[FECHA RADICADO ENTRADA]],"MMM"))</f>
        <v>ENE</v>
      </c>
      <c r="O57" s="11">
        <v>202124110069821</v>
      </c>
      <c r="P57" s="20">
        <v>44214</v>
      </c>
      <c r="Q57" s="20" t="str">
        <f>UPPER(TEXT(Tabla1[[#This Row],[FECHA RADICADO ENTRADA]],"MMM"))</f>
        <v>ENE</v>
      </c>
      <c r="R57" s="10">
        <f t="shared" si="0"/>
        <v>-3</v>
      </c>
      <c r="S57" s="10" t="s">
        <v>2154</v>
      </c>
      <c r="U57" s="10" t="s">
        <v>2246</v>
      </c>
      <c r="V57" s="20">
        <v>43803</v>
      </c>
      <c r="W57" s="10" t="s">
        <v>48</v>
      </c>
      <c r="X57" s="10">
        <v>300</v>
      </c>
      <c r="Y57" s="11">
        <f>IFERROR(INT(Tabla1[[#This Row],[CANTIDAD UND FARMACEUTICAS]]/(VLOOKUP(Tabla1[[#This Row],[MEDICAMENTO]],TAB_REF!$K$3:$L$27,2,0))),"")</f>
        <v>10</v>
      </c>
      <c r="Z57" s="10" t="str">
        <f>IFERROR(VLOOKUP(Tabla1[[#This Row],[MEDICAMENTO]],TAB_REF!$B$3:$F$27,2,0), "")</f>
        <v xml:space="preserve">Metilfenidato HCl </v>
      </c>
      <c r="AA57" s="10" t="str">
        <f>IFERROR(VLOOKUP(Tabla1[[#This Row],[MEDICAMENTO]],TAB_REF!$B$3:$F$27,3,0), "")</f>
        <v xml:space="preserve">10 mg </v>
      </c>
      <c r="AB57" s="10" t="str">
        <f>IFERROR(VLOOKUP(Tabla1[[#This Row],[MEDICAMENTO]],TAB_REF!$B$3:$F$27,4,0), "")</f>
        <v>Comprimidos</v>
      </c>
      <c r="AC57" s="10" t="str">
        <f>IFERROR(VLOOKUP(Tabla1[[#This Row],[MEDICAMENTO]],TAB_REF!$B$3:$F$27,5,0), "")</f>
        <v>Caja x 30 unidades</v>
      </c>
      <c r="AD57" s="10" t="str">
        <f>IFERROR(VLOOKUP(Tabla1[[#This Row],[CANTIDAD UND COMERCIALES]],TAB_REF!$H$3:$I$1003,2,0)&amp;" ("&amp;Tabla1[[#This Row],[CANTIDAD UND COMERCIALES]]&amp;")"&amp;"_"&amp;Tabla1[[#This Row],[CANTIDAD]],"")</f>
        <v>Diez (10)_Caja x 30 unidades</v>
      </c>
      <c r="AE57" s="31" t="e">
        <f>CONCATENATE([1]!Tabla1[[#This Row],[NOMBRE MED.]],[1]!Tabla1[[#This Row],[CONCENTRACION]],[1]!Tabla1[[#This Row],[FORMA FARMACEUTICA]])</f>
        <v>#REF!</v>
      </c>
    </row>
    <row r="58" spans="2:31" x14ac:dyDescent="0.25">
      <c r="B58" s="10">
        <v>19</v>
      </c>
      <c r="C58" s="10" t="s">
        <v>2241</v>
      </c>
      <c r="D58" s="10" t="s">
        <v>2182</v>
      </c>
      <c r="E58" s="10" t="s">
        <v>2242</v>
      </c>
      <c r="F58" s="10" t="s">
        <v>2243</v>
      </c>
      <c r="G58" s="10" t="s">
        <v>2244</v>
      </c>
      <c r="H58" s="10" t="s">
        <v>2245</v>
      </c>
      <c r="I58" s="10" t="s">
        <v>2129</v>
      </c>
      <c r="J58" s="10" t="s">
        <v>2045</v>
      </c>
      <c r="K58" s="10" t="s">
        <v>2148</v>
      </c>
      <c r="L58" s="11">
        <v>202124100065242</v>
      </c>
      <c r="M58" s="20">
        <v>44211</v>
      </c>
      <c r="N58" s="20" t="str">
        <f>UPPER(TEXT(Tabla1[[#This Row],[FECHA RADICADO ENTRADA]],"MMM"))</f>
        <v>ENE</v>
      </c>
      <c r="O58" s="11">
        <v>202124110069821</v>
      </c>
      <c r="P58" s="20">
        <v>44214</v>
      </c>
      <c r="Q58" s="20" t="str">
        <f>UPPER(TEXT(Tabla1[[#This Row],[FECHA RADICADO ENTRADA]],"MMM"))</f>
        <v>ENE</v>
      </c>
      <c r="R58" s="10">
        <f t="shared" si="0"/>
        <v>-3</v>
      </c>
      <c r="S58" s="10" t="s">
        <v>2154</v>
      </c>
      <c r="U58" s="10" t="s">
        <v>2246</v>
      </c>
      <c r="V58" s="20">
        <v>43803</v>
      </c>
      <c r="W58" s="10" t="s">
        <v>63</v>
      </c>
      <c r="X58" s="10">
        <v>100</v>
      </c>
      <c r="Y58" s="11">
        <f>IFERROR(INT(Tabla1[[#This Row],[CANTIDAD UND FARMACEUTICAS]]/(VLOOKUP(Tabla1[[#This Row],[MEDICAMENTO]],TAB_REF!$K$3:$L$27,2,0))),"")</f>
        <v>10</v>
      </c>
      <c r="Z58" s="10" t="str">
        <f>IFERROR(VLOOKUP(Tabla1[[#This Row],[MEDICAMENTO]],TAB_REF!$B$3:$F$27,2,0), "")</f>
        <v xml:space="preserve">Morfina HCl </v>
      </c>
      <c r="AA58" s="10" t="str">
        <f>IFERROR(VLOOKUP(Tabla1[[#This Row],[MEDICAMENTO]],TAB_REF!$B$3:$F$27,3,0), "")</f>
        <v xml:space="preserve">10 mg/mL </v>
      </c>
      <c r="AB58" s="10" t="str">
        <f>IFERROR(VLOOKUP(Tabla1[[#This Row],[MEDICAMENTO]],TAB_REF!$B$3:$F$27,4,0), "")</f>
        <v>Solución Inyectable</v>
      </c>
      <c r="AC58" s="10" t="str">
        <f>IFERROR(VLOOKUP(Tabla1[[#This Row],[MEDICAMENTO]],TAB_REF!$B$3:$F$27,5,0), "")</f>
        <v>Caja x 10 unidades</v>
      </c>
      <c r="AD58" s="10" t="str">
        <f>IFERROR(VLOOKUP(Tabla1[[#This Row],[CANTIDAD UND COMERCIALES]],TAB_REF!$H$3:$I$1003,2,0)&amp;" ("&amp;Tabla1[[#This Row],[CANTIDAD UND COMERCIALES]]&amp;")"&amp;"_"&amp;Tabla1[[#This Row],[CANTIDAD]],"")</f>
        <v>Diez (10)_Caja x 10 unidades</v>
      </c>
      <c r="AE58" s="31" t="e">
        <f>CONCATENATE([1]!Tabla1[[#This Row],[NOMBRE MED.]],[1]!Tabla1[[#This Row],[CONCENTRACION]],[1]!Tabla1[[#This Row],[FORMA FARMACEUTICA]])</f>
        <v>#REF!</v>
      </c>
    </row>
    <row r="59" spans="2:31" x14ac:dyDescent="0.25">
      <c r="B59" s="10">
        <v>19</v>
      </c>
      <c r="C59" s="10" t="s">
        <v>2241</v>
      </c>
      <c r="D59" s="10" t="s">
        <v>2182</v>
      </c>
      <c r="E59" s="10" t="s">
        <v>2242</v>
      </c>
      <c r="F59" s="10" t="s">
        <v>2243</v>
      </c>
      <c r="G59" s="10" t="s">
        <v>2244</v>
      </c>
      <c r="H59" s="10" t="s">
        <v>2245</v>
      </c>
      <c r="I59" s="10" t="s">
        <v>2129</v>
      </c>
      <c r="J59" s="10" t="s">
        <v>2045</v>
      </c>
      <c r="K59" s="10" t="s">
        <v>2148</v>
      </c>
      <c r="L59" s="11">
        <v>202124100065242</v>
      </c>
      <c r="M59" s="20">
        <v>44211</v>
      </c>
      <c r="N59" s="20" t="str">
        <f>UPPER(TEXT(Tabla1[[#This Row],[FECHA RADICADO ENTRADA]],"MMM"))</f>
        <v>ENE</v>
      </c>
      <c r="O59" s="11">
        <v>202124110069821</v>
      </c>
      <c r="P59" s="20">
        <v>44214</v>
      </c>
      <c r="Q59" s="20" t="str">
        <f>UPPER(TEXT(Tabla1[[#This Row],[FECHA RADICADO ENTRADA]],"MMM"))</f>
        <v>ENE</v>
      </c>
      <c r="R59" s="10">
        <f t="shared" si="0"/>
        <v>-3</v>
      </c>
      <c r="S59" s="10" t="s">
        <v>2154</v>
      </c>
      <c r="U59" s="10" t="s">
        <v>2246</v>
      </c>
      <c r="V59" s="20">
        <v>43803</v>
      </c>
      <c r="W59" s="10" t="s">
        <v>34</v>
      </c>
      <c r="X59" s="10">
        <v>30</v>
      </c>
      <c r="Y59" s="11">
        <f>IFERROR(INT(Tabla1[[#This Row],[CANTIDAD UND FARMACEUTICAS]]/(VLOOKUP(Tabla1[[#This Row],[MEDICAMENTO]],TAB_REF!$K$3:$L$27,2,0))),"")</f>
        <v>3</v>
      </c>
      <c r="Z59" s="10" t="str">
        <f>IFERROR(VLOOKUP(Tabla1[[#This Row],[MEDICAMENTO]],TAB_REF!$B$3:$F$27,2,0), "")</f>
        <v xml:space="preserve">Fenobarbital Sódico </v>
      </c>
      <c r="AA59" s="10" t="str">
        <f>IFERROR(VLOOKUP(Tabla1[[#This Row],[MEDICAMENTO]],TAB_REF!$B$3:$F$27,3,0), "")</f>
        <v xml:space="preserve">200 mg/Ml </v>
      </c>
      <c r="AB59" s="10" t="str">
        <f>IFERROR(VLOOKUP(Tabla1[[#This Row],[MEDICAMENTO]],TAB_REF!$B$3:$F$27,4,0), "")</f>
        <v>Solución Inyectable</v>
      </c>
      <c r="AC59" s="10" t="str">
        <f>IFERROR(VLOOKUP(Tabla1[[#This Row],[MEDICAMENTO]],TAB_REF!$B$3:$F$27,5,0), "")</f>
        <v>Caja x 10 unidades</v>
      </c>
      <c r="AD59" s="10" t="str">
        <f>IFERROR(VLOOKUP(Tabla1[[#This Row],[CANTIDAD UND COMERCIALES]],TAB_REF!$H$3:$I$1003,2,0)&amp;" ("&amp;Tabla1[[#This Row],[CANTIDAD UND COMERCIALES]]&amp;")"&amp;"_"&amp;Tabla1[[#This Row],[CANTIDAD]],"")</f>
        <v>Tres (3)_Caja x 10 unidades</v>
      </c>
      <c r="AE59" s="31" t="e">
        <f>CONCATENATE([1]!Tabla1[[#This Row],[NOMBRE MED.]],[1]!Tabla1[[#This Row],[CONCENTRACION]],[1]!Tabla1[[#This Row],[FORMA FARMACEUTICA]])</f>
        <v>#REF!</v>
      </c>
    </row>
    <row r="60" spans="2:31" s="36" customFormat="1" x14ac:dyDescent="0.25">
      <c r="B60" s="24">
        <v>20</v>
      </c>
      <c r="C60" s="24" t="s">
        <v>2194</v>
      </c>
      <c r="D60" s="24" t="s">
        <v>2195</v>
      </c>
      <c r="E60" s="24" t="s">
        <v>2248</v>
      </c>
      <c r="F60" s="24" t="s">
        <v>2247</v>
      </c>
      <c r="G60" s="24" t="s">
        <v>2197</v>
      </c>
      <c r="H60" s="24" t="s">
        <v>2198</v>
      </c>
      <c r="I60" s="24" t="s">
        <v>2129</v>
      </c>
      <c r="J60" s="24" t="s">
        <v>2011</v>
      </c>
      <c r="K60" s="24" t="s">
        <v>2148</v>
      </c>
      <c r="L60" s="25">
        <v>202124100069372</v>
      </c>
      <c r="M60" s="35">
        <v>44211</v>
      </c>
      <c r="N60" s="20" t="str">
        <f>UPPER(TEXT(Tabla1[[#This Row],[FECHA RADICADO ENTRADA]],"MMM"))</f>
        <v>ENE</v>
      </c>
      <c r="O60" s="25">
        <v>202124110069911</v>
      </c>
      <c r="P60" s="20">
        <v>44214</v>
      </c>
      <c r="Q60" s="20" t="str">
        <f>UPPER(TEXT(Tabla1[[#This Row],[FECHA RADICADO ENTRADA]],"MMM"))</f>
        <v>ENE</v>
      </c>
      <c r="R60" s="24">
        <f t="shared" si="0"/>
        <v>-3</v>
      </c>
      <c r="S60" s="24" t="s">
        <v>2154</v>
      </c>
      <c r="T60" s="24" t="s">
        <v>2324</v>
      </c>
      <c r="U60" s="24" t="s">
        <v>2249</v>
      </c>
      <c r="V60" s="35">
        <v>43420</v>
      </c>
      <c r="W60" s="24" t="s">
        <v>32</v>
      </c>
      <c r="X60" s="24">
        <v>0</v>
      </c>
      <c r="Y60" s="25">
        <f>IFERROR(INT(Tabla1[[#This Row],[CANTIDAD UND FARMACEUTICAS]]/(VLOOKUP(Tabla1[[#This Row],[MEDICAMENTO]],TAB_REF!$K$3:$L$27,2,0))),"")</f>
        <v>0</v>
      </c>
      <c r="Z60" s="24" t="str">
        <f>IFERROR(VLOOKUP(Tabla1[[#This Row],[MEDICAMENTO]],TAB_REF!$B$3:$F$27,2,0), "")</f>
        <v xml:space="preserve">Fenobarbital </v>
      </c>
      <c r="AA60" s="24" t="str">
        <f>IFERROR(VLOOKUP(Tabla1[[#This Row],[MEDICAMENTO]],TAB_REF!$B$3:$F$27,3,0), "")</f>
        <v xml:space="preserve">100 mg </v>
      </c>
      <c r="AB60" s="24" t="str">
        <f>IFERROR(VLOOKUP(Tabla1[[#This Row],[MEDICAMENTO]],TAB_REF!$B$3:$F$27,4,0), "")</f>
        <v>Tabletas</v>
      </c>
      <c r="AC60" s="24" t="str">
        <f>IFERROR(VLOOKUP(Tabla1[[#This Row],[MEDICAMENTO]],TAB_REF!$B$3:$F$27,5,0), "")</f>
        <v>Caja x 30 unidades</v>
      </c>
      <c r="AD60" s="24" t="str">
        <f>IFERROR(VLOOKUP(Tabla1[[#This Row],[CANTIDAD UND COMERCIALES]],TAB_REF!$H$3:$I$1003,2,0)&amp;" ("&amp;Tabla1[[#This Row],[CANTIDAD UND COMERCIALES]]&amp;")"&amp;"_"&amp;Tabla1[[#This Row],[CANTIDAD]],"")</f>
        <v/>
      </c>
      <c r="AE60" s="31" t="e">
        <f>CONCATENATE([1]!Tabla1[[#This Row],[NOMBRE MED.]],[1]!Tabla1[[#This Row],[CONCENTRACION]],[1]!Tabla1[[#This Row],[FORMA FARMACEUTICA]])</f>
        <v>#REF!</v>
      </c>
    </row>
    <row r="61" spans="2:31" s="36" customFormat="1" x14ac:dyDescent="0.25">
      <c r="B61" s="24">
        <v>20</v>
      </c>
      <c r="C61" s="24" t="s">
        <v>2194</v>
      </c>
      <c r="D61" s="24" t="s">
        <v>2195</v>
      </c>
      <c r="E61" s="24" t="s">
        <v>2248</v>
      </c>
      <c r="F61" s="24" t="s">
        <v>2247</v>
      </c>
      <c r="G61" s="24" t="s">
        <v>2197</v>
      </c>
      <c r="H61" s="24" t="s">
        <v>2198</v>
      </c>
      <c r="I61" s="24" t="s">
        <v>2129</v>
      </c>
      <c r="J61" s="24" t="s">
        <v>2011</v>
      </c>
      <c r="K61" s="24" t="s">
        <v>2148</v>
      </c>
      <c r="L61" s="25">
        <v>202124100069372</v>
      </c>
      <c r="M61" s="35">
        <v>44211</v>
      </c>
      <c r="N61" s="20" t="str">
        <f>UPPER(TEXT(Tabla1[[#This Row],[FECHA RADICADO ENTRADA]],"MMM"))</f>
        <v>ENE</v>
      </c>
      <c r="O61" s="25">
        <v>202124110069911</v>
      </c>
      <c r="P61" s="20">
        <v>44214</v>
      </c>
      <c r="Q61" s="20" t="str">
        <f>UPPER(TEXT(Tabla1[[#This Row],[FECHA RADICADO ENTRADA]],"MMM"))</f>
        <v>ENE</v>
      </c>
      <c r="R61" s="24">
        <f t="shared" si="0"/>
        <v>-3</v>
      </c>
      <c r="S61" s="24" t="s">
        <v>2154</v>
      </c>
      <c r="T61" s="24" t="s">
        <v>2324</v>
      </c>
      <c r="U61" s="24" t="s">
        <v>2249</v>
      </c>
      <c r="V61" s="35">
        <v>43420</v>
      </c>
      <c r="W61" s="24" t="s">
        <v>30</v>
      </c>
      <c r="X61" s="24">
        <v>0</v>
      </c>
      <c r="Y61" s="25">
        <f>IFERROR(INT(Tabla1[[#This Row],[CANTIDAD UND FARMACEUTICAS]]/(VLOOKUP(Tabla1[[#This Row],[MEDICAMENTO]],TAB_REF!$K$3:$L$27,2,0))),"")</f>
        <v>0</v>
      </c>
      <c r="Z61" s="24" t="str">
        <f>IFERROR(VLOOKUP(Tabla1[[#This Row],[MEDICAMENTO]],TAB_REF!$B$3:$F$27,2,0), "")</f>
        <v xml:space="preserve">Fenobarbital </v>
      </c>
      <c r="AA61" s="24" t="str">
        <f>IFERROR(VLOOKUP(Tabla1[[#This Row],[MEDICAMENTO]],TAB_REF!$B$3:$F$27,3,0), "")</f>
        <v xml:space="preserve">10 mg </v>
      </c>
      <c r="AB61" s="24" t="str">
        <f>IFERROR(VLOOKUP(Tabla1[[#This Row],[MEDICAMENTO]],TAB_REF!$B$3:$F$27,4,0), "")</f>
        <v>Tabletas</v>
      </c>
      <c r="AC61" s="24" t="str">
        <f>IFERROR(VLOOKUP(Tabla1[[#This Row],[MEDICAMENTO]],TAB_REF!$B$3:$F$27,5,0), "")</f>
        <v>Caja x 30 unidades</v>
      </c>
      <c r="AD61" s="24" t="str">
        <f>IFERROR(VLOOKUP(Tabla1[[#This Row],[CANTIDAD UND COMERCIALES]],TAB_REF!$H$3:$I$1003,2,0)&amp;" ("&amp;Tabla1[[#This Row],[CANTIDAD UND COMERCIALES]]&amp;")"&amp;"_"&amp;Tabla1[[#This Row],[CANTIDAD]],"")</f>
        <v/>
      </c>
      <c r="AE61" s="31" t="e">
        <f>CONCATENATE([1]!Tabla1[[#This Row],[NOMBRE MED.]],[1]!Tabla1[[#This Row],[CONCENTRACION]],[1]!Tabla1[[#This Row],[FORMA FARMACEUTICA]])</f>
        <v>#REF!</v>
      </c>
    </row>
    <row r="62" spans="2:31" s="36" customFormat="1" x14ac:dyDescent="0.25">
      <c r="B62" s="24">
        <v>20</v>
      </c>
      <c r="C62" s="24" t="s">
        <v>2194</v>
      </c>
      <c r="D62" s="24" t="s">
        <v>2195</v>
      </c>
      <c r="E62" s="24" t="s">
        <v>2248</v>
      </c>
      <c r="F62" s="24" t="s">
        <v>2247</v>
      </c>
      <c r="G62" s="24" t="s">
        <v>2197</v>
      </c>
      <c r="H62" s="24" t="s">
        <v>2198</v>
      </c>
      <c r="I62" s="24" t="s">
        <v>2129</v>
      </c>
      <c r="J62" s="24" t="s">
        <v>2011</v>
      </c>
      <c r="K62" s="24" t="s">
        <v>2148</v>
      </c>
      <c r="L62" s="25">
        <v>202124100069372</v>
      </c>
      <c r="M62" s="35">
        <v>44211</v>
      </c>
      <c r="N62" s="20" t="str">
        <f>UPPER(TEXT(Tabla1[[#This Row],[FECHA RADICADO ENTRADA]],"MMM"))</f>
        <v>ENE</v>
      </c>
      <c r="O62" s="25">
        <v>202124110069911</v>
      </c>
      <c r="P62" s="20">
        <v>44214</v>
      </c>
      <c r="Q62" s="20" t="str">
        <f>UPPER(TEXT(Tabla1[[#This Row],[FECHA RADICADO ENTRADA]],"MMM"))</f>
        <v>ENE</v>
      </c>
      <c r="R62" s="24">
        <f t="shared" si="0"/>
        <v>-3</v>
      </c>
      <c r="S62" s="24" t="s">
        <v>2154</v>
      </c>
      <c r="T62" s="24" t="s">
        <v>2324</v>
      </c>
      <c r="U62" s="24" t="s">
        <v>2249</v>
      </c>
      <c r="V62" s="35">
        <v>43420</v>
      </c>
      <c r="W62" s="24" t="s">
        <v>37</v>
      </c>
      <c r="X62" s="24">
        <v>0</v>
      </c>
      <c r="Y62" s="25">
        <f>IFERROR(INT(Tabla1[[#This Row],[CANTIDAD UND FARMACEUTICAS]]/(VLOOKUP(Tabla1[[#This Row],[MEDICAMENTO]],TAB_REF!$K$3:$L$27,2,0))),"")</f>
        <v>0</v>
      </c>
      <c r="Z62" s="24" t="str">
        <f>IFERROR(VLOOKUP(Tabla1[[#This Row],[MEDICAMENTO]],TAB_REF!$B$3:$F$27,2,0), "")</f>
        <v xml:space="preserve">Hidromorfona HCl </v>
      </c>
      <c r="AA62" s="24" t="str">
        <f>IFERROR(VLOOKUP(Tabla1[[#This Row],[MEDICAMENTO]],TAB_REF!$B$3:$F$27,3,0), "")</f>
        <v xml:space="preserve">2 mg/mL </v>
      </c>
      <c r="AB62" s="24" t="str">
        <f>IFERROR(VLOOKUP(Tabla1[[#This Row],[MEDICAMENTO]],TAB_REF!$B$3:$F$27,4,0), "")</f>
        <v>Solución Inyectable</v>
      </c>
      <c r="AC62" s="24" t="str">
        <f>IFERROR(VLOOKUP(Tabla1[[#This Row],[MEDICAMENTO]],TAB_REF!$B$3:$F$27,5,0), "")</f>
        <v>Caja x 10 unidades</v>
      </c>
      <c r="AD62" s="24" t="str">
        <f>IFERROR(VLOOKUP(Tabla1[[#This Row],[CANTIDAD UND COMERCIALES]],TAB_REF!$H$3:$I$1003,2,0)&amp;" ("&amp;Tabla1[[#This Row],[CANTIDAD UND COMERCIALES]]&amp;")"&amp;"_"&amp;Tabla1[[#This Row],[CANTIDAD]],"")</f>
        <v/>
      </c>
      <c r="AE62" s="31" t="e">
        <f>CONCATENATE([1]!Tabla1[[#This Row],[NOMBRE MED.]],[1]!Tabla1[[#This Row],[CONCENTRACION]],[1]!Tabla1[[#This Row],[FORMA FARMACEUTICA]])</f>
        <v>#REF!</v>
      </c>
    </row>
    <row r="63" spans="2:31" s="36" customFormat="1" x14ac:dyDescent="0.25">
      <c r="B63" s="24">
        <v>20</v>
      </c>
      <c r="C63" s="24" t="s">
        <v>2194</v>
      </c>
      <c r="D63" s="24" t="s">
        <v>2195</v>
      </c>
      <c r="E63" s="24" t="s">
        <v>2248</v>
      </c>
      <c r="F63" s="24" t="s">
        <v>2247</v>
      </c>
      <c r="G63" s="24" t="s">
        <v>2197</v>
      </c>
      <c r="H63" s="24" t="s">
        <v>2198</v>
      </c>
      <c r="I63" s="24" t="s">
        <v>2129</v>
      </c>
      <c r="J63" s="24" t="s">
        <v>2011</v>
      </c>
      <c r="K63" s="24" t="s">
        <v>2148</v>
      </c>
      <c r="L63" s="25">
        <v>202124100069372</v>
      </c>
      <c r="M63" s="35">
        <v>44211</v>
      </c>
      <c r="N63" s="20" t="str">
        <f>UPPER(TEXT(Tabla1[[#This Row],[FECHA RADICADO ENTRADA]],"MMM"))</f>
        <v>ENE</v>
      </c>
      <c r="O63" s="25">
        <v>202124110069911</v>
      </c>
      <c r="P63" s="20">
        <v>44214</v>
      </c>
      <c r="Q63" s="20" t="str">
        <f>UPPER(TEXT(Tabla1[[#This Row],[FECHA RADICADO ENTRADA]],"MMM"))</f>
        <v>ENE</v>
      </c>
      <c r="R63" s="24">
        <f t="shared" si="0"/>
        <v>-3</v>
      </c>
      <c r="S63" s="24" t="s">
        <v>2154</v>
      </c>
      <c r="T63" s="24" t="s">
        <v>2324</v>
      </c>
      <c r="U63" s="24" t="s">
        <v>2249</v>
      </c>
      <c r="V63" s="35">
        <v>43420</v>
      </c>
      <c r="W63" s="24" t="s">
        <v>38</v>
      </c>
      <c r="X63" s="24">
        <v>0</v>
      </c>
      <c r="Y63" s="25">
        <f>IFERROR(INT(Tabla1[[#This Row],[CANTIDAD UND FARMACEUTICAS]]/(VLOOKUP(Tabla1[[#This Row],[MEDICAMENTO]],TAB_REF!$K$3:$L$27,2,0))),"")</f>
        <v>0</v>
      </c>
      <c r="Z63" s="24" t="str">
        <f>IFERROR(VLOOKUP(Tabla1[[#This Row],[MEDICAMENTO]],TAB_REF!$B$3:$F$27,2,0), "")</f>
        <v xml:space="preserve">Hidromorfona HCl </v>
      </c>
      <c r="AA63" s="24" t="str">
        <f>IFERROR(VLOOKUP(Tabla1[[#This Row],[MEDICAMENTO]],TAB_REF!$B$3:$F$27,3,0), "")</f>
        <v xml:space="preserve">2,5 mg </v>
      </c>
      <c r="AB63" s="24" t="str">
        <f>IFERROR(VLOOKUP(Tabla1[[#This Row],[MEDICAMENTO]],TAB_REF!$B$3:$F$27,4,0), "")</f>
        <v>Tabletas</v>
      </c>
      <c r="AC63" s="24" t="str">
        <f>IFERROR(VLOOKUP(Tabla1[[#This Row],[MEDICAMENTO]],TAB_REF!$B$3:$F$27,5,0), "")</f>
        <v>Caja x 20 unidades</v>
      </c>
      <c r="AD63" s="24" t="str">
        <f>IFERROR(VLOOKUP(Tabla1[[#This Row],[CANTIDAD UND COMERCIALES]],TAB_REF!$H$3:$I$1003,2,0)&amp;" ("&amp;Tabla1[[#This Row],[CANTIDAD UND COMERCIALES]]&amp;")"&amp;"_"&amp;Tabla1[[#This Row],[CANTIDAD]],"")</f>
        <v/>
      </c>
      <c r="AE63" s="31" t="e">
        <f>CONCATENATE([1]!Tabla1[[#This Row],[NOMBRE MED.]],[1]!Tabla1[[#This Row],[CONCENTRACION]],[1]!Tabla1[[#This Row],[FORMA FARMACEUTICA]])</f>
        <v>#REF!</v>
      </c>
    </row>
    <row r="64" spans="2:31" s="36" customFormat="1" x14ac:dyDescent="0.25">
      <c r="B64" s="24">
        <v>20</v>
      </c>
      <c r="C64" s="24" t="s">
        <v>2194</v>
      </c>
      <c r="D64" s="24" t="s">
        <v>2195</v>
      </c>
      <c r="E64" s="24" t="s">
        <v>2248</v>
      </c>
      <c r="F64" s="24" t="s">
        <v>2247</v>
      </c>
      <c r="G64" s="24" t="s">
        <v>2197</v>
      </c>
      <c r="H64" s="24" t="s">
        <v>2198</v>
      </c>
      <c r="I64" s="24" t="s">
        <v>2129</v>
      </c>
      <c r="J64" s="24" t="s">
        <v>2011</v>
      </c>
      <c r="K64" s="24" t="s">
        <v>2148</v>
      </c>
      <c r="L64" s="25">
        <v>202124100069372</v>
      </c>
      <c r="M64" s="35">
        <v>44211</v>
      </c>
      <c r="N64" s="20" t="str">
        <f>UPPER(TEXT(Tabla1[[#This Row],[FECHA RADICADO ENTRADA]],"MMM"))</f>
        <v>ENE</v>
      </c>
      <c r="O64" s="25">
        <v>202124110069911</v>
      </c>
      <c r="P64" s="20">
        <v>44214</v>
      </c>
      <c r="Q64" s="20" t="str">
        <f>UPPER(TEXT(Tabla1[[#This Row],[FECHA RADICADO ENTRADA]],"MMM"))</f>
        <v>ENE</v>
      </c>
      <c r="R64" s="24">
        <f t="shared" si="0"/>
        <v>-3</v>
      </c>
      <c r="S64" s="24" t="s">
        <v>2154</v>
      </c>
      <c r="T64" s="24" t="s">
        <v>2324</v>
      </c>
      <c r="U64" s="24" t="s">
        <v>2249</v>
      </c>
      <c r="V64" s="35">
        <v>43420</v>
      </c>
      <c r="W64" s="24" t="s">
        <v>60</v>
      </c>
      <c r="X64" s="24">
        <v>0</v>
      </c>
      <c r="Y64" s="25">
        <f>IFERROR(INT(Tabla1[[#This Row],[CANTIDAD UND FARMACEUTICAS]]/(VLOOKUP(Tabla1[[#This Row],[MEDICAMENTO]],TAB_REF!$K$3:$L$27,2,0))),"")</f>
        <v>0</v>
      </c>
      <c r="Z64" s="24" t="str">
        <f>IFERROR(VLOOKUP(Tabla1[[#This Row],[MEDICAMENTO]],TAB_REF!$B$3:$F$27,2,0), "")</f>
        <v xml:space="preserve">Morfina HCl </v>
      </c>
      <c r="AA64" s="24" t="str">
        <f>IFERROR(VLOOKUP(Tabla1[[#This Row],[MEDICAMENTO]],TAB_REF!$B$3:$F$27,3,0), "")</f>
        <v xml:space="preserve">3%. </v>
      </c>
      <c r="AB64" s="24" t="str">
        <f>IFERROR(VLOOKUP(Tabla1[[#This Row],[MEDICAMENTO]],TAB_REF!$B$3:$F$27,4,0), "")</f>
        <v>Solución Oral</v>
      </c>
      <c r="AC64" s="24" t="str">
        <f>IFERROR(VLOOKUP(Tabla1[[#This Row],[MEDICAMENTO]],TAB_REF!$B$3:$F$27,5,0), "")</f>
        <v>Frasco x 30 mL</v>
      </c>
      <c r="AD64" s="24" t="str">
        <f>IFERROR(VLOOKUP(Tabla1[[#This Row],[CANTIDAD UND COMERCIALES]],TAB_REF!$H$3:$I$1003,2,0)&amp;" ("&amp;Tabla1[[#This Row],[CANTIDAD UND COMERCIALES]]&amp;")"&amp;"_"&amp;Tabla1[[#This Row],[CANTIDAD]],"")</f>
        <v/>
      </c>
      <c r="AE64" s="31" t="e">
        <f>CONCATENATE([1]!Tabla1[[#This Row],[NOMBRE MED.]],[1]!Tabla1[[#This Row],[CONCENTRACION]],[1]!Tabla1[[#This Row],[FORMA FARMACEUTICA]])</f>
        <v>#REF!</v>
      </c>
    </row>
    <row r="65" spans="2:31" s="36" customFormat="1" x14ac:dyDescent="0.25">
      <c r="B65" s="24">
        <v>20</v>
      </c>
      <c r="C65" s="24" t="s">
        <v>2194</v>
      </c>
      <c r="D65" s="24" t="s">
        <v>2195</v>
      </c>
      <c r="E65" s="24" t="s">
        <v>2248</v>
      </c>
      <c r="F65" s="24" t="s">
        <v>2247</v>
      </c>
      <c r="G65" s="24" t="s">
        <v>2197</v>
      </c>
      <c r="H65" s="24" t="s">
        <v>2198</v>
      </c>
      <c r="I65" s="24" t="s">
        <v>2129</v>
      </c>
      <c r="J65" s="24" t="s">
        <v>2011</v>
      </c>
      <c r="K65" s="24" t="s">
        <v>2148</v>
      </c>
      <c r="L65" s="25">
        <v>202124100069372</v>
      </c>
      <c r="M65" s="35">
        <v>44211</v>
      </c>
      <c r="N65" s="20" t="str">
        <f>UPPER(TEXT(Tabla1[[#This Row],[FECHA RADICADO ENTRADA]],"MMM"))</f>
        <v>ENE</v>
      </c>
      <c r="O65" s="25">
        <v>202124110069911</v>
      </c>
      <c r="P65" s="20">
        <v>44214</v>
      </c>
      <c r="Q65" s="20" t="str">
        <f>UPPER(TEXT(Tabla1[[#This Row],[FECHA RADICADO ENTRADA]],"MMM"))</f>
        <v>ENE</v>
      </c>
      <c r="R65" s="24">
        <f t="shared" si="0"/>
        <v>-3</v>
      </c>
      <c r="S65" s="24" t="s">
        <v>2154</v>
      </c>
      <c r="T65" s="24" t="s">
        <v>2324</v>
      </c>
      <c r="U65" s="24" t="s">
        <v>2249</v>
      </c>
      <c r="V65" s="35">
        <v>43420</v>
      </c>
      <c r="W65" s="24" t="s">
        <v>63</v>
      </c>
      <c r="X65" s="24">
        <v>0</v>
      </c>
      <c r="Y65" s="25">
        <f>IFERROR(INT(Tabla1[[#This Row],[CANTIDAD UND FARMACEUTICAS]]/(VLOOKUP(Tabla1[[#This Row],[MEDICAMENTO]],TAB_REF!$K$3:$L$27,2,0))),"")</f>
        <v>0</v>
      </c>
      <c r="Z65" s="24" t="str">
        <f>IFERROR(VLOOKUP(Tabla1[[#This Row],[MEDICAMENTO]],TAB_REF!$B$3:$F$27,2,0), "")</f>
        <v xml:space="preserve">Morfina HCl </v>
      </c>
      <c r="AA65" s="24" t="str">
        <f>IFERROR(VLOOKUP(Tabla1[[#This Row],[MEDICAMENTO]],TAB_REF!$B$3:$F$27,3,0), "")</f>
        <v xml:space="preserve">10 mg/mL </v>
      </c>
      <c r="AB65" s="24" t="str">
        <f>IFERROR(VLOOKUP(Tabla1[[#This Row],[MEDICAMENTO]],TAB_REF!$B$3:$F$27,4,0), "")</f>
        <v>Solución Inyectable</v>
      </c>
      <c r="AC65" s="24" t="str">
        <f>IFERROR(VLOOKUP(Tabla1[[#This Row],[MEDICAMENTO]],TAB_REF!$B$3:$F$27,5,0), "")</f>
        <v>Caja x 10 unidades</v>
      </c>
      <c r="AD65" s="24" t="str">
        <f>IFERROR(VLOOKUP(Tabla1[[#This Row],[CANTIDAD UND COMERCIALES]],TAB_REF!$H$3:$I$1003,2,0)&amp;" ("&amp;Tabla1[[#This Row],[CANTIDAD UND COMERCIALES]]&amp;")"&amp;"_"&amp;Tabla1[[#This Row],[CANTIDAD]],"")</f>
        <v/>
      </c>
      <c r="AE65" s="31" t="e">
        <f>CONCATENATE([1]!Tabla1[[#This Row],[NOMBRE MED.]],[1]!Tabla1[[#This Row],[CONCENTRACION]],[1]!Tabla1[[#This Row],[FORMA FARMACEUTICA]])</f>
        <v>#REF!</v>
      </c>
    </row>
    <row r="66" spans="2:31" x14ac:dyDescent="0.25">
      <c r="B66" s="10">
        <v>21</v>
      </c>
      <c r="C66" s="10" t="s">
        <v>2250</v>
      </c>
      <c r="D66" s="10" t="s">
        <v>2175</v>
      </c>
      <c r="E66" s="10" t="s">
        <v>2251</v>
      </c>
      <c r="F66" s="10" t="s">
        <v>2252</v>
      </c>
      <c r="G66" s="10" t="s">
        <v>2253</v>
      </c>
      <c r="H66" s="10" t="s">
        <v>2254</v>
      </c>
      <c r="I66" s="10" t="s">
        <v>2122</v>
      </c>
      <c r="J66" s="10" t="s">
        <v>1742</v>
      </c>
      <c r="K66" s="10" t="s">
        <v>2148</v>
      </c>
      <c r="L66" s="11">
        <v>202124100069442</v>
      </c>
      <c r="M66" s="20">
        <v>44211</v>
      </c>
      <c r="N66" s="20" t="str">
        <f>UPPER(TEXT(Tabla1[[#This Row],[FECHA RADICADO ENTRADA]],"MMM"))</f>
        <v>ENE</v>
      </c>
      <c r="O66" s="11">
        <v>202124110069961</v>
      </c>
      <c r="P66" s="20">
        <v>44214</v>
      </c>
      <c r="Q66" s="20" t="str">
        <f>UPPER(TEXT(Tabla1[[#This Row],[FECHA RADICADO ENTRADA]],"MMM"))</f>
        <v>ENE</v>
      </c>
      <c r="R66" s="10">
        <f t="shared" ref="R66:R129" si="1">_xlfn.DAYS(M66,P66)</f>
        <v>-3</v>
      </c>
      <c r="S66" s="10" t="s">
        <v>2154</v>
      </c>
      <c r="U66" s="10" t="s">
        <v>2255</v>
      </c>
      <c r="V66" s="20">
        <v>44036</v>
      </c>
      <c r="W66" s="10" t="s">
        <v>41</v>
      </c>
      <c r="X66" s="10">
        <v>1000</v>
      </c>
      <c r="Y66" s="11">
        <f>IFERROR(INT(Tabla1[[#This Row],[CANTIDAD UND FARMACEUTICAS]]/(VLOOKUP(Tabla1[[#This Row],[MEDICAMENTO]],TAB_REF!$K$3:$L$27,2,0))),"")</f>
        <v>100</v>
      </c>
      <c r="Z66" s="10" t="str">
        <f>IFERROR(VLOOKUP(Tabla1[[#This Row],[MEDICAMENTO]],TAB_REF!$B$3:$F$27,2,0), "")</f>
        <v xml:space="preserve">Meperidina HCl </v>
      </c>
      <c r="AA66" s="10" t="str">
        <f>IFERROR(VLOOKUP(Tabla1[[#This Row],[MEDICAMENTO]],TAB_REF!$B$3:$F$27,3,0), "")</f>
        <v xml:space="preserve">100 mg/2mL </v>
      </c>
      <c r="AB66" s="10" t="str">
        <f>IFERROR(VLOOKUP(Tabla1[[#This Row],[MEDICAMENTO]],TAB_REF!$B$3:$F$27,4,0), "")</f>
        <v>Solución Inyectable</v>
      </c>
      <c r="AC66" s="10" t="str">
        <f>IFERROR(VLOOKUP(Tabla1[[#This Row],[MEDICAMENTO]],TAB_REF!$B$3:$F$27,5,0), "")</f>
        <v>Caja 10 ampollas</v>
      </c>
      <c r="AD66" s="10" t="str">
        <f>IFERROR(VLOOKUP(Tabla1[[#This Row],[CANTIDAD UND COMERCIALES]],TAB_REF!$H$3:$I$1003,2,0)&amp;" ("&amp;Tabla1[[#This Row],[CANTIDAD UND COMERCIALES]]&amp;")"&amp;"_"&amp;Tabla1[[#This Row],[CANTIDAD]],"")</f>
        <v>Cien (100)_Caja 10 ampollas</v>
      </c>
      <c r="AE66" s="31" t="e">
        <f>CONCATENATE([1]!Tabla1[[#This Row],[NOMBRE MED.]],[1]!Tabla1[[#This Row],[CONCENTRACION]],[1]!Tabla1[[#This Row],[FORMA FARMACEUTICA]])</f>
        <v>#REF!</v>
      </c>
    </row>
    <row r="67" spans="2:31" x14ac:dyDescent="0.25">
      <c r="B67" s="10">
        <v>21</v>
      </c>
      <c r="C67" s="10" t="s">
        <v>2250</v>
      </c>
      <c r="D67" s="10" t="s">
        <v>2175</v>
      </c>
      <c r="E67" s="10" t="s">
        <v>2251</v>
      </c>
      <c r="F67" s="10" t="s">
        <v>2252</v>
      </c>
      <c r="G67" s="10" t="s">
        <v>2253</v>
      </c>
      <c r="H67" s="10" t="s">
        <v>2254</v>
      </c>
      <c r="I67" s="10" t="s">
        <v>2122</v>
      </c>
      <c r="J67" s="10" t="s">
        <v>1742</v>
      </c>
      <c r="K67" s="10" t="s">
        <v>2148</v>
      </c>
      <c r="L67" s="11">
        <v>202124100069442</v>
      </c>
      <c r="M67" s="20">
        <v>44211</v>
      </c>
      <c r="N67" s="20" t="str">
        <f>UPPER(TEXT(Tabla1[[#This Row],[FECHA RADICADO ENTRADA]],"MMM"))</f>
        <v>ENE</v>
      </c>
      <c r="O67" s="11">
        <v>202124110069961</v>
      </c>
      <c r="P67" s="20">
        <v>44214</v>
      </c>
      <c r="Q67" s="20" t="str">
        <f>UPPER(TEXT(Tabla1[[#This Row],[FECHA RADICADO ENTRADA]],"MMM"))</f>
        <v>ENE</v>
      </c>
      <c r="R67" s="10">
        <f t="shared" si="1"/>
        <v>-3</v>
      </c>
      <c r="S67" s="10" t="s">
        <v>2154</v>
      </c>
      <c r="U67" s="10" t="s">
        <v>2255</v>
      </c>
      <c r="V67" s="20">
        <v>44036</v>
      </c>
      <c r="W67" s="10" t="s">
        <v>63</v>
      </c>
      <c r="X67" s="10">
        <v>1000</v>
      </c>
      <c r="Y67" s="11">
        <f>IFERROR(INT(Tabla1[[#This Row],[CANTIDAD UND FARMACEUTICAS]]/(VLOOKUP(Tabla1[[#This Row],[MEDICAMENTO]],TAB_REF!$K$3:$L$27,2,0))),"")</f>
        <v>100</v>
      </c>
      <c r="Z67" s="10" t="str">
        <f>IFERROR(VLOOKUP(Tabla1[[#This Row],[MEDICAMENTO]],TAB_REF!$B$3:$F$27,2,0), "")</f>
        <v xml:space="preserve">Morfina HCl </v>
      </c>
      <c r="AA67" s="10" t="str">
        <f>IFERROR(VLOOKUP(Tabla1[[#This Row],[MEDICAMENTO]],TAB_REF!$B$3:$F$27,3,0), "")</f>
        <v xml:space="preserve">10 mg/mL </v>
      </c>
      <c r="AB67" s="10" t="str">
        <f>IFERROR(VLOOKUP(Tabla1[[#This Row],[MEDICAMENTO]],TAB_REF!$B$3:$F$27,4,0), "")</f>
        <v>Solución Inyectable</v>
      </c>
      <c r="AC67" s="10" t="str">
        <f>IFERROR(VLOOKUP(Tabla1[[#This Row],[MEDICAMENTO]],TAB_REF!$B$3:$F$27,5,0), "")</f>
        <v>Caja x 10 unidades</v>
      </c>
      <c r="AD67" s="10" t="str">
        <f>IFERROR(VLOOKUP(Tabla1[[#This Row],[CANTIDAD UND COMERCIALES]],TAB_REF!$H$3:$I$1003,2,0)&amp;" ("&amp;Tabla1[[#This Row],[CANTIDAD UND COMERCIALES]]&amp;")"&amp;"_"&amp;Tabla1[[#This Row],[CANTIDAD]],"")</f>
        <v>Cien (100)_Caja x 10 unidades</v>
      </c>
      <c r="AE67" s="31" t="e">
        <f>CONCATENATE([1]!Tabla1[[#This Row],[NOMBRE MED.]],[1]!Tabla1[[#This Row],[CONCENTRACION]],[1]!Tabla1[[#This Row],[FORMA FARMACEUTICA]])</f>
        <v>#REF!</v>
      </c>
    </row>
    <row r="68" spans="2:31" x14ac:dyDescent="0.25">
      <c r="B68" s="10">
        <v>21</v>
      </c>
      <c r="C68" s="10" t="s">
        <v>2250</v>
      </c>
      <c r="D68" s="10" t="s">
        <v>2175</v>
      </c>
      <c r="E68" s="10" t="s">
        <v>2251</v>
      </c>
      <c r="F68" s="10" t="s">
        <v>2252</v>
      </c>
      <c r="G68" s="10" t="s">
        <v>2253</v>
      </c>
      <c r="H68" s="10" t="s">
        <v>2254</v>
      </c>
      <c r="I68" s="10" t="s">
        <v>2122</v>
      </c>
      <c r="J68" s="10" t="s">
        <v>1742</v>
      </c>
      <c r="K68" s="10" t="s">
        <v>2148</v>
      </c>
      <c r="L68" s="11">
        <v>202124100069442</v>
      </c>
      <c r="M68" s="20">
        <v>44211</v>
      </c>
      <c r="N68" s="20" t="str">
        <f>UPPER(TEXT(Tabla1[[#This Row],[FECHA RADICADO ENTRADA]],"MMM"))</f>
        <v>ENE</v>
      </c>
      <c r="O68" s="11">
        <v>202124110069961</v>
      </c>
      <c r="P68" s="20">
        <v>44214</v>
      </c>
      <c r="Q68" s="20" t="str">
        <f>UPPER(TEXT(Tabla1[[#This Row],[FECHA RADICADO ENTRADA]],"MMM"))</f>
        <v>ENE</v>
      </c>
      <c r="R68" s="10">
        <f t="shared" si="1"/>
        <v>-3</v>
      </c>
      <c r="S68" s="10" t="s">
        <v>2154</v>
      </c>
      <c r="U68" s="10" t="s">
        <v>2255</v>
      </c>
      <c r="V68" s="20">
        <v>44036</v>
      </c>
      <c r="W68" s="10" t="s">
        <v>34</v>
      </c>
      <c r="X68" s="10">
        <v>200</v>
      </c>
      <c r="Y68" s="11">
        <f>IFERROR(INT(Tabla1[[#This Row],[CANTIDAD UND FARMACEUTICAS]]/(VLOOKUP(Tabla1[[#This Row],[MEDICAMENTO]],TAB_REF!$K$3:$L$27,2,0))),"")</f>
        <v>20</v>
      </c>
      <c r="Z68" s="10" t="str">
        <f>IFERROR(VLOOKUP(Tabla1[[#This Row],[MEDICAMENTO]],TAB_REF!$B$3:$F$27,2,0), "")</f>
        <v xml:space="preserve">Fenobarbital Sódico </v>
      </c>
      <c r="AA68" s="10" t="str">
        <f>IFERROR(VLOOKUP(Tabla1[[#This Row],[MEDICAMENTO]],TAB_REF!$B$3:$F$27,3,0), "")</f>
        <v xml:space="preserve">200 mg/Ml </v>
      </c>
      <c r="AB68" s="10" t="str">
        <f>IFERROR(VLOOKUP(Tabla1[[#This Row],[MEDICAMENTO]],TAB_REF!$B$3:$F$27,4,0), "")</f>
        <v>Solución Inyectable</v>
      </c>
      <c r="AC68" s="10" t="str">
        <f>IFERROR(VLOOKUP(Tabla1[[#This Row],[MEDICAMENTO]],TAB_REF!$B$3:$F$27,5,0), "")</f>
        <v>Caja x 10 unidades</v>
      </c>
      <c r="AD68" s="10" t="str">
        <f>IFERROR(VLOOKUP(Tabla1[[#This Row],[CANTIDAD UND COMERCIALES]],TAB_REF!$H$3:$I$1003,2,0)&amp;" ("&amp;Tabla1[[#This Row],[CANTIDAD UND COMERCIALES]]&amp;")"&amp;"_"&amp;Tabla1[[#This Row],[CANTIDAD]],"")</f>
        <v>Veinte (20)_Caja x 10 unidades</v>
      </c>
      <c r="AE68" s="31" t="e">
        <f>CONCATENATE([1]!Tabla1[[#This Row],[NOMBRE MED.]],[1]!Tabla1[[#This Row],[CONCENTRACION]],[1]!Tabla1[[#This Row],[FORMA FARMACEUTICA]])</f>
        <v>#REF!</v>
      </c>
    </row>
    <row r="69" spans="2:31" x14ac:dyDescent="0.25">
      <c r="B69" s="10">
        <v>22</v>
      </c>
      <c r="C69" s="10" t="s">
        <v>2256</v>
      </c>
      <c r="D69" s="10" t="s">
        <v>2162</v>
      </c>
      <c r="E69" s="10" t="s">
        <v>2257</v>
      </c>
      <c r="F69" s="10" t="s">
        <v>2258</v>
      </c>
      <c r="G69" s="10" t="s">
        <v>2259</v>
      </c>
      <c r="H69" s="10" t="s">
        <v>2260</v>
      </c>
      <c r="I69" s="10" t="s">
        <v>2122</v>
      </c>
      <c r="J69" s="10" t="s">
        <v>1742</v>
      </c>
      <c r="K69" s="10" t="s">
        <v>2148</v>
      </c>
      <c r="L69" s="11">
        <v>202124100069602</v>
      </c>
      <c r="M69" s="20">
        <v>44211</v>
      </c>
      <c r="N69" s="20" t="str">
        <f>UPPER(TEXT(Tabla1[[#This Row],[FECHA RADICADO ENTRADA]],"MMM"))</f>
        <v>ENE</v>
      </c>
      <c r="O69" s="11">
        <v>202124110070431</v>
      </c>
      <c r="P69" s="20">
        <v>44214</v>
      </c>
      <c r="Q69" s="20" t="str">
        <f>UPPER(TEXT(Tabla1[[#This Row],[FECHA RADICADO ENTRADA]],"MMM"))</f>
        <v>ENE</v>
      </c>
      <c r="R69" s="10">
        <f t="shared" si="1"/>
        <v>-3</v>
      </c>
      <c r="S69" s="10" t="s">
        <v>2154</v>
      </c>
      <c r="U69" s="10" t="s">
        <v>2265</v>
      </c>
      <c r="V69" s="20">
        <v>43796</v>
      </c>
      <c r="W69" s="10" t="s">
        <v>63</v>
      </c>
      <c r="X69" s="10">
        <v>150</v>
      </c>
      <c r="Y69" s="11">
        <f>IFERROR(INT(Tabla1[[#This Row],[CANTIDAD UND FARMACEUTICAS]]/(VLOOKUP(Tabla1[[#This Row],[MEDICAMENTO]],TAB_REF!$K$3:$L$27,2,0))),"")</f>
        <v>15</v>
      </c>
      <c r="Z69" s="10" t="str">
        <f>IFERROR(VLOOKUP(Tabla1[[#This Row],[MEDICAMENTO]],TAB_REF!$B$3:$F$27,2,0), "")</f>
        <v xml:space="preserve">Morfina HCl </v>
      </c>
      <c r="AA69" s="10" t="str">
        <f>IFERROR(VLOOKUP(Tabla1[[#This Row],[MEDICAMENTO]],TAB_REF!$B$3:$F$27,3,0), "")</f>
        <v xml:space="preserve">10 mg/mL </v>
      </c>
      <c r="AB69" s="10" t="str">
        <f>IFERROR(VLOOKUP(Tabla1[[#This Row],[MEDICAMENTO]],TAB_REF!$B$3:$F$27,4,0), "")</f>
        <v>Solución Inyectable</v>
      </c>
      <c r="AC69" s="10" t="str">
        <f>IFERROR(VLOOKUP(Tabla1[[#This Row],[MEDICAMENTO]],TAB_REF!$B$3:$F$27,5,0), "")</f>
        <v>Caja x 10 unidades</v>
      </c>
      <c r="AD69" s="10" t="str">
        <f>IFERROR(VLOOKUP(Tabla1[[#This Row],[CANTIDAD UND COMERCIALES]],TAB_REF!$H$3:$I$1003,2,0)&amp;" ("&amp;Tabla1[[#This Row],[CANTIDAD UND COMERCIALES]]&amp;")"&amp;"_"&amp;Tabla1[[#This Row],[CANTIDAD]],"")</f>
        <v>Quince (15)_Caja x 10 unidades</v>
      </c>
      <c r="AE69" s="31" t="e">
        <f>CONCATENATE([1]!Tabla1[[#This Row],[NOMBRE MED.]],[1]!Tabla1[[#This Row],[CONCENTRACION]],[1]!Tabla1[[#This Row],[FORMA FARMACEUTICA]])</f>
        <v>#REF!</v>
      </c>
    </row>
    <row r="70" spans="2:31" x14ac:dyDescent="0.25">
      <c r="B70" s="10">
        <v>22</v>
      </c>
      <c r="C70" s="10" t="s">
        <v>2256</v>
      </c>
      <c r="D70" s="10" t="s">
        <v>2162</v>
      </c>
      <c r="E70" s="10" t="s">
        <v>2257</v>
      </c>
      <c r="F70" s="10" t="s">
        <v>2258</v>
      </c>
      <c r="G70" s="10" t="s">
        <v>2259</v>
      </c>
      <c r="H70" s="10" t="s">
        <v>2261</v>
      </c>
      <c r="I70" s="10" t="s">
        <v>2122</v>
      </c>
      <c r="J70" s="10" t="s">
        <v>1742</v>
      </c>
      <c r="K70" s="10" t="s">
        <v>2148</v>
      </c>
      <c r="L70" s="11">
        <v>202124100069602</v>
      </c>
      <c r="M70" s="20">
        <v>44211</v>
      </c>
      <c r="N70" s="20" t="str">
        <f>UPPER(TEXT(Tabla1[[#This Row],[FECHA RADICADO ENTRADA]],"MMM"))</f>
        <v>ENE</v>
      </c>
      <c r="O70" s="11">
        <v>202124110070431</v>
      </c>
      <c r="P70" s="20">
        <v>44214</v>
      </c>
      <c r="Q70" s="20" t="str">
        <f>UPPER(TEXT(Tabla1[[#This Row],[FECHA RADICADO ENTRADA]],"MMM"))</f>
        <v>ENE</v>
      </c>
      <c r="R70" s="10">
        <f t="shared" si="1"/>
        <v>-3</v>
      </c>
      <c r="S70" s="10" t="s">
        <v>2154</v>
      </c>
      <c r="U70" s="10" t="s">
        <v>2265</v>
      </c>
      <c r="V70" s="20">
        <v>43796</v>
      </c>
      <c r="W70" s="10" t="s">
        <v>36</v>
      </c>
      <c r="X70" s="10">
        <v>50</v>
      </c>
      <c r="Y70" s="11">
        <f>IFERROR(INT(Tabla1[[#This Row],[CANTIDAD UND FARMACEUTICAS]]/(VLOOKUP(Tabla1[[#This Row],[MEDICAMENTO]],TAB_REF!$K$3:$L$27,2,0))),"")</f>
        <v>5</v>
      </c>
      <c r="Z70" s="10" t="str">
        <f>IFERROR(VLOOKUP(Tabla1[[#This Row],[MEDICAMENTO]],TAB_REF!$B$3:$F$27,2,0), "")</f>
        <v xml:space="preserve">Fenobarbital Sódico </v>
      </c>
      <c r="AA70" s="10" t="str">
        <f>IFERROR(VLOOKUP(Tabla1[[#This Row],[MEDICAMENTO]],TAB_REF!$B$3:$F$27,3,0), "")</f>
        <v xml:space="preserve">40 mg/mL </v>
      </c>
      <c r="AB70" s="10" t="str">
        <f>IFERROR(VLOOKUP(Tabla1[[#This Row],[MEDICAMENTO]],TAB_REF!$B$3:$F$27,4,0), "")</f>
        <v>Solución Inyectable</v>
      </c>
      <c r="AC70" s="10" t="str">
        <f>IFERROR(VLOOKUP(Tabla1[[#This Row],[MEDICAMENTO]],TAB_REF!$B$3:$F$27,5,0), "")</f>
        <v>Caja x 10 unidades</v>
      </c>
      <c r="AD70" s="10" t="str">
        <f>IFERROR(VLOOKUP(Tabla1[[#This Row],[CANTIDAD UND COMERCIALES]],TAB_REF!$H$3:$I$1003,2,0)&amp;" ("&amp;Tabla1[[#This Row],[CANTIDAD UND COMERCIALES]]&amp;")"&amp;"_"&amp;Tabla1[[#This Row],[CANTIDAD]],"")</f>
        <v>Cinco (5)_Caja x 10 unidades</v>
      </c>
      <c r="AE70" s="31" t="e">
        <f>CONCATENATE([1]!Tabla1[[#This Row],[NOMBRE MED.]],[1]!Tabla1[[#This Row],[CONCENTRACION]],[1]!Tabla1[[#This Row],[FORMA FARMACEUTICA]])</f>
        <v>#REF!</v>
      </c>
    </row>
    <row r="71" spans="2:31" x14ac:dyDescent="0.25">
      <c r="B71" s="10">
        <v>22</v>
      </c>
      <c r="C71" s="10" t="s">
        <v>2256</v>
      </c>
      <c r="D71" s="10" t="s">
        <v>2162</v>
      </c>
      <c r="E71" s="10" t="s">
        <v>2257</v>
      </c>
      <c r="F71" s="10" t="s">
        <v>2258</v>
      </c>
      <c r="G71" s="10" t="s">
        <v>2259</v>
      </c>
      <c r="H71" s="10" t="s">
        <v>2262</v>
      </c>
      <c r="I71" s="10" t="s">
        <v>2122</v>
      </c>
      <c r="J71" s="10" t="s">
        <v>1742</v>
      </c>
      <c r="K71" s="10" t="s">
        <v>2148</v>
      </c>
      <c r="L71" s="11">
        <v>202124100069602</v>
      </c>
      <c r="M71" s="20">
        <v>44211</v>
      </c>
      <c r="N71" s="20" t="str">
        <f>UPPER(TEXT(Tabla1[[#This Row],[FECHA RADICADO ENTRADA]],"MMM"))</f>
        <v>ENE</v>
      </c>
      <c r="O71" s="11">
        <v>202124110070431</v>
      </c>
      <c r="P71" s="20">
        <v>44214</v>
      </c>
      <c r="Q71" s="20" t="str">
        <f>UPPER(TEXT(Tabla1[[#This Row],[FECHA RADICADO ENTRADA]],"MMM"))</f>
        <v>ENE</v>
      </c>
      <c r="R71" s="10">
        <f t="shared" si="1"/>
        <v>-3</v>
      </c>
      <c r="S71" s="10" t="s">
        <v>2154</v>
      </c>
      <c r="U71" s="10" t="s">
        <v>2265</v>
      </c>
      <c r="V71" s="20">
        <v>43796</v>
      </c>
      <c r="W71" s="10" t="s">
        <v>41</v>
      </c>
      <c r="X71" s="10">
        <v>100</v>
      </c>
      <c r="Y71" s="11">
        <f>IFERROR(INT(Tabla1[[#This Row],[CANTIDAD UND FARMACEUTICAS]]/(VLOOKUP(Tabla1[[#This Row],[MEDICAMENTO]],TAB_REF!$K$3:$L$27,2,0))),"")</f>
        <v>10</v>
      </c>
      <c r="Z71" s="10" t="str">
        <f>IFERROR(VLOOKUP(Tabla1[[#This Row],[MEDICAMENTO]],TAB_REF!$B$3:$F$27,2,0), "")</f>
        <v xml:space="preserve">Meperidina HCl </v>
      </c>
      <c r="AA71" s="10" t="str">
        <f>IFERROR(VLOOKUP(Tabla1[[#This Row],[MEDICAMENTO]],TAB_REF!$B$3:$F$27,3,0), "")</f>
        <v xml:space="preserve">100 mg/2mL </v>
      </c>
      <c r="AB71" s="10" t="str">
        <f>IFERROR(VLOOKUP(Tabla1[[#This Row],[MEDICAMENTO]],TAB_REF!$B$3:$F$27,4,0), "")</f>
        <v>Solución Inyectable</v>
      </c>
      <c r="AC71" s="10" t="str">
        <f>IFERROR(VLOOKUP(Tabla1[[#This Row],[MEDICAMENTO]],TAB_REF!$B$3:$F$27,5,0), "")</f>
        <v>Caja 10 ampollas</v>
      </c>
      <c r="AD71" s="10" t="str">
        <f>IFERROR(VLOOKUP(Tabla1[[#This Row],[CANTIDAD UND COMERCIALES]],TAB_REF!$H$3:$I$1003,2,0)&amp;" ("&amp;Tabla1[[#This Row],[CANTIDAD UND COMERCIALES]]&amp;")"&amp;"_"&amp;Tabla1[[#This Row],[CANTIDAD]],"")</f>
        <v>Diez (10)_Caja 10 ampollas</v>
      </c>
      <c r="AE71" s="31" t="e">
        <f>CONCATENATE([1]!Tabla1[[#This Row],[NOMBRE MED.]],[1]!Tabla1[[#This Row],[CONCENTRACION]],[1]!Tabla1[[#This Row],[FORMA FARMACEUTICA]])</f>
        <v>#REF!</v>
      </c>
    </row>
    <row r="72" spans="2:31" x14ac:dyDescent="0.25">
      <c r="B72" s="10">
        <v>22</v>
      </c>
      <c r="C72" s="10" t="s">
        <v>2256</v>
      </c>
      <c r="D72" s="10" t="s">
        <v>2162</v>
      </c>
      <c r="E72" s="10" t="s">
        <v>2257</v>
      </c>
      <c r="F72" s="10" t="s">
        <v>2258</v>
      </c>
      <c r="G72" s="10" t="s">
        <v>2259</v>
      </c>
      <c r="H72" s="10" t="s">
        <v>2263</v>
      </c>
      <c r="I72" s="10" t="s">
        <v>2122</v>
      </c>
      <c r="J72" s="10" t="s">
        <v>1742</v>
      </c>
      <c r="K72" s="10" t="s">
        <v>2148</v>
      </c>
      <c r="L72" s="11">
        <v>202124100069602</v>
      </c>
      <c r="M72" s="20">
        <v>44211</v>
      </c>
      <c r="N72" s="20" t="str">
        <f>UPPER(TEXT(Tabla1[[#This Row],[FECHA RADICADO ENTRADA]],"MMM"))</f>
        <v>ENE</v>
      </c>
      <c r="O72" s="11">
        <v>202124110070431</v>
      </c>
      <c r="P72" s="20">
        <v>44214</v>
      </c>
      <c r="Q72" s="20" t="str">
        <f>UPPER(TEXT(Tabla1[[#This Row],[FECHA RADICADO ENTRADA]],"MMM"))</f>
        <v>ENE</v>
      </c>
      <c r="R72" s="10">
        <f t="shared" si="1"/>
        <v>-3</v>
      </c>
      <c r="S72" s="10" t="s">
        <v>2154</v>
      </c>
      <c r="U72" s="10" t="s">
        <v>2265</v>
      </c>
      <c r="V72" s="20">
        <v>43796</v>
      </c>
      <c r="W72" s="10" t="s">
        <v>60</v>
      </c>
      <c r="X72" s="10">
        <v>3</v>
      </c>
      <c r="Y72" s="11">
        <f>IFERROR(INT(Tabla1[[#This Row],[CANTIDAD UND FARMACEUTICAS]]/(VLOOKUP(Tabla1[[#This Row],[MEDICAMENTO]],TAB_REF!$K$3:$L$27,2,0))),"")</f>
        <v>3</v>
      </c>
      <c r="Z72" s="10" t="str">
        <f>IFERROR(VLOOKUP(Tabla1[[#This Row],[MEDICAMENTO]],TAB_REF!$B$3:$F$27,2,0), "")</f>
        <v xml:space="preserve">Morfina HCl </v>
      </c>
      <c r="AA72" s="10" t="str">
        <f>IFERROR(VLOOKUP(Tabla1[[#This Row],[MEDICAMENTO]],TAB_REF!$B$3:$F$27,3,0), "")</f>
        <v xml:space="preserve">3%. </v>
      </c>
      <c r="AB72" s="10" t="str">
        <f>IFERROR(VLOOKUP(Tabla1[[#This Row],[MEDICAMENTO]],TAB_REF!$B$3:$F$27,4,0), "")</f>
        <v>Solución Oral</v>
      </c>
      <c r="AC72" s="10" t="str">
        <f>IFERROR(VLOOKUP(Tabla1[[#This Row],[MEDICAMENTO]],TAB_REF!$B$3:$F$27,5,0), "")</f>
        <v>Frasco x 30 mL</v>
      </c>
      <c r="AD72" s="10" t="str">
        <f>IFERROR(VLOOKUP(Tabla1[[#This Row],[CANTIDAD UND COMERCIALES]],TAB_REF!$H$3:$I$1003,2,0)&amp;" ("&amp;Tabla1[[#This Row],[CANTIDAD UND COMERCIALES]]&amp;")"&amp;"_"&amp;Tabla1[[#This Row],[CANTIDAD]],"")</f>
        <v>Tres (3)_Frasco x 30 mL</v>
      </c>
      <c r="AE72" s="31" t="e">
        <f>CONCATENATE([1]!Tabla1[[#This Row],[NOMBRE MED.]],[1]!Tabla1[[#This Row],[CONCENTRACION]],[1]!Tabla1[[#This Row],[FORMA FARMACEUTICA]])</f>
        <v>#REF!</v>
      </c>
    </row>
    <row r="73" spans="2:31" x14ac:dyDescent="0.25">
      <c r="B73" s="10">
        <v>22</v>
      </c>
      <c r="C73" s="10" t="s">
        <v>2256</v>
      </c>
      <c r="D73" s="10" t="s">
        <v>2162</v>
      </c>
      <c r="E73" s="10" t="s">
        <v>2257</v>
      </c>
      <c r="F73" s="10" t="s">
        <v>2258</v>
      </c>
      <c r="G73" s="10" t="s">
        <v>2259</v>
      </c>
      <c r="H73" s="10" t="s">
        <v>2264</v>
      </c>
      <c r="I73" s="10" t="s">
        <v>2122</v>
      </c>
      <c r="J73" s="10" t="s">
        <v>1742</v>
      </c>
      <c r="K73" s="10" t="s">
        <v>2148</v>
      </c>
      <c r="L73" s="11">
        <v>202124100069602</v>
      </c>
      <c r="M73" s="20">
        <v>44211</v>
      </c>
      <c r="N73" s="20" t="str">
        <f>UPPER(TEXT(Tabla1[[#This Row],[FECHA RADICADO ENTRADA]],"MMM"))</f>
        <v>ENE</v>
      </c>
      <c r="O73" s="11">
        <v>202124110070431</v>
      </c>
      <c r="P73" s="20">
        <v>44214</v>
      </c>
      <c r="Q73" s="20" t="str">
        <f>UPPER(TEXT(Tabla1[[#This Row],[FECHA RADICADO ENTRADA]],"MMM"))</f>
        <v>ENE</v>
      </c>
      <c r="R73" s="10">
        <f t="shared" si="1"/>
        <v>-3</v>
      </c>
      <c r="S73" s="10" t="s">
        <v>2154</v>
      </c>
      <c r="U73" s="10" t="s">
        <v>2265</v>
      </c>
      <c r="V73" s="20">
        <v>43796</v>
      </c>
      <c r="W73" s="10" t="s">
        <v>33</v>
      </c>
      <c r="X73" s="10">
        <v>30</v>
      </c>
      <c r="Y73" s="11">
        <f>IFERROR(INT(Tabla1[[#This Row],[CANTIDAD UND FARMACEUTICAS]]/(VLOOKUP(Tabla1[[#This Row],[MEDICAMENTO]],TAB_REF!$K$3:$L$27,2,0))),"")</f>
        <v>1</v>
      </c>
      <c r="Z73" s="10" t="str">
        <f>IFERROR(VLOOKUP(Tabla1[[#This Row],[MEDICAMENTO]],TAB_REF!$B$3:$F$27,2,0), "")</f>
        <v xml:space="preserve">Fenobarbital </v>
      </c>
      <c r="AA73" s="10" t="str">
        <f>IFERROR(VLOOKUP(Tabla1[[#This Row],[MEDICAMENTO]],TAB_REF!$B$3:$F$27,3,0), "")</f>
        <v xml:space="preserve">50 mg </v>
      </c>
      <c r="AB73" s="10" t="str">
        <f>IFERROR(VLOOKUP(Tabla1[[#This Row],[MEDICAMENTO]],TAB_REF!$B$3:$F$27,4,0), "")</f>
        <v>Tabletas</v>
      </c>
      <c r="AC73" s="10" t="str">
        <f>IFERROR(VLOOKUP(Tabla1[[#This Row],[MEDICAMENTO]],TAB_REF!$B$3:$F$27,5,0), "")</f>
        <v>Caja x 30 unidades</v>
      </c>
      <c r="AD73" s="10" t="str">
        <f>IFERROR(VLOOKUP(Tabla1[[#This Row],[CANTIDAD UND COMERCIALES]],TAB_REF!$H$3:$I$1003,2,0)&amp;" ("&amp;Tabla1[[#This Row],[CANTIDAD UND COMERCIALES]]&amp;")"&amp;"_"&amp;Tabla1[[#This Row],[CANTIDAD]],"")</f>
        <v>Uno (1)_Caja x 30 unidades</v>
      </c>
      <c r="AE73" s="31" t="e">
        <f>CONCATENATE([1]!Tabla1[[#This Row],[NOMBRE MED.]],[1]!Tabla1[[#This Row],[CONCENTRACION]],[1]!Tabla1[[#This Row],[FORMA FARMACEUTICA]])</f>
        <v>#REF!</v>
      </c>
    </row>
    <row r="74" spans="2:31" x14ac:dyDescent="0.25">
      <c r="B74" s="10">
        <v>23</v>
      </c>
      <c r="C74" s="10" t="s">
        <v>2266</v>
      </c>
      <c r="D74" s="10" t="s">
        <v>2182</v>
      </c>
      <c r="E74" s="10" t="s">
        <v>2268</v>
      </c>
      <c r="F74" s="10" t="s">
        <v>2267</v>
      </c>
      <c r="G74" s="10" t="s">
        <v>2269</v>
      </c>
      <c r="H74" s="10" t="s">
        <v>2270</v>
      </c>
      <c r="I74" s="10" t="s">
        <v>2120</v>
      </c>
      <c r="J74" s="10" t="s">
        <v>1703</v>
      </c>
      <c r="K74" s="10" t="s">
        <v>2148</v>
      </c>
      <c r="L74" s="11">
        <v>202124100060852</v>
      </c>
      <c r="M74" s="20">
        <v>44210</v>
      </c>
      <c r="N74" s="20" t="str">
        <f>UPPER(TEXT(Tabla1[[#This Row],[FECHA RADICADO ENTRADA]],"MMM"))</f>
        <v>ENE</v>
      </c>
      <c r="O74" s="11">
        <v>202124110081071</v>
      </c>
      <c r="P74" s="20">
        <v>44216</v>
      </c>
      <c r="Q74" s="20" t="str">
        <f>UPPER(TEXT(Tabla1[[#This Row],[FECHA RADICADO ENTRADA]],"MMM"))</f>
        <v>ENE</v>
      </c>
      <c r="R74" s="10">
        <f t="shared" si="1"/>
        <v>-6</v>
      </c>
      <c r="S74" s="10" t="s">
        <v>2154</v>
      </c>
      <c r="U74" s="10" t="s">
        <v>2271</v>
      </c>
      <c r="V74" s="20">
        <v>42807</v>
      </c>
      <c r="W74" s="10" t="s">
        <v>28</v>
      </c>
      <c r="X74" s="10">
        <v>5</v>
      </c>
      <c r="Y74" s="11">
        <f>IFERROR(INT(Tabla1[[#This Row],[CANTIDAD UND FARMACEUTICAS]]/(VLOOKUP(Tabla1[[#This Row],[MEDICAMENTO]],TAB_REF!$K$3:$L$27,2,0))),"")</f>
        <v>5</v>
      </c>
      <c r="Z74" s="10" t="str">
        <f>IFERROR(VLOOKUP(Tabla1[[#This Row],[MEDICAMENTO]],TAB_REF!$B$3:$F$27,2,0), "")</f>
        <v xml:space="preserve">Fenobarbital </v>
      </c>
      <c r="AA74" s="10" t="str">
        <f>IFERROR(VLOOKUP(Tabla1[[#This Row],[MEDICAMENTO]],TAB_REF!$B$3:$F$27,3,0), "")</f>
        <v xml:space="preserve">0,4%. </v>
      </c>
      <c r="AB74" s="10" t="str">
        <f>IFERROR(VLOOKUP(Tabla1[[#This Row],[MEDICAMENTO]],TAB_REF!$B$3:$F$27,4,0), "")</f>
        <v>Solución Oral</v>
      </c>
      <c r="AC74" s="10" t="str">
        <f>IFERROR(VLOOKUP(Tabla1[[#This Row],[MEDICAMENTO]],TAB_REF!$B$3:$F$27,5,0), "")</f>
        <v>Frasco x 120 mL</v>
      </c>
      <c r="AD74" s="10" t="str">
        <f>IFERROR(VLOOKUP(Tabla1[[#This Row],[CANTIDAD UND COMERCIALES]],TAB_REF!$H$3:$I$1003,2,0)&amp;" ("&amp;Tabla1[[#This Row],[CANTIDAD UND COMERCIALES]]&amp;")"&amp;"_"&amp;Tabla1[[#This Row],[CANTIDAD]],"")</f>
        <v>Cinco (5)_Frasco x 120 mL</v>
      </c>
      <c r="AE74" s="31" t="e">
        <f>CONCATENATE([1]!Tabla1[[#This Row],[NOMBRE MED.]],[1]!Tabla1[[#This Row],[CONCENTRACION]],[1]!Tabla1[[#This Row],[FORMA FARMACEUTICA]])</f>
        <v>#REF!</v>
      </c>
    </row>
    <row r="75" spans="2:31" x14ac:dyDescent="0.25">
      <c r="B75" s="10">
        <v>24</v>
      </c>
      <c r="C75" s="10" t="s">
        <v>2217</v>
      </c>
      <c r="D75" s="10" t="s">
        <v>2162</v>
      </c>
      <c r="E75" s="10" t="s">
        <v>2272</v>
      </c>
      <c r="F75" s="10" t="s">
        <v>2273</v>
      </c>
      <c r="G75" s="10" t="s">
        <v>2219</v>
      </c>
      <c r="H75" s="10" t="s">
        <v>2222</v>
      </c>
      <c r="I75" s="10" t="s">
        <v>2122</v>
      </c>
      <c r="J75" s="10" t="s">
        <v>1748</v>
      </c>
      <c r="K75" s="10" t="s">
        <v>2148</v>
      </c>
      <c r="L75" s="11">
        <v>202124100082352</v>
      </c>
      <c r="M75" s="20">
        <v>44215</v>
      </c>
      <c r="N75" s="20" t="str">
        <f>UPPER(TEXT(Tabla1[[#This Row],[FECHA RADICADO ENTRADA]],"MMM"))</f>
        <v>ENE</v>
      </c>
      <c r="O75" s="11">
        <v>202124110093151</v>
      </c>
      <c r="P75" s="20">
        <v>44217</v>
      </c>
      <c r="Q75" s="20" t="str">
        <f>UPPER(TEXT(Tabla1[[#This Row],[FECHA RADICADO ENTRADA]],"MMM"))</f>
        <v>ENE</v>
      </c>
      <c r="R75" s="10">
        <f t="shared" si="1"/>
        <v>-2</v>
      </c>
      <c r="S75" s="10" t="s">
        <v>2154</v>
      </c>
      <c r="U75" s="10" t="s">
        <v>2274</v>
      </c>
      <c r="V75" s="20">
        <v>43782</v>
      </c>
      <c r="W75" s="10" t="s">
        <v>32</v>
      </c>
      <c r="X75" s="10">
        <v>300</v>
      </c>
      <c r="Y75" s="11">
        <f>IFERROR(INT(Tabla1[[#This Row],[CANTIDAD UND FARMACEUTICAS]]/(VLOOKUP(Tabla1[[#This Row],[MEDICAMENTO]],TAB_REF!$K$3:$L$27,2,0))),"")</f>
        <v>10</v>
      </c>
      <c r="Z75" s="10" t="str">
        <f>IFERROR(VLOOKUP(Tabla1[[#This Row],[MEDICAMENTO]],TAB_REF!$B$3:$F$27,2,0), "")</f>
        <v xml:space="preserve">Fenobarbital </v>
      </c>
      <c r="AA75" s="10" t="str">
        <f>IFERROR(VLOOKUP(Tabla1[[#This Row],[MEDICAMENTO]],TAB_REF!$B$3:$F$27,3,0), "")</f>
        <v xml:space="preserve">100 mg </v>
      </c>
      <c r="AB75" s="10" t="str">
        <f>IFERROR(VLOOKUP(Tabla1[[#This Row],[MEDICAMENTO]],TAB_REF!$B$3:$F$27,4,0), "")</f>
        <v>Tabletas</v>
      </c>
      <c r="AC75" s="10" t="str">
        <f>IFERROR(VLOOKUP(Tabla1[[#This Row],[MEDICAMENTO]],TAB_REF!$B$3:$F$27,5,0), "")</f>
        <v>Caja x 30 unidades</v>
      </c>
      <c r="AD75" s="10" t="str">
        <f>IFERROR(VLOOKUP(Tabla1[[#This Row],[CANTIDAD UND COMERCIALES]],TAB_REF!$H$3:$I$1003,2,0)&amp;" ("&amp;Tabla1[[#This Row],[CANTIDAD UND COMERCIALES]]&amp;")"&amp;"_"&amp;Tabla1[[#This Row],[CANTIDAD]],"")</f>
        <v>Diez (10)_Caja x 30 unidades</v>
      </c>
      <c r="AE75" s="31" t="e">
        <f>CONCATENATE([1]!Tabla1[[#This Row],[NOMBRE MED.]],[1]!Tabla1[[#This Row],[CONCENTRACION]],[1]!Tabla1[[#This Row],[FORMA FARMACEUTICA]])</f>
        <v>#REF!</v>
      </c>
    </row>
    <row r="76" spans="2:31" x14ac:dyDescent="0.25">
      <c r="B76" s="10">
        <v>24</v>
      </c>
      <c r="C76" s="10" t="s">
        <v>2217</v>
      </c>
      <c r="D76" s="10" t="s">
        <v>2162</v>
      </c>
      <c r="E76" s="10" t="s">
        <v>2272</v>
      </c>
      <c r="F76" s="10" t="s">
        <v>2273</v>
      </c>
      <c r="G76" s="10" t="s">
        <v>2219</v>
      </c>
      <c r="H76" s="10" t="s">
        <v>2222</v>
      </c>
      <c r="I76" s="10" t="s">
        <v>2122</v>
      </c>
      <c r="J76" s="10" t="s">
        <v>1748</v>
      </c>
      <c r="K76" s="10" t="s">
        <v>2148</v>
      </c>
      <c r="L76" s="11">
        <v>202124100082352</v>
      </c>
      <c r="M76" s="20">
        <v>44215</v>
      </c>
      <c r="N76" s="20" t="str">
        <f>UPPER(TEXT(Tabla1[[#This Row],[FECHA RADICADO ENTRADA]],"MMM"))</f>
        <v>ENE</v>
      </c>
      <c r="O76" s="11">
        <v>202124110093151</v>
      </c>
      <c r="P76" s="20">
        <v>44217</v>
      </c>
      <c r="Q76" s="20" t="str">
        <f>UPPER(TEXT(Tabla1[[#This Row],[FECHA RADICADO ENTRADA]],"MMM"))</f>
        <v>ENE</v>
      </c>
      <c r="R76" s="10">
        <f t="shared" si="1"/>
        <v>-2</v>
      </c>
      <c r="S76" s="10" t="s">
        <v>2154</v>
      </c>
      <c r="U76" s="10" t="s">
        <v>2274</v>
      </c>
      <c r="V76" s="20">
        <v>43782</v>
      </c>
      <c r="W76" s="10" t="s">
        <v>41</v>
      </c>
      <c r="X76" s="10">
        <v>20</v>
      </c>
      <c r="Y76" s="11">
        <f>IFERROR(INT(Tabla1[[#This Row],[CANTIDAD UND FARMACEUTICAS]]/(VLOOKUP(Tabla1[[#This Row],[MEDICAMENTO]],TAB_REF!$K$3:$L$27,2,0))),"")</f>
        <v>2</v>
      </c>
      <c r="Z76" s="10" t="str">
        <f>IFERROR(VLOOKUP(Tabla1[[#This Row],[MEDICAMENTO]],TAB_REF!$B$3:$F$27,2,0), "")</f>
        <v xml:space="preserve">Meperidina HCl </v>
      </c>
      <c r="AA76" s="10" t="str">
        <f>IFERROR(VLOOKUP(Tabla1[[#This Row],[MEDICAMENTO]],TAB_REF!$B$3:$F$27,3,0), "")</f>
        <v xml:space="preserve">100 mg/2mL </v>
      </c>
      <c r="AB76" s="10" t="str">
        <f>IFERROR(VLOOKUP(Tabla1[[#This Row],[MEDICAMENTO]],TAB_REF!$B$3:$F$27,4,0), "")</f>
        <v>Solución Inyectable</v>
      </c>
      <c r="AC76" s="10" t="str">
        <f>IFERROR(VLOOKUP(Tabla1[[#This Row],[MEDICAMENTO]],TAB_REF!$B$3:$F$27,5,0), "")</f>
        <v>Caja 10 ampollas</v>
      </c>
      <c r="AD76" s="10" t="str">
        <f>IFERROR(VLOOKUP(Tabla1[[#This Row],[CANTIDAD UND COMERCIALES]],TAB_REF!$H$3:$I$1003,2,0)&amp;" ("&amp;Tabla1[[#This Row],[CANTIDAD UND COMERCIALES]]&amp;")"&amp;"_"&amp;Tabla1[[#This Row],[CANTIDAD]],"")</f>
        <v>Dos (2)_Caja 10 ampollas</v>
      </c>
      <c r="AE76" s="31" t="e">
        <f>CONCATENATE([1]!Tabla1[[#This Row],[NOMBRE MED.]],[1]!Tabla1[[#This Row],[CONCENTRACION]],[1]!Tabla1[[#This Row],[FORMA FARMACEUTICA]])</f>
        <v>#REF!</v>
      </c>
    </row>
    <row r="77" spans="2:31" x14ac:dyDescent="0.25">
      <c r="B77" s="10">
        <v>24</v>
      </c>
      <c r="C77" s="10" t="s">
        <v>2217</v>
      </c>
      <c r="D77" s="10" t="s">
        <v>2162</v>
      </c>
      <c r="E77" s="10" t="s">
        <v>2272</v>
      </c>
      <c r="F77" s="10" t="s">
        <v>2273</v>
      </c>
      <c r="G77" s="10" t="s">
        <v>2219</v>
      </c>
      <c r="H77" s="10" t="s">
        <v>2222</v>
      </c>
      <c r="I77" s="10" t="s">
        <v>2122</v>
      </c>
      <c r="J77" s="10" t="s">
        <v>1748</v>
      </c>
      <c r="K77" s="10" t="s">
        <v>2148</v>
      </c>
      <c r="L77" s="11">
        <v>202124100082352</v>
      </c>
      <c r="M77" s="20">
        <v>44215</v>
      </c>
      <c r="N77" s="20" t="str">
        <f>UPPER(TEXT(Tabla1[[#This Row],[FECHA RADICADO ENTRADA]],"MMM"))</f>
        <v>ENE</v>
      </c>
      <c r="O77" s="11">
        <v>202124110093151</v>
      </c>
      <c r="P77" s="20">
        <v>44217</v>
      </c>
      <c r="Q77" s="20" t="str">
        <f>UPPER(TEXT(Tabla1[[#This Row],[FECHA RADICADO ENTRADA]],"MMM"))</f>
        <v>ENE</v>
      </c>
      <c r="R77" s="10">
        <f t="shared" si="1"/>
        <v>-2</v>
      </c>
      <c r="S77" s="10" t="s">
        <v>2154</v>
      </c>
      <c r="U77" s="10" t="s">
        <v>2274</v>
      </c>
      <c r="V77" s="20">
        <v>43782</v>
      </c>
      <c r="W77" s="10" t="s">
        <v>63</v>
      </c>
      <c r="X77" s="10">
        <v>40</v>
      </c>
      <c r="Y77" s="11">
        <f>IFERROR(INT(Tabla1[[#This Row],[CANTIDAD UND FARMACEUTICAS]]/(VLOOKUP(Tabla1[[#This Row],[MEDICAMENTO]],TAB_REF!$K$3:$L$27,2,0))),"")</f>
        <v>4</v>
      </c>
      <c r="Z77" s="10" t="str">
        <f>IFERROR(VLOOKUP(Tabla1[[#This Row],[MEDICAMENTO]],TAB_REF!$B$3:$F$27,2,0), "")</f>
        <v xml:space="preserve">Morfina HCl </v>
      </c>
      <c r="AA77" s="10" t="str">
        <f>IFERROR(VLOOKUP(Tabla1[[#This Row],[MEDICAMENTO]],TAB_REF!$B$3:$F$27,3,0), "")</f>
        <v xml:space="preserve">10 mg/mL </v>
      </c>
      <c r="AB77" s="10" t="str">
        <f>IFERROR(VLOOKUP(Tabla1[[#This Row],[MEDICAMENTO]],TAB_REF!$B$3:$F$27,4,0), "")</f>
        <v>Solución Inyectable</v>
      </c>
      <c r="AC77" s="10" t="str">
        <f>IFERROR(VLOOKUP(Tabla1[[#This Row],[MEDICAMENTO]],TAB_REF!$B$3:$F$27,5,0), "")</f>
        <v>Caja x 10 unidades</v>
      </c>
      <c r="AD77" s="10" t="str">
        <f>IFERROR(VLOOKUP(Tabla1[[#This Row],[CANTIDAD UND COMERCIALES]],TAB_REF!$H$3:$I$1003,2,0)&amp;" ("&amp;Tabla1[[#This Row],[CANTIDAD UND COMERCIALES]]&amp;")"&amp;"_"&amp;Tabla1[[#This Row],[CANTIDAD]],"")</f>
        <v>Cuatro (4)_Caja x 10 unidades</v>
      </c>
      <c r="AE77" s="31" t="e">
        <f>CONCATENATE([1]!Tabla1[[#This Row],[NOMBRE MED.]],[1]!Tabla1[[#This Row],[CONCENTRACION]],[1]!Tabla1[[#This Row],[FORMA FARMACEUTICA]])</f>
        <v>#REF!</v>
      </c>
    </row>
    <row r="78" spans="2:31" x14ac:dyDescent="0.25">
      <c r="B78" s="24">
        <v>25</v>
      </c>
      <c r="C78" s="10" t="s">
        <v>2275</v>
      </c>
      <c r="D78" s="10" t="s">
        <v>2276</v>
      </c>
      <c r="E78" s="10" t="s">
        <v>2277</v>
      </c>
      <c r="F78" s="10" t="s">
        <v>2327</v>
      </c>
      <c r="G78" s="10" t="s">
        <v>2278</v>
      </c>
      <c r="H78" s="10" t="s">
        <v>2328</v>
      </c>
      <c r="I78" s="10" t="s">
        <v>2122</v>
      </c>
      <c r="J78" s="10" t="s">
        <v>1757</v>
      </c>
      <c r="K78" s="10" t="s">
        <v>2148</v>
      </c>
      <c r="L78" s="11">
        <v>202124100083322</v>
      </c>
      <c r="M78" s="20">
        <v>44215</v>
      </c>
      <c r="N78" s="20" t="str">
        <f>UPPER(TEXT(Tabla1[[#This Row],[FECHA RADICADO ENTRADA]],"MMM"))</f>
        <v>ENE</v>
      </c>
      <c r="O78" s="11">
        <v>202124110109761</v>
      </c>
      <c r="P78" s="20">
        <v>44221</v>
      </c>
      <c r="Q78" s="20" t="str">
        <f>UPPER(TEXT(Tabla1[[#This Row],[FECHA RADICADO ENTRADA]],"MMM"))</f>
        <v>ENE</v>
      </c>
      <c r="R78" s="10">
        <f t="shared" si="1"/>
        <v>-6</v>
      </c>
      <c r="S78" s="10" t="s">
        <v>2154</v>
      </c>
      <c r="T78" s="10" t="s">
        <v>2329</v>
      </c>
      <c r="U78" s="10" t="s">
        <v>2330</v>
      </c>
      <c r="V78" s="20">
        <v>44088</v>
      </c>
      <c r="W78" s="10" t="s">
        <v>41</v>
      </c>
      <c r="X78" s="10">
        <v>200</v>
      </c>
      <c r="Y78" s="11">
        <f>IFERROR(INT(Tabla1[[#This Row],[CANTIDAD UND FARMACEUTICAS]]/(VLOOKUP(Tabla1[[#This Row],[MEDICAMENTO]],TAB_REF!$K$3:$L$27,2,0))),"")</f>
        <v>20</v>
      </c>
      <c r="Z78" s="10" t="str">
        <f>IFERROR(VLOOKUP(Tabla1[[#This Row],[MEDICAMENTO]],TAB_REF!$B$3:$F$27,2,0), "")</f>
        <v xml:space="preserve">Meperidina HCl </v>
      </c>
      <c r="AA78" s="10" t="str">
        <f>IFERROR(VLOOKUP(Tabla1[[#This Row],[MEDICAMENTO]],TAB_REF!$B$3:$F$27,3,0), "")</f>
        <v xml:space="preserve">100 mg/2mL </v>
      </c>
      <c r="AB78" s="10" t="str">
        <f>IFERROR(VLOOKUP(Tabla1[[#This Row],[MEDICAMENTO]],TAB_REF!$B$3:$F$27,4,0), "")</f>
        <v>Solución Inyectable</v>
      </c>
      <c r="AC78" s="10" t="str">
        <f>IFERROR(VLOOKUP(Tabla1[[#This Row],[MEDICAMENTO]],TAB_REF!$B$3:$F$27,5,0), "")</f>
        <v>Caja 10 ampollas</v>
      </c>
      <c r="AD78" s="10" t="str">
        <f>IFERROR(VLOOKUP(Tabla1[[#This Row],[CANTIDAD UND COMERCIALES]],TAB_REF!$H$3:$I$1003,2,0)&amp;" ("&amp;Tabla1[[#This Row],[CANTIDAD UND COMERCIALES]]&amp;")"&amp;"_"&amp;Tabla1[[#This Row],[CANTIDAD]],"")</f>
        <v>Veinte (20)_Caja 10 ampollas</v>
      </c>
      <c r="AE78" s="31" t="e">
        <f>CONCATENATE([1]!Tabla1[[#This Row],[NOMBRE MED.]],[1]!Tabla1[[#This Row],[CONCENTRACION]],[1]!Tabla1[[#This Row],[FORMA FARMACEUTICA]])</f>
        <v>#REF!</v>
      </c>
    </row>
    <row r="79" spans="2:31" x14ac:dyDescent="0.25">
      <c r="B79" s="24">
        <v>25</v>
      </c>
      <c r="C79" s="10" t="s">
        <v>2275</v>
      </c>
      <c r="D79" s="10" t="s">
        <v>2276</v>
      </c>
      <c r="E79" s="10" t="s">
        <v>2277</v>
      </c>
      <c r="F79" s="10" t="s">
        <v>2327</v>
      </c>
      <c r="G79" s="10" t="s">
        <v>2278</v>
      </c>
      <c r="H79" s="10" t="s">
        <v>2328</v>
      </c>
      <c r="I79" s="10" t="s">
        <v>2122</v>
      </c>
      <c r="J79" s="10" t="s">
        <v>1757</v>
      </c>
      <c r="K79" s="10" t="s">
        <v>2148</v>
      </c>
      <c r="L79" s="11">
        <v>202124100083322</v>
      </c>
      <c r="M79" s="20">
        <v>44215</v>
      </c>
      <c r="N79" s="20" t="str">
        <f>UPPER(TEXT(Tabla1[[#This Row],[FECHA RADICADO ENTRADA]],"MMM"))</f>
        <v>ENE</v>
      </c>
      <c r="O79" s="11">
        <v>202124110109761</v>
      </c>
      <c r="P79" s="20">
        <v>44221</v>
      </c>
      <c r="Q79" s="20" t="str">
        <f>UPPER(TEXT(Tabla1[[#This Row],[FECHA RADICADO ENTRADA]],"MMM"))</f>
        <v>ENE</v>
      </c>
      <c r="R79" s="10">
        <f t="shared" si="1"/>
        <v>-6</v>
      </c>
      <c r="S79" s="10" t="s">
        <v>2154</v>
      </c>
      <c r="T79" s="10" t="s">
        <v>2329</v>
      </c>
      <c r="U79" s="10" t="s">
        <v>2330</v>
      </c>
      <c r="V79" s="20">
        <v>44088</v>
      </c>
      <c r="W79" s="10" t="s">
        <v>63</v>
      </c>
      <c r="X79" s="10">
        <v>50</v>
      </c>
      <c r="Y79" s="11">
        <f>IFERROR(INT(Tabla1[[#This Row],[CANTIDAD UND FARMACEUTICAS]]/(VLOOKUP(Tabla1[[#This Row],[MEDICAMENTO]],TAB_REF!$K$3:$L$27,2,0))),"")</f>
        <v>5</v>
      </c>
      <c r="Z79" s="10" t="str">
        <f>IFERROR(VLOOKUP(Tabla1[[#This Row],[MEDICAMENTO]],TAB_REF!$B$3:$F$27,2,0), "")</f>
        <v xml:space="preserve">Morfina HCl </v>
      </c>
      <c r="AA79" s="10" t="str">
        <f>IFERROR(VLOOKUP(Tabla1[[#This Row],[MEDICAMENTO]],TAB_REF!$B$3:$F$27,3,0), "")</f>
        <v xml:space="preserve">10 mg/mL </v>
      </c>
      <c r="AB79" s="10" t="str">
        <f>IFERROR(VLOOKUP(Tabla1[[#This Row],[MEDICAMENTO]],TAB_REF!$B$3:$F$27,4,0), "")</f>
        <v>Solución Inyectable</v>
      </c>
      <c r="AC79" s="10" t="str">
        <f>IFERROR(VLOOKUP(Tabla1[[#This Row],[MEDICAMENTO]],TAB_REF!$B$3:$F$27,5,0), "")</f>
        <v>Caja x 10 unidades</v>
      </c>
      <c r="AD79" s="10" t="str">
        <f>IFERROR(VLOOKUP(Tabla1[[#This Row],[CANTIDAD UND COMERCIALES]],TAB_REF!$H$3:$I$1003,2,0)&amp;" ("&amp;Tabla1[[#This Row],[CANTIDAD UND COMERCIALES]]&amp;")"&amp;"_"&amp;Tabla1[[#This Row],[CANTIDAD]],"")</f>
        <v>Cinco (5)_Caja x 10 unidades</v>
      </c>
      <c r="AE79" s="31" t="e">
        <f>CONCATENATE([1]!Tabla1[[#This Row],[NOMBRE MED.]],[1]!Tabla1[[#This Row],[CONCENTRACION]],[1]!Tabla1[[#This Row],[FORMA FARMACEUTICA]])</f>
        <v>#REF!</v>
      </c>
    </row>
    <row r="80" spans="2:31" x14ac:dyDescent="0.25">
      <c r="B80" s="24">
        <v>25</v>
      </c>
      <c r="C80" s="10" t="s">
        <v>2275</v>
      </c>
      <c r="D80" s="10" t="s">
        <v>2276</v>
      </c>
      <c r="E80" s="10" t="s">
        <v>2277</v>
      </c>
      <c r="F80" s="10" t="s">
        <v>2327</v>
      </c>
      <c r="G80" s="10" t="s">
        <v>2278</v>
      </c>
      <c r="H80" s="10" t="s">
        <v>2328</v>
      </c>
      <c r="I80" s="10" t="s">
        <v>2122</v>
      </c>
      <c r="J80" s="10" t="s">
        <v>1757</v>
      </c>
      <c r="K80" s="10" t="s">
        <v>2148</v>
      </c>
      <c r="L80" s="11">
        <v>202124100083322</v>
      </c>
      <c r="M80" s="20">
        <v>44215</v>
      </c>
      <c r="N80" s="20" t="str">
        <f>UPPER(TEXT(Tabla1[[#This Row],[FECHA RADICADO ENTRADA]],"MMM"))</f>
        <v>ENE</v>
      </c>
      <c r="O80" s="11">
        <v>202124110109761</v>
      </c>
      <c r="P80" s="20">
        <v>44221</v>
      </c>
      <c r="Q80" s="20" t="str">
        <f>UPPER(TEXT(Tabla1[[#This Row],[FECHA RADICADO ENTRADA]],"MMM"))</f>
        <v>ENE</v>
      </c>
      <c r="R80" s="10">
        <f t="shared" si="1"/>
        <v>-6</v>
      </c>
      <c r="S80" s="10" t="s">
        <v>2154</v>
      </c>
      <c r="T80" s="10" t="s">
        <v>2329</v>
      </c>
      <c r="U80" s="10" t="s">
        <v>2330</v>
      </c>
      <c r="V80" s="20">
        <v>44088</v>
      </c>
      <c r="W80" s="10" t="s">
        <v>36</v>
      </c>
      <c r="X80" s="10">
        <v>50</v>
      </c>
      <c r="Y80" s="11">
        <f>IFERROR(INT(Tabla1[[#This Row],[CANTIDAD UND FARMACEUTICAS]]/(VLOOKUP(Tabla1[[#This Row],[MEDICAMENTO]],TAB_REF!$K$3:$L$27,2,0))),"")</f>
        <v>5</v>
      </c>
      <c r="Z80" s="10" t="str">
        <f>IFERROR(VLOOKUP(Tabla1[[#This Row],[MEDICAMENTO]],TAB_REF!$B$3:$F$27,2,0), "")</f>
        <v xml:space="preserve">Fenobarbital Sódico </v>
      </c>
      <c r="AA80" s="10" t="str">
        <f>IFERROR(VLOOKUP(Tabla1[[#This Row],[MEDICAMENTO]],TAB_REF!$B$3:$F$27,3,0), "")</f>
        <v xml:space="preserve">40 mg/mL </v>
      </c>
      <c r="AB80" s="10" t="str">
        <f>IFERROR(VLOOKUP(Tabla1[[#This Row],[MEDICAMENTO]],TAB_REF!$B$3:$F$27,4,0), "")</f>
        <v>Solución Inyectable</v>
      </c>
      <c r="AC80" s="10" t="str">
        <f>IFERROR(VLOOKUP(Tabla1[[#This Row],[MEDICAMENTO]],TAB_REF!$B$3:$F$27,5,0), "")</f>
        <v>Caja x 10 unidades</v>
      </c>
      <c r="AD80" s="10" t="str">
        <f>IFERROR(VLOOKUP(Tabla1[[#This Row],[CANTIDAD UND COMERCIALES]],TAB_REF!$H$3:$I$1003,2,0)&amp;" ("&amp;Tabla1[[#This Row],[CANTIDAD UND COMERCIALES]]&amp;")"&amp;"_"&amp;Tabla1[[#This Row],[CANTIDAD]],"")</f>
        <v>Cinco (5)_Caja x 10 unidades</v>
      </c>
      <c r="AE80" s="31" t="e">
        <f>CONCATENATE([1]!Tabla1[[#This Row],[NOMBRE MED.]],[1]!Tabla1[[#This Row],[CONCENTRACION]],[1]!Tabla1[[#This Row],[FORMA FARMACEUTICA]])</f>
        <v>#REF!</v>
      </c>
    </row>
    <row r="81" spans="2:31" x14ac:dyDescent="0.25">
      <c r="B81" s="10">
        <v>26</v>
      </c>
      <c r="C81" s="10" t="s">
        <v>2279</v>
      </c>
      <c r="D81" s="10" t="s">
        <v>2162</v>
      </c>
      <c r="E81" s="10" t="s">
        <v>2280</v>
      </c>
      <c r="F81" s="10" t="s">
        <v>2281</v>
      </c>
      <c r="G81" s="10" t="s">
        <v>2282</v>
      </c>
      <c r="H81" s="10" t="s">
        <v>2283</v>
      </c>
      <c r="I81" s="10" t="s">
        <v>2129</v>
      </c>
      <c r="J81" s="10" t="s">
        <v>2032</v>
      </c>
      <c r="K81" s="10" t="s">
        <v>2148</v>
      </c>
      <c r="L81" s="11">
        <v>202124100083572</v>
      </c>
      <c r="M81" s="20">
        <v>44215</v>
      </c>
      <c r="N81" s="20" t="str">
        <f>UPPER(TEXT(Tabla1[[#This Row],[FECHA RADICADO ENTRADA]],"MMM"))</f>
        <v>ENE</v>
      </c>
      <c r="O81" s="11">
        <v>202124110093181</v>
      </c>
      <c r="P81" s="20">
        <v>44217</v>
      </c>
      <c r="Q81" s="20" t="str">
        <f>UPPER(TEXT(Tabla1[[#This Row],[FECHA RADICADO ENTRADA]],"MMM"))</f>
        <v>ENE</v>
      </c>
      <c r="R81" s="10">
        <f t="shared" si="1"/>
        <v>-2</v>
      </c>
      <c r="S81" s="10" t="s">
        <v>2154</v>
      </c>
      <c r="U81" s="10" t="s">
        <v>2284</v>
      </c>
      <c r="V81" s="20">
        <v>43724</v>
      </c>
      <c r="W81" s="10" t="s">
        <v>41</v>
      </c>
      <c r="X81" s="10">
        <v>50</v>
      </c>
      <c r="Y81" s="11">
        <f>IFERROR(INT(Tabla1[[#This Row],[CANTIDAD UND FARMACEUTICAS]]/(VLOOKUP(Tabla1[[#This Row],[MEDICAMENTO]],TAB_REF!$K$3:$L$27,2,0))),"")</f>
        <v>5</v>
      </c>
      <c r="Z81" s="10" t="str">
        <f>IFERROR(VLOOKUP(Tabla1[[#This Row],[MEDICAMENTO]],TAB_REF!$B$3:$F$27,2,0), "")</f>
        <v xml:space="preserve">Meperidina HCl </v>
      </c>
      <c r="AA81" s="10" t="str">
        <f>IFERROR(VLOOKUP(Tabla1[[#This Row],[MEDICAMENTO]],TAB_REF!$B$3:$F$27,3,0), "")</f>
        <v xml:space="preserve">100 mg/2mL </v>
      </c>
      <c r="AB81" s="10" t="str">
        <f>IFERROR(VLOOKUP(Tabla1[[#This Row],[MEDICAMENTO]],TAB_REF!$B$3:$F$27,4,0), "")</f>
        <v>Solución Inyectable</v>
      </c>
      <c r="AC81" s="10" t="str">
        <f>IFERROR(VLOOKUP(Tabla1[[#This Row],[MEDICAMENTO]],TAB_REF!$B$3:$F$27,5,0), "")</f>
        <v>Caja 10 ampollas</v>
      </c>
      <c r="AD81" s="10" t="str">
        <f>IFERROR(VLOOKUP(Tabla1[[#This Row],[CANTIDAD UND COMERCIALES]],TAB_REF!$H$3:$I$1003,2,0)&amp;" ("&amp;Tabla1[[#This Row],[CANTIDAD UND COMERCIALES]]&amp;")"&amp;"_"&amp;Tabla1[[#This Row],[CANTIDAD]],"")</f>
        <v>Cinco (5)_Caja 10 ampollas</v>
      </c>
      <c r="AE81" s="31" t="e">
        <f>CONCATENATE([1]!Tabla1[[#This Row],[NOMBRE MED.]],[1]!Tabla1[[#This Row],[CONCENTRACION]],[1]!Tabla1[[#This Row],[FORMA FARMACEUTICA]])</f>
        <v>#REF!</v>
      </c>
    </row>
    <row r="82" spans="2:31" x14ac:dyDescent="0.25">
      <c r="B82" s="10">
        <v>26</v>
      </c>
      <c r="C82" s="10" t="s">
        <v>2279</v>
      </c>
      <c r="D82" s="10" t="s">
        <v>2162</v>
      </c>
      <c r="E82" s="10" t="s">
        <v>2280</v>
      </c>
      <c r="F82" s="10" t="s">
        <v>2281</v>
      </c>
      <c r="G82" s="10" t="s">
        <v>2282</v>
      </c>
      <c r="H82" s="10" t="s">
        <v>2283</v>
      </c>
      <c r="I82" s="10" t="s">
        <v>2129</v>
      </c>
      <c r="J82" s="10" t="s">
        <v>2032</v>
      </c>
      <c r="K82" s="10" t="s">
        <v>2148</v>
      </c>
      <c r="L82" s="11">
        <v>202124100083572</v>
      </c>
      <c r="M82" s="20">
        <v>44215</v>
      </c>
      <c r="N82" s="20" t="str">
        <f>UPPER(TEXT(Tabla1[[#This Row],[FECHA RADICADO ENTRADA]],"MMM"))</f>
        <v>ENE</v>
      </c>
      <c r="O82" s="11">
        <v>202124110093181</v>
      </c>
      <c r="P82" s="20">
        <v>44217</v>
      </c>
      <c r="Q82" s="20" t="str">
        <f>UPPER(TEXT(Tabla1[[#This Row],[FECHA RADICADO ENTRADA]],"MMM"))</f>
        <v>ENE</v>
      </c>
      <c r="R82" s="10">
        <f t="shared" si="1"/>
        <v>-2</v>
      </c>
      <c r="S82" s="10" t="s">
        <v>2154</v>
      </c>
      <c r="U82" s="10" t="s">
        <v>2284</v>
      </c>
      <c r="V82" s="20">
        <v>43725</v>
      </c>
      <c r="W82" s="10" t="s">
        <v>63</v>
      </c>
      <c r="X82" s="10">
        <v>50</v>
      </c>
      <c r="Y82" s="11">
        <f>IFERROR(INT(Tabla1[[#This Row],[CANTIDAD UND FARMACEUTICAS]]/(VLOOKUP(Tabla1[[#This Row],[MEDICAMENTO]],TAB_REF!$K$3:$L$27,2,0))),"")</f>
        <v>5</v>
      </c>
      <c r="Z82" s="10" t="str">
        <f>IFERROR(VLOOKUP(Tabla1[[#This Row],[MEDICAMENTO]],TAB_REF!$B$3:$F$27,2,0), "")</f>
        <v xml:space="preserve">Morfina HCl </v>
      </c>
      <c r="AA82" s="10" t="str">
        <f>IFERROR(VLOOKUP(Tabla1[[#This Row],[MEDICAMENTO]],TAB_REF!$B$3:$F$27,3,0), "")</f>
        <v xml:space="preserve">10 mg/mL </v>
      </c>
      <c r="AB82" s="10" t="str">
        <f>IFERROR(VLOOKUP(Tabla1[[#This Row],[MEDICAMENTO]],TAB_REF!$B$3:$F$27,4,0), "")</f>
        <v>Solución Inyectable</v>
      </c>
      <c r="AC82" s="10" t="str">
        <f>IFERROR(VLOOKUP(Tabla1[[#This Row],[MEDICAMENTO]],TAB_REF!$B$3:$F$27,5,0), "")</f>
        <v>Caja x 10 unidades</v>
      </c>
      <c r="AD82" s="10" t="str">
        <f>IFERROR(VLOOKUP(Tabla1[[#This Row],[CANTIDAD UND COMERCIALES]],TAB_REF!$H$3:$I$1003,2,0)&amp;" ("&amp;Tabla1[[#This Row],[CANTIDAD UND COMERCIALES]]&amp;")"&amp;"_"&amp;Tabla1[[#This Row],[CANTIDAD]],"")</f>
        <v>Cinco (5)_Caja x 10 unidades</v>
      </c>
      <c r="AE82" s="31" t="e">
        <f>CONCATENATE([1]!Tabla1[[#This Row],[NOMBRE MED.]],[1]!Tabla1[[#This Row],[CONCENTRACION]],[1]!Tabla1[[#This Row],[FORMA FARMACEUTICA]])</f>
        <v>#REF!</v>
      </c>
    </row>
    <row r="83" spans="2:31" x14ac:dyDescent="0.25">
      <c r="B83" s="10">
        <v>26</v>
      </c>
      <c r="C83" s="10" t="s">
        <v>2279</v>
      </c>
      <c r="D83" s="10" t="s">
        <v>2162</v>
      </c>
      <c r="E83" s="10" t="s">
        <v>2280</v>
      </c>
      <c r="F83" s="10" t="s">
        <v>2281</v>
      </c>
      <c r="G83" s="10" t="s">
        <v>2282</v>
      </c>
      <c r="H83" s="10" t="s">
        <v>2283</v>
      </c>
      <c r="I83" s="10" t="s">
        <v>2129</v>
      </c>
      <c r="J83" s="10" t="s">
        <v>2032</v>
      </c>
      <c r="K83" s="10" t="s">
        <v>2148</v>
      </c>
      <c r="L83" s="11">
        <v>202124100083572</v>
      </c>
      <c r="M83" s="20">
        <v>44215</v>
      </c>
      <c r="N83" s="20" t="str">
        <f>UPPER(TEXT(Tabla1[[#This Row],[FECHA RADICADO ENTRADA]],"MMM"))</f>
        <v>ENE</v>
      </c>
      <c r="O83" s="11">
        <v>202124110093181</v>
      </c>
      <c r="P83" s="20">
        <v>44217</v>
      </c>
      <c r="Q83" s="20" t="str">
        <f>UPPER(TEXT(Tabla1[[#This Row],[FECHA RADICADO ENTRADA]],"MMM"))</f>
        <v>ENE</v>
      </c>
      <c r="R83" s="10">
        <f t="shared" si="1"/>
        <v>-2</v>
      </c>
      <c r="S83" s="10" t="s">
        <v>2154</v>
      </c>
      <c r="U83" s="10" t="s">
        <v>2284</v>
      </c>
      <c r="V83" s="20">
        <v>43726</v>
      </c>
      <c r="W83" s="10" t="s">
        <v>37</v>
      </c>
      <c r="X83" s="10">
        <v>30</v>
      </c>
      <c r="Y83" s="11">
        <f>IFERROR(INT(Tabla1[[#This Row],[CANTIDAD UND FARMACEUTICAS]]/(VLOOKUP(Tabla1[[#This Row],[MEDICAMENTO]],TAB_REF!$K$3:$L$27,2,0))),"")</f>
        <v>3</v>
      </c>
      <c r="Z83" s="10" t="str">
        <f>IFERROR(VLOOKUP(Tabla1[[#This Row],[MEDICAMENTO]],TAB_REF!$B$3:$F$27,2,0), "")</f>
        <v xml:space="preserve">Hidromorfona HCl </v>
      </c>
      <c r="AA83" s="10" t="str">
        <f>IFERROR(VLOOKUP(Tabla1[[#This Row],[MEDICAMENTO]],TAB_REF!$B$3:$F$27,3,0), "")</f>
        <v xml:space="preserve">2 mg/mL </v>
      </c>
      <c r="AB83" s="10" t="str">
        <f>IFERROR(VLOOKUP(Tabla1[[#This Row],[MEDICAMENTO]],TAB_REF!$B$3:$F$27,4,0), "")</f>
        <v>Solución Inyectable</v>
      </c>
      <c r="AC83" s="10" t="str">
        <f>IFERROR(VLOOKUP(Tabla1[[#This Row],[MEDICAMENTO]],TAB_REF!$B$3:$F$27,5,0), "")</f>
        <v>Caja x 10 unidades</v>
      </c>
      <c r="AD83" s="10" t="str">
        <f>IFERROR(VLOOKUP(Tabla1[[#This Row],[CANTIDAD UND COMERCIALES]],TAB_REF!$H$3:$I$1003,2,0)&amp;" ("&amp;Tabla1[[#This Row],[CANTIDAD UND COMERCIALES]]&amp;")"&amp;"_"&amp;Tabla1[[#This Row],[CANTIDAD]],"")</f>
        <v>Tres (3)_Caja x 10 unidades</v>
      </c>
      <c r="AE83" s="31" t="e">
        <f>CONCATENATE([1]!Tabla1[[#This Row],[NOMBRE MED.]],[1]!Tabla1[[#This Row],[CONCENTRACION]],[1]!Tabla1[[#This Row],[FORMA FARMACEUTICA]])</f>
        <v>#REF!</v>
      </c>
    </row>
    <row r="84" spans="2:31" x14ac:dyDescent="0.25">
      <c r="B84" s="10">
        <v>27</v>
      </c>
      <c r="C84" s="10" t="s">
        <v>2285</v>
      </c>
      <c r="D84" s="10" t="s">
        <v>2286</v>
      </c>
      <c r="E84" s="10" t="s">
        <v>2287</v>
      </c>
      <c r="F84" s="10" t="s">
        <v>2288</v>
      </c>
      <c r="G84" s="10" t="s">
        <v>2289</v>
      </c>
      <c r="H84" s="10" t="s">
        <v>2290</v>
      </c>
      <c r="I84" s="10" t="s">
        <v>2110</v>
      </c>
      <c r="J84" s="10" t="s">
        <v>1272</v>
      </c>
      <c r="K84" s="10" t="s">
        <v>2148</v>
      </c>
      <c r="L84" s="11">
        <v>202124100083932</v>
      </c>
      <c r="M84" s="20">
        <v>44215</v>
      </c>
      <c r="N84" s="20" t="str">
        <f>UPPER(TEXT(Tabla1[[#This Row],[FECHA RADICADO ENTRADA]],"MMM"))</f>
        <v>ENE</v>
      </c>
      <c r="O84" s="11">
        <v>202124110093211</v>
      </c>
      <c r="P84" s="20">
        <v>44217</v>
      </c>
      <c r="Q84" s="20" t="str">
        <f>UPPER(TEXT(Tabla1[[#This Row],[FECHA RADICADO ENTRADA]],"MMM"))</f>
        <v>ENE</v>
      </c>
      <c r="R84" s="10">
        <f t="shared" si="1"/>
        <v>-2</v>
      </c>
      <c r="S84" s="10" t="s">
        <v>2154</v>
      </c>
      <c r="U84" s="10" t="s">
        <v>2292</v>
      </c>
      <c r="V84" s="20">
        <v>42943</v>
      </c>
      <c r="W84" s="10" t="s">
        <v>32</v>
      </c>
      <c r="X84" s="10">
        <v>3000</v>
      </c>
      <c r="Y84" s="11">
        <f>IFERROR(INT(Tabla1[[#This Row],[CANTIDAD UND FARMACEUTICAS]]/(VLOOKUP(Tabla1[[#This Row],[MEDICAMENTO]],TAB_REF!$K$3:$L$27,2,0))),"")</f>
        <v>100</v>
      </c>
      <c r="Z84" s="10" t="str">
        <f>IFERROR(VLOOKUP(Tabla1[[#This Row],[MEDICAMENTO]],TAB_REF!$B$3:$F$27,2,0), "")</f>
        <v xml:space="preserve">Fenobarbital </v>
      </c>
      <c r="AA84" s="10" t="str">
        <f>IFERROR(VLOOKUP(Tabla1[[#This Row],[MEDICAMENTO]],TAB_REF!$B$3:$F$27,3,0), "")</f>
        <v xml:space="preserve">100 mg </v>
      </c>
      <c r="AB84" s="10" t="str">
        <f>IFERROR(VLOOKUP(Tabla1[[#This Row],[MEDICAMENTO]],TAB_REF!$B$3:$F$27,4,0), "")</f>
        <v>Tabletas</v>
      </c>
      <c r="AC84" s="10" t="str">
        <f>IFERROR(VLOOKUP(Tabla1[[#This Row],[MEDICAMENTO]],TAB_REF!$B$3:$F$27,5,0), "")</f>
        <v>Caja x 30 unidades</v>
      </c>
      <c r="AD84" s="10" t="str">
        <f>IFERROR(VLOOKUP(Tabla1[[#This Row],[CANTIDAD UND COMERCIALES]],TAB_REF!$H$3:$I$1003,2,0)&amp;" ("&amp;Tabla1[[#This Row],[CANTIDAD UND COMERCIALES]]&amp;")"&amp;"_"&amp;Tabla1[[#This Row],[CANTIDAD]],"")</f>
        <v>Cien (100)_Caja x 30 unidades</v>
      </c>
      <c r="AE84" s="31" t="e">
        <f>CONCATENATE([1]!Tabla1[[#This Row],[NOMBRE MED.]],[1]!Tabla1[[#This Row],[CONCENTRACION]],[1]!Tabla1[[#This Row],[FORMA FARMACEUTICA]])</f>
        <v>#REF!</v>
      </c>
    </row>
    <row r="85" spans="2:31" x14ac:dyDescent="0.25">
      <c r="B85" s="10">
        <v>27</v>
      </c>
      <c r="C85" s="10" t="s">
        <v>2285</v>
      </c>
      <c r="D85" s="10" t="s">
        <v>2286</v>
      </c>
      <c r="E85" s="10" t="s">
        <v>2287</v>
      </c>
      <c r="F85" s="10" t="s">
        <v>2288</v>
      </c>
      <c r="G85" s="10" t="s">
        <v>2289</v>
      </c>
      <c r="H85" s="10" t="s">
        <v>2291</v>
      </c>
      <c r="I85" s="10" t="s">
        <v>2110</v>
      </c>
      <c r="J85" s="10" t="s">
        <v>1272</v>
      </c>
      <c r="K85" s="10" t="s">
        <v>2148</v>
      </c>
      <c r="L85" s="11">
        <v>202124100083932</v>
      </c>
      <c r="M85" s="20">
        <v>44215</v>
      </c>
      <c r="N85" s="20" t="str">
        <f>UPPER(TEXT(Tabla1[[#This Row],[FECHA RADICADO ENTRADA]],"MMM"))</f>
        <v>ENE</v>
      </c>
      <c r="O85" s="11">
        <v>202124110093211</v>
      </c>
      <c r="P85" s="20">
        <v>44217</v>
      </c>
      <c r="Q85" s="20" t="str">
        <f>UPPER(TEXT(Tabla1[[#This Row],[FECHA RADICADO ENTRADA]],"MMM"))</f>
        <v>ENE</v>
      </c>
      <c r="R85" s="10">
        <f t="shared" si="1"/>
        <v>-2</v>
      </c>
      <c r="S85" s="10" t="s">
        <v>2154</v>
      </c>
      <c r="U85" s="10" t="s">
        <v>2292</v>
      </c>
      <c r="V85" s="20">
        <v>42943</v>
      </c>
      <c r="W85" s="10" t="s">
        <v>63</v>
      </c>
      <c r="X85" s="10">
        <v>40</v>
      </c>
      <c r="Y85" s="11">
        <f>IFERROR(INT(Tabla1[[#This Row],[CANTIDAD UND FARMACEUTICAS]]/(VLOOKUP(Tabla1[[#This Row],[MEDICAMENTO]],TAB_REF!$K$3:$L$27,2,0))),"")</f>
        <v>4</v>
      </c>
      <c r="Z85" s="10" t="str">
        <f>IFERROR(VLOOKUP(Tabla1[[#This Row],[MEDICAMENTO]],TAB_REF!$B$3:$F$27,2,0), "")</f>
        <v xml:space="preserve">Morfina HCl </v>
      </c>
      <c r="AA85" s="10" t="str">
        <f>IFERROR(VLOOKUP(Tabla1[[#This Row],[MEDICAMENTO]],TAB_REF!$B$3:$F$27,3,0), "")</f>
        <v xml:space="preserve">10 mg/mL </v>
      </c>
      <c r="AB85" s="10" t="str">
        <f>IFERROR(VLOOKUP(Tabla1[[#This Row],[MEDICAMENTO]],TAB_REF!$B$3:$F$27,4,0), "")</f>
        <v>Solución Inyectable</v>
      </c>
      <c r="AC85" s="10" t="str">
        <f>IFERROR(VLOOKUP(Tabla1[[#This Row],[MEDICAMENTO]],TAB_REF!$B$3:$F$27,5,0), "")</f>
        <v>Caja x 10 unidades</v>
      </c>
      <c r="AD85" s="10" t="str">
        <f>IFERROR(VLOOKUP(Tabla1[[#This Row],[CANTIDAD UND COMERCIALES]],TAB_REF!$H$3:$I$1003,2,0)&amp;" ("&amp;Tabla1[[#This Row],[CANTIDAD UND COMERCIALES]]&amp;")"&amp;"_"&amp;Tabla1[[#This Row],[CANTIDAD]],"")</f>
        <v>Cuatro (4)_Caja x 10 unidades</v>
      </c>
      <c r="AE85" s="31" t="e">
        <f>CONCATENATE([1]!Tabla1[[#This Row],[NOMBRE MED.]],[1]!Tabla1[[#This Row],[CONCENTRACION]],[1]!Tabla1[[#This Row],[FORMA FARMACEUTICA]])</f>
        <v>#REF!</v>
      </c>
    </row>
    <row r="86" spans="2:31" x14ac:dyDescent="0.25">
      <c r="B86" s="10">
        <v>28</v>
      </c>
      <c r="C86" s="10" t="s">
        <v>2293</v>
      </c>
      <c r="D86" s="10" t="s">
        <v>2182</v>
      </c>
      <c r="E86" s="10" t="s">
        <v>2294</v>
      </c>
      <c r="F86" s="10" t="s">
        <v>2295</v>
      </c>
      <c r="G86" s="10" t="s">
        <v>2296</v>
      </c>
      <c r="H86" s="10" t="s">
        <v>2297</v>
      </c>
      <c r="I86" s="10" t="s">
        <v>2129</v>
      </c>
      <c r="J86" s="10" t="s">
        <v>2011</v>
      </c>
      <c r="K86" s="10" t="s">
        <v>2148</v>
      </c>
      <c r="L86" s="11">
        <v>202124100087572</v>
      </c>
      <c r="M86" s="20">
        <v>44215</v>
      </c>
      <c r="N86" s="20" t="str">
        <f>UPPER(TEXT(Tabla1[[#This Row],[FECHA RADICADO ENTRADA]],"MMM"))</f>
        <v>ENE</v>
      </c>
      <c r="O86" s="11">
        <v>202124110093251</v>
      </c>
      <c r="P86" s="20">
        <v>44217</v>
      </c>
      <c r="Q86" s="20" t="str">
        <f>UPPER(TEXT(Tabla1[[#This Row],[FECHA RADICADO ENTRADA]],"MMM"))</f>
        <v>ENE</v>
      </c>
      <c r="R86" s="10">
        <f t="shared" si="1"/>
        <v>-2</v>
      </c>
      <c r="S86" s="10" t="s">
        <v>2154</v>
      </c>
      <c r="U86" s="10" t="s">
        <v>2298</v>
      </c>
      <c r="V86" s="20">
        <v>43671</v>
      </c>
      <c r="W86" s="10" t="s">
        <v>41</v>
      </c>
      <c r="X86" s="10">
        <v>50</v>
      </c>
      <c r="Y86" s="11">
        <f>IFERROR(INT(Tabla1[[#This Row],[CANTIDAD UND FARMACEUTICAS]]/(VLOOKUP(Tabla1[[#This Row],[MEDICAMENTO]],TAB_REF!$K$3:$L$27,2,0))),"")</f>
        <v>5</v>
      </c>
      <c r="Z86" s="10" t="str">
        <f>IFERROR(VLOOKUP(Tabla1[[#This Row],[MEDICAMENTO]],TAB_REF!$B$3:$F$27,2,0), "")</f>
        <v xml:space="preserve">Meperidina HCl </v>
      </c>
      <c r="AA86" s="10" t="str">
        <f>IFERROR(VLOOKUP(Tabla1[[#This Row],[MEDICAMENTO]],TAB_REF!$B$3:$F$27,3,0), "")</f>
        <v xml:space="preserve">100 mg/2mL </v>
      </c>
      <c r="AB86" s="10" t="str">
        <f>IFERROR(VLOOKUP(Tabla1[[#This Row],[MEDICAMENTO]],TAB_REF!$B$3:$F$27,4,0), "")</f>
        <v>Solución Inyectable</v>
      </c>
      <c r="AC86" s="10" t="str">
        <f>IFERROR(VLOOKUP(Tabla1[[#This Row],[MEDICAMENTO]],TAB_REF!$B$3:$F$27,5,0), "")</f>
        <v>Caja 10 ampollas</v>
      </c>
      <c r="AD86" s="10" t="str">
        <f>IFERROR(VLOOKUP(Tabla1[[#This Row],[CANTIDAD UND COMERCIALES]],TAB_REF!$H$3:$I$1003,2,0)&amp;" ("&amp;Tabla1[[#This Row],[CANTIDAD UND COMERCIALES]]&amp;")"&amp;"_"&amp;Tabla1[[#This Row],[CANTIDAD]],"")</f>
        <v>Cinco (5)_Caja 10 ampollas</v>
      </c>
      <c r="AE86" s="31" t="e">
        <f>CONCATENATE([1]!Tabla1[[#This Row],[NOMBRE MED.]],[1]!Tabla1[[#This Row],[CONCENTRACION]],[1]!Tabla1[[#This Row],[FORMA FARMACEUTICA]])</f>
        <v>#REF!</v>
      </c>
    </row>
    <row r="87" spans="2:31" x14ac:dyDescent="0.25">
      <c r="B87" s="10">
        <v>29</v>
      </c>
      <c r="C87" s="10" t="s">
        <v>2299</v>
      </c>
      <c r="D87" s="10" t="s">
        <v>2300</v>
      </c>
      <c r="E87" s="10" t="s">
        <v>2301</v>
      </c>
      <c r="F87" s="3" t="s">
        <v>2302</v>
      </c>
      <c r="G87" s="10" t="s">
        <v>2303</v>
      </c>
      <c r="H87" s="10" t="s">
        <v>2307</v>
      </c>
      <c r="I87" s="10" t="s">
        <v>2122</v>
      </c>
      <c r="J87" s="10" t="s">
        <v>1742</v>
      </c>
      <c r="K87" s="10" t="s">
        <v>2148</v>
      </c>
      <c r="L87" s="11">
        <v>202124100089882</v>
      </c>
      <c r="M87" s="20">
        <v>44215</v>
      </c>
      <c r="N87" s="20" t="str">
        <f>UPPER(TEXT(Tabla1[[#This Row],[FECHA RADICADO ENTRADA]],"MMM"))</f>
        <v>ENE</v>
      </c>
      <c r="O87" s="11">
        <v>202124110093301</v>
      </c>
      <c r="P87" s="20">
        <v>44217</v>
      </c>
      <c r="Q87" s="20" t="str">
        <f>UPPER(TEXT(Tabla1[[#This Row],[FECHA RADICADO ENTRADA]],"MMM"))</f>
        <v>ENE</v>
      </c>
      <c r="R87" s="10">
        <f t="shared" si="1"/>
        <v>-2</v>
      </c>
      <c r="S87" s="10" t="s">
        <v>2154</v>
      </c>
      <c r="U87" s="10" t="s">
        <v>2304</v>
      </c>
      <c r="V87" s="20">
        <v>43787</v>
      </c>
      <c r="W87" s="10" t="s">
        <v>32</v>
      </c>
      <c r="X87" s="10">
        <v>1200</v>
      </c>
      <c r="Y87" s="11">
        <f>IFERROR(INT(Tabla1[[#This Row],[CANTIDAD UND FARMACEUTICAS]]/(VLOOKUP(Tabla1[[#This Row],[MEDICAMENTO]],TAB_REF!$K$3:$L$27,2,0))),"")</f>
        <v>40</v>
      </c>
      <c r="Z87" s="10" t="str">
        <f>IFERROR(VLOOKUP(Tabla1[[#This Row],[MEDICAMENTO]],TAB_REF!$B$3:$F$27,2,0), "")</f>
        <v xml:space="preserve">Fenobarbital </v>
      </c>
      <c r="AA87" s="10" t="str">
        <f>IFERROR(VLOOKUP(Tabla1[[#This Row],[MEDICAMENTO]],TAB_REF!$B$3:$F$27,3,0), "")</f>
        <v xml:space="preserve">100 mg </v>
      </c>
      <c r="AB87" s="10" t="str">
        <f>IFERROR(VLOOKUP(Tabla1[[#This Row],[MEDICAMENTO]],TAB_REF!$B$3:$F$27,4,0), "")</f>
        <v>Tabletas</v>
      </c>
      <c r="AC87" s="10" t="str">
        <f>IFERROR(VLOOKUP(Tabla1[[#This Row],[MEDICAMENTO]],TAB_REF!$B$3:$F$27,5,0), "")</f>
        <v>Caja x 30 unidades</v>
      </c>
      <c r="AD87" s="10" t="str">
        <f>IFERROR(VLOOKUP(Tabla1[[#This Row],[CANTIDAD UND COMERCIALES]],TAB_REF!$H$3:$I$1003,2,0)&amp;" ("&amp;Tabla1[[#This Row],[CANTIDAD UND COMERCIALES]]&amp;")"&amp;"_"&amp;Tabla1[[#This Row],[CANTIDAD]],"")</f>
        <v>Cuarenta (40)_Caja x 30 unidades</v>
      </c>
      <c r="AE87" s="31" t="e">
        <f>CONCATENATE([1]!Tabla1[[#This Row],[NOMBRE MED.]],[1]!Tabla1[[#This Row],[CONCENTRACION]],[1]!Tabla1[[#This Row],[FORMA FARMACEUTICA]])</f>
        <v>#REF!</v>
      </c>
    </row>
    <row r="88" spans="2:31" x14ac:dyDescent="0.25">
      <c r="B88" s="10">
        <v>30</v>
      </c>
      <c r="C88" s="10" t="s">
        <v>2299</v>
      </c>
      <c r="D88" s="10" t="s">
        <v>2300</v>
      </c>
      <c r="E88" s="10" t="s">
        <v>2301</v>
      </c>
      <c r="F88" s="3" t="s">
        <v>2302</v>
      </c>
      <c r="G88" s="10" t="s">
        <v>2303</v>
      </c>
      <c r="H88" s="10" t="s">
        <v>2306</v>
      </c>
      <c r="I88" s="10" t="s">
        <v>2122</v>
      </c>
      <c r="J88" s="10" t="s">
        <v>1752</v>
      </c>
      <c r="K88" s="10" t="s">
        <v>2148</v>
      </c>
      <c r="L88" s="11">
        <v>202124100089882</v>
      </c>
      <c r="M88" s="20">
        <v>44215</v>
      </c>
      <c r="N88" s="20" t="str">
        <f>UPPER(TEXT(Tabla1[[#This Row],[FECHA RADICADO ENTRADA]],"MMM"))</f>
        <v>ENE</v>
      </c>
      <c r="O88" s="11">
        <v>202124110093331</v>
      </c>
      <c r="P88" s="20">
        <v>44217</v>
      </c>
      <c r="Q88" s="20" t="str">
        <f>UPPER(TEXT(Tabla1[[#This Row],[FECHA RADICADO ENTRADA]],"MMM"))</f>
        <v>ENE</v>
      </c>
      <c r="R88" s="10">
        <f t="shared" si="1"/>
        <v>-2</v>
      </c>
      <c r="S88" s="10" t="s">
        <v>2154</v>
      </c>
      <c r="U88" s="10" t="s">
        <v>2305</v>
      </c>
      <c r="V88" s="20">
        <v>43787</v>
      </c>
      <c r="W88" s="10" t="s">
        <v>32</v>
      </c>
      <c r="X88" s="10">
        <v>2400</v>
      </c>
      <c r="Y88" s="11">
        <f>IFERROR(INT(Tabla1[[#This Row],[CANTIDAD UND FARMACEUTICAS]]/(VLOOKUP(Tabla1[[#This Row],[MEDICAMENTO]],TAB_REF!$K$3:$L$27,2,0))),"")</f>
        <v>80</v>
      </c>
      <c r="Z88" s="10" t="str">
        <f>IFERROR(VLOOKUP(Tabla1[[#This Row],[MEDICAMENTO]],TAB_REF!$B$3:$F$27,2,0), "")</f>
        <v xml:space="preserve">Fenobarbital </v>
      </c>
      <c r="AA88" s="10" t="str">
        <f>IFERROR(VLOOKUP(Tabla1[[#This Row],[MEDICAMENTO]],TAB_REF!$B$3:$F$27,3,0), "")</f>
        <v xml:space="preserve">100 mg </v>
      </c>
      <c r="AB88" s="10" t="str">
        <f>IFERROR(VLOOKUP(Tabla1[[#This Row],[MEDICAMENTO]],TAB_REF!$B$3:$F$27,4,0), "")</f>
        <v>Tabletas</v>
      </c>
      <c r="AC88" s="10" t="str">
        <f>IFERROR(VLOOKUP(Tabla1[[#This Row],[MEDICAMENTO]],TAB_REF!$B$3:$F$27,5,0), "")</f>
        <v>Caja x 30 unidades</v>
      </c>
      <c r="AD88" s="10" t="str">
        <f>IFERROR(VLOOKUP(Tabla1[[#This Row],[CANTIDAD UND COMERCIALES]],TAB_REF!$H$3:$I$1003,2,0)&amp;" ("&amp;Tabla1[[#This Row],[CANTIDAD UND COMERCIALES]]&amp;")"&amp;"_"&amp;Tabla1[[#This Row],[CANTIDAD]],"")</f>
        <v>Ochenta (80)_Caja x 30 unidades</v>
      </c>
      <c r="AE88" s="31" t="e">
        <f>CONCATENATE([1]!Tabla1[[#This Row],[NOMBRE MED.]],[1]!Tabla1[[#This Row],[CONCENTRACION]],[1]!Tabla1[[#This Row],[FORMA FARMACEUTICA]])</f>
        <v>#REF!</v>
      </c>
    </row>
    <row r="89" spans="2:31" x14ac:dyDescent="0.25">
      <c r="B89" s="10">
        <v>31</v>
      </c>
      <c r="C89" s="10" t="s">
        <v>2299</v>
      </c>
      <c r="D89" s="10" t="s">
        <v>2300</v>
      </c>
      <c r="E89" s="10" t="s">
        <v>2301</v>
      </c>
      <c r="F89" s="3" t="s">
        <v>2302</v>
      </c>
      <c r="G89" s="10" t="s">
        <v>2303</v>
      </c>
      <c r="H89" s="10" t="s">
        <v>2308</v>
      </c>
      <c r="I89" s="10" t="s">
        <v>2122</v>
      </c>
      <c r="J89" s="10" t="s">
        <v>1758</v>
      </c>
      <c r="K89" s="10" t="s">
        <v>2148</v>
      </c>
      <c r="L89" s="11">
        <v>202124100089882</v>
      </c>
      <c r="M89" s="20">
        <v>44215</v>
      </c>
      <c r="N89" s="20" t="str">
        <f>UPPER(TEXT(Tabla1[[#This Row],[FECHA RADICADO ENTRADA]],"MMM"))</f>
        <v>ENE</v>
      </c>
      <c r="O89" s="11">
        <v>202124110093341</v>
      </c>
      <c r="P89" s="20">
        <v>44217</v>
      </c>
      <c r="Q89" s="20" t="str">
        <f>UPPER(TEXT(Tabla1[[#This Row],[FECHA RADICADO ENTRADA]],"MMM"))</f>
        <v>ENE</v>
      </c>
      <c r="R89" s="10">
        <f t="shared" si="1"/>
        <v>-2</v>
      </c>
      <c r="S89" s="10" t="s">
        <v>2154</v>
      </c>
      <c r="U89" s="10" t="s">
        <v>2309</v>
      </c>
      <c r="V89" s="20">
        <v>43787</v>
      </c>
      <c r="W89" s="10" t="s">
        <v>32</v>
      </c>
      <c r="X89" s="10">
        <v>600</v>
      </c>
      <c r="Y89" s="11">
        <f>IFERROR(INT(Tabla1[[#This Row],[CANTIDAD UND FARMACEUTICAS]]/(VLOOKUP(Tabla1[[#This Row],[MEDICAMENTO]],TAB_REF!$K$3:$L$27,2,0))),"")</f>
        <v>20</v>
      </c>
      <c r="Z89" s="10" t="str">
        <f>IFERROR(VLOOKUP(Tabla1[[#This Row],[MEDICAMENTO]],TAB_REF!$B$3:$F$27,2,0), "")</f>
        <v xml:space="preserve">Fenobarbital </v>
      </c>
      <c r="AA89" s="10" t="str">
        <f>IFERROR(VLOOKUP(Tabla1[[#This Row],[MEDICAMENTO]],TAB_REF!$B$3:$F$27,3,0), "")</f>
        <v xml:space="preserve">100 mg </v>
      </c>
      <c r="AB89" s="10" t="str">
        <f>IFERROR(VLOOKUP(Tabla1[[#This Row],[MEDICAMENTO]],TAB_REF!$B$3:$F$27,4,0), "")</f>
        <v>Tabletas</v>
      </c>
      <c r="AC89" s="10" t="str">
        <f>IFERROR(VLOOKUP(Tabla1[[#This Row],[MEDICAMENTO]],TAB_REF!$B$3:$F$27,5,0), "")</f>
        <v>Caja x 30 unidades</v>
      </c>
      <c r="AD89" s="10" t="str">
        <f>IFERROR(VLOOKUP(Tabla1[[#This Row],[CANTIDAD UND COMERCIALES]],TAB_REF!$H$3:$I$1003,2,0)&amp;" ("&amp;Tabla1[[#This Row],[CANTIDAD UND COMERCIALES]]&amp;")"&amp;"_"&amp;Tabla1[[#This Row],[CANTIDAD]],"")</f>
        <v>Veinte (20)_Caja x 30 unidades</v>
      </c>
      <c r="AE89" s="31" t="e">
        <f>CONCATENATE([1]!Tabla1[[#This Row],[NOMBRE MED.]],[1]!Tabla1[[#This Row],[CONCENTRACION]],[1]!Tabla1[[#This Row],[FORMA FARMACEUTICA]])</f>
        <v>#REF!</v>
      </c>
    </row>
    <row r="90" spans="2:31" x14ac:dyDescent="0.25">
      <c r="B90" s="10">
        <v>32</v>
      </c>
      <c r="C90" s="10" t="s">
        <v>2299</v>
      </c>
      <c r="D90" s="10" t="s">
        <v>2300</v>
      </c>
      <c r="E90" s="10" t="s">
        <v>2301</v>
      </c>
      <c r="F90" s="3" t="s">
        <v>2302</v>
      </c>
      <c r="G90" s="10" t="s">
        <v>2303</v>
      </c>
      <c r="H90" s="10" t="s">
        <v>2310</v>
      </c>
      <c r="I90" s="10" t="s">
        <v>2122</v>
      </c>
      <c r="J90" s="10" t="s">
        <v>1748</v>
      </c>
      <c r="K90" s="10" t="s">
        <v>2148</v>
      </c>
      <c r="L90" s="11">
        <v>202124100089882</v>
      </c>
      <c r="M90" s="20">
        <v>44215</v>
      </c>
      <c r="N90" s="20" t="str">
        <f>UPPER(TEXT(Tabla1[[#This Row],[FECHA RADICADO ENTRADA]],"MMM"))</f>
        <v>ENE</v>
      </c>
      <c r="O90" s="11">
        <v>202124110093511</v>
      </c>
      <c r="P90" s="20">
        <v>44217</v>
      </c>
      <c r="Q90" s="20" t="str">
        <f>UPPER(TEXT(Tabla1[[#This Row],[FECHA RADICADO ENTRADA]],"MMM"))</f>
        <v>ENE</v>
      </c>
      <c r="R90" s="10">
        <f t="shared" si="1"/>
        <v>-2</v>
      </c>
      <c r="S90" s="10" t="s">
        <v>2154</v>
      </c>
      <c r="U90" s="10" t="s">
        <v>2311</v>
      </c>
      <c r="V90" s="20">
        <v>43787</v>
      </c>
      <c r="W90" s="10" t="s">
        <v>32</v>
      </c>
      <c r="X90" s="10">
        <v>1200</v>
      </c>
      <c r="Y90" s="11">
        <f>IFERROR(INT(Tabla1[[#This Row],[CANTIDAD UND FARMACEUTICAS]]/(VLOOKUP(Tabla1[[#This Row],[MEDICAMENTO]],TAB_REF!$K$3:$L$27,2,0))),"")</f>
        <v>40</v>
      </c>
      <c r="Z90" s="10" t="str">
        <f>IFERROR(VLOOKUP(Tabla1[[#This Row],[MEDICAMENTO]],TAB_REF!$B$3:$F$27,2,0), "")</f>
        <v xml:space="preserve">Fenobarbital </v>
      </c>
      <c r="AA90" s="10" t="str">
        <f>IFERROR(VLOOKUP(Tabla1[[#This Row],[MEDICAMENTO]],TAB_REF!$B$3:$F$27,3,0), "")</f>
        <v xml:space="preserve">100 mg </v>
      </c>
      <c r="AB90" s="10" t="str">
        <f>IFERROR(VLOOKUP(Tabla1[[#This Row],[MEDICAMENTO]],TAB_REF!$B$3:$F$27,4,0), "")</f>
        <v>Tabletas</v>
      </c>
      <c r="AC90" s="10" t="str">
        <f>IFERROR(VLOOKUP(Tabla1[[#This Row],[MEDICAMENTO]],TAB_REF!$B$3:$F$27,5,0), "")</f>
        <v>Caja x 30 unidades</v>
      </c>
      <c r="AD90" s="10" t="str">
        <f>IFERROR(VLOOKUP(Tabla1[[#This Row],[CANTIDAD UND COMERCIALES]],TAB_REF!$H$3:$I$1003,2,0)&amp;" ("&amp;Tabla1[[#This Row],[CANTIDAD UND COMERCIALES]]&amp;")"&amp;"_"&amp;Tabla1[[#This Row],[CANTIDAD]],"")</f>
        <v>Cuarenta (40)_Caja x 30 unidades</v>
      </c>
      <c r="AE90" s="31" t="e">
        <f>CONCATENATE([1]!Tabla1[[#This Row],[NOMBRE MED.]],[1]!Tabla1[[#This Row],[CONCENTRACION]],[1]!Tabla1[[#This Row],[FORMA FARMACEUTICA]])</f>
        <v>#REF!</v>
      </c>
    </row>
    <row r="91" spans="2:31" x14ac:dyDescent="0.25">
      <c r="B91" s="10">
        <v>33</v>
      </c>
      <c r="C91" s="10" t="s">
        <v>3182</v>
      </c>
      <c r="D91" s="10" t="s">
        <v>2312</v>
      </c>
      <c r="E91" s="10" t="s">
        <v>2313</v>
      </c>
      <c r="F91" s="10" t="s">
        <v>2314</v>
      </c>
      <c r="G91" s="10" t="s">
        <v>2315</v>
      </c>
      <c r="H91" s="10" t="s">
        <v>2316</v>
      </c>
      <c r="I91" s="10" t="s">
        <v>2122</v>
      </c>
      <c r="J91" s="10" t="s">
        <v>1742</v>
      </c>
      <c r="K91" s="10" t="s">
        <v>2148</v>
      </c>
      <c r="L91" s="11">
        <v>202124100092922</v>
      </c>
      <c r="M91" s="20">
        <v>44216</v>
      </c>
      <c r="N91" s="20" t="str">
        <f>UPPER(TEXT(Tabla1[[#This Row],[FECHA RADICADO ENTRADA]],"MMM"))</f>
        <v>ENE</v>
      </c>
      <c r="O91" s="11">
        <v>202124110093741</v>
      </c>
      <c r="P91" s="20">
        <v>44217</v>
      </c>
      <c r="Q91" s="20" t="str">
        <f>UPPER(TEXT(Tabla1[[#This Row],[FECHA RADICADO ENTRADA]],"MMM"))</f>
        <v>ENE</v>
      </c>
      <c r="R91" s="10">
        <f t="shared" si="1"/>
        <v>-1</v>
      </c>
      <c r="S91" s="10" t="s">
        <v>2154</v>
      </c>
      <c r="U91" s="10" t="s">
        <v>2317</v>
      </c>
      <c r="V91" s="20">
        <v>43081</v>
      </c>
      <c r="W91" s="10" t="s">
        <v>32</v>
      </c>
      <c r="X91" s="10">
        <v>18000</v>
      </c>
      <c r="Y91" s="11">
        <f>IFERROR(INT(Tabla1[[#This Row],[CANTIDAD UND FARMACEUTICAS]]/(VLOOKUP(Tabla1[[#This Row],[MEDICAMENTO]],TAB_REF!$K$3:$L$27,2,0))),"")</f>
        <v>600</v>
      </c>
      <c r="Z91" s="10" t="str">
        <f>IFERROR(VLOOKUP(Tabla1[[#This Row],[MEDICAMENTO]],TAB_REF!$B$3:$F$27,2,0), "")</f>
        <v xml:space="preserve">Fenobarbital </v>
      </c>
      <c r="AA91" s="10" t="str">
        <f>IFERROR(VLOOKUP(Tabla1[[#This Row],[MEDICAMENTO]],TAB_REF!$B$3:$F$27,3,0), "")</f>
        <v xml:space="preserve">100 mg </v>
      </c>
      <c r="AB91" s="10" t="str">
        <f>IFERROR(VLOOKUP(Tabla1[[#This Row],[MEDICAMENTO]],TAB_REF!$B$3:$F$27,4,0), "")</f>
        <v>Tabletas</v>
      </c>
      <c r="AC91" s="10" t="str">
        <f>IFERROR(VLOOKUP(Tabla1[[#This Row],[MEDICAMENTO]],TAB_REF!$B$3:$F$27,5,0), "")</f>
        <v>Caja x 30 unidades</v>
      </c>
      <c r="AD91" s="10" t="str">
        <f>IFERROR(VLOOKUP(Tabla1[[#This Row],[CANTIDAD UND COMERCIALES]],TAB_REF!$H$3:$I$1003,2,0)&amp;" ("&amp;Tabla1[[#This Row],[CANTIDAD UND COMERCIALES]]&amp;")"&amp;"_"&amp;Tabla1[[#This Row],[CANTIDAD]],"")</f>
        <v>Seiscientos (600)_Caja x 30 unidades</v>
      </c>
      <c r="AE91" s="31" t="e">
        <f>CONCATENATE([1]!Tabla1[[#This Row],[NOMBRE MED.]],[1]!Tabla1[[#This Row],[CONCENTRACION]],[1]!Tabla1[[#This Row],[FORMA FARMACEUTICA]])</f>
        <v>#REF!</v>
      </c>
    </row>
    <row r="92" spans="2:31" x14ac:dyDescent="0.25">
      <c r="B92" s="10">
        <v>33</v>
      </c>
      <c r="C92" s="10" t="s">
        <v>3182</v>
      </c>
      <c r="D92" s="10" t="s">
        <v>2312</v>
      </c>
      <c r="E92" s="10" t="s">
        <v>2313</v>
      </c>
      <c r="F92" s="10" t="s">
        <v>2314</v>
      </c>
      <c r="G92" s="10" t="s">
        <v>2315</v>
      </c>
      <c r="H92" s="10" t="s">
        <v>2316</v>
      </c>
      <c r="I92" s="10" t="s">
        <v>2122</v>
      </c>
      <c r="J92" s="10" t="s">
        <v>1742</v>
      </c>
      <c r="K92" s="10" t="s">
        <v>2148</v>
      </c>
      <c r="L92" s="11">
        <v>202124100092922</v>
      </c>
      <c r="M92" s="20">
        <v>44216</v>
      </c>
      <c r="N92" s="20" t="str">
        <f>UPPER(TEXT(Tabla1[[#This Row],[FECHA RADICADO ENTRADA]],"MMM"))</f>
        <v>ENE</v>
      </c>
      <c r="O92" s="11">
        <v>202124110093741</v>
      </c>
      <c r="P92" s="20">
        <v>44217</v>
      </c>
      <c r="Q92" s="20" t="str">
        <f>UPPER(TEXT(Tabla1[[#This Row],[FECHA RADICADO ENTRADA]],"MMM"))</f>
        <v>ENE</v>
      </c>
      <c r="R92" s="10">
        <f t="shared" si="1"/>
        <v>-1</v>
      </c>
      <c r="S92" s="10" t="s">
        <v>2154</v>
      </c>
      <c r="U92" s="10" t="s">
        <v>2317</v>
      </c>
      <c r="V92" s="20">
        <v>43081</v>
      </c>
      <c r="W92" s="10" t="s">
        <v>28</v>
      </c>
      <c r="X92" s="10">
        <v>12</v>
      </c>
      <c r="Y92" s="11">
        <f>IFERROR(INT(Tabla1[[#This Row],[CANTIDAD UND FARMACEUTICAS]]/(VLOOKUP(Tabla1[[#This Row],[MEDICAMENTO]],TAB_REF!$K$3:$L$27,2,0))),"")</f>
        <v>12</v>
      </c>
      <c r="Z92" s="10" t="str">
        <f>IFERROR(VLOOKUP(Tabla1[[#This Row],[MEDICAMENTO]],TAB_REF!$B$3:$F$27,2,0), "")</f>
        <v xml:space="preserve">Fenobarbital </v>
      </c>
      <c r="AA92" s="10" t="str">
        <f>IFERROR(VLOOKUP(Tabla1[[#This Row],[MEDICAMENTO]],TAB_REF!$B$3:$F$27,3,0), "")</f>
        <v xml:space="preserve">0,4%. </v>
      </c>
      <c r="AB92" s="10" t="str">
        <f>IFERROR(VLOOKUP(Tabla1[[#This Row],[MEDICAMENTO]],TAB_REF!$B$3:$F$27,4,0), "")</f>
        <v>Solución Oral</v>
      </c>
      <c r="AC92" s="10" t="str">
        <f>IFERROR(VLOOKUP(Tabla1[[#This Row],[MEDICAMENTO]],TAB_REF!$B$3:$F$27,5,0), "")</f>
        <v>Frasco x 120 mL</v>
      </c>
      <c r="AD92" s="10" t="str">
        <f>IFERROR(VLOOKUP(Tabla1[[#This Row],[CANTIDAD UND COMERCIALES]],TAB_REF!$H$3:$I$1003,2,0)&amp;" ("&amp;Tabla1[[#This Row],[CANTIDAD UND COMERCIALES]]&amp;")"&amp;"_"&amp;Tabla1[[#This Row],[CANTIDAD]],"")</f>
        <v>Doce (12)_Frasco x 120 mL</v>
      </c>
      <c r="AE92" s="31" t="e">
        <f>CONCATENATE([1]!Tabla1[[#This Row],[NOMBRE MED.]],[1]!Tabla1[[#This Row],[CONCENTRACION]],[1]!Tabla1[[#This Row],[FORMA FARMACEUTICA]])</f>
        <v>#REF!</v>
      </c>
    </row>
    <row r="93" spans="2:31" x14ac:dyDescent="0.25">
      <c r="B93" s="10">
        <v>34</v>
      </c>
      <c r="C93" s="10" t="s">
        <v>2318</v>
      </c>
      <c r="D93" s="10" t="s">
        <v>2175</v>
      </c>
      <c r="E93" s="10" t="s">
        <v>2319</v>
      </c>
      <c r="F93" s="10" t="s">
        <v>2320</v>
      </c>
      <c r="G93" s="10" t="s">
        <v>2321</v>
      </c>
      <c r="H93" s="10" t="s">
        <v>2322</v>
      </c>
      <c r="I93" s="10" t="s">
        <v>2107</v>
      </c>
      <c r="J93" s="10" t="s">
        <v>1212</v>
      </c>
      <c r="K93" s="10" t="s">
        <v>2148</v>
      </c>
      <c r="L93" s="11">
        <v>202124100095832</v>
      </c>
      <c r="M93" s="20">
        <v>44216</v>
      </c>
      <c r="N93" s="20" t="str">
        <f>UPPER(TEXT(Tabla1[[#This Row],[FECHA RADICADO ENTRADA]],"MMM"))</f>
        <v>ENE</v>
      </c>
      <c r="O93" s="11">
        <v>202124110093841</v>
      </c>
      <c r="P93" s="20">
        <v>44217</v>
      </c>
      <c r="Q93" s="20" t="str">
        <f>UPPER(TEXT(Tabla1[[#This Row],[FECHA RADICADO ENTRADA]],"MMM"))</f>
        <v>ENE</v>
      </c>
      <c r="R93" s="10">
        <f t="shared" si="1"/>
        <v>-1</v>
      </c>
      <c r="S93" s="10" t="s">
        <v>2154</v>
      </c>
      <c r="U93" s="10" t="s">
        <v>2323</v>
      </c>
      <c r="V93" s="20">
        <v>44186</v>
      </c>
      <c r="W93" s="10" t="s">
        <v>28</v>
      </c>
      <c r="X93" s="10">
        <v>18</v>
      </c>
      <c r="Y93" s="11">
        <f>IFERROR(INT(Tabla1[[#This Row],[CANTIDAD UND FARMACEUTICAS]]/(VLOOKUP(Tabla1[[#This Row],[MEDICAMENTO]],TAB_REF!$K$3:$L$27,2,0))),"")</f>
        <v>18</v>
      </c>
      <c r="Z93" s="10" t="str">
        <f>IFERROR(VLOOKUP(Tabla1[[#This Row],[MEDICAMENTO]],TAB_REF!$B$3:$F$27,2,0), "")</f>
        <v xml:space="preserve">Fenobarbital </v>
      </c>
      <c r="AA93" s="10" t="str">
        <f>IFERROR(VLOOKUP(Tabla1[[#This Row],[MEDICAMENTO]],TAB_REF!$B$3:$F$27,3,0), "")</f>
        <v xml:space="preserve">0,4%. </v>
      </c>
      <c r="AB93" s="10" t="str">
        <f>IFERROR(VLOOKUP(Tabla1[[#This Row],[MEDICAMENTO]],TAB_REF!$B$3:$F$27,4,0), "")</f>
        <v>Solución Oral</v>
      </c>
      <c r="AC93" s="10" t="str">
        <f>IFERROR(VLOOKUP(Tabla1[[#This Row],[MEDICAMENTO]],TAB_REF!$B$3:$F$27,5,0), "")</f>
        <v>Frasco x 120 mL</v>
      </c>
      <c r="AD93" s="10" t="str">
        <f>IFERROR(VLOOKUP(Tabla1[[#This Row],[CANTIDAD UND COMERCIALES]],TAB_REF!$H$3:$I$1003,2,0)&amp;" ("&amp;Tabla1[[#This Row],[CANTIDAD UND COMERCIALES]]&amp;")"&amp;"_"&amp;Tabla1[[#This Row],[CANTIDAD]],"")</f>
        <v>Dieciocho (18)_Frasco x 120 mL</v>
      </c>
      <c r="AE93" s="31" t="e">
        <f>CONCATENATE([1]!Tabla1[[#This Row],[NOMBRE MED.]],[1]!Tabla1[[#This Row],[CONCENTRACION]],[1]!Tabla1[[#This Row],[FORMA FARMACEUTICA]])</f>
        <v>#REF!</v>
      </c>
    </row>
    <row r="94" spans="2:31" x14ac:dyDescent="0.25">
      <c r="B94" s="10">
        <v>35</v>
      </c>
      <c r="C94" s="10" t="s">
        <v>2194</v>
      </c>
      <c r="D94" s="10" t="s">
        <v>2195</v>
      </c>
      <c r="E94" s="10" t="s">
        <v>2248</v>
      </c>
      <c r="F94" s="10" t="s">
        <v>2247</v>
      </c>
      <c r="G94" s="10" t="s">
        <v>2197</v>
      </c>
      <c r="H94" s="10" t="s">
        <v>2198</v>
      </c>
      <c r="I94" s="10" t="s">
        <v>2129</v>
      </c>
      <c r="J94" s="10" t="s">
        <v>2011</v>
      </c>
      <c r="K94" s="10" t="s">
        <v>2148</v>
      </c>
      <c r="L94" s="11">
        <v>202124100099472</v>
      </c>
      <c r="M94" s="20">
        <v>44217</v>
      </c>
      <c r="N94" s="20" t="str">
        <f>UPPER(TEXT(Tabla1[[#This Row],[FECHA RADICADO ENTRADA]],"MMM"))</f>
        <v>ENE</v>
      </c>
      <c r="O94" s="11">
        <v>202124110093891</v>
      </c>
      <c r="P94" s="20">
        <v>44217</v>
      </c>
      <c r="Q94" s="20" t="str">
        <f>UPPER(TEXT(Tabla1[[#This Row],[FECHA RADICADO ENTRADA]],"MMM"))</f>
        <v>ENE</v>
      </c>
      <c r="R94" s="10">
        <f t="shared" si="1"/>
        <v>0</v>
      </c>
      <c r="S94" s="10" t="s">
        <v>2154</v>
      </c>
      <c r="T94" s="10" t="s">
        <v>2326</v>
      </c>
      <c r="U94" s="10" t="s">
        <v>2249</v>
      </c>
      <c r="V94" s="20">
        <v>43420</v>
      </c>
      <c r="W94" s="10" t="s">
        <v>32</v>
      </c>
      <c r="X94" s="10">
        <v>3000</v>
      </c>
      <c r="Y94" s="11">
        <f>IFERROR(INT(Tabla1[[#This Row],[CANTIDAD UND FARMACEUTICAS]]/(VLOOKUP(Tabla1[[#This Row],[MEDICAMENTO]],TAB_REF!$K$3:$L$27,2,0))),"")</f>
        <v>100</v>
      </c>
      <c r="Z94" s="10" t="str">
        <f>IFERROR(VLOOKUP(Tabla1[[#This Row],[MEDICAMENTO]],TAB_REF!$B$3:$F$27,2,0), "")</f>
        <v xml:space="preserve">Fenobarbital </v>
      </c>
      <c r="AA94" s="10" t="str">
        <f>IFERROR(VLOOKUP(Tabla1[[#This Row],[MEDICAMENTO]],TAB_REF!$B$3:$F$27,3,0), "")</f>
        <v xml:space="preserve">100 mg </v>
      </c>
      <c r="AB94" s="10" t="str">
        <f>IFERROR(VLOOKUP(Tabla1[[#This Row],[MEDICAMENTO]],TAB_REF!$B$3:$F$27,4,0), "")</f>
        <v>Tabletas</v>
      </c>
      <c r="AC94" s="10" t="str">
        <f>IFERROR(VLOOKUP(Tabla1[[#This Row],[MEDICAMENTO]],TAB_REF!$B$3:$F$27,5,0), "")</f>
        <v>Caja x 30 unidades</v>
      </c>
      <c r="AD94" s="10" t="str">
        <f>IFERROR(VLOOKUP(Tabla1[[#This Row],[CANTIDAD UND COMERCIALES]],TAB_REF!$H$3:$I$1003,2,0)&amp;" ("&amp;Tabla1[[#This Row],[CANTIDAD UND COMERCIALES]]&amp;")"&amp;"_"&amp;Tabla1[[#This Row],[CANTIDAD]],"")</f>
        <v>Cien (100)_Caja x 30 unidades</v>
      </c>
      <c r="AE94" s="31" t="e">
        <f>CONCATENATE([1]!Tabla1[[#This Row],[NOMBRE MED.]],[1]!Tabla1[[#This Row],[CONCENTRACION]],[1]!Tabla1[[#This Row],[FORMA FARMACEUTICA]])</f>
        <v>#REF!</v>
      </c>
    </row>
    <row r="95" spans="2:31" x14ac:dyDescent="0.25">
      <c r="B95" s="10">
        <v>35</v>
      </c>
      <c r="C95" s="10" t="s">
        <v>2194</v>
      </c>
      <c r="D95" s="10" t="s">
        <v>2195</v>
      </c>
      <c r="E95" s="10" t="s">
        <v>2248</v>
      </c>
      <c r="F95" s="10" t="s">
        <v>2247</v>
      </c>
      <c r="G95" s="10" t="s">
        <v>2197</v>
      </c>
      <c r="H95" s="10" t="s">
        <v>2198</v>
      </c>
      <c r="I95" s="10" t="s">
        <v>2129</v>
      </c>
      <c r="J95" s="10" t="s">
        <v>2011</v>
      </c>
      <c r="K95" s="10" t="s">
        <v>2148</v>
      </c>
      <c r="L95" s="11">
        <v>202124100099472</v>
      </c>
      <c r="M95" s="20">
        <v>44217</v>
      </c>
      <c r="N95" s="20" t="str">
        <f>UPPER(TEXT(Tabla1[[#This Row],[FECHA RADICADO ENTRADA]],"MMM"))</f>
        <v>ENE</v>
      </c>
      <c r="O95" s="11">
        <v>202124110093891</v>
      </c>
      <c r="P95" s="20">
        <v>44217</v>
      </c>
      <c r="Q95" s="20" t="str">
        <f>UPPER(TEXT(Tabla1[[#This Row],[FECHA RADICADO ENTRADA]],"MMM"))</f>
        <v>ENE</v>
      </c>
      <c r="R95" s="10">
        <f t="shared" si="1"/>
        <v>0</v>
      </c>
      <c r="S95" s="10" t="s">
        <v>2154</v>
      </c>
      <c r="T95" s="10" t="s">
        <v>2326</v>
      </c>
      <c r="U95" s="10" t="s">
        <v>2249</v>
      </c>
      <c r="V95" s="20">
        <v>43420</v>
      </c>
      <c r="W95" s="10" t="s">
        <v>30</v>
      </c>
      <c r="X95" s="10">
        <v>1200</v>
      </c>
      <c r="Y95" s="11">
        <f>IFERROR(INT(Tabla1[[#This Row],[CANTIDAD UND FARMACEUTICAS]]/(VLOOKUP(Tabla1[[#This Row],[MEDICAMENTO]],TAB_REF!$K$3:$L$27,2,0))),"")</f>
        <v>40</v>
      </c>
      <c r="Z95" s="10" t="str">
        <f>IFERROR(VLOOKUP(Tabla1[[#This Row],[MEDICAMENTO]],TAB_REF!$B$3:$F$27,2,0), "")</f>
        <v xml:space="preserve">Fenobarbital </v>
      </c>
      <c r="AA95" s="10" t="str">
        <f>IFERROR(VLOOKUP(Tabla1[[#This Row],[MEDICAMENTO]],TAB_REF!$B$3:$F$27,3,0), "")</f>
        <v xml:space="preserve">10 mg </v>
      </c>
      <c r="AB95" s="10" t="str">
        <f>IFERROR(VLOOKUP(Tabla1[[#This Row],[MEDICAMENTO]],TAB_REF!$B$3:$F$27,4,0), "")</f>
        <v>Tabletas</v>
      </c>
      <c r="AC95" s="10" t="str">
        <f>IFERROR(VLOOKUP(Tabla1[[#This Row],[MEDICAMENTO]],TAB_REF!$B$3:$F$27,5,0), "")</f>
        <v>Caja x 30 unidades</v>
      </c>
      <c r="AD95" s="10" t="str">
        <f>IFERROR(VLOOKUP(Tabla1[[#This Row],[CANTIDAD UND COMERCIALES]],TAB_REF!$H$3:$I$1003,2,0)&amp;" ("&amp;Tabla1[[#This Row],[CANTIDAD UND COMERCIALES]]&amp;")"&amp;"_"&amp;Tabla1[[#This Row],[CANTIDAD]],"")</f>
        <v>Cuarenta (40)_Caja x 30 unidades</v>
      </c>
      <c r="AE95" s="31" t="e">
        <f>CONCATENATE([1]!Tabla1[[#This Row],[NOMBRE MED.]],[1]!Tabla1[[#This Row],[CONCENTRACION]],[1]!Tabla1[[#This Row],[FORMA FARMACEUTICA]])</f>
        <v>#REF!</v>
      </c>
    </row>
    <row r="96" spans="2:31" x14ac:dyDescent="0.25">
      <c r="B96" s="10">
        <v>35</v>
      </c>
      <c r="C96" s="10" t="s">
        <v>2194</v>
      </c>
      <c r="D96" s="10" t="s">
        <v>2195</v>
      </c>
      <c r="E96" s="10" t="s">
        <v>2248</v>
      </c>
      <c r="F96" s="10" t="s">
        <v>2247</v>
      </c>
      <c r="G96" s="10" t="s">
        <v>2197</v>
      </c>
      <c r="H96" s="10" t="s">
        <v>2198</v>
      </c>
      <c r="I96" s="10" t="s">
        <v>2129</v>
      </c>
      <c r="J96" s="10" t="s">
        <v>2011</v>
      </c>
      <c r="K96" s="10" t="s">
        <v>2148</v>
      </c>
      <c r="L96" s="11">
        <v>202124100099472</v>
      </c>
      <c r="M96" s="20">
        <v>44217</v>
      </c>
      <c r="N96" s="20" t="str">
        <f>UPPER(TEXT(Tabla1[[#This Row],[FECHA RADICADO ENTRADA]],"MMM"))</f>
        <v>ENE</v>
      </c>
      <c r="O96" s="11">
        <v>202124110093891</v>
      </c>
      <c r="P96" s="20">
        <v>44217</v>
      </c>
      <c r="Q96" s="20" t="str">
        <f>UPPER(TEXT(Tabla1[[#This Row],[FECHA RADICADO ENTRADA]],"MMM"))</f>
        <v>ENE</v>
      </c>
      <c r="R96" s="10">
        <f t="shared" si="1"/>
        <v>0</v>
      </c>
      <c r="S96" s="10" t="s">
        <v>2154</v>
      </c>
      <c r="T96" s="10" t="s">
        <v>2326</v>
      </c>
      <c r="U96" s="10" t="s">
        <v>2249</v>
      </c>
      <c r="V96" s="20">
        <v>43420</v>
      </c>
      <c r="W96" s="10" t="s">
        <v>37</v>
      </c>
      <c r="X96" s="10">
        <v>960</v>
      </c>
      <c r="Y96" s="11">
        <f>IFERROR(INT(Tabla1[[#This Row],[CANTIDAD UND FARMACEUTICAS]]/(VLOOKUP(Tabla1[[#This Row],[MEDICAMENTO]],TAB_REF!$K$3:$L$27,2,0))),"")</f>
        <v>96</v>
      </c>
      <c r="Z96" s="10" t="str">
        <f>IFERROR(VLOOKUP(Tabla1[[#This Row],[MEDICAMENTO]],TAB_REF!$B$3:$F$27,2,0), "")</f>
        <v xml:space="preserve">Hidromorfona HCl </v>
      </c>
      <c r="AA96" s="10" t="str">
        <f>IFERROR(VLOOKUP(Tabla1[[#This Row],[MEDICAMENTO]],TAB_REF!$B$3:$F$27,3,0), "")</f>
        <v xml:space="preserve">2 mg/mL </v>
      </c>
      <c r="AB96" s="10" t="str">
        <f>IFERROR(VLOOKUP(Tabla1[[#This Row],[MEDICAMENTO]],TAB_REF!$B$3:$F$27,4,0), "")</f>
        <v>Solución Inyectable</v>
      </c>
      <c r="AC96" s="10" t="str">
        <f>IFERROR(VLOOKUP(Tabla1[[#This Row],[MEDICAMENTO]],TAB_REF!$B$3:$F$27,5,0), "")</f>
        <v>Caja x 10 unidades</v>
      </c>
      <c r="AD96" s="10" t="str">
        <f>IFERROR(VLOOKUP(Tabla1[[#This Row],[CANTIDAD UND COMERCIALES]],TAB_REF!$H$3:$I$1003,2,0)&amp;" ("&amp;Tabla1[[#This Row],[CANTIDAD UND COMERCIALES]]&amp;")"&amp;"_"&amp;Tabla1[[#This Row],[CANTIDAD]],"")</f>
        <v>Noventa Y Seis (96)_Caja x 10 unidades</v>
      </c>
      <c r="AE96" s="31" t="e">
        <f>CONCATENATE([1]!Tabla1[[#This Row],[NOMBRE MED.]],[1]!Tabla1[[#This Row],[CONCENTRACION]],[1]!Tabla1[[#This Row],[FORMA FARMACEUTICA]])</f>
        <v>#REF!</v>
      </c>
    </row>
    <row r="97" spans="2:31" x14ac:dyDescent="0.25">
      <c r="B97" s="10">
        <v>35</v>
      </c>
      <c r="C97" s="10" t="s">
        <v>2194</v>
      </c>
      <c r="D97" s="10" t="s">
        <v>2195</v>
      </c>
      <c r="E97" s="10" t="s">
        <v>2248</v>
      </c>
      <c r="F97" s="10" t="s">
        <v>2247</v>
      </c>
      <c r="G97" s="10" t="s">
        <v>2197</v>
      </c>
      <c r="H97" s="10" t="s">
        <v>2198</v>
      </c>
      <c r="I97" s="10" t="s">
        <v>2129</v>
      </c>
      <c r="J97" s="10" t="s">
        <v>2011</v>
      </c>
      <c r="K97" s="10" t="s">
        <v>2148</v>
      </c>
      <c r="L97" s="11">
        <v>202124100099472</v>
      </c>
      <c r="M97" s="20">
        <v>44217</v>
      </c>
      <c r="N97" s="20" t="str">
        <f>UPPER(TEXT(Tabla1[[#This Row],[FECHA RADICADO ENTRADA]],"MMM"))</f>
        <v>ENE</v>
      </c>
      <c r="O97" s="11">
        <v>202124110093891</v>
      </c>
      <c r="P97" s="20">
        <v>44217</v>
      </c>
      <c r="Q97" s="20" t="str">
        <f>UPPER(TEXT(Tabla1[[#This Row],[FECHA RADICADO ENTRADA]],"MMM"))</f>
        <v>ENE</v>
      </c>
      <c r="R97" s="10">
        <f t="shared" si="1"/>
        <v>0</v>
      </c>
      <c r="S97" s="10" t="s">
        <v>2154</v>
      </c>
      <c r="T97" s="10" t="s">
        <v>2326</v>
      </c>
      <c r="U97" s="10" t="s">
        <v>2249</v>
      </c>
      <c r="V97" s="20">
        <v>43420</v>
      </c>
      <c r="W97" s="10" t="s">
        <v>38</v>
      </c>
      <c r="X97" s="10">
        <v>2100</v>
      </c>
      <c r="Y97" s="11">
        <f>IFERROR(INT(Tabla1[[#This Row],[CANTIDAD UND FARMACEUTICAS]]/(VLOOKUP(Tabla1[[#This Row],[MEDICAMENTO]],TAB_REF!$K$3:$L$27,2,0))),"")</f>
        <v>105</v>
      </c>
      <c r="Z97" s="10" t="str">
        <f>IFERROR(VLOOKUP(Tabla1[[#This Row],[MEDICAMENTO]],TAB_REF!$B$3:$F$27,2,0), "")</f>
        <v xml:space="preserve">Hidromorfona HCl </v>
      </c>
      <c r="AA97" s="10" t="str">
        <f>IFERROR(VLOOKUP(Tabla1[[#This Row],[MEDICAMENTO]],TAB_REF!$B$3:$F$27,3,0), "")</f>
        <v xml:space="preserve">2,5 mg </v>
      </c>
      <c r="AB97" s="10" t="str">
        <f>IFERROR(VLOOKUP(Tabla1[[#This Row],[MEDICAMENTO]],TAB_REF!$B$3:$F$27,4,0), "")</f>
        <v>Tabletas</v>
      </c>
      <c r="AC97" s="10" t="str">
        <f>IFERROR(VLOOKUP(Tabla1[[#This Row],[MEDICAMENTO]],TAB_REF!$B$3:$F$27,5,0), "")</f>
        <v>Caja x 20 unidades</v>
      </c>
      <c r="AD97" s="10" t="str">
        <f>IFERROR(VLOOKUP(Tabla1[[#This Row],[CANTIDAD UND COMERCIALES]],TAB_REF!$H$3:$I$1003,2,0)&amp;" ("&amp;Tabla1[[#This Row],[CANTIDAD UND COMERCIALES]]&amp;")"&amp;"_"&amp;Tabla1[[#This Row],[CANTIDAD]],"")</f>
        <v>Ciento Cinco (105)_Caja x 20 unidades</v>
      </c>
      <c r="AE97" s="31" t="e">
        <f>CONCATENATE([1]!Tabla1[[#This Row],[NOMBRE MED.]],[1]!Tabla1[[#This Row],[CONCENTRACION]],[1]!Tabla1[[#This Row],[FORMA FARMACEUTICA]])</f>
        <v>#REF!</v>
      </c>
    </row>
    <row r="98" spans="2:31" x14ac:dyDescent="0.25">
      <c r="B98" s="10">
        <v>35</v>
      </c>
      <c r="C98" s="10" t="s">
        <v>2194</v>
      </c>
      <c r="D98" s="10" t="s">
        <v>2195</v>
      </c>
      <c r="E98" s="10" t="s">
        <v>2248</v>
      </c>
      <c r="F98" s="10" t="s">
        <v>2247</v>
      </c>
      <c r="G98" s="10" t="s">
        <v>2197</v>
      </c>
      <c r="H98" s="10" t="s">
        <v>2198</v>
      </c>
      <c r="I98" s="10" t="s">
        <v>2129</v>
      </c>
      <c r="J98" s="10" t="s">
        <v>2011</v>
      </c>
      <c r="K98" s="10" t="s">
        <v>2148</v>
      </c>
      <c r="L98" s="11">
        <v>202124100099472</v>
      </c>
      <c r="M98" s="20">
        <v>44217</v>
      </c>
      <c r="N98" s="20" t="str">
        <f>UPPER(TEXT(Tabla1[[#This Row],[FECHA RADICADO ENTRADA]],"MMM"))</f>
        <v>ENE</v>
      </c>
      <c r="O98" s="11">
        <v>202124110093891</v>
      </c>
      <c r="P98" s="20">
        <v>44217</v>
      </c>
      <c r="Q98" s="20" t="str">
        <f>UPPER(TEXT(Tabla1[[#This Row],[FECHA RADICADO ENTRADA]],"MMM"))</f>
        <v>ENE</v>
      </c>
      <c r="R98" s="10">
        <f t="shared" si="1"/>
        <v>0</v>
      </c>
      <c r="S98" s="10" t="s">
        <v>2154</v>
      </c>
      <c r="T98" s="10" t="s">
        <v>2326</v>
      </c>
      <c r="U98" s="10" t="s">
        <v>2249</v>
      </c>
      <c r="V98" s="20">
        <v>43420</v>
      </c>
      <c r="W98" s="10" t="s">
        <v>60</v>
      </c>
      <c r="X98" s="10">
        <v>60</v>
      </c>
      <c r="Y98" s="11">
        <f>IFERROR(INT(Tabla1[[#This Row],[CANTIDAD UND FARMACEUTICAS]]/(VLOOKUP(Tabla1[[#This Row],[MEDICAMENTO]],TAB_REF!$K$3:$L$27,2,0))),"")</f>
        <v>60</v>
      </c>
      <c r="Z98" s="10" t="str">
        <f>IFERROR(VLOOKUP(Tabla1[[#This Row],[MEDICAMENTO]],TAB_REF!$B$3:$F$27,2,0), "")</f>
        <v xml:space="preserve">Morfina HCl </v>
      </c>
      <c r="AA98" s="10" t="str">
        <f>IFERROR(VLOOKUP(Tabla1[[#This Row],[MEDICAMENTO]],TAB_REF!$B$3:$F$27,3,0), "")</f>
        <v xml:space="preserve">3%. </v>
      </c>
      <c r="AB98" s="10" t="str">
        <f>IFERROR(VLOOKUP(Tabla1[[#This Row],[MEDICAMENTO]],TAB_REF!$B$3:$F$27,4,0), "")</f>
        <v>Solución Oral</v>
      </c>
      <c r="AC98" s="10" t="str">
        <f>IFERROR(VLOOKUP(Tabla1[[#This Row],[MEDICAMENTO]],TAB_REF!$B$3:$F$27,5,0), "")</f>
        <v>Frasco x 30 mL</v>
      </c>
      <c r="AD98" s="10" t="str">
        <f>IFERROR(VLOOKUP(Tabla1[[#This Row],[CANTIDAD UND COMERCIALES]],TAB_REF!$H$3:$I$1003,2,0)&amp;" ("&amp;Tabla1[[#This Row],[CANTIDAD UND COMERCIALES]]&amp;")"&amp;"_"&amp;Tabla1[[#This Row],[CANTIDAD]],"")</f>
        <v>Sesenta (60)_Frasco x 30 mL</v>
      </c>
      <c r="AE98" s="31" t="e">
        <f>CONCATENATE([1]!Tabla1[[#This Row],[NOMBRE MED.]],[1]!Tabla1[[#This Row],[CONCENTRACION]],[1]!Tabla1[[#This Row],[FORMA FARMACEUTICA]])</f>
        <v>#REF!</v>
      </c>
    </row>
    <row r="99" spans="2:31" x14ac:dyDescent="0.25">
      <c r="B99" s="10">
        <v>35</v>
      </c>
      <c r="C99" s="10" t="s">
        <v>2194</v>
      </c>
      <c r="D99" s="10" t="s">
        <v>2195</v>
      </c>
      <c r="E99" s="10" t="s">
        <v>2248</v>
      </c>
      <c r="F99" s="10" t="s">
        <v>2247</v>
      </c>
      <c r="G99" s="10" t="s">
        <v>2197</v>
      </c>
      <c r="H99" s="10" t="s">
        <v>2198</v>
      </c>
      <c r="I99" s="10" t="s">
        <v>2129</v>
      </c>
      <c r="J99" s="10" t="s">
        <v>2011</v>
      </c>
      <c r="K99" s="10" t="s">
        <v>2148</v>
      </c>
      <c r="L99" s="11">
        <v>202124100099472</v>
      </c>
      <c r="M99" s="20">
        <v>44217</v>
      </c>
      <c r="N99" s="20" t="str">
        <f>UPPER(TEXT(Tabla1[[#This Row],[FECHA RADICADO ENTRADA]],"MMM"))</f>
        <v>ENE</v>
      </c>
      <c r="O99" s="11">
        <v>202124110093891</v>
      </c>
      <c r="P99" s="20">
        <v>44217</v>
      </c>
      <c r="Q99" s="20" t="str">
        <f>UPPER(TEXT(Tabla1[[#This Row],[FECHA RADICADO ENTRADA]],"MMM"))</f>
        <v>ENE</v>
      </c>
      <c r="R99" s="10">
        <f t="shared" si="1"/>
        <v>0</v>
      </c>
      <c r="S99" s="10" t="s">
        <v>2154</v>
      </c>
      <c r="T99" s="10" t="s">
        <v>2326</v>
      </c>
      <c r="U99" s="10" t="s">
        <v>2249</v>
      </c>
      <c r="V99" s="20">
        <v>43420</v>
      </c>
      <c r="W99" s="10" t="s">
        <v>63</v>
      </c>
      <c r="X99" s="10">
        <v>360</v>
      </c>
      <c r="Y99" s="11">
        <f>IFERROR(INT(Tabla1[[#This Row],[CANTIDAD UND FARMACEUTICAS]]/(VLOOKUP(Tabla1[[#This Row],[MEDICAMENTO]],TAB_REF!$K$3:$L$27,2,0))),"")</f>
        <v>36</v>
      </c>
      <c r="Z99" s="10" t="str">
        <f>IFERROR(VLOOKUP(Tabla1[[#This Row],[MEDICAMENTO]],TAB_REF!$B$3:$F$27,2,0), "")</f>
        <v xml:space="preserve">Morfina HCl </v>
      </c>
      <c r="AA99" s="10" t="str">
        <f>IFERROR(VLOOKUP(Tabla1[[#This Row],[MEDICAMENTO]],TAB_REF!$B$3:$F$27,3,0), "")</f>
        <v xml:space="preserve">10 mg/mL </v>
      </c>
      <c r="AB99" s="10" t="str">
        <f>IFERROR(VLOOKUP(Tabla1[[#This Row],[MEDICAMENTO]],TAB_REF!$B$3:$F$27,4,0), "")</f>
        <v>Solución Inyectable</v>
      </c>
      <c r="AC99" s="10" t="str">
        <f>IFERROR(VLOOKUP(Tabla1[[#This Row],[MEDICAMENTO]],TAB_REF!$B$3:$F$27,5,0), "")</f>
        <v>Caja x 10 unidades</v>
      </c>
      <c r="AD99" s="10" t="str">
        <f>IFERROR(VLOOKUP(Tabla1[[#This Row],[CANTIDAD UND COMERCIALES]],TAB_REF!$H$3:$I$1003,2,0)&amp;" ("&amp;Tabla1[[#This Row],[CANTIDAD UND COMERCIALES]]&amp;")"&amp;"_"&amp;Tabla1[[#This Row],[CANTIDAD]],"")</f>
        <v>Treinta Y Seis (36)_Caja x 10 unidades</v>
      </c>
      <c r="AE99" s="31" t="e">
        <f>CONCATENATE([1]!Tabla1[[#This Row],[NOMBRE MED.]],[1]!Tabla1[[#This Row],[CONCENTRACION]],[1]!Tabla1[[#This Row],[FORMA FARMACEUTICA]])</f>
        <v>#REF!</v>
      </c>
    </row>
    <row r="100" spans="2:31" x14ac:dyDescent="0.25">
      <c r="B100" s="10">
        <v>35</v>
      </c>
      <c r="C100" s="10" t="s">
        <v>2194</v>
      </c>
      <c r="D100" s="10" t="s">
        <v>2195</v>
      </c>
      <c r="E100" s="10" t="s">
        <v>2248</v>
      </c>
      <c r="F100" s="10" t="s">
        <v>2247</v>
      </c>
      <c r="G100" s="10" t="s">
        <v>2197</v>
      </c>
      <c r="H100" s="10" t="s">
        <v>2325</v>
      </c>
      <c r="I100" s="10" t="s">
        <v>2129</v>
      </c>
      <c r="J100" s="10" t="s">
        <v>2011</v>
      </c>
      <c r="K100" s="10" t="s">
        <v>2148</v>
      </c>
      <c r="L100" s="11">
        <v>202124100099472</v>
      </c>
      <c r="M100" s="20">
        <v>44217</v>
      </c>
      <c r="N100" s="20" t="str">
        <f>UPPER(TEXT(Tabla1[[#This Row],[FECHA RADICADO ENTRADA]],"MMM"))</f>
        <v>ENE</v>
      </c>
      <c r="O100" s="11">
        <v>202124110093891</v>
      </c>
      <c r="P100" s="20">
        <v>44217</v>
      </c>
      <c r="Q100" s="20" t="str">
        <f>UPPER(TEXT(Tabla1[[#This Row],[FECHA RADICADO ENTRADA]],"MMM"))</f>
        <v>ENE</v>
      </c>
      <c r="R100" s="10">
        <f t="shared" si="1"/>
        <v>0</v>
      </c>
      <c r="S100" s="10" t="s">
        <v>2154</v>
      </c>
      <c r="T100" s="10" t="s">
        <v>2326</v>
      </c>
      <c r="U100" s="10" t="s">
        <v>2249</v>
      </c>
      <c r="V100" s="20">
        <v>43420</v>
      </c>
      <c r="W100" s="10" t="s">
        <v>2139</v>
      </c>
      <c r="X100" s="10">
        <v>600</v>
      </c>
      <c r="Y100" s="11">
        <f>IFERROR(INT(Tabla1[[#This Row],[CANTIDAD UND FARMACEUTICAS]]/(VLOOKUP(Tabla1[[#This Row],[MEDICAMENTO]],TAB_REF!$K$3:$L$27,2,0))),"")</f>
        <v>20</v>
      </c>
      <c r="Z100" s="10" t="str">
        <f>IFERROR(VLOOKUP(Tabla1[[#This Row],[MEDICAMENTO]],TAB_REF!$B$3:$F$27,2,0), "")</f>
        <v xml:space="preserve">Primidona </v>
      </c>
      <c r="AA100" s="10" t="str">
        <f>IFERROR(VLOOKUP(Tabla1[[#This Row],[MEDICAMENTO]],TAB_REF!$B$3:$F$27,3,0), "")</f>
        <v xml:space="preserve">250 mg </v>
      </c>
      <c r="AB100" s="10" t="str">
        <f>IFERROR(VLOOKUP(Tabla1[[#This Row],[MEDICAMENTO]],TAB_REF!$B$3:$F$27,4,0), "")</f>
        <v>Tabletas</v>
      </c>
      <c r="AC100" s="10" t="str">
        <f>IFERROR(VLOOKUP(Tabla1[[#This Row],[MEDICAMENTO]],TAB_REF!$B$3:$F$27,5,0), "")</f>
        <v>Caja x 30 unidades</v>
      </c>
      <c r="AD100" s="10" t="str">
        <f>IFERROR(VLOOKUP(Tabla1[[#This Row],[CANTIDAD UND COMERCIALES]],TAB_REF!$H$3:$I$1003,2,0)&amp;" ("&amp;Tabla1[[#This Row],[CANTIDAD UND COMERCIALES]]&amp;")"&amp;"_"&amp;Tabla1[[#This Row],[CANTIDAD]],"")</f>
        <v>Veinte (20)_Caja x 30 unidades</v>
      </c>
      <c r="AE100" s="31" t="e">
        <f>CONCATENATE([1]!Tabla1[[#This Row],[NOMBRE MED.]],[1]!Tabla1[[#This Row],[CONCENTRACION]],[1]!Tabla1[[#This Row],[FORMA FARMACEUTICA]])</f>
        <v>#REF!</v>
      </c>
    </row>
    <row r="101" spans="2:31" x14ac:dyDescent="0.25">
      <c r="B101" s="10">
        <v>36</v>
      </c>
      <c r="C101" s="10" t="s">
        <v>2140</v>
      </c>
      <c r="D101" s="10" t="s">
        <v>2141</v>
      </c>
      <c r="E101" s="10" t="s">
        <v>2142</v>
      </c>
      <c r="F101" s="10" t="s">
        <v>2331</v>
      </c>
      <c r="G101" s="10" t="s">
        <v>2143</v>
      </c>
      <c r="H101" s="10" t="s">
        <v>2144</v>
      </c>
      <c r="I101" s="10" t="s">
        <v>2129</v>
      </c>
      <c r="J101" s="10" t="s">
        <v>2011</v>
      </c>
      <c r="K101" s="10" t="s">
        <v>2148</v>
      </c>
      <c r="L101" s="11">
        <v>202124100100242</v>
      </c>
      <c r="M101" s="20">
        <v>44217</v>
      </c>
      <c r="N101" s="20" t="str">
        <f>UPPER(TEXT(Tabla1[[#This Row],[FECHA RADICADO ENTRADA]],"MMM"))</f>
        <v>ENE</v>
      </c>
      <c r="O101" s="11">
        <v>202124110109791</v>
      </c>
      <c r="P101" s="20">
        <v>44221</v>
      </c>
      <c r="Q101" s="20" t="str">
        <f>UPPER(TEXT(Tabla1[[#This Row],[FECHA RADICADO ENTRADA]],"MMM"))</f>
        <v>ENE</v>
      </c>
      <c r="R101" s="10">
        <f t="shared" si="1"/>
        <v>-4</v>
      </c>
      <c r="S101" s="10" t="s">
        <v>2154</v>
      </c>
      <c r="U101" s="10" t="s">
        <v>2332</v>
      </c>
      <c r="V101" s="20">
        <v>43726</v>
      </c>
      <c r="W101" s="10" t="s">
        <v>63</v>
      </c>
      <c r="X101" s="10">
        <v>600</v>
      </c>
      <c r="Y101" s="11">
        <f>IFERROR(INT(Tabla1[[#This Row],[CANTIDAD UND FARMACEUTICAS]]/(VLOOKUP(Tabla1[[#This Row],[MEDICAMENTO]],TAB_REF!$K$3:$L$27,2,0))),"")</f>
        <v>60</v>
      </c>
      <c r="Z101" s="10" t="str">
        <f>IFERROR(VLOOKUP(Tabla1[[#This Row],[MEDICAMENTO]],TAB_REF!$B$3:$F$27,2,0), "")</f>
        <v xml:space="preserve">Morfina HCl </v>
      </c>
      <c r="AA101" s="10" t="str">
        <f>IFERROR(VLOOKUP(Tabla1[[#This Row],[MEDICAMENTO]],TAB_REF!$B$3:$F$27,3,0), "")</f>
        <v xml:space="preserve">10 mg/mL </v>
      </c>
      <c r="AB101" s="10" t="str">
        <f>IFERROR(VLOOKUP(Tabla1[[#This Row],[MEDICAMENTO]],TAB_REF!$B$3:$F$27,4,0), "")</f>
        <v>Solución Inyectable</v>
      </c>
      <c r="AC101" s="10" t="str">
        <f>IFERROR(VLOOKUP(Tabla1[[#This Row],[MEDICAMENTO]],TAB_REF!$B$3:$F$27,5,0), "")</f>
        <v>Caja x 10 unidades</v>
      </c>
      <c r="AD101" s="10" t="str">
        <f>IFERROR(VLOOKUP(Tabla1[[#This Row],[CANTIDAD UND COMERCIALES]],TAB_REF!$H$3:$I$1003,2,0)&amp;" ("&amp;Tabla1[[#This Row],[CANTIDAD UND COMERCIALES]]&amp;")"&amp;"_"&amp;Tabla1[[#This Row],[CANTIDAD]],"")</f>
        <v>Sesenta (60)_Caja x 10 unidades</v>
      </c>
      <c r="AE101" s="31" t="e">
        <f>CONCATENATE([1]!Tabla1[[#This Row],[NOMBRE MED.]],[1]!Tabla1[[#This Row],[CONCENTRACION]],[1]!Tabla1[[#This Row],[FORMA FARMACEUTICA]])</f>
        <v>#REF!</v>
      </c>
    </row>
    <row r="102" spans="2:31" x14ac:dyDescent="0.25">
      <c r="B102" s="10">
        <v>37</v>
      </c>
      <c r="C102" s="10" t="s">
        <v>2333</v>
      </c>
      <c r="D102" s="10" t="s">
        <v>2162</v>
      </c>
      <c r="E102" s="10" t="s">
        <v>2334</v>
      </c>
      <c r="F102" s="10" t="s">
        <v>2335</v>
      </c>
      <c r="G102" s="10" t="s">
        <v>2336</v>
      </c>
      <c r="H102" s="10" t="s">
        <v>2337</v>
      </c>
      <c r="I102" s="10" t="s">
        <v>2116</v>
      </c>
      <c r="J102" s="10" t="s">
        <v>1550</v>
      </c>
      <c r="K102" s="10" t="s">
        <v>2338</v>
      </c>
      <c r="L102" s="11">
        <v>202124100100792</v>
      </c>
      <c r="M102" s="20">
        <v>44217</v>
      </c>
      <c r="N102" s="20" t="str">
        <f>UPPER(TEXT(Tabla1[[#This Row],[FECHA RADICADO ENTRADA]],"MMM"))</f>
        <v>ENE</v>
      </c>
      <c r="O102" s="11">
        <v>202124110109821</v>
      </c>
      <c r="P102" s="20">
        <v>44221</v>
      </c>
      <c r="Q102" s="20" t="str">
        <f>UPPER(TEXT(Tabla1[[#This Row],[FECHA RADICADO ENTRADA]],"MMM"))</f>
        <v>ENE</v>
      </c>
      <c r="R102" s="10">
        <f t="shared" si="1"/>
        <v>-4</v>
      </c>
      <c r="S102" s="10" t="s">
        <v>2154</v>
      </c>
      <c r="U102" s="10" t="s">
        <v>2339</v>
      </c>
      <c r="V102" s="20">
        <v>43962</v>
      </c>
      <c r="W102" s="10" t="s">
        <v>60</v>
      </c>
      <c r="X102" s="10">
        <v>30</v>
      </c>
      <c r="Y102" s="11">
        <f>IFERROR(INT(Tabla1[[#This Row],[CANTIDAD UND FARMACEUTICAS]]/(VLOOKUP(Tabla1[[#This Row],[MEDICAMENTO]],TAB_REF!$K$3:$L$27,2,0))),"")</f>
        <v>30</v>
      </c>
      <c r="Z102" s="10" t="str">
        <f>IFERROR(VLOOKUP(Tabla1[[#This Row],[MEDICAMENTO]],TAB_REF!$B$3:$F$27,2,0), "")</f>
        <v xml:space="preserve">Morfina HCl </v>
      </c>
      <c r="AA102" s="10" t="str">
        <f>IFERROR(VLOOKUP(Tabla1[[#This Row],[MEDICAMENTO]],TAB_REF!$B$3:$F$27,3,0), "")</f>
        <v xml:space="preserve">3%. </v>
      </c>
      <c r="AB102" s="10" t="str">
        <f>IFERROR(VLOOKUP(Tabla1[[#This Row],[MEDICAMENTO]],TAB_REF!$B$3:$F$27,4,0), "")</f>
        <v>Solución Oral</v>
      </c>
      <c r="AC102" s="10" t="str">
        <f>IFERROR(VLOOKUP(Tabla1[[#This Row],[MEDICAMENTO]],TAB_REF!$B$3:$F$27,5,0), "")</f>
        <v>Frasco x 30 mL</v>
      </c>
      <c r="AD102" s="10" t="str">
        <f>IFERROR(VLOOKUP(Tabla1[[#This Row],[CANTIDAD UND COMERCIALES]],TAB_REF!$H$3:$I$1003,2,0)&amp;" ("&amp;Tabla1[[#This Row],[CANTIDAD UND COMERCIALES]]&amp;")"&amp;"_"&amp;Tabla1[[#This Row],[CANTIDAD]],"")</f>
        <v>Treinta (30)_Frasco x 30 mL</v>
      </c>
      <c r="AE102" s="31" t="e">
        <f>CONCATENATE([1]!Tabla1[[#This Row],[NOMBRE MED.]],[1]!Tabla1[[#This Row],[CONCENTRACION]],[1]!Tabla1[[#This Row],[FORMA FARMACEUTICA]])</f>
        <v>#REF!</v>
      </c>
    </row>
    <row r="103" spans="2:31" x14ac:dyDescent="0.25">
      <c r="B103" s="10">
        <v>37</v>
      </c>
      <c r="C103" s="10" t="s">
        <v>2333</v>
      </c>
      <c r="D103" s="10" t="s">
        <v>2162</v>
      </c>
      <c r="E103" s="10" t="s">
        <v>2334</v>
      </c>
      <c r="F103" s="10" t="s">
        <v>2335</v>
      </c>
      <c r="G103" s="10" t="s">
        <v>2336</v>
      </c>
      <c r="H103" s="10" t="s">
        <v>2337</v>
      </c>
      <c r="I103" s="10" t="s">
        <v>2116</v>
      </c>
      <c r="J103" s="10" t="s">
        <v>1550</v>
      </c>
      <c r="K103" s="10" t="s">
        <v>2338</v>
      </c>
      <c r="L103" s="11">
        <v>202124100100792</v>
      </c>
      <c r="M103" s="20">
        <v>44217</v>
      </c>
      <c r="N103" s="20" t="str">
        <f>UPPER(TEXT(Tabla1[[#This Row],[FECHA RADICADO ENTRADA]],"MMM"))</f>
        <v>ENE</v>
      </c>
      <c r="O103" s="11">
        <v>202124110109821</v>
      </c>
      <c r="P103" s="20">
        <v>44221</v>
      </c>
      <c r="Q103" s="20" t="str">
        <f>UPPER(TEXT(Tabla1[[#This Row],[FECHA RADICADO ENTRADA]],"MMM"))</f>
        <v>ENE</v>
      </c>
      <c r="R103" s="10">
        <f t="shared" si="1"/>
        <v>-4</v>
      </c>
      <c r="S103" s="10" t="s">
        <v>2154</v>
      </c>
      <c r="U103" s="10" t="s">
        <v>2339</v>
      </c>
      <c r="V103" s="20">
        <v>43962</v>
      </c>
      <c r="W103" s="10" t="s">
        <v>48</v>
      </c>
      <c r="X103" s="10">
        <v>1200</v>
      </c>
      <c r="Y103" s="11">
        <f>IFERROR(INT(Tabla1[[#This Row],[CANTIDAD UND FARMACEUTICAS]]/(VLOOKUP(Tabla1[[#This Row],[MEDICAMENTO]],TAB_REF!$K$3:$L$27,2,0))),"")</f>
        <v>40</v>
      </c>
      <c r="Z103" s="10" t="str">
        <f>IFERROR(VLOOKUP(Tabla1[[#This Row],[MEDICAMENTO]],TAB_REF!$B$3:$F$27,2,0), "")</f>
        <v xml:space="preserve">Metilfenidato HCl </v>
      </c>
      <c r="AA103" s="10" t="str">
        <f>IFERROR(VLOOKUP(Tabla1[[#This Row],[MEDICAMENTO]],TAB_REF!$B$3:$F$27,3,0), "")</f>
        <v xml:space="preserve">10 mg </v>
      </c>
      <c r="AB103" s="10" t="str">
        <f>IFERROR(VLOOKUP(Tabla1[[#This Row],[MEDICAMENTO]],TAB_REF!$B$3:$F$27,4,0), "")</f>
        <v>Comprimidos</v>
      </c>
      <c r="AC103" s="10" t="str">
        <f>IFERROR(VLOOKUP(Tabla1[[#This Row],[MEDICAMENTO]],TAB_REF!$B$3:$F$27,5,0), "")</f>
        <v>Caja x 30 unidades</v>
      </c>
      <c r="AD103" s="10" t="str">
        <f>IFERROR(VLOOKUP(Tabla1[[#This Row],[CANTIDAD UND COMERCIALES]],TAB_REF!$H$3:$I$1003,2,0)&amp;" ("&amp;Tabla1[[#This Row],[CANTIDAD UND COMERCIALES]]&amp;")"&amp;"_"&amp;Tabla1[[#This Row],[CANTIDAD]],"")</f>
        <v>Cuarenta (40)_Caja x 30 unidades</v>
      </c>
      <c r="AE103" s="31" t="e">
        <f>CONCATENATE([1]!Tabla1[[#This Row],[NOMBRE MED.]],[1]!Tabla1[[#This Row],[CONCENTRACION]],[1]!Tabla1[[#This Row],[FORMA FARMACEUTICA]])</f>
        <v>#REF!</v>
      </c>
    </row>
    <row r="104" spans="2:31" x14ac:dyDescent="0.25">
      <c r="B104" s="10">
        <v>37</v>
      </c>
      <c r="C104" s="10" t="s">
        <v>2333</v>
      </c>
      <c r="D104" s="10" t="s">
        <v>2162</v>
      </c>
      <c r="E104" s="10" t="s">
        <v>2334</v>
      </c>
      <c r="F104" s="10" t="s">
        <v>2335</v>
      </c>
      <c r="G104" s="10" t="s">
        <v>2336</v>
      </c>
      <c r="H104" s="10" t="s">
        <v>2337</v>
      </c>
      <c r="I104" s="10" t="s">
        <v>2116</v>
      </c>
      <c r="J104" s="10" t="s">
        <v>1550</v>
      </c>
      <c r="K104" s="10" t="s">
        <v>2338</v>
      </c>
      <c r="L104" s="11">
        <v>202124100100792</v>
      </c>
      <c r="M104" s="20">
        <v>44217</v>
      </c>
      <c r="N104" s="20" t="str">
        <f>UPPER(TEXT(Tabla1[[#This Row],[FECHA RADICADO ENTRADA]],"MMM"))</f>
        <v>ENE</v>
      </c>
      <c r="O104" s="11">
        <v>202124110109821</v>
      </c>
      <c r="P104" s="20">
        <v>44221</v>
      </c>
      <c r="Q104" s="20" t="str">
        <f>UPPER(TEXT(Tabla1[[#This Row],[FECHA RADICADO ENTRADA]],"MMM"))</f>
        <v>ENE</v>
      </c>
      <c r="R104" s="10">
        <f t="shared" si="1"/>
        <v>-4</v>
      </c>
      <c r="S104" s="10" t="s">
        <v>2154</v>
      </c>
      <c r="U104" s="10" t="s">
        <v>2339</v>
      </c>
      <c r="V104" s="20">
        <v>43962</v>
      </c>
      <c r="W104" s="10" t="s">
        <v>63</v>
      </c>
      <c r="X104" s="10">
        <v>100</v>
      </c>
      <c r="Y104" s="11">
        <f>IFERROR(INT(Tabla1[[#This Row],[CANTIDAD UND FARMACEUTICAS]]/(VLOOKUP(Tabla1[[#This Row],[MEDICAMENTO]],TAB_REF!$K$3:$L$27,2,0))),"")</f>
        <v>10</v>
      </c>
      <c r="Z104" s="10" t="str">
        <f>IFERROR(VLOOKUP(Tabla1[[#This Row],[MEDICAMENTO]],TAB_REF!$B$3:$F$27,2,0), "")</f>
        <v xml:space="preserve">Morfina HCl </v>
      </c>
      <c r="AA104" s="10" t="str">
        <f>IFERROR(VLOOKUP(Tabla1[[#This Row],[MEDICAMENTO]],TAB_REF!$B$3:$F$27,3,0), "")</f>
        <v xml:space="preserve">10 mg/mL </v>
      </c>
      <c r="AB104" s="10" t="str">
        <f>IFERROR(VLOOKUP(Tabla1[[#This Row],[MEDICAMENTO]],TAB_REF!$B$3:$F$27,4,0), "")</f>
        <v>Solución Inyectable</v>
      </c>
      <c r="AC104" s="10" t="str">
        <f>IFERROR(VLOOKUP(Tabla1[[#This Row],[MEDICAMENTO]],TAB_REF!$B$3:$F$27,5,0), "")</f>
        <v>Caja x 10 unidades</v>
      </c>
      <c r="AD104" s="10" t="str">
        <f>IFERROR(VLOOKUP(Tabla1[[#This Row],[CANTIDAD UND COMERCIALES]],TAB_REF!$H$3:$I$1003,2,0)&amp;" ("&amp;Tabla1[[#This Row],[CANTIDAD UND COMERCIALES]]&amp;")"&amp;"_"&amp;Tabla1[[#This Row],[CANTIDAD]],"")</f>
        <v>Diez (10)_Caja x 10 unidades</v>
      </c>
      <c r="AE104" s="31" t="e">
        <f>CONCATENATE([1]!Tabla1[[#This Row],[NOMBRE MED.]],[1]!Tabla1[[#This Row],[CONCENTRACION]],[1]!Tabla1[[#This Row],[FORMA FARMACEUTICA]])</f>
        <v>#REF!</v>
      </c>
    </row>
    <row r="105" spans="2:31" x14ac:dyDescent="0.25">
      <c r="B105" s="10">
        <v>38</v>
      </c>
      <c r="C105" s="10" t="s">
        <v>2340</v>
      </c>
      <c r="D105" s="10" t="s">
        <v>2175</v>
      </c>
      <c r="E105" s="10" t="s">
        <v>2341</v>
      </c>
      <c r="F105" s="10" t="s">
        <v>2342</v>
      </c>
      <c r="G105" s="10" t="s">
        <v>2343</v>
      </c>
      <c r="H105" s="10" t="s">
        <v>2344</v>
      </c>
      <c r="I105" s="10" t="s">
        <v>2129</v>
      </c>
      <c r="J105" s="10" t="s">
        <v>2011</v>
      </c>
      <c r="K105" s="10" t="s">
        <v>2345</v>
      </c>
      <c r="L105" s="11">
        <v>202124100103252</v>
      </c>
      <c r="M105" s="20">
        <v>44217</v>
      </c>
      <c r="N105" s="20" t="str">
        <f>UPPER(TEXT(Tabla1[[#This Row],[FECHA RADICADO ENTRADA]],"MMM"))</f>
        <v>ENE</v>
      </c>
      <c r="O105" s="11">
        <v>202124110109861</v>
      </c>
      <c r="P105" s="20">
        <v>44221</v>
      </c>
      <c r="Q105" s="20" t="str">
        <f>UPPER(TEXT(Tabla1[[#This Row],[FECHA RADICADO ENTRADA]],"MMM"))</f>
        <v>ENE</v>
      </c>
      <c r="R105" s="10">
        <f t="shared" si="1"/>
        <v>-4</v>
      </c>
      <c r="S105" s="10" t="s">
        <v>2154</v>
      </c>
      <c r="U105" s="10" t="s">
        <v>2346</v>
      </c>
      <c r="V105" s="20">
        <v>44112</v>
      </c>
      <c r="W105" s="10" t="s">
        <v>45</v>
      </c>
      <c r="X105" s="10">
        <v>300</v>
      </c>
      <c r="Y105" s="11">
        <f>IFERROR(INT(Tabla1[[#This Row],[CANTIDAD UND FARMACEUTICAS]]/(VLOOKUP(Tabla1[[#This Row],[MEDICAMENTO]],TAB_REF!$K$3:$L$27,2,0))),"")</f>
        <v>10</v>
      </c>
      <c r="Z105" s="10" t="str">
        <f>IFERROR(VLOOKUP(Tabla1[[#This Row],[MEDICAMENTO]],TAB_REF!$B$3:$F$27,2,0), "")</f>
        <v xml:space="preserve">Metadona HCl </v>
      </c>
      <c r="AA105" s="10" t="str">
        <f>IFERROR(VLOOKUP(Tabla1[[#This Row],[MEDICAMENTO]],TAB_REF!$B$3:$F$27,3,0), "")</f>
        <v xml:space="preserve">10 mg </v>
      </c>
      <c r="AB105" s="10" t="str">
        <f>IFERROR(VLOOKUP(Tabla1[[#This Row],[MEDICAMENTO]],TAB_REF!$B$3:$F$27,4,0), "")</f>
        <v>Tabletas NACIONAL</v>
      </c>
      <c r="AC105" s="10" t="str">
        <f>IFERROR(VLOOKUP(Tabla1[[#This Row],[MEDICAMENTO]],TAB_REF!$B$3:$F$27,5,0), "")</f>
        <v>Caja x 30 unidades</v>
      </c>
      <c r="AD105" s="10" t="str">
        <f>IFERROR(VLOOKUP(Tabla1[[#This Row],[CANTIDAD UND COMERCIALES]],TAB_REF!$H$3:$I$1003,2,0)&amp;" ("&amp;Tabla1[[#This Row],[CANTIDAD UND COMERCIALES]]&amp;")"&amp;"_"&amp;Tabla1[[#This Row],[CANTIDAD]],"")</f>
        <v>Diez (10)_Caja x 30 unidades</v>
      </c>
      <c r="AE105" s="31" t="e">
        <f>CONCATENATE([1]!Tabla1[[#This Row],[NOMBRE MED.]],[1]!Tabla1[[#This Row],[CONCENTRACION]],[1]!Tabla1[[#This Row],[FORMA FARMACEUTICA]])</f>
        <v>#REF!</v>
      </c>
    </row>
    <row r="106" spans="2:31" x14ac:dyDescent="0.25">
      <c r="B106" s="10">
        <v>38</v>
      </c>
      <c r="C106" s="10" t="s">
        <v>2340</v>
      </c>
      <c r="D106" s="10" t="s">
        <v>2175</v>
      </c>
      <c r="E106" s="10" t="s">
        <v>2341</v>
      </c>
      <c r="F106" s="10" t="s">
        <v>2342</v>
      </c>
      <c r="G106" s="10" t="s">
        <v>2343</v>
      </c>
      <c r="H106" s="10" t="s">
        <v>2344</v>
      </c>
      <c r="I106" s="10" t="s">
        <v>2129</v>
      </c>
      <c r="J106" s="10" t="s">
        <v>2011</v>
      </c>
      <c r="K106" s="10" t="s">
        <v>2345</v>
      </c>
      <c r="L106" s="11">
        <v>202124100103252</v>
      </c>
      <c r="M106" s="20">
        <v>44217</v>
      </c>
      <c r="N106" s="20" t="str">
        <f>UPPER(TEXT(Tabla1[[#This Row],[FECHA RADICADO ENTRADA]],"MMM"))</f>
        <v>ENE</v>
      </c>
      <c r="O106" s="11">
        <v>202124110109861</v>
      </c>
      <c r="P106" s="20">
        <v>44221</v>
      </c>
      <c r="Q106" s="20" t="str">
        <f>UPPER(TEXT(Tabla1[[#This Row],[FECHA RADICADO ENTRADA]],"MMM"))</f>
        <v>ENE</v>
      </c>
      <c r="R106" s="10">
        <f t="shared" si="1"/>
        <v>-4</v>
      </c>
      <c r="S106" s="10" t="s">
        <v>2154</v>
      </c>
      <c r="U106" s="10" t="s">
        <v>2346</v>
      </c>
      <c r="V106" s="20">
        <v>44112</v>
      </c>
      <c r="W106" s="10" t="s">
        <v>60</v>
      </c>
      <c r="X106" s="10">
        <v>40</v>
      </c>
      <c r="Y106" s="11">
        <f>IFERROR(INT(Tabla1[[#This Row],[CANTIDAD UND FARMACEUTICAS]]/(VLOOKUP(Tabla1[[#This Row],[MEDICAMENTO]],TAB_REF!$K$3:$L$27,2,0))),"")</f>
        <v>40</v>
      </c>
      <c r="Z106" s="10" t="str">
        <f>IFERROR(VLOOKUP(Tabla1[[#This Row],[MEDICAMENTO]],TAB_REF!$B$3:$F$27,2,0), "")</f>
        <v xml:space="preserve">Morfina HCl </v>
      </c>
      <c r="AA106" s="10" t="str">
        <f>IFERROR(VLOOKUP(Tabla1[[#This Row],[MEDICAMENTO]],TAB_REF!$B$3:$F$27,3,0), "")</f>
        <v xml:space="preserve">3%. </v>
      </c>
      <c r="AB106" s="10" t="str">
        <f>IFERROR(VLOOKUP(Tabla1[[#This Row],[MEDICAMENTO]],TAB_REF!$B$3:$F$27,4,0), "")</f>
        <v>Solución Oral</v>
      </c>
      <c r="AC106" s="10" t="str">
        <f>IFERROR(VLOOKUP(Tabla1[[#This Row],[MEDICAMENTO]],TAB_REF!$B$3:$F$27,5,0), "")</f>
        <v>Frasco x 30 mL</v>
      </c>
      <c r="AD106" s="10" t="str">
        <f>IFERROR(VLOOKUP(Tabla1[[#This Row],[CANTIDAD UND COMERCIALES]],TAB_REF!$H$3:$I$1003,2,0)&amp;" ("&amp;Tabla1[[#This Row],[CANTIDAD UND COMERCIALES]]&amp;")"&amp;"_"&amp;Tabla1[[#This Row],[CANTIDAD]],"")</f>
        <v>Cuarenta (40)_Frasco x 30 mL</v>
      </c>
      <c r="AE106" s="31" t="e">
        <f>CONCATENATE([1]!Tabla1[[#This Row],[NOMBRE MED.]],[1]!Tabla1[[#This Row],[CONCENTRACION]],[1]!Tabla1[[#This Row],[FORMA FARMACEUTICA]])</f>
        <v>#REF!</v>
      </c>
    </row>
    <row r="107" spans="2:31" x14ac:dyDescent="0.25">
      <c r="B107" s="10">
        <v>38</v>
      </c>
      <c r="C107" s="10" t="s">
        <v>2340</v>
      </c>
      <c r="D107" s="10" t="s">
        <v>2175</v>
      </c>
      <c r="E107" s="10" t="s">
        <v>2341</v>
      </c>
      <c r="F107" s="10" t="s">
        <v>2342</v>
      </c>
      <c r="G107" s="10" t="s">
        <v>2343</v>
      </c>
      <c r="H107" s="10" t="s">
        <v>2344</v>
      </c>
      <c r="I107" s="10" t="s">
        <v>2129</v>
      </c>
      <c r="J107" s="10" t="s">
        <v>2011</v>
      </c>
      <c r="K107" s="10" t="s">
        <v>2345</v>
      </c>
      <c r="L107" s="11">
        <v>202124100103252</v>
      </c>
      <c r="M107" s="20">
        <v>44217</v>
      </c>
      <c r="N107" s="20" t="str">
        <f>UPPER(TEXT(Tabla1[[#This Row],[FECHA RADICADO ENTRADA]],"MMM"))</f>
        <v>ENE</v>
      </c>
      <c r="O107" s="11">
        <v>202124110109861</v>
      </c>
      <c r="P107" s="20">
        <v>44221</v>
      </c>
      <c r="Q107" s="20" t="str">
        <f>UPPER(TEXT(Tabla1[[#This Row],[FECHA RADICADO ENTRADA]],"MMM"))</f>
        <v>ENE</v>
      </c>
      <c r="R107" s="10">
        <f t="shared" si="1"/>
        <v>-4</v>
      </c>
      <c r="S107" s="10" t="s">
        <v>2154</v>
      </c>
      <c r="U107" s="10" t="s">
        <v>2346</v>
      </c>
      <c r="V107" s="20">
        <v>44112</v>
      </c>
      <c r="W107" s="10" t="s">
        <v>63</v>
      </c>
      <c r="X107" s="10">
        <v>200</v>
      </c>
      <c r="Y107" s="11">
        <f>IFERROR(INT(Tabla1[[#This Row],[CANTIDAD UND FARMACEUTICAS]]/(VLOOKUP(Tabla1[[#This Row],[MEDICAMENTO]],TAB_REF!$K$3:$L$27,2,0))),"")</f>
        <v>20</v>
      </c>
      <c r="Z107" s="10" t="str">
        <f>IFERROR(VLOOKUP(Tabla1[[#This Row],[MEDICAMENTO]],TAB_REF!$B$3:$F$27,2,0), "")</f>
        <v xml:space="preserve">Morfina HCl </v>
      </c>
      <c r="AA107" s="10" t="str">
        <f>IFERROR(VLOOKUP(Tabla1[[#This Row],[MEDICAMENTO]],TAB_REF!$B$3:$F$27,3,0), "")</f>
        <v xml:space="preserve">10 mg/mL </v>
      </c>
      <c r="AB107" s="10" t="str">
        <f>IFERROR(VLOOKUP(Tabla1[[#This Row],[MEDICAMENTO]],TAB_REF!$B$3:$F$27,4,0), "")</f>
        <v>Solución Inyectable</v>
      </c>
      <c r="AC107" s="10" t="str">
        <f>IFERROR(VLOOKUP(Tabla1[[#This Row],[MEDICAMENTO]],TAB_REF!$B$3:$F$27,5,0), "")</f>
        <v>Caja x 10 unidades</v>
      </c>
      <c r="AD107" s="10" t="str">
        <f>IFERROR(VLOOKUP(Tabla1[[#This Row],[CANTIDAD UND COMERCIALES]],TAB_REF!$H$3:$I$1003,2,0)&amp;" ("&amp;Tabla1[[#This Row],[CANTIDAD UND COMERCIALES]]&amp;")"&amp;"_"&amp;Tabla1[[#This Row],[CANTIDAD]],"")</f>
        <v>Veinte (20)_Caja x 10 unidades</v>
      </c>
      <c r="AE107" s="31" t="e">
        <f>CONCATENATE([1]!Tabla1[[#This Row],[NOMBRE MED.]],[1]!Tabla1[[#This Row],[CONCENTRACION]],[1]!Tabla1[[#This Row],[FORMA FARMACEUTICA]])</f>
        <v>#REF!</v>
      </c>
    </row>
    <row r="108" spans="2:31" x14ac:dyDescent="0.25">
      <c r="B108" s="10">
        <v>39</v>
      </c>
      <c r="C108" s="10" t="s">
        <v>2347</v>
      </c>
      <c r="D108" s="10" t="s">
        <v>2348</v>
      </c>
      <c r="E108" s="10" t="s">
        <v>2349</v>
      </c>
      <c r="F108" s="10" t="s">
        <v>2350</v>
      </c>
      <c r="G108" s="10" t="s">
        <v>2351</v>
      </c>
      <c r="H108" s="10" t="s">
        <v>2352</v>
      </c>
      <c r="I108" s="10" t="s">
        <v>2122</v>
      </c>
      <c r="J108" s="10" t="s">
        <v>1752</v>
      </c>
      <c r="K108" s="10" t="s">
        <v>2353</v>
      </c>
      <c r="L108" s="11">
        <v>202124100103272</v>
      </c>
      <c r="M108" s="20">
        <v>44217</v>
      </c>
      <c r="N108" s="20" t="str">
        <f>UPPER(TEXT(Tabla1[[#This Row],[FECHA RADICADO ENTRADA]],"MMM"))</f>
        <v>ENE</v>
      </c>
      <c r="O108" s="11">
        <v>202124110109871</v>
      </c>
      <c r="P108" s="20">
        <v>44221</v>
      </c>
      <c r="Q108" s="20" t="str">
        <f>UPPER(TEXT(Tabla1[[#This Row],[FECHA RADICADO ENTRADA]],"MMM"))</f>
        <v>ENE</v>
      </c>
      <c r="R108" s="10">
        <f t="shared" si="1"/>
        <v>-4</v>
      </c>
      <c r="S108" s="10" t="s">
        <v>2154</v>
      </c>
      <c r="U108" s="10" t="s">
        <v>2354</v>
      </c>
      <c r="V108" s="20">
        <v>43441</v>
      </c>
      <c r="W108" s="10" t="s">
        <v>63</v>
      </c>
      <c r="X108" s="10">
        <v>20</v>
      </c>
      <c r="Y108" s="11">
        <f>IFERROR(INT(Tabla1[[#This Row],[CANTIDAD UND FARMACEUTICAS]]/(VLOOKUP(Tabla1[[#This Row],[MEDICAMENTO]],TAB_REF!$K$3:$L$27,2,0))),"")</f>
        <v>2</v>
      </c>
      <c r="Z108" s="10" t="str">
        <f>IFERROR(VLOOKUP(Tabla1[[#This Row],[MEDICAMENTO]],TAB_REF!$B$3:$F$27,2,0), "")</f>
        <v xml:space="preserve">Morfina HCl </v>
      </c>
      <c r="AA108" s="10" t="str">
        <f>IFERROR(VLOOKUP(Tabla1[[#This Row],[MEDICAMENTO]],TAB_REF!$B$3:$F$27,3,0), "")</f>
        <v xml:space="preserve">10 mg/mL </v>
      </c>
      <c r="AB108" s="10" t="str">
        <f>IFERROR(VLOOKUP(Tabla1[[#This Row],[MEDICAMENTO]],TAB_REF!$B$3:$F$27,4,0), "")</f>
        <v>Solución Inyectable</v>
      </c>
      <c r="AC108" s="10" t="str">
        <f>IFERROR(VLOOKUP(Tabla1[[#This Row],[MEDICAMENTO]],TAB_REF!$B$3:$F$27,5,0), "")</f>
        <v>Caja x 10 unidades</v>
      </c>
      <c r="AD108" s="10" t="str">
        <f>IFERROR(VLOOKUP(Tabla1[[#This Row],[CANTIDAD UND COMERCIALES]],TAB_REF!$H$3:$I$1003,2,0)&amp;" ("&amp;Tabla1[[#This Row],[CANTIDAD UND COMERCIALES]]&amp;")"&amp;"_"&amp;Tabla1[[#This Row],[CANTIDAD]],"")</f>
        <v>Dos (2)_Caja x 10 unidades</v>
      </c>
      <c r="AE108" s="31" t="e">
        <f>CONCATENATE([1]!Tabla1[[#This Row],[NOMBRE MED.]],[1]!Tabla1[[#This Row],[CONCENTRACION]],[1]!Tabla1[[#This Row],[FORMA FARMACEUTICA]])</f>
        <v>#REF!</v>
      </c>
    </row>
    <row r="109" spans="2:31" x14ac:dyDescent="0.25">
      <c r="B109" s="10">
        <v>39</v>
      </c>
      <c r="C109" s="10" t="s">
        <v>2347</v>
      </c>
      <c r="D109" s="10" t="s">
        <v>2348</v>
      </c>
      <c r="E109" s="10" t="s">
        <v>2349</v>
      </c>
      <c r="F109" s="10" t="s">
        <v>2350</v>
      </c>
      <c r="G109" s="10" t="s">
        <v>2351</v>
      </c>
      <c r="H109" s="10" t="s">
        <v>2352</v>
      </c>
      <c r="I109" s="10" t="s">
        <v>2122</v>
      </c>
      <c r="J109" s="10" t="s">
        <v>1752</v>
      </c>
      <c r="K109" s="10" t="s">
        <v>2353</v>
      </c>
      <c r="L109" s="11">
        <v>202124100103272</v>
      </c>
      <c r="M109" s="20">
        <v>44217</v>
      </c>
      <c r="N109" s="20" t="str">
        <f>UPPER(TEXT(Tabla1[[#This Row],[FECHA RADICADO ENTRADA]],"MMM"))</f>
        <v>ENE</v>
      </c>
      <c r="O109" s="11">
        <v>202124110109871</v>
      </c>
      <c r="P109" s="20">
        <v>44221</v>
      </c>
      <c r="Q109" s="20" t="str">
        <f>UPPER(TEXT(Tabla1[[#This Row],[FECHA RADICADO ENTRADA]],"MMM"))</f>
        <v>ENE</v>
      </c>
      <c r="R109" s="10">
        <f t="shared" si="1"/>
        <v>-4</v>
      </c>
      <c r="S109" s="10" t="s">
        <v>2154</v>
      </c>
      <c r="U109" s="10" t="s">
        <v>2354</v>
      </c>
      <c r="V109" s="20">
        <v>43441</v>
      </c>
      <c r="W109" s="10" t="s">
        <v>41</v>
      </c>
      <c r="X109" s="10">
        <v>20</v>
      </c>
      <c r="Y109" s="11">
        <f>IFERROR(INT(Tabla1[[#This Row],[CANTIDAD UND FARMACEUTICAS]]/(VLOOKUP(Tabla1[[#This Row],[MEDICAMENTO]],TAB_REF!$K$3:$L$27,2,0))),"")</f>
        <v>2</v>
      </c>
      <c r="Z109" s="10" t="str">
        <f>IFERROR(VLOOKUP(Tabla1[[#This Row],[MEDICAMENTO]],TAB_REF!$B$3:$F$27,2,0), "")</f>
        <v xml:space="preserve">Meperidina HCl </v>
      </c>
      <c r="AA109" s="10" t="str">
        <f>IFERROR(VLOOKUP(Tabla1[[#This Row],[MEDICAMENTO]],TAB_REF!$B$3:$F$27,3,0), "")</f>
        <v xml:space="preserve">100 mg/2mL </v>
      </c>
      <c r="AB109" s="10" t="str">
        <f>IFERROR(VLOOKUP(Tabla1[[#This Row],[MEDICAMENTO]],TAB_REF!$B$3:$F$27,4,0), "")</f>
        <v>Solución Inyectable</v>
      </c>
      <c r="AC109" s="10" t="str">
        <f>IFERROR(VLOOKUP(Tabla1[[#This Row],[MEDICAMENTO]],TAB_REF!$B$3:$F$27,5,0), "")</f>
        <v>Caja 10 ampollas</v>
      </c>
      <c r="AD109" s="10" t="str">
        <f>IFERROR(VLOOKUP(Tabla1[[#This Row],[CANTIDAD UND COMERCIALES]],TAB_REF!$H$3:$I$1003,2,0)&amp;" ("&amp;Tabla1[[#This Row],[CANTIDAD UND COMERCIALES]]&amp;")"&amp;"_"&amp;Tabla1[[#This Row],[CANTIDAD]],"")</f>
        <v>Dos (2)_Caja 10 ampollas</v>
      </c>
      <c r="AE109" s="31" t="e">
        <f>CONCATENATE([1]!Tabla1[[#This Row],[NOMBRE MED.]],[1]!Tabla1[[#This Row],[CONCENTRACION]],[1]!Tabla1[[#This Row],[FORMA FARMACEUTICA]])</f>
        <v>#REF!</v>
      </c>
    </row>
    <row r="110" spans="2:31" x14ac:dyDescent="0.25">
      <c r="B110" s="10">
        <v>40</v>
      </c>
      <c r="C110" s="10" t="s">
        <v>2355</v>
      </c>
      <c r="D110" s="10" t="s">
        <v>2175</v>
      </c>
      <c r="E110" s="10" t="s">
        <v>2356</v>
      </c>
      <c r="F110" s="10" t="s">
        <v>2357</v>
      </c>
      <c r="G110" s="10" t="s">
        <v>2358</v>
      </c>
      <c r="H110" s="10" t="s">
        <v>2359</v>
      </c>
      <c r="I110" s="10" t="s">
        <v>2122</v>
      </c>
      <c r="J110" s="10" t="s">
        <v>1742</v>
      </c>
      <c r="K110" s="10" t="s">
        <v>2360</v>
      </c>
      <c r="L110" s="11">
        <v>202124100103652</v>
      </c>
      <c r="M110" s="20">
        <v>44217</v>
      </c>
      <c r="N110" s="20" t="str">
        <f>UPPER(TEXT(Tabla1[[#This Row],[FECHA RADICADO ENTRADA]],"MMM"))</f>
        <v>ENE</v>
      </c>
      <c r="O110" s="11">
        <v>202124110123651</v>
      </c>
      <c r="P110" s="20">
        <v>44221</v>
      </c>
      <c r="Q110" s="20" t="str">
        <f>UPPER(TEXT(Tabla1[[#This Row],[FECHA RADICADO ENTRADA]],"MMM"))</f>
        <v>ENE</v>
      </c>
      <c r="R110" s="10">
        <f t="shared" si="1"/>
        <v>-4</v>
      </c>
      <c r="S110" s="10" t="s">
        <v>2154</v>
      </c>
      <c r="U110" s="10" t="s">
        <v>2361</v>
      </c>
      <c r="V110" s="20">
        <v>43376</v>
      </c>
      <c r="W110" s="10" t="s">
        <v>32</v>
      </c>
      <c r="X110" s="10">
        <f>96*30</f>
        <v>2880</v>
      </c>
      <c r="Y110" s="11">
        <f>IFERROR(INT(Tabla1[[#This Row],[CANTIDAD UND FARMACEUTICAS]]/(VLOOKUP(Tabla1[[#This Row],[MEDICAMENTO]],TAB_REF!$K$3:$L$27,2,0))),"")</f>
        <v>96</v>
      </c>
      <c r="Z110" s="10" t="str">
        <f>IFERROR(VLOOKUP(Tabla1[[#This Row],[MEDICAMENTO]],TAB_REF!$B$3:$F$27,2,0), "")</f>
        <v xml:space="preserve">Fenobarbital </v>
      </c>
      <c r="AA110" s="10" t="str">
        <f>IFERROR(VLOOKUP(Tabla1[[#This Row],[MEDICAMENTO]],TAB_REF!$B$3:$F$27,3,0), "")</f>
        <v xml:space="preserve">100 mg </v>
      </c>
      <c r="AB110" s="10" t="str">
        <f>IFERROR(VLOOKUP(Tabla1[[#This Row],[MEDICAMENTO]],TAB_REF!$B$3:$F$27,4,0), "")</f>
        <v>Tabletas</v>
      </c>
      <c r="AC110" s="10" t="str">
        <f>IFERROR(VLOOKUP(Tabla1[[#This Row],[MEDICAMENTO]],TAB_REF!$B$3:$F$27,5,0), "")</f>
        <v>Caja x 30 unidades</v>
      </c>
      <c r="AD110" s="10" t="str">
        <f>IFERROR(VLOOKUP(Tabla1[[#This Row],[CANTIDAD UND COMERCIALES]],TAB_REF!$H$3:$I$1003,2,0)&amp;" ("&amp;Tabla1[[#This Row],[CANTIDAD UND COMERCIALES]]&amp;")"&amp;"_"&amp;Tabla1[[#This Row],[CANTIDAD]],"")</f>
        <v>Noventa Y Seis (96)_Caja x 30 unidades</v>
      </c>
      <c r="AE110" s="31" t="e">
        <f>CONCATENATE([1]!Tabla1[[#This Row],[NOMBRE MED.]],[1]!Tabla1[[#This Row],[CONCENTRACION]],[1]!Tabla1[[#This Row],[FORMA FARMACEUTICA]])</f>
        <v>#REF!</v>
      </c>
    </row>
    <row r="111" spans="2:31" x14ac:dyDescent="0.25">
      <c r="B111" s="10">
        <v>40</v>
      </c>
      <c r="C111" s="10" t="s">
        <v>2355</v>
      </c>
      <c r="D111" s="10" t="s">
        <v>2175</v>
      </c>
      <c r="E111" s="10" t="s">
        <v>2356</v>
      </c>
      <c r="F111" s="10" t="s">
        <v>2357</v>
      </c>
      <c r="G111" s="10" t="s">
        <v>2358</v>
      </c>
      <c r="H111" s="10" t="s">
        <v>2359</v>
      </c>
      <c r="I111" s="10" t="s">
        <v>2122</v>
      </c>
      <c r="J111" s="10" t="s">
        <v>1742</v>
      </c>
      <c r="K111" s="10" t="s">
        <v>2360</v>
      </c>
      <c r="L111" s="11">
        <v>202124100103652</v>
      </c>
      <c r="M111" s="20">
        <v>44217</v>
      </c>
      <c r="N111" s="20" t="str">
        <f>UPPER(TEXT(Tabla1[[#This Row],[FECHA RADICADO ENTRADA]],"MMM"))</f>
        <v>ENE</v>
      </c>
      <c r="O111" s="11">
        <v>202124110123651</v>
      </c>
      <c r="P111" s="20">
        <v>44221</v>
      </c>
      <c r="Q111" s="20" t="str">
        <f>UPPER(TEXT(Tabla1[[#This Row],[FECHA RADICADO ENTRADA]],"MMM"))</f>
        <v>ENE</v>
      </c>
      <c r="R111" s="10">
        <f t="shared" si="1"/>
        <v>-4</v>
      </c>
      <c r="S111" s="10" t="s">
        <v>2154</v>
      </c>
      <c r="U111" s="10" t="s">
        <v>2361</v>
      </c>
      <c r="V111" s="20">
        <v>43376</v>
      </c>
      <c r="W111" s="10" t="s">
        <v>38</v>
      </c>
      <c r="X111" s="10">
        <v>400</v>
      </c>
      <c r="Y111" s="11">
        <f>IFERROR(INT(Tabla1[[#This Row],[CANTIDAD UND FARMACEUTICAS]]/(VLOOKUP(Tabla1[[#This Row],[MEDICAMENTO]],TAB_REF!$K$3:$L$27,2,0))),"")</f>
        <v>20</v>
      </c>
      <c r="Z111" s="10" t="str">
        <f>IFERROR(VLOOKUP(Tabla1[[#This Row],[MEDICAMENTO]],TAB_REF!$B$3:$F$27,2,0), "")</f>
        <v xml:space="preserve">Hidromorfona HCl </v>
      </c>
      <c r="AA111" s="10" t="str">
        <f>IFERROR(VLOOKUP(Tabla1[[#This Row],[MEDICAMENTO]],TAB_REF!$B$3:$F$27,3,0), "")</f>
        <v xml:space="preserve">2,5 mg </v>
      </c>
      <c r="AB111" s="10" t="str">
        <f>IFERROR(VLOOKUP(Tabla1[[#This Row],[MEDICAMENTO]],TAB_REF!$B$3:$F$27,4,0), "")</f>
        <v>Tabletas</v>
      </c>
      <c r="AC111" s="10" t="str">
        <f>IFERROR(VLOOKUP(Tabla1[[#This Row],[MEDICAMENTO]],TAB_REF!$B$3:$F$27,5,0), "")</f>
        <v>Caja x 20 unidades</v>
      </c>
      <c r="AD111" s="10" t="str">
        <f>IFERROR(VLOOKUP(Tabla1[[#This Row],[CANTIDAD UND COMERCIALES]],TAB_REF!$H$3:$I$1003,2,0)&amp;" ("&amp;Tabla1[[#This Row],[CANTIDAD UND COMERCIALES]]&amp;")"&amp;"_"&amp;Tabla1[[#This Row],[CANTIDAD]],"")</f>
        <v>Veinte (20)_Caja x 20 unidades</v>
      </c>
      <c r="AE111" s="31" t="e">
        <f>CONCATENATE([1]!Tabla1[[#This Row],[NOMBRE MED.]],[1]!Tabla1[[#This Row],[CONCENTRACION]],[1]!Tabla1[[#This Row],[FORMA FARMACEUTICA]])</f>
        <v>#REF!</v>
      </c>
    </row>
    <row r="112" spans="2:31" x14ac:dyDescent="0.25">
      <c r="B112" s="10">
        <v>40</v>
      </c>
      <c r="C112" s="10" t="s">
        <v>2355</v>
      </c>
      <c r="D112" s="10" t="s">
        <v>2175</v>
      </c>
      <c r="E112" s="10" t="s">
        <v>2356</v>
      </c>
      <c r="F112" s="10" t="s">
        <v>2357</v>
      </c>
      <c r="G112" s="10" t="s">
        <v>2358</v>
      </c>
      <c r="H112" s="10" t="s">
        <v>2359</v>
      </c>
      <c r="I112" s="10" t="s">
        <v>2122</v>
      </c>
      <c r="J112" s="10" t="s">
        <v>1742</v>
      </c>
      <c r="K112" s="10" t="s">
        <v>2360</v>
      </c>
      <c r="L112" s="11">
        <v>202124100103652</v>
      </c>
      <c r="M112" s="20">
        <v>44217</v>
      </c>
      <c r="N112" s="20" t="str">
        <f>UPPER(TEXT(Tabla1[[#This Row],[FECHA RADICADO ENTRADA]],"MMM"))</f>
        <v>ENE</v>
      </c>
      <c r="O112" s="11">
        <v>202124110123651</v>
      </c>
      <c r="P112" s="20">
        <v>44221</v>
      </c>
      <c r="Q112" s="20" t="str">
        <f>UPPER(TEXT(Tabla1[[#This Row],[FECHA RADICADO ENTRADA]],"MMM"))</f>
        <v>ENE</v>
      </c>
      <c r="R112" s="10">
        <f t="shared" si="1"/>
        <v>-4</v>
      </c>
      <c r="S112" s="10" t="s">
        <v>2154</v>
      </c>
      <c r="U112" s="10" t="s">
        <v>2361</v>
      </c>
      <c r="V112" s="20">
        <v>43376</v>
      </c>
      <c r="W112" s="10" t="s">
        <v>2362</v>
      </c>
      <c r="X112" s="10">
        <v>0</v>
      </c>
      <c r="Y112" s="11">
        <f>IFERROR(INT(Tabla1[[#This Row],[CANTIDAD UND FARMACEUTICAS]]/(VLOOKUP(Tabla1[[#This Row],[MEDICAMENTO]],TAB_REF!$K$3:$L$27,2,0))),"")</f>
        <v>0</v>
      </c>
      <c r="Z112" s="10" t="str">
        <f>IFERROR(VLOOKUP(Tabla1[[#This Row],[MEDICAMENTO]],TAB_REF!$B$3:$F$27,2,0), "")</f>
        <v xml:space="preserve">Hidromorfona HCl </v>
      </c>
      <c r="AA112" s="10" t="str">
        <f>IFERROR(VLOOKUP(Tabla1[[#This Row],[MEDICAMENTO]],TAB_REF!$B$3:$F$27,3,0), "")</f>
        <v xml:space="preserve">5 mg </v>
      </c>
      <c r="AB112" s="10" t="str">
        <f>IFERROR(VLOOKUP(Tabla1[[#This Row],[MEDICAMENTO]],TAB_REF!$B$3:$F$27,4,0), "")</f>
        <v>Tableta</v>
      </c>
      <c r="AC112" s="10" t="str">
        <f>IFERROR(VLOOKUP(Tabla1[[#This Row],[MEDICAMENTO]],TAB_REF!$B$3:$F$27,5,0), "")</f>
        <v>Caja X 20 unidades c/u</v>
      </c>
      <c r="AD112" s="10" t="str">
        <f>IFERROR(VLOOKUP(Tabla1[[#This Row],[CANTIDAD UND COMERCIALES]],TAB_REF!$H$3:$I$1003,2,0)&amp;" ("&amp;Tabla1[[#This Row],[CANTIDAD UND COMERCIALES]]&amp;")"&amp;"_"&amp;Tabla1[[#This Row],[CANTIDAD]],"")</f>
        <v/>
      </c>
      <c r="AE112" s="31" t="e">
        <f>CONCATENATE([1]!Tabla1[[#This Row],[NOMBRE MED.]],[1]!Tabla1[[#This Row],[CONCENTRACION]],[1]!Tabla1[[#This Row],[FORMA FARMACEUTICA]])</f>
        <v>#REF!</v>
      </c>
    </row>
    <row r="113" spans="2:31" x14ac:dyDescent="0.25">
      <c r="B113" s="10">
        <v>40</v>
      </c>
      <c r="C113" s="10" t="s">
        <v>2355</v>
      </c>
      <c r="D113" s="10" t="s">
        <v>2175</v>
      </c>
      <c r="E113" s="10" t="s">
        <v>2356</v>
      </c>
      <c r="F113" s="10" t="s">
        <v>2357</v>
      </c>
      <c r="G113" s="10" t="s">
        <v>2358</v>
      </c>
      <c r="H113" s="10" t="s">
        <v>2359</v>
      </c>
      <c r="I113" s="10" t="s">
        <v>2122</v>
      </c>
      <c r="J113" s="10" t="s">
        <v>1742</v>
      </c>
      <c r="K113" s="10" t="s">
        <v>2360</v>
      </c>
      <c r="L113" s="11">
        <v>202124100103652</v>
      </c>
      <c r="M113" s="20">
        <v>44217</v>
      </c>
      <c r="N113" s="20" t="str">
        <f>UPPER(TEXT(Tabla1[[#This Row],[FECHA RADICADO ENTRADA]],"MMM"))</f>
        <v>ENE</v>
      </c>
      <c r="O113" s="11">
        <v>202124110123651</v>
      </c>
      <c r="P113" s="20">
        <v>44221</v>
      </c>
      <c r="Q113" s="20" t="str">
        <f>UPPER(TEXT(Tabla1[[#This Row],[FECHA RADICADO ENTRADA]],"MMM"))</f>
        <v>ENE</v>
      </c>
      <c r="R113" s="10">
        <f t="shared" si="1"/>
        <v>-4</v>
      </c>
      <c r="S113" s="10" t="s">
        <v>2154</v>
      </c>
      <c r="U113" s="10" t="s">
        <v>2361</v>
      </c>
      <c r="V113" s="20">
        <v>43376</v>
      </c>
      <c r="W113" s="10" t="s">
        <v>60</v>
      </c>
      <c r="X113" s="10">
        <v>10</v>
      </c>
      <c r="Y113" s="11">
        <f>IFERROR(INT(Tabla1[[#This Row],[CANTIDAD UND FARMACEUTICAS]]/(VLOOKUP(Tabla1[[#This Row],[MEDICAMENTO]],TAB_REF!$K$3:$L$27,2,0))),"")</f>
        <v>10</v>
      </c>
      <c r="Z113" s="10" t="str">
        <f>IFERROR(VLOOKUP(Tabla1[[#This Row],[MEDICAMENTO]],TAB_REF!$B$3:$F$27,2,0), "")</f>
        <v xml:space="preserve">Morfina HCl </v>
      </c>
      <c r="AA113" s="10" t="str">
        <f>IFERROR(VLOOKUP(Tabla1[[#This Row],[MEDICAMENTO]],TAB_REF!$B$3:$F$27,3,0), "")</f>
        <v xml:space="preserve">3%. </v>
      </c>
      <c r="AB113" s="10" t="str">
        <f>IFERROR(VLOOKUP(Tabla1[[#This Row],[MEDICAMENTO]],TAB_REF!$B$3:$F$27,4,0), "")</f>
        <v>Solución Oral</v>
      </c>
      <c r="AC113" s="10" t="str">
        <f>IFERROR(VLOOKUP(Tabla1[[#This Row],[MEDICAMENTO]],TAB_REF!$B$3:$F$27,5,0), "")</f>
        <v>Frasco x 30 mL</v>
      </c>
      <c r="AD113" s="10" t="str">
        <f>IFERROR(VLOOKUP(Tabla1[[#This Row],[CANTIDAD UND COMERCIALES]],TAB_REF!$H$3:$I$1003,2,0)&amp;" ("&amp;Tabla1[[#This Row],[CANTIDAD UND COMERCIALES]]&amp;")"&amp;"_"&amp;Tabla1[[#This Row],[CANTIDAD]],"")</f>
        <v>Diez (10)_Frasco x 30 mL</v>
      </c>
      <c r="AE113" s="31" t="e">
        <f>CONCATENATE([1]!Tabla1[[#This Row],[NOMBRE MED.]],[1]!Tabla1[[#This Row],[CONCENTRACION]],[1]!Tabla1[[#This Row],[FORMA FARMACEUTICA]])</f>
        <v>#REF!</v>
      </c>
    </row>
    <row r="114" spans="2:31" x14ac:dyDescent="0.25">
      <c r="B114" s="10">
        <v>40</v>
      </c>
      <c r="C114" s="10" t="s">
        <v>2355</v>
      </c>
      <c r="D114" s="10" t="s">
        <v>2175</v>
      </c>
      <c r="E114" s="10" t="s">
        <v>2356</v>
      </c>
      <c r="F114" s="10" t="s">
        <v>2357</v>
      </c>
      <c r="G114" s="10" t="s">
        <v>2358</v>
      </c>
      <c r="H114" s="10" t="s">
        <v>2359</v>
      </c>
      <c r="I114" s="10" t="s">
        <v>2122</v>
      </c>
      <c r="J114" s="10" t="s">
        <v>1742</v>
      </c>
      <c r="K114" s="10" t="s">
        <v>2360</v>
      </c>
      <c r="L114" s="11">
        <v>202124100103652</v>
      </c>
      <c r="M114" s="20">
        <v>44217</v>
      </c>
      <c r="N114" s="20" t="str">
        <f>UPPER(TEXT(Tabla1[[#This Row],[FECHA RADICADO ENTRADA]],"MMM"))</f>
        <v>ENE</v>
      </c>
      <c r="O114" s="11">
        <v>202124110123651</v>
      </c>
      <c r="P114" s="20">
        <v>44221</v>
      </c>
      <c r="Q114" s="20" t="str">
        <f>UPPER(TEXT(Tabla1[[#This Row],[FECHA RADICADO ENTRADA]],"MMM"))</f>
        <v>ENE</v>
      </c>
      <c r="R114" s="10">
        <f t="shared" si="1"/>
        <v>-4</v>
      </c>
      <c r="S114" s="10" t="s">
        <v>2154</v>
      </c>
      <c r="U114" s="10" t="s">
        <v>2361</v>
      </c>
      <c r="V114" s="20">
        <v>43376</v>
      </c>
      <c r="W114" s="10" t="s">
        <v>63</v>
      </c>
      <c r="X114" s="10">
        <v>10</v>
      </c>
      <c r="Y114" s="11">
        <f>IFERROR(INT(Tabla1[[#This Row],[CANTIDAD UND FARMACEUTICAS]]/(VLOOKUP(Tabla1[[#This Row],[MEDICAMENTO]],TAB_REF!$K$3:$L$27,2,0))),"")</f>
        <v>1</v>
      </c>
      <c r="Z114" s="10" t="str">
        <f>IFERROR(VLOOKUP(Tabla1[[#This Row],[MEDICAMENTO]],TAB_REF!$B$3:$F$27,2,0), "")</f>
        <v xml:space="preserve">Morfina HCl </v>
      </c>
      <c r="AA114" s="10" t="str">
        <f>IFERROR(VLOOKUP(Tabla1[[#This Row],[MEDICAMENTO]],TAB_REF!$B$3:$F$27,3,0), "")</f>
        <v xml:space="preserve">10 mg/mL </v>
      </c>
      <c r="AB114" s="10" t="str">
        <f>IFERROR(VLOOKUP(Tabla1[[#This Row],[MEDICAMENTO]],TAB_REF!$B$3:$F$27,4,0), "")</f>
        <v>Solución Inyectable</v>
      </c>
      <c r="AC114" s="10" t="str">
        <f>IFERROR(VLOOKUP(Tabla1[[#This Row],[MEDICAMENTO]],TAB_REF!$B$3:$F$27,5,0), "")</f>
        <v>Caja x 10 unidades</v>
      </c>
      <c r="AD114" s="10" t="str">
        <f>IFERROR(VLOOKUP(Tabla1[[#This Row],[CANTIDAD UND COMERCIALES]],TAB_REF!$H$3:$I$1003,2,0)&amp;" ("&amp;Tabla1[[#This Row],[CANTIDAD UND COMERCIALES]]&amp;")"&amp;"_"&amp;Tabla1[[#This Row],[CANTIDAD]],"")</f>
        <v>Uno (1)_Caja x 10 unidades</v>
      </c>
      <c r="AE114" s="31" t="e">
        <f>CONCATENATE([1]!Tabla1[[#This Row],[NOMBRE MED.]],[1]!Tabla1[[#This Row],[CONCENTRACION]],[1]!Tabla1[[#This Row],[FORMA FARMACEUTICA]])</f>
        <v>#REF!</v>
      </c>
    </row>
    <row r="115" spans="2:31" x14ac:dyDescent="0.25">
      <c r="B115" s="10">
        <v>41</v>
      </c>
      <c r="C115" s="10" t="s">
        <v>2364</v>
      </c>
      <c r="D115" s="10" t="s">
        <v>2365</v>
      </c>
      <c r="E115" s="10" t="s">
        <v>2366</v>
      </c>
      <c r="F115" s="10" t="s">
        <v>2367</v>
      </c>
      <c r="G115" s="10" t="s">
        <v>2368</v>
      </c>
      <c r="H115" s="10" t="s">
        <v>2369</v>
      </c>
      <c r="I115" s="10" t="s">
        <v>2129</v>
      </c>
      <c r="J115" s="10" t="s">
        <v>2041</v>
      </c>
      <c r="K115" s="10" t="s">
        <v>2370</v>
      </c>
      <c r="L115" s="11">
        <v>202124100105142</v>
      </c>
      <c r="M115" s="20">
        <v>44217</v>
      </c>
      <c r="N115" s="20" t="str">
        <f>UPPER(TEXT(Tabla1[[#This Row],[FECHA RADICADO ENTRADA]],"MMM"))</f>
        <v>ENE</v>
      </c>
      <c r="O115" s="11">
        <v>202124110123671</v>
      </c>
      <c r="P115" s="20">
        <v>44221</v>
      </c>
      <c r="Q115" s="20" t="str">
        <f>UPPER(TEXT(Tabla1[[#This Row],[FECHA RADICADO ENTRADA]],"MMM"))</f>
        <v>ENE</v>
      </c>
      <c r="R115" s="10">
        <f t="shared" si="1"/>
        <v>-4</v>
      </c>
      <c r="S115" s="10" t="s">
        <v>2154</v>
      </c>
      <c r="U115" s="10" t="s">
        <v>2371</v>
      </c>
      <c r="V115" s="20">
        <v>43770</v>
      </c>
      <c r="W115" s="10" t="s">
        <v>32</v>
      </c>
      <c r="X115" s="10">
        <v>2500</v>
      </c>
      <c r="Y115" s="11">
        <f>IFERROR(INT(Tabla1[[#This Row],[CANTIDAD UND FARMACEUTICAS]]/(VLOOKUP(Tabla1[[#This Row],[MEDICAMENTO]],TAB_REF!$K$3:$L$27,2,0))),"")</f>
        <v>83</v>
      </c>
      <c r="Z115" s="10" t="str">
        <f>IFERROR(VLOOKUP(Tabla1[[#This Row],[MEDICAMENTO]],TAB_REF!$B$3:$F$27,2,0), "")</f>
        <v xml:space="preserve">Fenobarbital </v>
      </c>
      <c r="AA115" s="10" t="str">
        <f>IFERROR(VLOOKUP(Tabla1[[#This Row],[MEDICAMENTO]],TAB_REF!$B$3:$F$27,3,0), "")</f>
        <v xml:space="preserve">100 mg </v>
      </c>
      <c r="AB115" s="10" t="str">
        <f>IFERROR(VLOOKUP(Tabla1[[#This Row],[MEDICAMENTO]],TAB_REF!$B$3:$F$27,4,0), "")</f>
        <v>Tabletas</v>
      </c>
      <c r="AC115" s="10" t="str">
        <f>IFERROR(VLOOKUP(Tabla1[[#This Row],[MEDICAMENTO]],TAB_REF!$B$3:$F$27,5,0), "")</f>
        <v>Caja x 30 unidades</v>
      </c>
      <c r="AD115" s="10" t="str">
        <f>IFERROR(VLOOKUP(Tabla1[[#This Row],[CANTIDAD UND COMERCIALES]],TAB_REF!$H$3:$I$1003,2,0)&amp;" ("&amp;Tabla1[[#This Row],[CANTIDAD UND COMERCIALES]]&amp;")"&amp;"_"&amp;Tabla1[[#This Row],[CANTIDAD]],"")</f>
        <v>Ochenta Y Tres (83)_Caja x 30 unidades</v>
      </c>
      <c r="AE115" s="31" t="e">
        <f>CONCATENATE([1]!Tabla1[[#This Row],[NOMBRE MED.]],[1]!Tabla1[[#This Row],[CONCENTRACION]],[1]!Tabla1[[#This Row],[FORMA FARMACEUTICA]])</f>
        <v>#REF!</v>
      </c>
    </row>
    <row r="116" spans="2:31" x14ac:dyDescent="0.25">
      <c r="B116" s="10">
        <v>42</v>
      </c>
      <c r="C116" s="10" t="s">
        <v>2372</v>
      </c>
      <c r="D116" s="10" t="s">
        <v>2182</v>
      </c>
      <c r="E116" s="10" t="s">
        <v>2373</v>
      </c>
      <c r="F116" s="10" t="s">
        <v>2374</v>
      </c>
      <c r="G116" s="10" t="s">
        <v>2375</v>
      </c>
      <c r="H116" s="10" t="s">
        <v>2376</v>
      </c>
      <c r="I116" s="10" t="s">
        <v>2129</v>
      </c>
      <c r="J116" s="10" t="s">
        <v>2011</v>
      </c>
      <c r="K116" s="10" t="s">
        <v>2382</v>
      </c>
      <c r="L116" s="11">
        <v>202124100125532</v>
      </c>
      <c r="M116" s="20">
        <v>44222</v>
      </c>
      <c r="N116" s="20" t="str">
        <f>UPPER(TEXT(Tabla1[[#This Row],[FECHA RADICADO ENTRADA]],"MMM"))</f>
        <v>ENE</v>
      </c>
      <c r="O116" s="11">
        <v>202124110139711</v>
      </c>
      <c r="P116" s="20">
        <v>44223</v>
      </c>
      <c r="Q116" s="20" t="str">
        <f>UPPER(TEXT(Tabla1[[#This Row],[FECHA RADICADO ENTRADA]],"MMM"))</f>
        <v>ENE</v>
      </c>
      <c r="R116" s="10">
        <f t="shared" si="1"/>
        <v>-1</v>
      </c>
      <c r="S116" s="10" t="s">
        <v>2154</v>
      </c>
      <c r="U116" s="10" t="s">
        <v>2383</v>
      </c>
      <c r="V116" s="20">
        <v>43712</v>
      </c>
      <c r="W116" s="10" t="s">
        <v>48</v>
      </c>
      <c r="X116" s="10">
        <v>300</v>
      </c>
      <c r="Y116" s="11">
        <f>IFERROR(INT(Tabla1[[#This Row],[CANTIDAD UND FARMACEUTICAS]]/(VLOOKUP(Tabla1[[#This Row],[MEDICAMENTO]],TAB_REF!$K$3:$L$27,2,0))),"")</f>
        <v>10</v>
      </c>
      <c r="Z116" s="10" t="str">
        <f>IFERROR(VLOOKUP(Tabla1[[#This Row],[MEDICAMENTO]],TAB_REF!$B$3:$F$27,2,0), "")</f>
        <v xml:space="preserve">Metilfenidato HCl </v>
      </c>
      <c r="AA116" s="10" t="str">
        <f>IFERROR(VLOOKUP(Tabla1[[#This Row],[MEDICAMENTO]],TAB_REF!$B$3:$F$27,3,0), "")</f>
        <v xml:space="preserve">10 mg </v>
      </c>
      <c r="AB116" s="10" t="str">
        <f>IFERROR(VLOOKUP(Tabla1[[#This Row],[MEDICAMENTO]],TAB_REF!$B$3:$F$27,4,0), "")</f>
        <v>Comprimidos</v>
      </c>
      <c r="AC116" s="10" t="str">
        <f>IFERROR(VLOOKUP(Tabla1[[#This Row],[MEDICAMENTO]],TAB_REF!$B$3:$F$27,5,0), "")</f>
        <v>Caja x 30 unidades</v>
      </c>
      <c r="AD116" s="10" t="str">
        <f>IFERROR(VLOOKUP(Tabla1[[#This Row],[CANTIDAD UND COMERCIALES]],TAB_REF!$H$3:$I$1003,2,0)&amp;" ("&amp;Tabla1[[#This Row],[CANTIDAD UND COMERCIALES]]&amp;")"&amp;"_"&amp;Tabla1[[#This Row],[CANTIDAD]],"")</f>
        <v>Diez (10)_Caja x 30 unidades</v>
      </c>
      <c r="AE116" s="31" t="e">
        <f>CONCATENATE([1]!Tabla1[[#This Row],[NOMBRE MED.]],[1]!Tabla1[[#This Row],[CONCENTRACION]],[1]!Tabla1[[#This Row],[FORMA FARMACEUTICA]])</f>
        <v>#REF!</v>
      </c>
    </row>
    <row r="117" spans="2:31" x14ac:dyDescent="0.25">
      <c r="B117" s="10">
        <v>42</v>
      </c>
      <c r="C117" s="10" t="s">
        <v>2372</v>
      </c>
      <c r="D117" s="10" t="s">
        <v>2182</v>
      </c>
      <c r="E117" s="10" t="s">
        <v>2373</v>
      </c>
      <c r="F117" s="10" t="s">
        <v>2374</v>
      </c>
      <c r="G117" s="10" t="s">
        <v>2375</v>
      </c>
      <c r="H117" s="10" t="s">
        <v>2377</v>
      </c>
      <c r="I117" s="10" t="s">
        <v>2129</v>
      </c>
      <c r="J117" s="10" t="s">
        <v>2011</v>
      </c>
      <c r="K117" s="10" t="s">
        <v>2382</v>
      </c>
      <c r="L117" s="11">
        <v>202124100125532</v>
      </c>
      <c r="M117" s="20">
        <v>44222</v>
      </c>
      <c r="N117" s="20" t="str">
        <f>UPPER(TEXT(Tabla1[[#This Row],[FECHA RADICADO ENTRADA]],"MMM"))</f>
        <v>ENE</v>
      </c>
      <c r="O117" s="11">
        <v>202124110139711</v>
      </c>
      <c r="P117" s="20">
        <v>44223</v>
      </c>
      <c r="Q117" s="20" t="str">
        <f>UPPER(TEXT(Tabla1[[#This Row],[FECHA RADICADO ENTRADA]],"MMM"))</f>
        <v>ENE</v>
      </c>
      <c r="R117" s="10">
        <f t="shared" si="1"/>
        <v>-1</v>
      </c>
      <c r="S117" s="10" t="s">
        <v>2154</v>
      </c>
      <c r="U117" s="10" t="s">
        <v>2383</v>
      </c>
      <c r="V117" s="20">
        <v>43712</v>
      </c>
      <c r="W117" s="10" t="s">
        <v>32</v>
      </c>
      <c r="X117" s="10">
        <v>3000</v>
      </c>
      <c r="Y117" s="11">
        <f>IFERROR(INT(Tabla1[[#This Row],[CANTIDAD UND FARMACEUTICAS]]/(VLOOKUP(Tabla1[[#This Row],[MEDICAMENTO]],TAB_REF!$K$3:$L$27,2,0))),"")</f>
        <v>100</v>
      </c>
      <c r="Z117" s="10" t="str">
        <f>IFERROR(VLOOKUP(Tabla1[[#This Row],[MEDICAMENTO]],TAB_REF!$B$3:$F$27,2,0), "")</f>
        <v xml:space="preserve">Fenobarbital </v>
      </c>
      <c r="AA117" s="10" t="str">
        <f>IFERROR(VLOOKUP(Tabla1[[#This Row],[MEDICAMENTO]],TAB_REF!$B$3:$F$27,3,0), "")</f>
        <v xml:space="preserve">100 mg </v>
      </c>
      <c r="AB117" s="10" t="str">
        <f>IFERROR(VLOOKUP(Tabla1[[#This Row],[MEDICAMENTO]],TAB_REF!$B$3:$F$27,4,0), "")</f>
        <v>Tabletas</v>
      </c>
      <c r="AC117" s="10" t="str">
        <f>IFERROR(VLOOKUP(Tabla1[[#This Row],[MEDICAMENTO]],TAB_REF!$B$3:$F$27,5,0), "")</f>
        <v>Caja x 30 unidades</v>
      </c>
      <c r="AD117" s="10" t="str">
        <f>IFERROR(VLOOKUP(Tabla1[[#This Row],[CANTIDAD UND COMERCIALES]],TAB_REF!$H$3:$I$1003,2,0)&amp;" ("&amp;Tabla1[[#This Row],[CANTIDAD UND COMERCIALES]]&amp;")"&amp;"_"&amp;Tabla1[[#This Row],[CANTIDAD]],"")</f>
        <v>Cien (100)_Caja x 30 unidades</v>
      </c>
      <c r="AE117" s="31" t="e">
        <f>CONCATENATE([1]!Tabla1[[#This Row],[NOMBRE MED.]],[1]!Tabla1[[#This Row],[CONCENTRACION]],[1]!Tabla1[[#This Row],[FORMA FARMACEUTICA]])</f>
        <v>#REF!</v>
      </c>
    </row>
    <row r="118" spans="2:31" x14ac:dyDescent="0.25">
      <c r="B118" s="10">
        <v>42</v>
      </c>
      <c r="C118" s="10" t="s">
        <v>2372</v>
      </c>
      <c r="D118" s="10" t="s">
        <v>2182</v>
      </c>
      <c r="E118" s="10" t="s">
        <v>2373</v>
      </c>
      <c r="F118" s="10" t="s">
        <v>2374</v>
      </c>
      <c r="G118" s="10" t="s">
        <v>2375</v>
      </c>
      <c r="H118" s="10" t="s">
        <v>2378</v>
      </c>
      <c r="I118" s="10" t="s">
        <v>2129</v>
      </c>
      <c r="J118" s="10" t="s">
        <v>2011</v>
      </c>
      <c r="K118" s="10" t="s">
        <v>2382</v>
      </c>
      <c r="L118" s="11">
        <v>202124100125532</v>
      </c>
      <c r="M118" s="20">
        <v>44222</v>
      </c>
      <c r="N118" s="20" t="str">
        <f>UPPER(TEXT(Tabla1[[#This Row],[FECHA RADICADO ENTRADA]],"MMM"))</f>
        <v>ENE</v>
      </c>
      <c r="O118" s="11">
        <v>202124110139711</v>
      </c>
      <c r="P118" s="20">
        <v>44223</v>
      </c>
      <c r="Q118" s="20" t="str">
        <f>UPPER(TEXT(Tabla1[[#This Row],[FECHA RADICADO ENTRADA]],"MMM"))</f>
        <v>ENE</v>
      </c>
      <c r="R118" s="10">
        <f t="shared" si="1"/>
        <v>-1</v>
      </c>
      <c r="S118" s="10" t="s">
        <v>2154</v>
      </c>
      <c r="U118" s="10" t="s">
        <v>2383</v>
      </c>
      <c r="V118" s="20">
        <v>43712</v>
      </c>
      <c r="W118" s="10" t="s">
        <v>37</v>
      </c>
      <c r="X118" s="10">
        <v>120</v>
      </c>
      <c r="Y118" s="11">
        <f>IFERROR(INT(Tabla1[[#This Row],[CANTIDAD UND FARMACEUTICAS]]/(VLOOKUP(Tabla1[[#This Row],[MEDICAMENTO]],TAB_REF!$K$3:$L$27,2,0))),"")</f>
        <v>12</v>
      </c>
      <c r="Z118" s="10" t="str">
        <f>IFERROR(VLOOKUP(Tabla1[[#This Row],[MEDICAMENTO]],TAB_REF!$B$3:$F$27,2,0), "")</f>
        <v xml:space="preserve">Hidromorfona HCl </v>
      </c>
      <c r="AA118" s="10" t="str">
        <f>IFERROR(VLOOKUP(Tabla1[[#This Row],[MEDICAMENTO]],TAB_REF!$B$3:$F$27,3,0), "")</f>
        <v xml:space="preserve">2 mg/mL </v>
      </c>
      <c r="AB118" s="10" t="str">
        <f>IFERROR(VLOOKUP(Tabla1[[#This Row],[MEDICAMENTO]],TAB_REF!$B$3:$F$27,4,0), "")</f>
        <v>Solución Inyectable</v>
      </c>
      <c r="AC118" s="10" t="str">
        <f>IFERROR(VLOOKUP(Tabla1[[#This Row],[MEDICAMENTO]],TAB_REF!$B$3:$F$27,5,0), "")</f>
        <v>Caja x 10 unidades</v>
      </c>
      <c r="AD118" s="10" t="str">
        <f>IFERROR(VLOOKUP(Tabla1[[#This Row],[CANTIDAD UND COMERCIALES]],TAB_REF!$H$3:$I$1003,2,0)&amp;" ("&amp;Tabla1[[#This Row],[CANTIDAD UND COMERCIALES]]&amp;")"&amp;"_"&amp;Tabla1[[#This Row],[CANTIDAD]],"")</f>
        <v>Doce (12)_Caja x 10 unidades</v>
      </c>
      <c r="AE118" s="31" t="e">
        <f>CONCATENATE([1]!Tabla1[[#This Row],[NOMBRE MED.]],[1]!Tabla1[[#This Row],[CONCENTRACION]],[1]!Tabla1[[#This Row],[FORMA FARMACEUTICA]])</f>
        <v>#REF!</v>
      </c>
    </row>
    <row r="119" spans="2:31" x14ac:dyDescent="0.25">
      <c r="B119" s="10">
        <v>42</v>
      </c>
      <c r="C119" s="10" t="s">
        <v>2372</v>
      </c>
      <c r="D119" s="10" t="s">
        <v>2182</v>
      </c>
      <c r="E119" s="10" t="s">
        <v>2373</v>
      </c>
      <c r="F119" s="10" t="s">
        <v>2374</v>
      </c>
      <c r="G119" s="10" t="s">
        <v>2375</v>
      </c>
      <c r="H119" s="10" t="s">
        <v>2379</v>
      </c>
      <c r="I119" s="10" t="s">
        <v>2129</v>
      </c>
      <c r="J119" s="10" t="s">
        <v>2011</v>
      </c>
      <c r="K119" s="10" t="s">
        <v>2382</v>
      </c>
      <c r="L119" s="11">
        <v>202124100125532</v>
      </c>
      <c r="M119" s="20">
        <v>44222</v>
      </c>
      <c r="N119" s="20" t="str">
        <f>UPPER(TEXT(Tabla1[[#This Row],[FECHA RADICADO ENTRADA]],"MMM"))</f>
        <v>ENE</v>
      </c>
      <c r="O119" s="11">
        <v>202124110139711</v>
      </c>
      <c r="P119" s="20">
        <v>44223</v>
      </c>
      <c r="Q119" s="20" t="str">
        <f>UPPER(TEXT(Tabla1[[#This Row],[FECHA RADICADO ENTRADA]],"MMM"))</f>
        <v>ENE</v>
      </c>
      <c r="R119" s="10">
        <f t="shared" si="1"/>
        <v>-1</v>
      </c>
      <c r="S119" s="10" t="s">
        <v>2154</v>
      </c>
      <c r="U119" s="10" t="s">
        <v>2383</v>
      </c>
      <c r="V119" s="20">
        <v>43712</v>
      </c>
      <c r="W119" s="10" t="s">
        <v>44</v>
      </c>
      <c r="X119" s="10">
        <v>100</v>
      </c>
      <c r="Y119" s="11">
        <f>IFERROR(INT(Tabla1[[#This Row],[CANTIDAD UND FARMACEUTICAS]]/(VLOOKUP(Tabla1[[#This Row],[MEDICAMENTO]],TAB_REF!$K$3:$L$27,2,0))),"")</f>
        <v>5</v>
      </c>
      <c r="Z119" s="10" t="str">
        <f>IFERROR(VLOOKUP(Tabla1[[#This Row],[MEDICAMENTO]],TAB_REF!$B$3:$F$27,2,0), "")</f>
        <v xml:space="preserve">Metadona HCl </v>
      </c>
      <c r="AA119" s="10" t="str">
        <f>IFERROR(VLOOKUP(Tabla1[[#This Row],[MEDICAMENTO]],TAB_REF!$B$3:$F$27,3,0), "")</f>
        <v xml:space="preserve">10 mg </v>
      </c>
      <c r="AB119" s="10" t="str">
        <f>IFERROR(VLOOKUP(Tabla1[[#This Row],[MEDICAMENTO]],TAB_REF!$B$3:$F$27,4,0), "")</f>
        <v>Tabletas IMPORTADA</v>
      </c>
      <c r="AC119" s="10" t="str">
        <f>IFERROR(VLOOKUP(Tabla1[[#This Row],[MEDICAMENTO]],TAB_REF!$B$3:$F$27,5,0), "")</f>
        <v>Frasco x 20 unidades</v>
      </c>
      <c r="AD119" s="10" t="str">
        <f>IFERROR(VLOOKUP(Tabla1[[#This Row],[CANTIDAD UND COMERCIALES]],TAB_REF!$H$3:$I$1003,2,0)&amp;" ("&amp;Tabla1[[#This Row],[CANTIDAD UND COMERCIALES]]&amp;")"&amp;"_"&amp;Tabla1[[#This Row],[CANTIDAD]],"")</f>
        <v>Cinco (5)_Frasco x 20 unidades</v>
      </c>
      <c r="AE119" s="31" t="e">
        <f>CONCATENATE([1]!Tabla1[[#This Row],[NOMBRE MED.]],[1]!Tabla1[[#This Row],[CONCENTRACION]],[1]!Tabla1[[#This Row],[FORMA FARMACEUTICA]])</f>
        <v>#REF!</v>
      </c>
    </row>
    <row r="120" spans="2:31" x14ac:dyDescent="0.25">
      <c r="B120" s="10">
        <v>42</v>
      </c>
      <c r="C120" s="10" t="s">
        <v>2372</v>
      </c>
      <c r="D120" s="10" t="s">
        <v>2182</v>
      </c>
      <c r="E120" s="10" t="s">
        <v>2373</v>
      </c>
      <c r="F120" s="10" t="s">
        <v>2374</v>
      </c>
      <c r="G120" s="10" t="s">
        <v>2375</v>
      </c>
      <c r="H120" s="10" t="s">
        <v>2380</v>
      </c>
      <c r="I120" s="10" t="s">
        <v>2129</v>
      </c>
      <c r="J120" s="10" t="s">
        <v>2011</v>
      </c>
      <c r="K120" s="10" t="s">
        <v>2382</v>
      </c>
      <c r="L120" s="11">
        <v>202124100125532</v>
      </c>
      <c r="M120" s="20">
        <v>44222</v>
      </c>
      <c r="N120" s="20" t="str">
        <f>UPPER(TEXT(Tabla1[[#This Row],[FECHA RADICADO ENTRADA]],"MMM"))</f>
        <v>ENE</v>
      </c>
      <c r="O120" s="11">
        <v>202124110139711</v>
      </c>
      <c r="P120" s="20">
        <v>44223</v>
      </c>
      <c r="Q120" s="20" t="str">
        <f>UPPER(TEXT(Tabla1[[#This Row],[FECHA RADICADO ENTRADA]],"MMM"))</f>
        <v>ENE</v>
      </c>
      <c r="R120" s="10">
        <f t="shared" si="1"/>
        <v>-1</v>
      </c>
      <c r="S120" s="10" t="s">
        <v>2154</v>
      </c>
      <c r="U120" s="10" t="s">
        <v>2383</v>
      </c>
      <c r="V120" s="20">
        <v>43712</v>
      </c>
      <c r="W120" s="10" t="s">
        <v>60</v>
      </c>
      <c r="X120" s="10">
        <v>10</v>
      </c>
      <c r="Y120" s="11">
        <f>IFERROR(INT(Tabla1[[#This Row],[CANTIDAD UND FARMACEUTICAS]]/(VLOOKUP(Tabla1[[#This Row],[MEDICAMENTO]],TAB_REF!$K$3:$L$27,2,0))),"")</f>
        <v>10</v>
      </c>
      <c r="Z120" s="10" t="str">
        <f>IFERROR(VLOOKUP(Tabla1[[#This Row],[MEDICAMENTO]],TAB_REF!$B$3:$F$27,2,0), "")</f>
        <v xml:space="preserve">Morfina HCl </v>
      </c>
      <c r="AA120" s="10" t="str">
        <f>IFERROR(VLOOKUP(Tabla1[[#This Row],[MEDICAMENTO]],TAB_REF!$B$3:$F$27,3,0), "")</f>
        <v xml:space="preserve">3%. </v>
      </c>
      <c r="AB120" s="10" t="str">
        <f>IFERROR(VLOOKUP(Tabla1[[#This Row],[MEDICAMENTO]],TAB_REF!$B$3:$F$27,4,0), "")</f>
        <v>Solución Oral</v>
      </c>
      <c r="AC120" s="10" t="str">
        <f>IFERROR(VLOOKUP(Tabla1[[#This Row],[MEDICAMENTO]],TAB_REF!$B$3:$F$27,5,0), "")</f>
        <v>Frasco x 30 mL</v>
      </c>
      <c r="AD120" s="10" t="str">
        <f>IFERROR(VLOOKUP(Tabla1[[#This Row],[CANTIDAD UND COMERCIALES]],TAB_REF!$H$3:$I$1003,2,0)&amp;" ("&amp;Tabla1[[#This Row],[CANTIDAD UND COMERCIALES]]&amp;")"&amp;"_"&amp;Tabla1[[#This Row],[CANTIDAD]],"")</f>
        <v>Diez (10)_Frasco x 30 mL</v>
      </c>
      <c r="AE120" s="31" t="e">
        <f>CONCATENATE([1]!Tabla1[[#This Row],[NOMBRE MED.]],[1]!Tabla1[[#This Row],[CONCENTRACION]],[1]!Tabla1[[#This Row],[FORMA FARMACEUTICA]])</f>
        <v>#REF!</v>
      </c>
    </row>
    <row r="121" spans="2:31" x14ac:dyDescent="0.25">
      <c r="B121" s="10">
        <v>42</v>
      </c>
      <c r="C121" s="10" t="s">
        <v>2372</v>
      </c>
      <c r="D121" s="10" t="s">
        <v>2182</v>
      </c>
      <c r="E121" s="10" t="s">
        <v>2373</v>
      </c>
      <c r="F121" s="10" t="s">
        <v>2374</v>
      </c>
      <c r="G121" s="10" t="s">
        <v>2375</v>
      </c>
      <c r="H121" s="10" t="s">
        <v>2381</v>
      </c>
      <c r="I121" s="10" t="s">
        <v>2129</v>
      </c>
      <c r="J121" s="10" t="s">
        <v>2011</v>
      </c>
      <c r="K121" s="10" t="s">
        <v>2382</v>
      </c>
      <c r="L121" s="11">
        <v>202124100125532</v>
      </c>
      <c r="M121" s="20">
        <v>44222</v>
      </c>
      <c r="N121" s="20" t="str">
        <f>UPPER(TEXT(Tabla1[[#This Row],[FECHA RADICADO ENTRADA]],"MMM"))</f>
        <v>ENE</v>
      </c>
      <c r="O121" s="11">
        <v>202124110139711</v>
      </c>
      <c r="P121" s="20">
        <v>44223</v>
      </c>
      <c r="Q121" s="20" t="str">
        <f>UPPER(TEXT(Tabla1[[#This Row],[FECHA RADICADO ENTRADA]],"MMM"))</f>
        <v>ENE</v>
      </c>
      <c r="R121" s="10">
        <f t="shared" si="1"/>
        <v>-1</v>
      </c>
      <c r="S121" s="10" t="s">
        <v>2154</v>
      </c>
      <c r="U121" s="10" t="s">
        <v>2383</v>
      </c>
      <c r="V121" s="20">
        <v>43712</v>
      </c>
      <c r="W121" s="10" t="s">
        <v>2139</v>
      </c>
      <c r="X121" s="10">
        <v>600</v>
      </c>
      <c r="Y121" s="11">
        <f>IFERROR(INT(Tabla1[[#This Row],[CANTIDAD UND FARMACEUTICAS]]/(VLOOKUP(Tabla1[[#This Row],[MEDICAMENTO]],TAB_REF!$K$3:$L$27,2,0))),"")</f>
        <v>20</v>
      </c>
      <c r="Z121" s="10" t="str">
        <f>IFERROR(VLOOKUP(Tabla1[[#This Row],[MEDICAMENTO]],TAB_REF!$B$3:$F$27,2,0), "")</f>
        <v xml:space="preserve">Primidona </v>
      </c>
      <c r="AA121" s="10" t="str">
        <f>IFERROR(VLOOKUP(Tabla1[[#This Row],[MEDICAMENTO]],TAB_REF!$B$3:$F$27,3,0), "")</f>
        <v xml:space="preserve">250 mg </v>
      </c>
      <c r="AB121" s="10" t="str">
        <f>IFERROR(VLOOKUP(Tabla1[[#This Row],[MEDICAMENTO]],TAB_REF!$B$3:$F$27,4,0), "")</f>
        <v>Tabletas</v>
      </c>
      <c r="AC121" s="10" t="str">
        <f>IFERROR(VLOOKUP(Tabla1[[#This Row],[MEDICAMENTO]],TAB_REF!$B$3:$F$27,5,0), "")</f>
        <v>Caja x 30 unidades</v>
      </c>
      <c r="AD121" s="10" t="str">
        <f>IFERROR(VLOOKUP(Tabla1[[#This Row],[CANTIDAD UND COMERCIALES]],TAB_REF!$H$3:$I$1003,2,0)&amp;" ("&amp;Tabla1[[#This Row],[CANTIDAD UND COMERCIALES]]&amp;")"&amp;"_"&amp;Tabla1[[#This Row],[CANTIDAD]],"")</f>
        <v>Veinte (20)_Caja x 30 unidades</v>
      </c>
      <c r="AE121" s="31" t="e">
        <f>CONCATENATE([1]!Tabla1[[#This Row],[NOMBRE MED.]],[1]!Tabla1[[#This Row],[CONCENTRACION]],[1]!Tabla1[[#This Row],[FORMA FARMACEUTICA]])</f>
        <v>#REF!</v>
      </c>
    </row>
    <row r="122" spans="2:31" x14ac:dyDescent="0.25">
      <c r="B122" s="24">
        <v>43</v>
      </c>
      <c r="C122" s="10" t="s">
        <v>2384</v>
      </c>
      <c r="D122" s="10" t="s">
        <v>2182</v>
      </c>
      <c r="E122" s="10" t="s">
        <v>2385</v>
      </c>
      <c r="F122" s="10" t="s">
        <v>2386</v>
      </c>
      <c r="G122" s="10" t="s">
        <v>2387</v>
      </c>
      <c r="H122" s="10" t="s">
        <v>2388</v>
      </c>
      <c r="I122" s="10" t="s">
        <v>2122</v>
      </c>
      <c r="J122" s="10" t="s">
        <v>1742</v>
      </c>
      <c r="K122" s="10" t="s">
        <v>2391</v>
      </c>
      <c r="L122" s="11">
        <v>202124100128742</v>
      </c>
      <c r="M122" s="20">
        <v>44222</v>
      </c>
      <c r="N122" s="20" t="str">
        <f>UPPER(TEXT(Tabla1[[#This Row],[FECHA RADICADO ENTRADA]],"MMM"))</f>
        <v>ENE</v>
      </c>
      <c r="O122" s="11">
        <v>202124110139741</v>
      </c>
      <c r="P122" s="20">
        <v>44223</v>
      </c>
      <c r="Q122" s="20" t="str">
        <f>UPPER(TEXT(Tabla1[[#This Row],[FECHA RADICADO ENTRADA]],"MMM"))</f>
        <v>ENE</v>
      </c>
      <c r="R122" s="10">
        <f t="shared" si="1"/>
        <v>-1</v>
      </c>
      <c r="S122" s="10" t="s">
        <v>2154</v>
      </c>
      <c r="U122" s="10" t="s">
        <v>2392</v>
      </c>
      <c r="V122" s="20">
        <v>43167</v>
      </c>
      <c r="W122" s="10" t="s">
        <v>48</v>
      </c>
      <c r="X122" s="10">
        <v>300</v>
      </c>
      <c r="Y122" s="11">
        <f>IFERROR(INT(Tabla1[[#This Row],[CANTIDAD UND FARMACEUTICAS]]/(VLOOKUP(Tabla1[[#This Row],[MEDICAMENTO]],TAB_REF!$K$3:$L$27,2,0))),"")</f>
        <v>10</v>
      </c>
      <c r="Z122" s="10" t="str">
        <f>IFERROR(VLOOKUP(Tabla1[[#This Row],[MEDICAMENTO]],TAB_REF!$B$3:$F$27,2,0), "")</f>
        <v xml:space="preserve">Metilfenidato HCl </v>
      </c>
      <c r="AA122" s="10" t="str">
        <f>IFERROR(VLOOKUP(Tabla1[[#This Row],[MEDICAMENTO]],TAB_REF!$B$3:$F$27,3,0), "")</f>
        <v xml:space="preserve">10 mg </v>
      </c>
      <c r="AB122" s="10" t="str">
        <f>IFERROR(VLOOKUP(Tabla1[[#This Row],[MEDICAMENTO]],TAB_REF!$B$3:$F$27,4,0), "")</f>
        <v>Comprimidos</v>
      </c>
      <c r="AC122" s="10" t="str">
        <f>IFERROR(VLOOKUP(Tabla1[[#This Row],[MEDICAMENTO]],TAB_REF!$B$3:$F$27,5,0), "")</f>
        <v>Caja x 30 unidades</v>
      </c>
      <c r="AD122" s="10" t="str">
        <f>IFERROR(VLOOKUP(Tabla1[[#This Row],[CANTIDAD UND COMERCIALES]],TAB_REF!$H$3:$I$1003,2,0)&amp;" ("&amp;Tabla1[[#This Row],[CANTIDAD UND COMERCIALES]]&amp;")"&amp;"_"&amp;Tabla1[[#This Row],[CANTIDAD]],"")</f>
        <v>Diez (10)_Caja x 30 unidades</v>
      </c>
      <c r="AE122" s="31" t="e">
        <f>CONCATENATE([1]!Tabla1[[#This Row],[NOMBRE MED.]],[1]!Tabla1[[#This Row],[CONCENTRACION]],[1]!Tabla1[[#This Row],[FORMA FARMACEUTICA]])</f>
        <v>#REF!</v>
      </c>
    </row>
    <row r="123" spans="2:31" x14ac:dyDescent="0.25">
      <c r="B123" s="24">
        <v>43</v>
      </c>
      <c r="C123" s="10" t="s">
        <v>2384</v>
      </c>
      <c r="D123" s="10" t="s">
        <v>2182</v>
      </c>
      <c r="E123" s="10" t="s">
        <v>2385</v>
      </c>
      <c r="F123" s="10" t="s">
        <v>2386</v>
      </c>
      <c r="G123" s="10" t="s">
        <v>2387</v>
      </c>
      <c r="H123" s="10" t="s">
        <v>2389</v>
      </c>
      <c r="I123" s="10" t="s">
        <v>2122</v>
      </c>
      <c r="J123" s="10" t="s">
        <v>1742</v>
      </c>
      <c r="K123" s="10" t="s">
        <v>2391</v>
      </c>
      <c r="L123" s="11">
        <v>202124100128742</v>
      </c>
      <c r="M123" s="20">
        <v>44222</v>
      </c>
      <c r="N123" s="20" t="str">
        <f>UPPER(TEXT(Tabla1[[#This Row],[FECHA RADICADO ENTRADA]],"MMM"))</f>
        <v>ENE</v>
      </c>
      <c r="O123" s="11">
        <v>202124110139741</v>
      </c>
      <c r="P123" s="20">
        <v>44223</v>
      </c>
      <c r="Q123" s="20" t="str">
        <f>UPPER(TEXT(Tabla1[[#This Row],[FECHA RADICADO ENTRADA]],"MMM"))</f>
        <v>ENE</v>
      </c>
      <c r="R123" s="10">
        <f t="shared" si="1"/>
        <v>-1</v>
      </c>
      <c r="S123" s="10" t="s">
        <v>2154</v>
      </c>
      <c r="U123" s="10" t="s">
        <v>2392</v>
      </c>
      <c r="V123" s="20">
        <v>43167</v>
      </c>
      <c r="W123" s="10" t="s">
        <v>60</v>
      </c>
      <c r="X123" s="10">
        <v>4</v>
      </c>
      <c r="Y123" s="11">
        <f>IFERROR(INT(Tabla1[[#This Row],[CANTIDAD UND FARMACEUTICAS]]/(VLOOKUP(Tabla1[[#This Row],[MEDICAMENTO]],TAB_REF!$K$3:$L$27,2,0))),"")</f>
        <v>4</v>
      </c>
      <c r="Z123" s="10" t="str">
        <f>IFERROR(VLOOKUP(Tabla1[[#This Row],[MEDICAMENTO]],TAB_REF!$B$3:$F$27,2,0), "")</f>
        <v xml:space="preserve">Morfina HCl </v>
      </c>
      <c r="AA123" s="10" t="str">
        <f>IFERROR(VLOOKUP(Tabla1[[#This Row],[MEDICAMENTO]],TAB_REF!$B$3:$F$27,3,0), "")</f>
        <v xml:space="preserve">3%. </v>
      </c>
      <c r="AB123" s="10" t="str">
        <f>IFERROR(VLOOKUP(Tabla1[[#This Row],[MEDICAMENTO]],TAB_REF!$B$3:$F$27,4,0), "")</f>
        <v>Solución Oral</v>
      </c>
      <c r="AC123" s="10" t="str">
        <f>IFERROR(VLOOKUP(Tabla1[[#This Row],[MEDICAMENTO]],TAB_REF!$B$3:$F$27,5,0), "")</f>
        <v>Frasco x 30 mL</v>
      </c>
      <c r="AD123" s="10" t="str">
        <f>IFERROR(VLOOKUP(Tabla1[[#This Row],[CANTIDAD UND COMERCIALES]],TAB_REF!$H$3:$I$1003,2,0)&amp;" ("&amp;Tabla1[[#This Row],[CANTIDAD UND COMERCIALES]]&amp;")"&amp;"_"&amp;Tabla1[[#This Row],[CANTIDAD]],"")</f>
        <v>Cuatro (4)_Frasco x 30 mL</v>
      </c>
      <c r="AE123" s="31" t="e">
        <f>CONCATENATE([1]!Tabla1[[#This Row],[NOMBRE MED.]],[1]!Tabla1[[#This Row],[CONCENTRACION]],[1]!Tabla1[[#This Row],[FORMA FARMACEUTICA]])</f>
        <v>#REF!</v>
      </c>
    </row>
    <row r="124" spans="2:31" x14ac:dyDescent="0.25">
      <c r="B124" s="24">
        <v>43</v>
      </c>
      <c r="C124" s="10" t="s">
        <v>2384</v>
      </c>
      <c r="D124" s="10" t="s">
        <v>2182</v>
      </c>
      <c r="E124" s="10" t="s">
        <v>2385</v>
      </c>
      <c r="F124" s="10" t="s">
        <v>2386</v>
      </c>
      <c r="G124" s="10" t="s">
        <v>2387</v>
      </c>
      <c r="H124" s="10" t="s">
        <v>2390</v>
      </c>
      <c r="I124" s="10" t="s">
        <v>2122</v>
      </c>
      <c r="J124" s="10" t="s">
        <v>1742</v>
      </c>
      <c r="K124" s="10" t="s">
        <v>2391</v>
      </c>
      <c r="L124" s="11">
        <v>202124100128742</v>
      </c>
      <c r="M124" s="20">
        <v>44222</v>
      </c>
      <c r="N124" s="20" t="str">
        <f>UPPER(TEXT(Tabla1[[#This Row],[FECHA RADICADO ENTRADA]],"MMM"))</f>
        <v>ENE</v>
      </c>
      <c r="O124" s="11">
        <v>202124110139741</v>
      </c>
      <c r="P124" s="20">
        <v>44223</v>
      </c>
      <c r="Q124" s="20" t="str">
        <f>UPPER(TEXT(Tabla1[[#This Row],[FECHA RADICADO ENTRADA]],"MMM"))</f>
        <v>ENE</v>
      </c>
      <c r="R124" s="10">
        <f t="shared" si="1"/>
        <v>-1</v>
      </c>
      <c r="S124" s="10" t="s">
        <v>2154</v>
      </c>
      <c r="U124" s="10" t="s">
        <v>2392</v>
      </c>
      <c r="V124" s="20">
        <v>43167</v>
      </c>
      <c r="W124" s="10" t="s">
        <v>38</v>
      </c>
      <c r="X124" s="10">
        <v>180</v>
      </c>
      <c r="Y124" s="11">
        <f>IFERROR(INT(Tabla1[[#This Row],[CANTIDAD UND FARMACEUTICAS]]/(VLOOKUP(Tabla1[[#This Row],[MEDICAMENTO]],TAB_REF!$K$3:$L$27,2,0))),"")</f>
        <v>9</v>
      </c>
      <c r="Z124" s="10" t="str">
        <f>IFERROR(VLOOKUP(Tabla1[[#This Row],[MEDICAMENTO]],TAB_REF!$B$3:$F$27,2,0), "")</f>
        <v xml:space="preserve">Hidromorfona HCl </v>
      </c>
      <c r="AA124" s="10" t="str">
        <f>IFERROR(VLOOKUP(Tabla1[[#This Row],[MEDICAMENTO]],TAB_REF!$B$3:$F$27,3,0), "")</f>
        <v xml:space="preserve">2,5 mg </v>
      </c>
      <c r="AB124" s="10" t="str">
        <f>IFERROR(VLOOKUP(Tabla1[[#This Row],[MEDICAMENTO]],TAB_REF!$B$3:$F$27,4,0), "")</f>
        <v>Tabletas</v>
      </c>
      <c r="AC124" s="10" t="str">
        <f>IFERROR(VLOOKUP(Tabla1[[#This Row],[MEDICAMENTO]],TAB_REF!$B$3:$F$27,5,0), "")</f>
        <v>Caja x 20 unidades</v>
      </c>
      <c r="AD124" s="10" t="str">
        <f>IFERROR(VLOOKUP(Tabla1[[#This Row],[CANTIDAD UND COMERCIALES]],TAB_REF!$H$3:$I$1003,2,0)&amp;" ("&amp;Tabla1[[#This Row],[CANTIDAD UND COMERCIALES]]&amp;")"&amp;"_"&amp;Tabla1[[#This Row],[CANTIDAD]],"")</f>
        <v>Nueve (9)_Caja x 20 unidades</v>
      </c>
      <c r="AE124" s="31" t="e">
        <f>CONCATENATE([1]!Tabla1[[#This Row],[NOMBRE MED.]],[1]!Tabla1[[#This Row],[CONCENTRACION]],[1]!Tabla1[[#This Row],[FORMA FARMACEUTICA]])</f>
        <v>#REF!</v>
      </c>
    </row>
    <row r="125" spans="2:31" ht="30" x14ac:dyDescent="0.25">
      <c r="B125" s="10">
        <v>44</v>
      </c>
      <c r="C125" s="10" t="s">
        <v>2393</v>
      </c>
      <c r="D125" s="10" t="s">
        <v>2175</v>
      </c>
      <c r="E125" s="10" t="s">
        <v>2394</v>
      </c>
      <c r="F125" s="10" t="s">
        <v>2395</v>
      </c>
      <c r="G125" s="10" t="s">
        <v>2396</v>
      </c>
      <c r="H125" s="33" t="s">
        <v>2397</v>
      </c>
      <c r="I125" s="10" t="s">
        <v>2110</v>
      </c>
      <c r="J125" s="10" t="s">
        <v>1235</v>
      </c>
      <c r="K125" s="10" t="s">
        <v>2398</v>
      </c>
      <c r="L125" s="11">
        <v>202124100121162</v>
      </c>
      <c r="M125" s="20">
        <v>44221</v>
      </c>
      <c r="N125" s="20" t="str">
        <f>UPPER(TEXT(Tabla1[[#This Row],[FECHA RADICADO ENTRADA]],"MMM"))</f>
        <v>ENE</v>
      </c>
      <c r="O125" s="11">
        <v>202124110139751</v>
      </c>
      <c r="P125" s="20">
        <v>44223</v>
      </c>
      <c r="Q125" s="20" t="str">
        <f>UPPER(TEXT(Tabla1[[#This Row],[FECHA RADICADO ENTRADA]],"MMM"))</f>
        <v>ENE</v>
      </c>
      <c r="R125" s="10">
        <f t="shared" si="1"/>
        <v>-2</v>
      </c>
      <c r="S125" s="10" t="s">
        <v>2154</v>
      </c>
      <c r="U125" s="10" t="s">
        <v>2399</v>
      </c>
      <c r="V125" s="20">
        <v>44095</v>
      </c>
      <c r="W125" s="10" t="s">
        <v>63</v>
      </c>
      <c r="X125" s="10">
        <v>100</v>
      </c>
      <c r="Y125" s="11">
        <f>IFERROR(INT(Tabla1[[#This Row],[CANTIDAD UND FARMACEUTICAS]]/(VLOOKUP(Tabla1[[#This Row],[MEDICAMENTO]],TAB_REF!$K$3:$L$27,2,0))),"")</f>
        <v>10</v>
      </c>
      <c r="Z125" s="10" t="str">
        <f>IFERROR(VLOOKUP(Tabla1[[#This Row],[MEDICAMENTO]],TAB_REF!$B$3:$F$27,2,0), "")</f>
        <v xml:space="preserve">Morfina HCl </v>
      </c>
      <c r="AA125" s="10" t="str">
        <f>IFERROR(VLOOKUP(Tabla1[[#This Row],[MEDICAMENTO]],TAB_REF!$B$3:$F$27,3,0), "")</f>
        <v xml:space="preserve">10 mg/mL </v>
      </c>
      <c r="AB125" s="10" t="str">
        <f>IFERROR(VLOOKUP(Tabla1[[#This Row],[MEDICAMENTO]],TAB_REF!$B$3:$F$27,4,0), "")</f>
        <v>Solución Inyectable</v>
      </c>
      <c r="AC125" s="10" t="str">
        <f>IFERROR(VLOOKUP(Tabla1[[#This Row],[MEDICAMENTO]],TAB_REF!$B$3:$F$27,5,0), "")</f>
        <v>Caja x 10 unidades</v>
      </c>
      <c r="AD125" s="10" t="str">
        <f>IFERROR(VLOOKUP(Tabla1[[#This Row],[CANTIDAD UND COMERCIALES]],TAB_REF!$H$3:$I$1003,2,0)&amp;" ("&amp;Tabla1[[#This Row],[CANTIDAD UND COMERCIALES]]&amp;")"&amp;"_"&amp;Tabla1[[#This Row],[CANTIDAD]],"")</f>
        <v>Diez (10)_Caja x 10 unidades</v>
      </c>
      <c r="AE125" s="31" t="e">
        <f>CONCATENATE([1]!Tabla1[[#This Row],[NOMBRE MED.]],[1]!Tabla1[[#This Row],[CONCENTRACION]],[1]!Tabla1[[#This Row],[FORMA FARMACEUTICA]])</f>
        <v>#REF!</v>
      </c>
    </row>
    <row r="126" spans="2:31" ht="30" x14ac:dyDescent="0.25">
      <c r="B126" s="10">
        <v>44</v>
      </c>
      <c r="C126" s="10" t="s">
        <v>2393</v>
      </c>
      <c r="D126" s="10" t="s">
        <v>2175</v>
      </c>
      <c r="E126" s="10" t="s">
        <v>2394</v>
      </c>
      <c r="F126" s="10" t="s">
        <v>2395</v>
      </c>
      <c r="G126" s="10" t="s">
        <v>2396</v>
      </c>
      <c r="H126" s="33" t="s">
        <v>2397</v>
      </c>
      <c r="I126" s="10" t="s">
        <v>2110</v>
      </c>
      <c r="J126" s="10" t="s">
        <v>1235</v>
      </c>
      <c r="K126" s="10" t="s">
        <v>2398</v>
      </c>
      <c r="L126" s="11">
        <v>202124100121162</v>
      </c>
      <c r="M126" s="20">
        <v>44221</v>
      </c>
      <c r="N126" s="20" t="str">
        <f>UPPER(TEXT(Tabla1[[#This Row],[FECHA RADICADO ENTRADA]],"MMM"))</f>
        <v>ENE</v>
      </c>
      <c r="O126" s="11">
        <v>202124110139751</v>
      </c>
      <c r="P126" s="20">
        <v>44223</v>
      </c>
      <c r="Q126" s="20" t="str">
        <f>UPPER(TEXT(Tabla1[[#This Row],[FECHA RADICADO ENTRADA]],"MMM"))</f>
        <v>ENE</v>
      </c>
      <c r="R126" s="10">
        <f t="shared" si="1"/>
        <v>-2</v>
      </c>
      <c r="S126" s="10" t="s">
        <v>2154</v>
      </c>
      <c r="U126" s="10" t="s">
        <v>2399</v>
      </c>
      <c r="V126" s="20">
        <v>44095</v>
      </c>
      <c r="W126" s="10" t="s">
        <v>36</v>
      </c>
      <c r="X126" s="10">
        <v>30</v>
      </c>
      <c r="Y126" s="11">
        <f>IFERROR(INT(Tabla1[[#This Row],[CANTIDAD UND FARMACEUTICAS]]/(VLOOKUP(Tabla1[[#This Row],[MEDICAMENTO]],TAB_REF!$K$3:$L$27,2,0))),"")</f>
        <v>3</v>
      </c>
      <c r="Z126" s="10" t="str">
        <f>IFERROR(VLOOKUP(Tabla1[[#This Row],[MEDICAMENTO]],TAB_REF!$B$3:$F$27,2,0), "")</f>
        <v xml:space="preserve">Fenobarbital Sódico </v>
      </c>
      <c r="AA126" s="10" t="str">
        <f>IFERROR(VLOOKUP(Tabla1[[#This Row],[MEDICAMENTO]],TAB_REF!$B$3:$F$27,3,0), "")</f>
        <v xml:space="preserve">40 mg/mL </v>
      </c>
      <c r="AB126" s="10" t="str">
        <f>IFERROR(VLOOKUP(Tabla1[[#This Row],[MEDICAMENTO]],TAB_REF!$B$3:$F$27,4,0), "")</f>
        <v>Solución Inyectable</v>
      </c>
      <c r="AC126" s="10" t="str">
        <f>IFERROR(VLOOKUP(Tabla1[[#This Row],[MEDICAMENTO]],TAB_REF!$B$3:$F$27,5,0), "")</f>
        <v>Caja x 10 unidades</v>
      </c>
      <c r="AD126" s="10" t="str">
        <f>IFERROR(VLOOKUP(Tabla1[[#This Row],[CANTIDAD UND COMERCIALES]],TAB_REF!$H$3:$I$1003,2,0)&amp;" ("&amp;Tabla1[[#This Row],[CANTIDAD UND COMERCIALES]]&amp;")"&amp;"_"&amp;Tabla1[[#This Row],[CANTIDAD]],"")</f>
        <v>Tres (3)_Caja x 10 unidades</v>
      </c>
      <c r="AE126" s="31" t="e">
        <f>CONCATENATE([1]!Tabla1[[#This Row],[NOMBRE MED.]],[1]!Tabla1[[#This Row],[CONCENTRACION]],[1]!Tabla1[[#This Row],[FORMA FARMACEUTICA]])</f>
        <v>#REF!</v>
      </c>
    </row>
    <row r="127" spans="2:31" x14ac:dyDescent="0.25">
      <c r="B127" s="10">
        <v>45</v>
      </c>
      <c r="C127" s="10" t="s">
        <v>2400</v>
      </c>
      <c r="D127" s="10" t="s">
        <v>2162</v>
      </c>
      <c r="E127" s="10" t="s">
        <v>2401</v>
      </c>
      <c r="F127" s="10" t="s">
        <v>2402</v>
      </c>
      <c r="G127" s="10" t="s">
        <v>2403</v>
      </c>
      <c r="H127" s="10" t="s">
        <v>2404</v>
      </c>
      <c r="I127" s="10" t="s">
        <v>2120</v>
      </c>
      <c r="J127" s="10" t="s">
        <v>1718</v>
      </c>
      <c r="K127" s="10" t="s">
        <v>2405</v>
      </c>
      <c r="L127" s="11">
        <v>202124100140572</v>
      </c>
      <c r="M127" s="20">
        <v>44223</v>
      </c>
      <c r="N127" s="20" t="str">
        <f>UPPER(TEXT(Tabla1[[#This Row],[FECHA RADICADO ENTRADA]],"MMM"))</f>
        <v>ENE</v>
      </c>
      <c r="O127" s="11">
        <v>202124110144611</v>
      </c>
      <c r="P127" s="20">
        <v>44224</v>
      </c>
      <c r="Q127" s="20" t="str">
        <f>UPPER(TEXT(Tabla1[[#This Row],[FECHA RADICADO ENTRADA]],"MMM"))</f>
        <v>ENE</v>
      </c>
      <c r="R127" s="10">
        <f t="shared" si="1"/>
        <v>-1</v>
      </c>
      <c r="S127" s="10" t="s">
        <v>2154</v>
      </c>
      <c r="U127" s="10" t="s">
        <v>2414</v>
      </c>
      <c r="V127" s="20">
        <v>43634</v>
      </c>
      <c r="W127" s="10" t="s">
        <v>45</v>
      </c>
      <c r="X127" s="10">
        <v>200</v>
      </c>
      <c r="Y127" s="11">
        <f>IFERROR(INT(Tabla1[[#This Row],[CANTIDAD UND FARMACEUTICAS]]/(VLOOKUP(Tabla1[[#This Row],[MEDICAMENTO]],TAB_REF!$K$3:$L$27,2,0))),"")</f>
        <v>6</v>
      </c>
      <c r="Z127" s="10" t="str">
        <f>IFERROR(VLOOKUP(Tabla1[[#This Row],[MEDICAMENTO]],TAB_REF!$B$3:$F$27,2,0), "")</f>
        <v xml:space="preserve">Metadona HCl </v>
      </c>
      <c r="AA127" s="10" t="str">
        <f>IFERROR(VLOOKUP(Tabla1[[#This Row],[MEDICAMENTO]],TAB_REF!$B$3:$F$27,3,0), "")</f>
        <v xml:space="preserve">10 mg </v>
      </c>
      <c r="AB127" s="10" t="str">
        <f>IFERROR(VLOOKUP(Tabla1[[#This Row],[MEDICAMENTO]],TAB_REF!$B$3:$F$27,4,0), "")</f>
        <v>Tabletas NACIONAL</v>
      </c>
      <c r="AC127" s="10" t="str">
        <f>IFERROR(VLOOKUP(Tabla1[[#This Row],[MEDICAMENTO]],TAB_REF!$B$3:$F$27,5,0), "")</f>
        <v>Caja x 30 unidades</v>
      </c>
      <c r="AD127" s="10" t="str">
        <f>IFERROR(VLOOKUP(Tabla1[[#This Row],[CANTIDAD UND COMERCIALES]],TAB_REF!$H$3:$I$1003,2,0)&amp;" ("&amp;Tabla1[[#This Row],[CANTIDAD UND COMERCIALES]]&amp;")"&amp;"_"&amp;Tabla1[[#This Row],[CANTIDAD]],"")</f>
        <v>Seis (6)_Caja x 30 unidades</v>
      </c>
      <c r="AE127" s="31" t="e">
        <f>CONCATENATE([1]!Tabla1[[#This Row],[NOMBRE MED.]],[1]!Tabla1[[#This Row],[CONCENTRACION]],[1]!Tabla1[[#This Row],[FORMA FARMACEUTICA]])</f>
        <v>#REF!</v>
      </c>
    </row>
    <row r="128" spans="2:31" x14ac:dyDescent="0.25">
      <c r="B128" s="10">
        <v>46</v>
      </c>
      <c r="C128" s="10" t="s">
        <v>2406</v>
      </c>
      <c r="D128" s="10" t="s">
        <v>2407</v>
      </c>
      <c r="E128" s="10" t="s">
        <v>2408</v>
      </c>
      <c r="F128" s="10" t="s">
        <v>2409</v>
      </c>
      <c r="G128" s="10" t="s">
        <v>2410</v>
      </c>
      <c r="H128" s="10" t="s">
        <v>2411</v>
      </c>
      <c r="I128" s="10" t="s">
        <v>2110</v>
      </c>
      <c r="J128" s="10" t="s">
        <v>1235</v>
      </c>
      <c r="K128" s="10" t="s">
        <v>2412</v>
      </c>
      <c r="L128" s="11">
        <v>202124100133302</v>
      </c>
      <c r="M128" s="20">
        <v>44223</v>
      </c>
      <c r="N128" s="20" t="str">
        <f>UPPER(TEXT(Tabla1[[#This Row],[FECHA RADICADO ENTRADA]],"MMM"))</f>
        <v>ENE</v>
      </c>
      <c r="O128" s="11">
        <v>202124110145251</v>
      </c>
      <c r="P128" s="20">
        <v>44224</v>
      </c>
      <c r="Q128" s="20" t="str">
        <f>UPPER(TEXT(Tabla1[[#This Row],[FECHA RADICADO ENTRADA]],"MMM"))</f>
        <v>ENE</v>
      </c>
      <c r="R128" s="10">
        <f t="shared" si="1"/>
        <v>-1</v>
      </c>
      <c r="S128" s="10" t="s">
        <v>2154</v>
      </c>
      <c r="U128" s="10" t="s">
        <v>2413</v>
      </c>
      <c r="V128" s="20">
        <v>44053</v>
      </c>
      <c r="W128" s="10" t="s">
        <v>36</v>
      </c>
      <c r="X128" s="10">
        <v>50</v>
      </c>
      <c r="Y128" s="11">
        <f>IFERROR(INT(Tabla1[[#This Row],[CANTIDAD UND FARMACEUTICAS]]/(VLOOKUP(Tabla1[[#This Row],[MEDICAMENTO]],TAB_REF!$K$3:$L$27,2,0))),"")</f>
        <v>5</v>
      </c>
      <c r="Z128" s="10" t="str">
        <f>IFERROR(VLOOKUP(Tabla1[[#This Row],[MEDICAMENTO]],TAB_REF!$B$3:$F$27,2,0), "")</f>
        <v xml:space="preserve">Fenobarbital Sódico </v>
      </c>
      <c r="AA128" s="10" t="str">
        <f>IFERROR(VLOOKUP(Tabla1[[#This Row],[MEDICAMENTO]],TAB_REF!$B$3:$F$27,3,0), "")</f>
        <v xml:space="preserve">40 mg/mL </v>
      </c>
      <c r="AB128" s="10" t="str">
        <f>IFERROR(VLOOKUP(Tabla1[[#This Row],[MEDICAMENTO]],TAB_REF!$B$3:$F$27,4,0), "")</f>
        <v>Solución Inyectable</v>
      </c>
      <c r="AC128" s="10" t="str">
        <f>IFERROR(VLOOKUP(Tabla1[[#This Row],[MEDICAMENTO]],TAB_REF!$B$3:$F$27,5,0), "")</f>
        <v>Caja x 10 unidades</v>
      </c>
      <c r="AD128" s="10" t="str">
        <f>IFERROR(VLOOKUP(Tabla1[[#This Row],[CANTIDAD UND COMERCIALES]],TAB_REF!$H$3:$I$1003,2,0)&amp;" ("&amp;Tabla1[[#This Row],[CANTIDAD UND COMERCIALES]]&amp;")"&amp;"_"&amp;Tabla1[[#This Row],[CANTIDAD]],"")</f>
        <v>Cinco (5)_Caja x 10 unidades</v>
      </c>
      <c r="AE128" s="31" t="e">
        <f>CONCATENATE([1]!Tabla1[[#This Row],[NOMBRE MED.]],[1]!Tabla1[[#This Row],[CONCENTRACION]],[1]!Tabla1[[#This Row],[FORMA FARMACEUTICA]])</f>
        <v>#REF!</v>
      </c>
    </row>
    <row r="129" spans="2:31" x14ac:dyDescent="0.25">
      <c r="B129" s="10">
        <v>46</v>
      </c>
      <c r="C129" s="10" t="s">
        <v>2406</v>
      </c>
      <c r="D129" s="10" t="s">
        <v>2407</v>
      </c>
      <c r="E129" s="10" t="s">
        <v>2408</v>
      </c>
      <c r="F129" s="10" t="s">
        <v>2409</v>
      </c>
      <c r="G129" s="10" t="s">
        <v>2410</v>
      </c>
      <c r="H129" s="10" t="s">
        <v>2411</v>
      </c>
      <c r="I129" s="10" t="s">
        <v>2110</v>
      </c>
      <c r="J129" s="10" t="s">
        <v>1235</v>
      </c>
      <c r="K129" s="10" t="s">
        <v>2412</v>
      </c>
      <c r="L129" s="11">
        <v>202124100133302</v>
      </c>
      <c r="M129" s="20">
        <v>44223</v>
      </c>
      <c r="N129" s="20" t="str">
        <f>UPPER(TEXT(Tabla1[[#This Row],[FECHA RADICADO ENTRADA]],"MMM"))</f>
        <v>ENE</v>
      </c>
      <c r="O129" s="11">
        <v>202124110145251</v>
      </c>
      <c r="P129" s="20">
        <v>44224</v>
      </c>
      <c r="Q129" s="20" t="str">
        <f>UPPER(TEXT(Tabla1[[#This Row],[FECHA RADICADO ENTRADA]],"MMM"))</f>
        <v>ENE</v>
      </c>
      <c r="R129" s="10">
        <f t="shared" si="1"/>
        <v>-1</v>
      </c>
      <c r="S129" s="10" t="s">
        <v>2154</v>
      </c>
      <c r="U129" s="10" t="s">
        <v>2413</v>
      </c>
      <c r="V129" s="20">
        <v>44053</v>
      </c>
      <c r="W129" s="10" t="s">
        <v>63</v>
      </c>
      <c r="X129" s="10">
        <v>300</v>
      </c>
      <c r="Y129" s="11">
        <f>IFERROR(INT(Tabla1[[#This Row],[CANTIDAD UND FARMACEUTICAS]]/(VLOOKUP(Tabla1[[#This Row],[MEDICAMENTO]],TAB_REF!$K$3:$L$27,2,0))),"")</f>
        <v>30</v>
      </c>
      <c r="Z129" s="10" t="str">
        <f>IFERROR(VLOOKUP(Tabla1[[#This Row],[MEDICAMENTO]],TAB_REF!$B$3:$F$27,2,0), "")</f>
        <v xml:space="preserve">Morfina HCl </v>
      </c>
      <c r="AA129" s="10" t="str">
        <f>IFERROR(VLOOKUP(Tabla1[[#This Row],[MEDICAMENTO]],TAB_REF!$B$3:$F$27,3,0), "")</f>
        <v xml:space="preserve">10 mg/mL </v>
      </c>
      <c r="AB129" s="10" t="str">
        <f>IFERROR(VLOOKUP(Tabla1[[#This Row],[MEDICAMENTO]],TAB_REF!$B$3:$F$27,4,0), "")</f>
        <v>Solución Inyectable</v>
      </c>
      <c r="AC129" s="10" t="str">
        <f>IFERROR(VLOOKUP(Tabla1[[#This Row],[MEDICAMENTO]],TAB_REF!$B$3:$F$27,5,0), "")</f>
        <v>Caja x 10 unidades</v>
      </c>
      <c r="AD129" s="10" t="str">
        <f>IFERROR(VLOOKUP(Tabla1[[#This Row],[CANTIDAD UND COMERCIALES]],TAB_REF!$H$3:$I$1003,2,0)&amp;" ("&amp;Tabla1[[#This Row],[CANTIDAD UND COMERCIALES]]&amp;")"&amp;"_"&amp;Tabla1[[#This Row],[CANTIDAD]],"")</f>
        <v>Treinta (30)_Caja x 10 unidades</v>
      </c>
      <c r="AE129" s="31" t="e">
        <f>CONCATENATE([1]!Tabla1[[#This Row],[NOMBRE MED.]],[1]!Tabla1[[#This Row],[CONCENTRACION]],[1]!Tabla1[[#This Row],[FORMA FARMACEUTICA]])</f>
        <v>#REF!</v>
      </c>
    </row>
    <row r="130" spans="2:31" x14ac:dyDescent="0.25">
      <c r="B130" s="24">
        <v>47</v>
      </c>
      <c r="C130" s="10" t="s">
        <v>2415</v>
      </c>
      <c r="D130" s="10" t="s">
        <v>2182</v>
      </c>
      <c r="E130" s="10" t="s">
        <v>2416</v>
      </c>
      <c r="F130" s="10" t="s">
        <v>2417</v>
      </c>
      <c r="G130" s="10" t="s">
        <v>2418</v>
      </c>
      <c r="H130" s="10" t="s">
        <v>2419</v>
      </c>
      <c r="I130" s="10" t="s">
        <v>2128</v>
      </c>
      <c r="J130" s="10" t="s">
        <v>1942</v>
      </c>
      <c r="K130" s="10" t="s">
        <v>2420</v>
      </c>
      <c r="L130" s="11">
        <v>202124100136492</v>
      </c>
      <c r="M130" s="20">
        <v>44223</v>
      </c>
      <c r="N130" s="20" t="str">
        <f>UPPER(TEXT(Tabla1[[#This Row],[FECHA RADICADO ENTRADA]],"MMM"))</f>
        <v>ENE</v>
      </c>
      <c r="O130" s="11">
        <v>202124110159001</v>
      </c>
      <c r="P130" s="20">
        <v>44228</v>
      </c>
      <c r="Q130" s="20" t="str">
        <f>UPPER(TEXT(Tabla1[[#This Row],[FECHA RADICADO ENTRADA]],"MMM"))</f>
        <v>ENE</v>
      </c>
      <c r="R130" s="10">
        <f t="shared" ref="R130:R193" si="2">_xlfn.DAYS(M130,P130)</f>
        <v>-5</v>
      </c>
      <c r="S130" s="10" t="s">
        <v>2154</v>
      </c>
      <c r="U130" s="10" t="s">
        <v>2435</v>
      </c>
      <c r="V130" s="20">
        <v>43381</v>
      </c>
      <c r="W130" s="10" t="s">
        <v>63</v>
      </c>
      <c r="X130" s="10">
        <v>2000</v>
      </c>
      <c r="Y130" s="11">
        <f>IFERROR(INT(Tabla1[[#This Row],[CANTIDAD UND FARMACEUTICAS]]/(VLOOKUP(Tabla1[[#This Row],[MEDICAMENTO]],TAB_REF!$K$3:$L$27,2,0))),"")</f>
        <v>200</v>
      </c>
      <c r="Z130" s="10" t="str">
        <f>IFERROR(VLOOKUP(Tabla1[[#This Row],[MEDICAMENTO]],TAB_REF!$B$3:$F$27,2,0), "")</f>
        <v xml:space="preserve">Morfina HCl </v>
      </c>
      <c r="AA130" s="10" t="str">
        <f>IFERROR(VLOOKUP(Tabla1[[#This Row],[MEDICAMENTO]],TAB_REF!$B$3:$F$27,3,0), "")</f>
        <v xml:space="preserve">10 mg/mL </v>
      </c>
      <c r="AB130" s="10" t="str">
        <f>IFERROR(VLOOKUP(Tabla1[[#This Row],[MEDICAMENTO]],TAB_REF!$B$3:$F$27,4,0), "")</f>
        <v>Solución Inyectable</v>
      </c>
      <c r="AC130" s="10" t="str">
        <f>IFERROR(VLOOKUP(Tabla1[[#This Row],[MEDICAMENTO]],TAB_REF!$B$3:$F$27,5,0), "")</f>
        <v>Caja x 10 unidades</v>
      </c>
      <c r="AD130" s="10" t="str">
        <f>IFERROR(VLOOKUP(Tabla1[[#This Row],[CANTIDAD UND COMERCIALES]],TAB_REF!$H$3:$I$1003,2,0)&amp;" ("&amp;Tabla1[[#This Row],[CANTIDAD UND COMERCIALES]]&amp;")"&amp;"_"&amp;Tabla1[[#This Row],[CANTIDAD]],"")</f>
        <v>Doscientos (200)_Caja x 10 unidades</v>
      </c>
      <c r="AE130" s="31" t="e">
        <f>CONCATENATE([1]!Tabla1[[#This Row],[NOMBRE MED.]],[1]!Tabla1[[#This Row],[CONCENTRACION]],[1]!Tabla1[[#This Row],[FORMA FARMACEUTICA]])</f>
        <v>#REF!</v>
      </c>
    </row>
    <row r="131" spans="2:31" x14ac:dyDescent="0.25">
      <c r="B131" s="10">
        <v>48</v>
      </c>
      <c r="C131" s="10" t="s">
        <v>2421</v>
      </c>
      <c r="D131" s="10" t="s">
        <v>2175</v>
      </c>
      <c r="E131" s="10" t="s">
        <v>2422</v>
      </c>
      <c r="F131" s="10" t="s">
        <v>2423</v>
      </c>
      <c r="G131" s="10" t="s">
        <v>2424</v>
      </c>
      <c r="H131" s="10" t="s">
        <v>2425</v>
      </c>
      <c r="I131" s="10" t="s">
        <v>2129</v>
      </c>
      <c r="J131" s="10" t="s">
        <v>2011</v>
      </c>
      <c r="K131" s="10" t="s">
        <v>2426</v>
      </c>
      <c r="L131" s="11">
        <v>202124100137442</v>
      </c>
      <c r="M131" s="20">
        <v>44223</v>
      </c>
      <c r="N131" s="20" t="str">
        <f>UPPER(TEXT(Tabla1[[#This Row],[FECHA RADICADO ENTRADA]],"MMM"))</f>
        <v>ENE</v>
      </c>
      <c r="O131" s="11">
        <v>202124110159031</v>
      </c>
      <c r="P131" s="20">
        <v>44228</v>
      </c>
      <c r="Q131" s="20" t="str">
        <f>UPPER(TEXT(Tabla1[[#This Row],[FECHA RADICADO ENTRADA]],"MMM"))</f>
        <v>ENE</v>
      </c>
      <c r="R131" s="10">
        <f t="shared" si="2"/>
        <v>-5</v>
      </c>
      <c r="S131" s="10" t="s">
        <v>2154</v>
      </c>
      <c r="U131" s="10" t="s">
        <v>2427</v>
      </c>
      <c r="V131" s="20">
        <v>43292</v>
      </c>
      <c r="W131" s="10" t="s">
        <v>63</v>
      </c>
      <c r="X131" s="10">
        <v>600</v>
      </c>
      <c r="Y131" s="11">
        <f>IFERROR(INT(Tabla1[[#This Row],[CANTIDAD UND FARMACEUTICAS]]/(VLOOKUP(Tabla1[[#This Row],[MEDICAMENTO]],TAB_REF!$K$3:$L$27,2,0))),"")</f>
        <v>60</v>
      </c>
      <c r="Z131" s="10" t="str">
        <f>IFERROR(VLOOKUP(Tabla1[[#This Row],[MEDICAMENTO]],TAB_REF!$B$3:$F$27,2,0), "")</f>
        <v xml:space="preserve">Morfina HCl </v>
      </c>
      <c r="AA131" s="10" t="str">
        <f>IFERROR(VLOOKUP(Tabla1[[#This Row],[MEDICAMENTO]],TAB_REF!$B$3:$F$27,3,0), "")</f>
        <v xml:space="preserve">10 mg/mL </v>
      </c>
      <c r="AB131" s="10" t="str">
        <f>IFERROR(VLOOKUP(Tabla1[[#This Row],[MEDICAMENTO]],TAB_REF!$B$3:$F$27,4,0), "")</f>
        <v>Solución Inyectable</v>
      </c>
      <c r="AC131" s="10" t="str">
        <f>IFERROR(VLOOKUP(Tabla1[[#This Row],[MEDICAMENTO]],TAB_REF!$B$3:$F$27,5,0), "")</f>
        <v>Caja x 10 unidades</v>
      </c>
      <c r="AD131" s="10" t="str">
        <f>IFERROR(VLOOKUP(Tabla1[[#This Row],[CANTIDAD UND COMERCIALES]],TAB_REF!$H$3:$I$1003,2,0)&amp;" ("&amp;Tabla1[[#This Row],[CANTIDAD UND COMERCIALES]]&amp;")"&amp;"_"&amp;Tabla1[[#This Row],[CANTIDAD]],"")</f>
        <v>Sesenta (60)_Caja x 10 unidades</v>
      </c>
      <c r="AE131" s="31" t="e">
        <f>CONCATENATE([1]!Tabla1[[#This Row],[NOMBRE MED.]],[1]!Tabla1[[#This Row],[CONCENTRACION]],[1]!Tabla1[[#This Row],[FORMA FARMACEUTICA]])</f>
        <v>#REF!</v>
      </c>
    </row>
    <row r="132" spans="2:31" x14ac:dyDescent="0.25">
      <c r="B132" s="10">
        <v>48</v>
      </c>
      <c r="C132" s="10" t="s">
        <v>2421</v>
      </c>
      <c r="D132" s="10" t="s">
        <v>2175</v>
      </c>
      <c r="E132" s="10" t="s">
        <v>2422</v>
      </c>
      <c r="F132" s="10" t="s">
        <v>2423</v>
      </c>
      <c r="G132" s="10" t="s">
        <v>2424</v>
      </c>
      <c r="H132" s="10" t="s">
        <v>2425</v>
      </c>
      <c r="I132" s="10" t="s">
        <v>2129</v>
      </c>
      <c r="J132" s="10" t="s">
        <v>2011</v>
      </c>
      <c r="K132" s="10" t="s">
        <v>2426</v>
      </c>
      <c r="L132" s="11">
        <v>202124100137442</v>
      </c>
      <c r="M132" s="20">
        <v>44223</v>
      </c>
      <c r="N132" s="20" t="str">
        <f>UPPER(TEXT(Tabla1[[#This Row],[FECHA RADICADO ENTRADA]],"MMM"))</f>
        <v>ENE</v>
      </c>
      <c r="O132" s="11">
        <v>202124110159031</v>
      </c>
      <c r="P132" s="20">
        <v>44228</v>
      </c>
      <c r="Q132" s="20" t="str">
        <f>UPPER(TEXT(Tabla1[[#This Row],[FECHA RADICADO ENTRADA]],"MMM"))</f>
        <v>ENE</v>
      </c>
      <c r="R132" s="10">
        <f t="shared" si="2"/>
        <v>-5</v>
      </c>
      <c r="S132" s="10" t="s">
        <v>2154</v>
      </c>
      <c r="U132" s="10" t="s">
        <v>2427</v>
      </c>
      <c r="V132" s="20">
        <v>43292</v>
      </c>
      <c r="W132" s="10" t="s">
        <v>41</v>
      </c>
      <c r="X132" s="10">
        <v>20</v>
      </c>
      <c r="Y132" s="11">
        <f>IFERROR(INT(Tabla1[[#This Row],[CANTIDAD UND FARMACEUTICAS]]/(VLOOKUP(Tabla1[[#This Row],[MEDICAMENTO]],TAB_REF!$K$3:$L$27,2,0))),"")</f>
        <v>2</v>
      </c>
      <c r="Z132" s="10" t="str">
        <f>IFERROR(VLOOKUP(Tabla1[[#This Row],[MEDICAMENTO]],TAB_REF!$B$3:$F$27,2,0), "")</f>
        <v xml:space="preserve">Meperidina HCl </v>
      </c>
      <c r="AA132" s="10" t="str">
        <f>IFERROR(VLOOKUP(Tabla1[[#This Row],[MEDICAMENTO]],TAB_REF!$B$3:$F$27,3,0), "")</f>
        <v xml:space="preserve">100 mg/2mL </v>
      </c>
      <c r="AB132" s="10" t="str">
        <f>IFERROR(VLOOKUP(Tabla1[[#This Row],[MEDICAMENTO]],TAB_REF!$B$3:$F$27,4,0), "")</f>
        <v>Solución Inyectable</v>
      </c>
      <c r="AC132" s="10" t="str">
        <f>IFERROR(VLOOKUP(Tabla1[[#This Row],[MEDICAMENTO]],TAB_REF!$B$3:$F$27,5,0), "")</f>
        <v>Caja 10 ampollas</v>
      </c>
      <c r="AD132" s="10" t="str">
        <f>IFERROR(VLOOKUP(Tabla1[[#This Row],[CANTIDAD UND COMERCIALES]],TAB_REF!$H$3:$I$1003,2,0)&amp;" ("&amp;Tabla1[[#This Row],[CANTIDAD UND COMERCIALES]]&amp;")"&amp;"_"&amp;Tabla1[[#This Row],[CANTIDAD]],"")</f>
        <v>Dos (2)_Caja 10 ampollas</v>
      </c>
      <c r="AE132" s="31" t="e">
        <f>CONCATENATE([1]!Tabla1[[#This Row],[NOMBRE MED.]],[1]!Tabla1[[#This Row],[CONCENTRACION]],[1]!Tabla1[[#This Row],[FORMA FARMACEUTICA]])</f>
        <v>#REF!</v>
      </c>
    </row>
    <row r="133" spans="2:31" x14ac:dyDescent="0.25">
      <c r="B133" s="10">
        <v>49</v>
      </c>
      <c r="C133" s="10" t="s">
        <v>2428</v>
      </c>
      <c r="D133" s="10" t="s">
        <v>2162</v>
      </c>
      <c r="E133" s="10" t="s">
        <v>2429</v>
      </c>
      <c r="F133" s="10" t="s">
        <v>2430</v>
      </c>
      <c r="G133" s="10" t="s">
        <v>2431</v>
      </c>
      <c r="H133" s="10" t="s">
        <v>2432</v>
      </c>
      <c r="I133" s="10" t="s">
        <v>2128</v>
      </c>
      <c r="J133" s="10" t="s">
        <v>1968</v>
      </c>
      <c r="K133" s="10" t="s">
        <v>2433</v>
      </c>
      <c r="L133" s="11">
        <v>202124100148272</v>
      </c>
      <c r="M133" s="20">
        <v>44224</v>
      </c>
      <c r="N133" s="20" t="str">
        <f>UPPER(TEXT(Tabla1[[#This Row],[FECHA RADICADO ENTRADA]],"MMM"))</f>
        <v>ENE</v>
      </c>
      <c r="O133" s="11">
        <v>202124110159081</v>
      </c>
      <c r="P133" s="20">
        <v>44228</v>
      </c>
      <c r="Q133" s="20" t="str">
        <f>UPPER(TEXT(Tabla1[[#This Row],[FECHA RADICADO ENTRADA]],"MMM"))</f>
        <v>ENE</v>
      </c>
      <c r="R133" s="10">
        <f t="shared" si="2"/>
        <v>-4</v>
      </c>
      <c r="S133" s="10" t="s">
        <v>2154</v>
      </c>
      <c r="U133" s="10" t="s">
        <v>2434</v>
      </c>
      <c r="V133" s="20">
        <v>43630</v>
      </c>
      <c r="W133" s="10" t="s">
        <v>63</v>
      </c>
      <c r="X133" s="10">
        <v>1000</v>
      </c>
      <c r="Y133" s="11">
        <f>IFERROR(INT(Tabla1[[#This Row],[CANTIDAD UND FARMACEUTICAS]]/(VLOOKUP(Tabla1[[#This Row],[MEDICAMENTO]],TAB_REF!$K$3:$L$27,2,0))),"")</f>
        <v>100</v>
      </c>
      <c r="Z133" s="10" t="str">
        <f>IFERROR(VLOOKUP(Tabla1[[#This Row],[MEDICAMENTO]],TAB_REF!$B$3:$F$27,2,0), "")</f>
        <v xml:space="preserve">Morfina HCl </v>
      </c>
      <c r="AA133" s="10" t="str">
        <f>IFERROR(VLOOKUP(Tabla1[[#This Row],[MEDICAMENTO]],TAB_REF!$B$3:$F$27,3,0), "")</f>
        <v xml:space="preserve">10 mg/mL </v>
      </c>
      <c r="AB133" s="10" t="str">
        <f>IFERROR(VLOOKUP(Tabla1[[#This Row],[MEDICAMENTO]],TAB_REF!$B$3:$F$27,4,0), "")</f>
        <v>Solución Inyectable</v>
      </c>
      <c r="AC133" s="10" t="str">
        <f>IFERROR(VLOOKUP(Tabla1[[#This Row],[MEDICAMENTO]],TAB_REF!$B$3:$F$27,5,0), "")</f>
        <v>Caja x 10 unidades</v>
      </c>
      <c r="AD133" s="10" t="str">
        <f>IFERROR(VLOOKUP(Tabla1[[#This Row],[CANTIDAD UND COMERCIALES]],TAB_REF!$H$3:$I$1003,2,0)&amp;" ("&amp;Tabla1[[#This Row],[CANTIDAD UND COMERCIALES]]&amp;")"&amp;"_"&amp;Tabla1[[#This Row],[CANTIDAD]],"")</f>
        <v>Cien (100)_Caja x 10 unidades</v>
      </c>
      <c r="AE133" s="31" t="e">
        <f>CONCATENATE([1]!Tabla1[[#This Row],[NOMBRE MED.]],[1]!Tabla1[[#This Row],[CONCENTRACION]],[1]!Tabla1[[#This Row],[FORMA FARMACEUTICA]])</f>
        <v>#REF!</v>
      </c>
    </row>
    <row r="134" spans="2:31" x14ac:dyDescent="0.25">
      <c r="B134" s="10">
        <v>50</v>
      </c>
      <c r="C134" s="10" t="s">
        <v>2436</v>
      </c>
      <c r="D134" s="10" t="s">
        <v>2437</v>
      </c>
      <c r="E134" s="10" t="s">
        <v>2438</v>
      </c>
      <c r="F134" s="10" t="s">
        <v>2439</v>
      </c>
      <c r="G134" s="10" t="s">
        <v>2440</v>
      </c>
      <c r="H134" s="10" t="s">
        <v>2441</v>
      </c>
      <c r="I134" s="10" t="s">
        <v>2120</v>
      </c>
      <c r="J134" s="10" t="s">
        <v>1696</v>
      </c>
      <c r="K134" s="10" t="s">
        <v>2442</v>
      </c>
      <c r="L134" s="11">
        <v>202124100168962</v>
      </c>
      <c r="M134" s="20">
        <v>44229</v>
      </c>
      <c r="N134" s="20" t="str">
        <f>UPPER(TEXT(Tabla1[[#This Row],[FECHA RADICADO ENTRADA]],"MMM"))</f>
        <v>FEB</v>
      </c>
      <c r="O134" s="11">
        <v>202124110166341</v>
      </c>
      <c r="P134" s="20">
        <v>44229</v>
      </c>
      <c r="Q134" s="20" t="str">
        <f>UPPER(TEXT(Tabla1[[#This Row],[FECHA RADICADO ENTRADA]],"MMM"))</f>
        <v>FEB</v>
      </c>
      <c r="R134" s="10">
        <f t="shared" si="2"/>
        <v>0</v>
      </c>
      <c r="S134" s="10" t="s">
        <v>2154</v>
      </c>
      <c r="U134" s="10" t="s">
        <v>2443</v>
      </c>
      <c r="V134" s="20">
        <v>42508</v>
      </c>
      <c r="W134" s="10" t="s">
        <v>60</v>
      </c>
      <c r="X134" s="10">
        <v>40</v>
      </c>
      <c r="Y134" s="11">
        <f>IFERROR(INT(Tabla1[[#This Row],[CANTIDAD UND FARMACEUTICAS]]/(VLOOKUP(Tabla1[[#This Row],[MEDICAMENTO]],TAB_REF!$K$3:$L$27,2,0))),"")</f>
        <v>40</v>
      </c>
      <c r="Z134" s="10" t="str">
        <f>IFERROR(VLOOKUP(Tabla1[[#This Row],[MEDICAMENTO]],TAB_REF!$B$3:$F$27,2,0), "")</f>
        <v xml:space="preserve">Morfina HCl </v>
      </c>
      <c r="AA134" s="10" t="str">
        <f>IFERROR(VLOOKUP(Tabla1[[#This Row],[MEDICAMENTO]],TAB_REF!$B$3:$F$27,3,0), "")</f>
        <v xml:space="preserve">3%. </v>
      </c>
      <c r="AB134" s="10" t="str">
        <f>IFERROR(VLOOKUP(Tabla1[[#This Row],[MEDICAMENTO]],TAB_REF!$B$3:$F$27,4,0), "")</f>
        <v>Solución Oral</v>
      </c>
      <c r="AC134" s="10" t="str">
        <f>IFERROR(VLOOKUP(Tabla1[[#This Row],[MEDICAMENTO]],TAB_REF!$B$3:$F$27,5,0), "")</f>
        <v>Frasco x 30 mL</v>
      </c>
      <c r="AD134" s="10" t="str">
        <f>IFERROR(VLOOKUP(Tabla1[[#This Row],[CANTIDAD UND COMERCIALES]],TAB_REF!$H$3:$I$1003,2,0)&amp;" ("&amp;Tabla1[[#This Row],[CANTIDAD UND COMERCIALES]]&amp;")"&amp;"_"&amp;Tabla1[[#This Row],[CANTIDAD]],"")</f>
        <v>Cuarenta (40)_Frasco x 30 mL</v>
      </c>
      <c r="AE134" s="31" t="e">
        <f>CONCATENATE([1]!Tabla1[[#This Row],[NOMBRE MED.]],[1]!Tabla1[[#This Row],[CONCENTRACION]],[1]!Tabla1[[#This Row],[FORMA FARMACEUTICA]])</f>
        <v>#REF!</v>
      </c>
    </row>
    <row r="135" spans="2:31" x14ac:dyDescent="0.25">
      <c r="B135" s="10">
        <v>51</v>
      </c>
      <c r="C135" s="10" t="s">
        <v>2444</v>
      </c>
      <c r="D135" s="10" t="s">
        <v>2182</v>
      </c>
      <c r="E135" s="10" t="s">
        <v>2445</v>
      </c>
      <c r="F135" s="10" t="s">
        <v>2446</v>
      </c>
      <c r="G135" s="10" t="s">
        <v>2447</v>
      </c>
      <c r="H135" s="10" t="s">
        <v>2448</v>
      </c>
      <c r="I135" s="10" t="s">
        <v>2129</v>
      </c>
      <c r="J135" s="10" t="s">
        <v>2011</v>
      </c>
      <c r="K135" s="10" t="s">
        <v>2449</v>
      </c>
      <c r="L135" s="11">
        <v>202124100169492</v>
      </c>
      <c r="M135" s="20">
        <v>44229</v>
      </c>
      <c r="N135" s="20" t="str">
        <f>UPPER(TEXT(Tabla1[[#This Row],[FECHA RADICADO ENTRADA]],"MMM"))</f>
        <v>FEB</v>
      </c>
      <c r="O135" s="11">
        <v>202124110166361</v>
      </c>
      <c r="P135" s="20">
        <v>44229</v>
      </c>
      <c r="Q135" s="20" t="str">
        <f>UPPER(TEXT(Tabla1[[#This Row],[FECHA RADICADO ENTRADA]],"MMM"))</f>
        <v>FEB</v>
      </c>
      <c r="R135" s="10">
        <f t="shared" si="2"/>
        <v>0</v>
      </c>
      <c r="S135" s="10" t="s">
        <v>2154</v>
      </c>
      <c r="U135" s="10" t="s">
        <v>2450</v>
      </c>
      <c r="V135" s="20">
        <v>44186</v>
      </c>
      <c r="W135" s="10" t="s">
        <v>32</v>
      </c>
      <c r="X135" s="10">
        <v>900</v>
      </c>
      <c r="Y135" s="11">
        <f>IFERROR(INT(Tabla1[[#This Row],[CANTIDAD UND FARMACEUTICAS]]/(VLOOKUP(Tabla1[[#This Row],[MEDICAMENTO]],TAB_REF!$K$3:$L$27,2,0))),"")</f>
        <v>30</v>
      </c>
      <c r="Z135" s="10" t="str">
        <f>IFERROR(VLOOKUP(Tabla1[[#This Row],[MEDICAMENTO]],TAB_REF!$B$3:$F$27,2,0), "")</f>
        <v xml:space="preserve">Fenobarbital </v>
      </c>
      <c r="AA135" s="10" t="str">
        <f>IFERROR(VLOOKUP(Tabla1[[#This Row],[MEDICAMENTO]],TAB_REF!$B$3:$F$27,3,0), "")</f>
        <v xml:space="preserve">100 mg </v>
      </c>
      <c r="AB135" s="10" t="str">
        <f>IFERROR(VLOOKUP(Tabla1[[#This Row],[MEDICAMENTO]],TAB_REF!$B$3:$F$27,4,0), "")</f>
        <v>Tabletas</v>
      </c>
      <c r="AC135" s="10" t="str">
        <f>IFERROR(VLOOKUP(Tabla1[[#This Row],[MEDICAMENTO]],TAB_REF!$B$3:$F$27,5,0), "")</f>
        <v>Caja x 30 unidades</v>
      </c>
      <c r="AD135" s="10" t="str">
        <f>IFERROR(VLOOKUP(Tabla1[[#This Row],[CANTIDAD UND COMERCIALES]],TAB_REF!$H$3:$I$1003,2,0)&amp;" ("&amp;Tabla1[[#This Row],[CANTIDAD UND COMERCIALES]]&amp;")"&amp;"_"&amp;Tabla1[[#This Row],[CANTIDAD]],"")</f>
        <v>Treinta (30)_Caja x 30 unidades</v>
      </c>
      <c r="AE135" s="31" t="e">
        <f>CONCATENATE([1]!Tabla1[[#This Row],[NOMBRE MED.]],[1]!Tabla1[[#This Row],[CONCENTRACION]],[1]!Tabla1[[#This Row],[FORMA FARMACEUTICA]])</f>
        <v>#REF!</v>
      </c>
    </row>
    <row r="136" spans="2:31" x14ac:dyDescent="0.25">
      <c r="B136" s="10">
        <v>51</v>
      </c>
      <c r="C136" s="10" t="s">
        <v>2444</v>
      </c>
      <c r="D136" s="10" t="s">
        <v>2182</v>
      </c>
      <c r="E136" s="10" t="s">
        <v>2445</v>
      </c>
      <c r="F136" s="10" t="s">
        <v>2446</v>
      </c>
      <c r="G136" s="10" t="s">
        <v>2447</v>
      </c>
      <c r="H136" s="10" t="s">
        <v>2448</v>
      </c>
      <c r="I136" s="10" t="s">
        <v>2129</v>
      </c>
      <c r="J136" s="10" t="s">
        <v>2011</v>
      </c>
      <c r="K136" s="10" t="s">
        <v>2449</v>
      </c>
      <c r="L136" s="11">
        <v>202124100169492</v>
      </c>
      <c r="M136" s="20">
        <v>44229</v>
      </c>
      <c r="N136" s="20" t="str">
        <f>UPPER(TEXT(Tabla1[[#This Row],[FECHA RADICADO ENTRADA]],"MMM"))</f>
        <v>FEB</v>
      </c>
      <c r="O136" s="11">
        <v>202124110166361</v>
      </c>
      <c r="P136" s="20">
        <v>44229</v>
      </c>
      <c r="Q136" s="20" t="str">
        <f>UPPER(TEXT(Tabla1[[#This Row],[FECHA RADICADO ENTRADA]],"MMM"))</f>
        <v>FEB</v>
      </c>
      <c r="R136" s="10">
        <f t="shared" si="2"/>
        <v>0</v>
      </c>
      <c r="S136" s="10" t="s">
        <v>2154</v>
      </c>
      <c r="U136" s="10" t="s">
        <v>2450</v>
      </c>
      <c r="V136" s="20">
        <v>44186</v>
      </c>
      <c r="W136" s="10" t="s">
        <v>37</v>
      </c>
      <c r="X136" s="10">
        <v>500</v>
      </c>
      <c r="Y136" s="11">
        <f>IFERROR(INT(Tabla1[[#This Row],[CANTIDAD UND FARMACEUTICAS]]/(VLOOKUP(Tabla1[[#This Row],[MEDICAMENTO]],TAB_REF!$K$3:$L$27,2,0))),"")</f>
        <v>50</v>
      </c>
      <c r="Z136" s="10" t="str">
        <f>IFERROR(VLOOKUP(Tabla1[[#This Row],[MEDICAMENTO]],TAB_REF!$B$3:$F$27,2,0), "")</f>
        <v xml:space="preserve">Hidromorfona HCl </v>
      </c>
      <c r="AA136" s="10" t="str">
        <f>IFERROR(VLOOKUP(Tabla1[[#This Row],[MEDICAMENTO]],TAB_REF!$B$3:$F$27,3,0), "")</f>
        <v xml:space="preserve">2 mg/mL </v>
      </c>
      <c r="AB136" s="10" t="str">
        <f>IFERROR(VLOOKUP(Tabla1[[#This Row],[MEDICAMENTO]],TAB_REF!$B$3:$F$27,4,0), "")</f>
        <v>Solución Inyectable</v>
      </c>
      <c r="AC136" s="10" t="str">
        <f>IFERROR(VLOOKUP(Tabla1[[#This Row],[MEDICAMENTO]],TAB_REF!$B$3:$F$27,5,0), "")</f>
        <v>Caja x 10 unidades</v>
      </c>
      <c r="AD136" s="10" t="str">
        <f>IFERROR(VLOOKUP(Tabla1[[#This Row],[CANTIDAD UND COMERCIALES]],TAB_REF!$H$3:$I$1003,2,0)&amp;" ("&amp;Tabla1[[#This Row],[CANTIDAD UND COMERCIALES]]&amp;")"&amp;"_"&amp;Tabla1[[#This Row],[CANTIDAD]],"")</f>
        <v>Cincuenta (50)_Caja x 10 unidades</v>
      </c>
      <c r="AE136" s="31" t="e">
        <f>CONCATENATE([1]!Tabla1[[#This Row],[NOMBRE MED.]],[1]!Tabla1[[#This Row],[CONCENTRACION]],[1]!Tabla1[[#This Row],[FORMA FARMACEUTICA]])</f>
        <v>#REF!</v>
      </c>
    </row>
    <row r="137" spans="2:31" x14ac:dyDescent="0.25">
      <c r="B137" s="10">
        <v>51</v>
      </c>
      <c r="C137" s="10" t="s">
        <v>2444</v>
      </c>
      <c r="D137" s="10" t="s">
        <v>2182</v>
      </c>
      <c r="E137" s="10" t="s">
        <v>2445</v>
      </c>
      <c r="F137" s="10" t="s">
        <v>2446</v>
      </c>
      <c r="G137" s="10" t="s">
        <v>2447</v>
      </c>
      <c r="H137" s="10" t="s">
        <v>2448</v>
      </c>
      <c r="I137" s="10" t="s">
        <v>2129</v>
      </c>
      <c r="J137" s="10" t="s">
        <v>2011</v>
      </c>
      <c r="K137" s="10" t="s">
        <v>2449</v>
      </c>
      <c r="L137" s="11">
        <v>202124100169492</v>
      </c>
      <c r="M137" s="20">
        <v>44229</v>
      </c>
      <c r="N137" s="20" t="str">
        <f>UPPER(TEXT(Tabla1[[#This Row],[FECHA RADICADO ENTRADA]],"MMM"))</f>
        <v>FEB</v>
      </c>
      <c r="O137" s="11">
        <v>202124110166361</v>
      </c>
      <c r="P137" s="20">
        <v>44229</v>
      </c>
      <c r="Q137" s="20" t="str">
        <f>UPPER(TEXT(Tabla1[[#This Row],[FECHA RADICADO ENTRADA]],"MMM"))</f>
        <v>FEB</v>
      </c>
      <c r="R137" s="10">
        <f t="shared" si="2"/>
        <v>0</v>
      </c>
      <c r="S137" s="10" t="s">
        <v>2154</v>
      </c>
      <c r="U137" s="10" t="s">
        <v>2450</v>
      </c>
      <c r="V137" s="20">
        <v>44186</v>
      </c>
      <c r="W137" s="10" t="s">
        <v>48</v>
      </c>
      <c r="X137" s="10">
        <f>360*30</f>
        <v>10800</v>
      </c>
      <c r="Y137" s="11">
        <f>IFERROR(INT(Tabla1[[#This Row],[CANTIDAD UND FARMACEUTICAS]]/(VLOOKUP(Tabla1[[#This Row],[MEDICAMENTO]],TAB_REF!$K$3:$L$27,2,0))),"")</f>
        <v>360</v>
      </c>
      <c r="Z137" s="10" t="str">
        <f>IFERROR(VLOOKUP(Tabla1[[#This Row],[MEDICAMENTO]],TAB_REF!$B$3:$F$27,2,0), "")</f>
        <v xml:space="preserve">Metilfenidato HCl </v>
      </c>
      <c r="AA137" s="10" t="str">
        <f>IFERROR(VLOOKUP(Tabla1[[#This Row],[MEDICAMENTO]],TAB_REF!$B$3:$F$27,3,0), "")</f>
        <v xml:space="preserve">10 mg </v>
      </c>
      <c r="AB137" s="10" t="str">
        <f>IFERROR(VLOOKUP(Tabla1[[#This Row],[MEDICAMENTO]],TAB_REF!$B$3:$F$27,4,0), "")</f>
        <v>Comprimidos</v>
      </c>
      <c r="AC137" s="10" t="str">
        <f>IFERROR(VLOOKUP(Tabla1[[#This Row],[MEDICAMENTO]],TAB_REF!$B$3:$F$27,5,0), "")</f>
        <v>Caja x 30 unidades</v>
      </c>
      <c r="AD137" s="10" t="str">
        <f>IFERROR(VLOOKUP(Tabla1[[#This Row],[CANTIDAD UND COMERCIALES]],TAB_REF!$H$3:$I$1003,2,0)&amp;" ("&amp;Tabla1[[#This Row],[CANTIDAD UND COMERCIALES]]&amp;")"&amp;"_"&amp;Tabla1[[#This Row],[CANTIDAD]],"")</f>
        <v>Trescientos Sesenta (360)_Caja x 30 unidades</v>
      </c>
      <c r="AE137" s="31" t="e">
        <f>CONCATENATE([1]!Tabla1[[#This Row],[NOMBRE MED.]],[1]!Tabla1[[#This Row],[CONCENTRACION]],[1]!Tabla1[[#This Row],[FORMA FARMACEUTICA]])</f>
        <v>#REF!</v>
      </c>
    </row>
    <row r="138" spans="2:31" x14ac:dyDescent="0.25">
      <c r="B138" s="10">
        <v>51</v>
      </c>
      <c r="C138" s="10" t="s">
        <v>2444</v>
      </c>
      <c r="D138" s="10" t="s">
        <v>2182</v>
      </c>
      <c r="E138" s="10" t="s">
        <v>2445</v>
      </c>
      <c r="F138" s="10" t="s">
        <v>2446</v>
      </c>
      <c r="G138" s="10" t="s">
        <v>2447</v>
      </c>
      <c r="H138" s="10" t="s">
        <v>2448</v>
      </c>
      <c r="I138" s="10" t="s">
        <v>2129</v>
      </c>
      <c r="J138" s="10" t="s">
        <v>2011</v>
      </c>
      <c r="K138" s="10" t="s">
        <v>2449</v>
      </c>
      <c r="L138" s="11">
        <v>202124100169492</v>
      </c>
      <c r="M138" s="20">
        <v>44229</v>
      </c>
      <c r="N138" s="20" t="str">
        <f>UPPER(TEXT(Tabla1[[#This Row],[FECHA RADICADO ENTRADA]],"MMM"))</f>
        <v>FEB</v>
      </c>
      <c r="O138" s="11">
        <v>202124110166361</v>
      </c>
      <c r="P138" s="20">
        <v>44229</v>
      </c>
      <c r="Q138" s="20" t="str">
        <f>UPPER(TEXT(Tabla1[[#This Row],[FECHA RADICADO ENTRADA]],"MMM"))</f>
        <v>FEB</v>
      </c>
      <c r="R138" s="10">
        <f t="shared" si="2"/>
        <v>0</v>
      </c>
      <c r="S138" s="10" t="s">
        <v>2154</v>
      </c>
      <c r="U138" s="10" t="s">
        <v>2450</v>
      </c>
      <c r="V138" s="20">
        <v>44186</v>
      </c>
      <c r="W138" s="10" t="s">
        <v>60</v>
      </c>
      <c r="X138" s="10">
        <v>30</v>
      </c>
      <c r="Y138" s="11">
        <f>IFERROR(INT(Tabla1[[#This Row],[CANTIDAD UND FARMACEUTICAS]]/(VLOOKUP(Tabla1[[#This Row],[MEDICAMENTO]],TAB_REF!$K$3:$L$27,2,0))),"")</f>
        <v>30</v>
      </c>
      <c r="Z138" s="10" t="str">
        <f>IFERROR(VLOOKUP(Tabla1[[#This Row],[MEDICAMENTO]],TAB_REF!$B$3:$F$27,2,0), "")</f>
        <v xml:space="preserve">Morfina HCl </v>
      </c>
      <c r="AA138" s="10" t="str">
        <f>IFERROR(VLOOKUP(Tabla1[[#This Row],[MEDICAMENTO]],TAB_REF!$B$3:$F$27,3,0), "")</f>
        <v xml:space="preserve">3%. </v>
      </c>
      <c r="AB138" s="10" t="str">
        <f>IFERROR(VLOOKUP(Tabla1[[#This Row],[MEDICAMENTO]],TAB_REF!$B$3:$F$27,4,0), "")</f>
        <v>Solución Oral</v>
      </c>
      <c r="AC138" s="10" t="str">
        <f>IFERROR(VLOOKUP(Tabla1[[#This Row],[MEDICAMENTO]],TAB_REF!$B$3:$F$27,5,0), "")</f>
        <v>Frasco x 30 mL</v>
      </c>
      <c r="AD138" s="10" t="str">
        <f>IFERROR(VLOOKUP(Tabla1[[#This Row],[CANTIDAD UND COMERCIALES]],TAB_REF!$H$3:$I$1003,2,0)&amp;" ("&amp;Tabla1[[#This Row],[CANTIDAD UND COMERCIALES]]&amp;")"&amp;"_"&amp;Tabla1[[#This Row],[CANTIDAD]],"")</f>
        <v>Treinta (30)_Frasco x 30 mL</v>
      </c>
      <c r="AE138" s="31" t="e">
        <f>CONCATENATE([1]!Tabla1[[#This Row],[NOMBRE MED.]],[1]!Tabla1[[#This Row],[CONCENTRACION]],[1]!Tabla1[[#This Row],[FORMA FARMACEUTICA]])</f>
        <v>#REF!</v>
      </c>
    </row>
    <row r="139" spans="2:31" x14ac:dyDescent="0.25">
      <c r="B139" s="10">
        <v>51</v>
      </c>
      <c r="C139" s="10" t="s">
        <v>2444</v>
      </c>
      <c r="D139" s="10" t="s">
        <v>2182</v>
      </c>
      <c r="E139" s="10" t="s">
        <v>2445</v>
      </c>
      <c r="F139" s="10" t="s">
        <v>2446</v>
      </c>
      <c r="G139" s="10" t="s">
        <v>2447</v>
      </c>
      <c r="H139" s="10" t="s">
        <v>2448</v>
      </c>
      <c r="I139" s="10" t="s">
        <v>2129</v>
      </c>
      <c r="J139" s="10" t="s">
        <v>2011</v>
      </c>
      <c r="K139" s="10" t="s">
        <v>2449</v>
      </c>
      <c r="L139" s="11">
        <v>202124100169492</v>
      </c>
      <c r="M139" s="20">
        <v>44229</v>
      </c>
      <c r="N139" s="20" t="str">
        <f>UPPER(TEXT(Tabla1[[#This Row],[FECHA RADICADO ENTRADA]],"MMM"))</f>
        <v>FEB</v>
      </c>
      <c r="O139" s="11">
        <v>202124110166361</v>
      </c>
      <c r="P139" s="20">
        <v>44229</v>
      </c>
      <c r="Q139" s="20" t="str">
        <f>UPPER(TEXT(Tabla1[[#This Row],[FECHA RADICADO ENTRADA]],"MMM"))</f>
        <v>FEB</v>
      </c>
      <c r="R139" s="10">
        <f t="shared" si="2"/>
        <v>0</v>
      </c>
      <c r="S139" s="10" t="s">
        <v>2154</v>
      </c>
      <c r="U139" s="10" t="s">
        <v>2450</v>
      </c>
      <c r="V139" s="20">
        <v>44186</v>
      </c>
      <c r="W139" s="10" t="s">
        <v>63</v>
      </c>
      <c r="X139" s="10">
        <v>550</v>
      </c>
      <c r="Y139" s="11">
        <f>IFERROR(INT(Tabla1[[#This Row],[CANTIDAD UND FARMACEUTICAS]]/(VLOOKUP(Tabla1[[#This Row],[MEDICAMENTO]],TAB_REF!$K$3:$L$27,2,0))),"")</f>
        <v>55</v>
      </c>
      <c r="Z139" s="10" t="str">
        <f>IFERROR(VLOOKUP(Tabla1[[#This Row],[MEDICAMENTO]],TAB_REF!$B$3:$F$27,2,0), "")</f>
        <v xml:space="preserve">Morfina HCl </v>
      </c>
      <c r="AA139" s="10" t="str">
        <f>IFERROR(VLOOKUP(Tabla1[[#This Row],[MEDICAMENTO]],TAB_REF!$B$3:$F$27,3,0), "")</f>
        <v xml:space="preserve">10 mg/mL </v>
      </c>
      <c r="AB139" s="10" t="str">
        <f>IFERROR(VLOOKUP(Tabla1[[#This Row],[MEDICAMENTO]],TAB_REF!$B$3:$F$27,4,0), "")</f>
        <v>Solución Inyectable</v>
      </c>
      <c r="AC139" s="10" t="str">
        <f>IFERROR(VLOOKUP(Tabla1[[#This Row],[MEDICAMENTO]],TAB_REF!$B$3:$F$27,5,0), "")</f>
        <v>Caja x 10 unidades</v>
      </c>
      <c r="AD139" s="10" t="str">
        <f>IFERROR(VLOOKUP(Tabla1[[#This Row],[CANTIDAD UND COMERCIALES]],TAB_REF!$H$3:$I$1003,2,0)&amp;" ("&amp;Tabla1[[#This Row],[CANTIDAD UND COMERCIALES]]&amp;")"&amp;"_"&amp;Tabla1[[#This Row],[CANTIDAD]],"")</f>
        <v>Cincuenta Y Cinco (55)_Caja x 10 unidades</v>
      </c>
      <c r="AE139" s="31" t="e">
        <f>CONCATENATE([1]!Tabla1[[#This Row],[NOMBRE MED.]],[1]!Tabla1[[#This Row],[CONCENTRACION]],[1]!Tabla1[[#This Row],[FORMA FARMACEUTICA]])</f>
        <v>#REF!</v>
      </c>
    </row>
    <row r="140" spans="2:31" x14ac:dyDescent="0.25">
      <c r="B140" s="10">
        <v>52</v>
      </c>
      <c r="C140" s="10" t="s">
        <v>2586</v>
      </c>
      <c r="D140" s="10" t="s">
        <v>2182</v>
      </c>
      <c r="E140" s="10" t="s">
        <v>2451</v>
      </c>
      <c r="F140" s="3" t="s">
        <v>2452</v>
      </c>
      <c r="G140" s="10" t="s">
        <v>2453</v>
      </c>
      <c r="H140" s="10" t="s">
        <v>2454</v>
      </c>
      <c r="I140" s="10" t="s">
        <v>2123</v>
      </c>
      <c r="J140" s="10" t="s">
        <v>1770</v>
      </c>
      <c r="K140" s="10" t="s">
        <v>2455</v>
      </c>
      <c r="L140" s="11">
        <v>202124100171982</v>
      </c>
      <c r="M140" s="20">
        <v>44229</v>
      </c>
      <c r="N140" s="20" t="str">
        <f>UPPER(TEXT(Tabla1[[#This Row],[FECHA RADICADO ENTRADA]],"MMM"))</f>
        <v>FEB</v>
      </c>
      <c r="O140" s="11">
        <v>202124110166391</v>
      </c>
      <c r="P140" s="20">
        <v>44229</v>
      </c>
      <c r="Q140" s="20" t="str">
        <f>UPPER(TEXT(Tabla1[[#This Row],[FECHA RADICADO ENTRADA]],"MMM"))</f>
        <v>FEB</v>
      </c>
      <c r="R140" s="10">
        <f t="shared" si="2"/>
        <v>0</v>
      </c>
      <c r="S140" s="10" t="s">
        <v>2154</v>
      </c>
      <c r="U140" s="10" t="s">
        <v>2456</v>
      </c>
      <c r="V140" s="20">
        <v>42439</v>
      </c>
      <c r="W140" s="10" t="s">
        <v>32</v>
      </c>
      <c r="X140" s="10">
        <f>400*30</f>
        <v>12000</v>
      </c>
      <c r="Y140" s="11">
        <f>IFERROR(INT(Tabla1[[#This Row],[CANTIDAD UND FARMACEUTICAS]]/(VLOOKUP(Tabla1[[#This Row],[MEDICAMENTO]],TAB_REF!$K$3:$L$27,2,0))),"")</f>
        <v>400</v>
      </c>
      <c r="Z140" s="10" t="str">
        <f>IFERROR(VLOOKUP(Tabla1[[#This Row],[MEDICAMENTO]],TAB_REF!$B$3:$F$27,2,0), "")</f>
        <v xml:space="preserve">Fenobarbital </v>
      </c>
      <c r="AA140" s="10" t="str">
        <f>IFERROR(VLOOKUP(Tabla1[[#This Row],[MEDICAMENTO]],TAB_REF!$B$3:$F$27,3,0), "")</f>
        <v xml:space="preserve">100 mg </v>
      </c>
      <c r="AB140" s="10" t="str">
        <f>IFERROR(VLOOKUP(Tabla1[[#This Row],[MEDICAMENTO]],TAB_REF!$B$3:$F$27,4,0), "")</f>
        <v>Tabletas</v>
      </c>
      <c r="AC140" s="10" t="str">
        <f>IFERROR(VLOOKUP(Tabla1[[#This Row],[MEDICAMENTO]],TAB_REF!$B$3:$F$27,5,0), "")</f>
        <v>Caja x 30 unidades</v>
      </c>
      <c r="AD140" s="10" t="str">
        <f>IFERROR(VLOOKUP(Tabla1[[#This Row],[CANTIDAD UND COMERCIALES]],TAB_REF!$H$3:$I$1003,2,0)&amp;" ("&amp;Tabla1[[#This Row],[CANTIDAD UND COMERCIALES]]&amp;")"&amp;"_"&amp;Tabla1[[#This Row],[CANTIDAD]],"")</f>
        <v>Cuatrocientos (400)_Caja x 30 unidades</v>
      </c>
      <c r="AE140" s="31" t="e">
        <f>CONCATENATE([1]!Tabla1[[#This Row],[NOMBRE MED.]],[1]!Tabla1[[#This Row],[CONCENTRACION]],[1]!Tabla1[[#This Row],[FORMA FARMACEUTICA]])</f>
        <v>#REF!</v>
      </c>
    </row>
    <row r="141" spans="2:31" x14ac:dyDescent="0.25">
      <c r="B141" s="10">
        <v>52</v>
      </c>
      <c r="C141" s="10" t="s">
        <v>2586</v>
      </c>
      <c r="D141" s="10" t="s">
        <v>2182</v>
      </c>
      <c r="E141" s="10" t="s">
        <v>2451</v>
      </c>
      <c r="F141" s="3" t="s">
        <v>2452</v>
      </c>
      <c r="G141" s="10" t="s">
        <v>2453</v>
      </c>
      <c r="H141" s="10" t="s">
        <v>2454</v>
      </c>
      <c r="I141" s="10" t="s">
        <v>2123</v>
      </c>
      <c r="J141" s="10" t="s">
        <v>1770</v>
      </c>
      <c r="K141" s="10" t="s">
        <v>2455</v>
      </c>
      <c r="L141" s="11">
        <v>202124100171982</v>
      </c>
      <c r="M141" s="20">
        <v>44229</v>
      </c>
      <c r="N141" s="20" t="str">
        <f>UPPER(TEXT(Tabla1[[#This Row],[FECHA RADICADO ENTRADA]],"MMM"))</f>
        <v>FEB</v>
      </c>
      <c r="O141" s="11">
        <v>202124110166391</v>
      </c>
      <c r="P141" s="20">
        <v>44229</v>
      </c>
      <c r="Q141" s="20" t="str">
        <f>UPPER(TEXT(Tabla1[[#This Row],[FECHA RADICADO ENTRADA]],"MMM"))</f>
        <v>FEB</v>
      </c>
      <c r="R141" s="10">
        <f t="shared" si="2"/>
        <v>0</v>
      </c>
      <c r="S141" s="10" t="s">
        <v>2154</v>
      </c>
      <c r="U141" s="10" t="s">
        <v>2456</v>
      </c>
      <c r="V141" s="20">
        <v>42439</v>
      </c>
      <c r="W141" s="10" t="s">
        <v>63</v>
      </c>
      <c r="X141" s="10">
        <v>1440</v>
      </c>
      <c r="Y141" s="11">
        <f>IFERROR(INT(Tabla1[[#This Row],[CANTIDAD UND FARMACEUTICAS]]/(VLOOKUP(Tabla1[[#This Row],[MEDICAMENTO]],TAB_REF!$K$3:$L$27,2,0))),"")</f>
        <v>144</v>
      </c>
      <c r="Z141" s="10" t="str">
        <f>IFERROR(VLOOKUP(Tabla1[[#This Row],[MEDICAMENTO]],TAB_REF!$B$3:$F$27,2,0), "")</f>
        <v xml:space="preserve">Morfina HCl </v>
      </c>
      <c r="AA141" s="10" t="str">
        <f>IFERROR(VLOOKUP(Tabla1[[#This Row],[MEDICAMENTO]],TAB_REF!$B$3:$F$27,3,0), "")</f>
        <v xml:space="preserve">10 mg/mL </v>
      </c>
      <c r="AB141" s="10" t="str">
        <f>IFERROR(VLOOKUP(Tabla1[[#This Row],[MEDICAMENTO]],TAB_REF!$B$3:$F$27,4,0), "")</f>
        <v>Solución Inyectable</v>
      </c>
      <c r="AC141" s="10" t="str">
        <f>IFERROR(VLOOKUP(Tabla1[[#This Row],[MEDICAMENTO]],TAB_REF!$B$3:$F$27,5,0), "")</f>
        <v>Caja x 10 unidades</v>
      </c>
      <c r="AD141" s="10" t="str">
        <f>IFERROR(VLOOKUP(Tabla1[[#This Row],[CANTIDAD UND COMERCIALES]],TAB_REF!$H$3:$I$1003,2,0)&amp;" ("&amp;Tabla1[[#This Row],[CANTIDAD UND COMERCIALES]]&amp;")"&amp;"_"&amp;Tabla1[[#This Row],[CANTIDAD]],"")</f>
        <v>Ciento Cuarenta Y Cuatro (144)_Caja x 10 unidades</v>
      </c>
      <c r="AE141" s="31" t="e">
        <f>CONCATENATE([1]!Tabla1[[#This Row],[NOMBRE MED.]],[1]!Tabla1[[#This Row],[CONCENTRACION]],[1]!Tabla1[[#This Row],[FORMA FARMACEUTICA]])</f>
        <v>#REF!</v>
      </c>
    </row>
    <row r="142" spans="2:31" x14ac:dyDescent="0.25">
      <c r="B142" s="10">
        <v>52</v>
      </c>
      <c r="C142" s="10" t="s">
        <v>2586</v>
      </c>
      <c r="D142" s="10" t="s">
        <v>2182</v>
      </c>
      <c r="E142" s="10" t="s">
        <v>2451</v>
      </c>
      <c r="F142" s="3" t="s">
        <v>2452</v>
      </c>
      <c r="G142" s="10" t="s">
        <v>2453</v>
      </c>
      <c r="H142" s="10" t="s">
        <v>2454</v>
      </c>
      <c r="I142" s="10" t="s">
        <v>2123</v>
      </c>
      <c r="J142" s="10" t="s">
        <v>1770</v>
      </c>
      <c r="K142" s="10" t="s">
        <v>2455</v>
      </c>
      <c r="L142" s="11">
        <v>202124100171982</v>
      </c>
      <c r="M142" s="20">
        <v>44229</v>
      </c>
      <c r="N142" s="20" t="str">
        <f>UPPER(TEXT(Tabla1[[#This Row],[FECHA RADICADO ENTRADA]],"MMM"))</f>
        <v>FEB</v>
      </c>
      <c r="O142" s="11">
        <v>202124110166391</v>
      </c>
      <c r="P142" s="20">
        <v>44229</v>
      </c>
      <c r="Q142" s="20" t="str">
        <f>UPPER(TEXT(Tabla1[[#This Row],[FECHA RADICADO ENTRADA]],"MMM"))</f>
        <v>FEB</v>
      </c>
      <c r="R142" s="10">
        <f t="shared" si="2"/>
        <v>0</v>
      </c>
      <c r="S142" s="10" t="s">
        <v>2154</v>
      </c>
      <c r="U142" s="10" t="s">
        <v>2456</v>
      </c>
      <c r="V142" s="20">
        <v>42439</v>
      </c>
      <c r="W142" s="10" t="s">
        <v>60</v>
      </c>
      <c r="X142" s="10">
        <v>200</v>
      </c>
      <c r="Y142" s="11">
        <f>IFERROR(INT(Tabla1[[#This Row],[CANTIDAD UND FARMACEUTICAS]]/(VLOOKUP(Tabla1[[#This Row],[MEDICAMENTO]],TAB_REF!$K$3:$L$27,2,0))),"")</f>
        <v>200</v>
      </c>
      <c r="Z142" s="10" t="str">
        <f>IFERROR(VLOOKUP(Tabla1[[#This Row],[MEDICAMENTO]],TAB_REF!$B$3:$F$27,2,0), "")</f>
        <v xml:space="preserve">Morfina HCl </v>
      </c>
      <c r="AA142" s="10" t="str">
        <f>IFERROR(VLOOKUP(Tabla1[[#This Row],[MEDICAMENTO]],TAB_REF!$B$3:$F$27,3,0), "")</f>
        <v xml:space="preserve">3%. </v>
      </c>
      <c r="AB142" s="10" t="str">
        <f>IFERROR(VLOOKUP(Tabla1[[#This Row],[MEDICAMENTO]],TAB_REF!$B$3:$F$27,4,0), "")</f>
        <v>Solución Oral</v>
      </c>
      <c r="AC142" s="10" t="str">
        <f>IFERROR(VLOOKUP(Tabla1[[#This Row],[MEDICAMENTO]],TAB_REF!$B$3:$F$27,5,0), "")</f>
        <v>Frasco x 30 mL</v>
      </c>
      <c r="AD142" s="10" t="str">
        <f>IFERROR(VLOOKUP(Tabla1[[#This Row],[CANTIDAD UND COMERCIALES]],TAB_REF!$H$3:$I$1003,2,0)&amp;" ("&amp;Tabla1[[#This Row],[CANTIDAD UND COMERCIALES]]&amp;")"&amp;"_"&amp;Tabla1[[#This Row],[CANTIDAD]],"")</f>
        <v>Doscientos (200)_Frasco x 30 mL</v>
      </c>
      <c r="AE142" s="31" t="e">
        <f>CONCATENATE([1]!Tabla1[[#This Row],[NOMBRE MED.]],[1]!Tabla1[[#This Row],[CONCENTRACION]],[1]!Tabla1[[#This Row],[FORMA FARMACEUTICA]])</f>
        <v>#REF!</v>
      </c>
    </row>
    <row r="143" spans="2:31" x14ac:dyDescent="0.25">
      <c r="B143" s="10">
        <v>52</v>
      </c>
      <c r="C143" s="10" t="s">
        <v>2586</v>
      </c>
      <c r="D143" s="10" t="s">
        <v>2182</v>
      </c>
      <c r="E143" s="10" t="s">
        <v>2451</v>
      </c>
      <c r="F143" s="3" t="s">
        <v>2452</v>
      </c>
      <c r="G143" s="10" t="s">
        <v>2453</v>
      </c>
      <c r="H143" s="10" t="s">
        <v>2454</v>
      </c>
      <c r="I143" s="10" t="s">
        <v>2123</v>
      </c>
      <c r="J143" s="10" t="s">
        <v>1770</v>
      </c>
      <c r="K143" s="10" t="s">
        <v>2455</v>
      </c>
      <c r="L143" s="11">
        <v>202124100171982</v>
      </c>
      <c r="M143" s="20">
        <v>44229</v>
      </c>
      <c r="N143" s="20" t="str">
        <f>UPPER(TEXT(Tabla1[[#This Row],[FECHA RADICADO ENTRADA]],"MMM"))</f>
        <v>FEB</v>
      </c>
      <c r="O143" s="11">
        <v>202124110166391</v>
      </c>
      <c r="P143" s="20">
        <v>44229</v>
      </c>
      <c r="Q143" s="20" t="str">
        <f>UPPER(TEXT(Tabla1[[#This Row],[FECHA RADICADO ENTRADA]],"MMM"))</f>
        <v>FEB</v>
      </c>
      <c r="R143" s="10">
        <f t="shared" si="2"/>
        <v>0</v>
      </c>
      <c r="S143" s="10" t="s">
        <v>2154</v>
      </c>
      <c r="U143" s="10" t="s">
        <v>2456</v>
      </c>
      <c r="V143" s="20">
        <v>42439</v>
      </c>
      <c r="W143" s="10" t="s">
        <v>48</v>
      </c>
      <c r="X143" s="10">
        <v>300</v>
      </c>
      <c r="Y143" s="11">
        <f>IFERROR(INT(Tabla1[[#This Row],[CANTIDAD UND FARMACEUTICAS]]/(VLOOKUP(Tabla1[[#This Row],[MEDICAMENTO]],TAB_REF!$K$3:$L$27,2,0))),"")</f>
        <v>10</v>
      </c>
      <c r="Z143" s="10" t="str">
        <f>IFERROR(VLOOKUP(Tabla1[[#This Row],[MEDICAMENTO]],TAB_REF!$B$3:$F$27,2,0), "")</f>
        <v xml:space="preserve">Metilfenidato HCl </v>
      </c>
      <c r="AA143" s="10" t="str">
        <f>IFERROR(VLOOKUP(Tabla1[[#This Row],[MEDICAMENTO]],TAB_REF!$B$3:$F$27,3,0), "")</f>
        <v xml:space="preserve">10 mg </v>
      </c>
      <c r="AB143" s="10" t="str">
        <f>IFERROR(VLOOKUP(Tabla1[[#This Row],[MEDICAMENTO]],TAB_REF!$B$3:$F$27,4,0), "")</f>
        <v>Comprimidos</v>
      </c>
      <c r="AC143" s="10" t="str">
        <f>IFERROR(VLOOKUP(Tabla1[[#This Row],[MEDICAMENTO]],TAB_REF!$B$3:$F$27,5,0), "")</f>
        <v>Caja x 30 unidades</v>
      </c>
      <c r="AD143" s="10" t="str">
        <f>IFERROR(VLOOKUP(Tabla1[[#This Row],[CANTIDAD UND COMERCIALES]],TAB_REF!$H$3:$I$1003,2,0)&amp;" ("&amp;Tabla1[[#This Row],[CANTIDAD UND COMERCIALES]]&amp;")"&amp;"_"&amp;Tabla1[[#This Row],[CANTIDAD]],"")</f>
        <v>Diez (10)_Caja x 30 unidades</v>
      </c>
      <c r="AE143" s="31" t="e">
        <f>CONCATENATE([1]!Tabla1[[#This Row],[NOMBRE MED.]],[1]!Tabla1[[#This Row],[CONCENTRACION]],[1]!Tabla1[[#This Row],[FORMA FARMACEUTICA]])</f>
        <v>#REF!</v>
      </c>
    </row>
    <row r="144" spans="2:31" x14ac:dyDescent="0.25">
      <c r="B144" s="10">
        <v>53</v>
      </c>
      <c r="C144" s="10" t="s">
        <v>2457</v>
      </c>
      <c r="D144" s="10" t="s">
        <v>2182</v>
      </c>
      <c r="E144" s="10" t="s">
        <v>2458</v>
      </c>
      <c r="F144" s="3" t="s">
        <v>2459</v>
      </c>
      <c r="G144" s="10" t="s">
        <v>2460</v>
      </c>
      <c r="H144" s="10" t="s">
        <v>2461</v>
      </c>
      <c r="I144" s="10" t="s">
        <v>2129</v>
      </c>
      <c r="J144" s="10" t="s">
        <v>2029</v>
      </c>
      <c r="K144" s="10" t="s">
        <v>2462</v>
      </c>
      <c r="L144" s="11">
        <v>202124100170452</v>
      </c>
      <c r="M144" s="20">
        <v>44229</v>
      </c>
      <c r="N144" s="20" t="str">
        <f>UPPER(TEXT(Tabla1[[#This Row],[FECHA RADICADO ENTRADA]],"MMM"))</f>
        <v>FEB</v>
      </c>
      <c r="O144" s="11">
        <v>202124110175551</v>
      </c>
      <c r="P144" s="20">
        <v>44231</v>
      </c>
      <c r="Q144" s="20" t="str">
        <f>UPPER(TEXT(Tabla1[[#This Row],[FECHA RADICADO ENTRADA]],"MMM"))</f>
        <v>FEB</v>
      </c>
      <c r="R144" s="10">
        <f t="shared" si="2"/>
        <v>-2</v>
      </c>
      <c r="S144" s="10" t="s">
        <v>2154</v>
      </c>
      <c r="U144" s="10" t="s">
        <v>2463</v>
      </c>
      <c r="V144" s="20">
        <v>42970</v>
      </c>
      <c r="W144" s="10" t="s">
        <v>32</v>
      </c>
      <c r="X144" s="10">
        <v>3000</v>
      </c>
      <c r="Y144" s="11">
        <f>IFERROR(INT(Tabla1[[#This Row],[CANTIDAD UND FARMACEUTICAS]]/(VLOOKUP(Tabla1[[#This Row],[MEDICAMENTO]],TAB_REF!$K$3:$L$27,2,0))),"")</f>
        <v>100</v>
      </c>
      <c r="Z144" s="10" t="str">
        <f>IFERROR(VLOOKUP(Tabla1[[#This Row],[MEDICAMENTO]],TAB_REF!$B$3:$F$27,2,0), "")</f>
        <v xml:space="preserve">Fenobarbital </v>
      </c>
      <c r="AA144" s="10" t="str">
        <f>IFERROR(VLOOKUP(Tabla1[[#This Row],[MEDICAMENTO]],TAB_REF!$B$3:$F$27,3,0), "")</f>
        <v xml:space="preserve">100 mg </v>
      </c>
      <c r="AB144" s="10" t="str">
        <f>IFERROR(VLOOKUP(Tabla1[[#This Row],[MEDICAMENTO]],TAB_REF!$B$3:$F$27,4,0), "")</f>
        <v>Tabletas</v>
      </c>
      <c r="AC144" s="10" t="str">
        <f>IFERROR(VLOOKUP(Tabla1[[#This Row],[MEDICAMENTO]],TAB_REF!$B$3:$F$27,5,0), "")</f>
        <v>Caja x 30 unidades</v>
      </c>
      <c r="AD144" s="10" t="str">
        <f>IFERROR(VLOOKUP(Tabla1[[#This Row],[CANTIDAD UND COMERCIALES]],TAB_REF!$H$3:$I$1003,2,0)&amp;" ("&amp;Tabla1[[#This Row],[CANTIDAD UND COMERCIALES]]&amp;")"&amp;"_"&amp;Tabla1[[#This Row],[CANTIDAD]],"")</f>
        <v>Cien (100)_Caja x 30 unidades</v>
      </c>
      <c r="AE144" s="31" t="e">
        <f>CONCATENATE([1]!Tabla1[[#This Row],[NOMBRE MED.]],[1]!Tabla1[[#This Row],[CONCENTRACION]],[1]!Tabla1[[#This Row],[FORMA FARMACEUTICA]])</f>
        <v>#REF!</v>
      </c>
    </row>
    <row r="145" spans="2:31" x14ac:dyDescent="0.25">
      <c r="B145" s="10">
        <v>53</v>
      </c>
      <c r="C145" s="10" t="s">
        <v>2457</v>
      </c>
      <c r="D145" s="10" t="s">
        <v>2182</v>
      </c>
      <c r="E145" s="10" t="s">
        <v>2458</v>
      </c>
      <c r="F145" s="3" t="s">
        <v>2459</v>
      </c>
      <c r="G145" s="10" t="s">
        <v>2460</v>
      </c>
      <c r="H145" s="10" t="s">
        <v>2461</v>
      </c>
      <c r="I145" s="10" t="s">
        <v>2129</v>
      </c>
      <c r="J145" s="10" t="s">
        <v>2029</v>
      </c>
      <c r="K145" s="10" t="s">
        <v>2462</v>
      </c>
      <c r="L145" s="11">
        <v>202124100170452</v>
      </c>
      <c r="M145" s="20">
        <v>44229</v>
      </c>
      <c r="N145" s="20" t="str">
        <f>UPPER(TEXT(Tabla1[[#This Row],[FECHA RADICADO ENTRADA]],"MMM"))</f>
        <v>FEB</v>
      </c>
      <c r="O145" s="11">
        <v>202124110175551</v>
      </c>
      <c r="P145" s="20">
        <v>44231</v>
      </c>
      <c r="Q145" s="20" t="str">
        <f>UPPER(TEXT(Tabla1[[#This Row],[FECHA RADICADO ENTRADA]],"MMM"))</f>
        <v>FEB</v>
      </c>
      <c r="R145" s="10">
        <f t="shared" si="2"/>
        <v>-2</v>
      </c>
      <c r="S145" s="10" t="s">
        <v>2154</v>
      </c>
      <c r="U145" s="10" t="s">
        <v>2463</v>
      </c>
      <c r="V145" s="20">
        <v>42970</v>
      </c>
      <c r="W145" s="10" t="s">
        <v>63</v>
      </c>
      <c r="X145" s="10">
        <v>50</v>
      </c>
      <c r="Y145" s="11">
        <f>IFERROR(INT(Tabla1[[#This Row],[CANTIDAD UND FARMACEUTICAS]]/(VLOOKUP(Tabla1[[#This Row],[MEDICAMENTO]],TAB_REF!$K$3:$L$27,2,0))),"")</f>
        <v>5</v>
      </c>
      <c r="Z145" s="10" t="str">
        <f>IFERROR(VLOOKUP(Tabla1[[#This Row],[MEDICAMENTO]],TAB_REF!$B$3:$F$27,2,0), "")</f>
        <v xml:space="preserve">Morfina HCl </v>
      </c>
      <c r="AA145" s="10" t="str">
        <f>IFERROR(VLOOKUP(Tabla1[[#This Row],[MEDICAMENTO]],TAB_REF!$B$3:$F$27,3,0), "")</f>
        <v xml:space="preserve">10 mg/mL </v>
      </c>
      <c r="AB145" s="10" t="str">
        <f>IFERROR(VLOOKUP(Tabla1[[#This Row],[MEDICAMENTO]],TAB_REF!$B$3:$F$27,4,0), "")</f>
        <v>Solución Inyectable</v>
      </c>
      <c r="AC145" s="10" t="str">
        <f>IFERROR(VLOOKUP(Tabla1[[#This Row],[MEDICAMENTO]],TAB_REF!$B$3:$F$27,5,0), "")</f>
        <v>Caja x 10 unidades</v>
      </c>
      <c r="AD145" s="10" t="str">
        <f>IFERROR(VLOOKUP(Tabla1[[#This Row],[CANTIDAD UND COMERCIALES]],TAB_REF!$H$3:$I$1003,2,0)&amp;" ("&amp;Tabla1[[#This Row],[CANTIDAD UND COMERCIALES]]&amp;")"&amp;"_"&amp;Tabla1[[#This Row],[CANTIDAD]],"")</f>
        <v>Cinco (5)_Caja x 10 unidades</v>
      </c>
      <c r="AE145" s="31" t="e">
        <f>CONCATENATE([1]!Tabla1[[#This Row],[NOMBRE MED.]],[1]!Tabla1[[#This Row],[CONCENTRACION]],[1]!Tabla1[[#This Row],[FORMA FARMACEUTICA]])</f>
        <v>#REF!</v>
      </c>
    </row>
    <row r="146" spans="2:31" x14ac:dyDescent="0.25">
      <c r="B146" s="10">
        <v>53</v>
      </c>
      <c r="C146" s="10" t="s">
        <v>2457</v>
      </c>
      <c r="D146" s="10" t="s">
        <v>2182</v>
      </c>
      <c r="E146" s="10" t="s">
        <v>2458</v>
      </c>
      <c r="F146" s="3" t="s">
        <v>2459</v>
      </c>
      <c r="G146" s="10" t="s">
        <v>2460</v>
      </c>
      <c r="H146" s="10" t="s">
        <v>2461</v>
      </c>
      <c r="I146" s="10" t="s">
        <v>2129</v>
      </c>
      <c r="J146" s="10" t="s">
        <v>2029</v>
      </c>
      <c r="K146" s="10" t="s">
        <v>2462</v>
      </c>
      <c r="L146" s="11">
        <v>202124100170452</v>
      </c>
      <c r="M146" s="20">
        <v>44229</v>
      </c>
      <c r="N146" s="20" t="str">
        <f>UPPER(TEXT(Tabla1[[#This Row],[FECHA RADICADO ENTRADA]],"MMM"))</f>
        <v>FEB</v>
      </c>
      <c r="O146" s="11">
        <v>202124110175551</v>
      </c>
      <c r="P146" s="20">
        <v>44231</v>
      </c>
      <c r="Q146" s="20" t="str">
        <f>UPPER(TEXT(Tabla1[[#This Row],[FECHA RADICADO ENTRADA]],"MMM"))</f>
        <v>FEB</v>
      </c>
      <c r="R146" s="10">
        <f t="shared" si="2"/>
        <v>-2</v>
      </c>
      <c r="S146" s="10" t="s">
        <v>2154</v>
      </c>
      <c r="U146" s="10" t="s">
        <v>2463</v>
      </c>
      <c r="V146" s="20">
        <v>42970</v>
      </c>
      <c r="W146" s="10" t="s">
        <v>60</v>
      </c>
      <c r="X146" s="10">
        <v>40</v>
      </c>
      <c r="Y146" s="11">
        <f>IFERROR(INT(Tabla1[[#This Row],[CANTIDAD UND FARMACEUTICAS]]/(VLOOKUP(Tabla1[[#This Row],[MEDICAMENTO]],TAB_REF!$K$3:$L$27,2,0))),"")</f>
        <v>40</v>
      </c>
      <c r="Z146" s="10" t="str">
        <f>IFERROR(VLOOKUP(Tabla1[[#This Row],[MEDICAMENTO]],TAB_REF!$B$3:$F$27,2,0), "")</f>
        <v xml:space="preserve">Morfina HCl </v>
      </c>
      <c r="AA146" s="10" t="str">
        <f>IFERROR(VLOOKUP(Tabla1[[#This Row],[MEDICAMENTO]],TAB_REF!$B$3:$F$27,3,0), "")</f>
        <v xml:space="preserve">3%. </v>
      </c>
      <c r="AB146" s="10" t="str">
        <f>IFERROR(VLOOKUP(Tabla1[[#This Row],[MEDICAMENTO]],TAB_REF!$B$3:$F$27,4,0), "")</f>
        <v>Solución Oral</v>
      </c>
      <c r="AC146" s="10" t="str">
        <f>IFERROR(VLOOKUP(Tabla1[[#This Row],[MEDICAMENTO]],TAB_REF!$B$3:$F$27,5,0), "")</f>
        <v>Frasco x 30 mL</v>
      </c>
      <c r="AD146" s="10" t="str">
        <f>IFERROR(VLOOKUP(Tabla1[[#This Row],[CANTIDAD UND COMERCIALES]],TAB_REF!$H$3:$I$1003,2,0)&amp;" ("&amp;Tabla1[[#This Row],[CANTIDAD UND COMERCIALES]]&amp;")"&amp;"_"&amp;Tabla1[[#This Row],[CANTIDAD]],"")</f>
        <v>Cuarenta (40)_Frasco x 30 mL</v>
      </c>
      <c r="AE146" s="31" t="e">
        <f>CONCATENATE([1]!Tabla1[[#This Row],[NOMBRE MED.]],[1]!Tabla1[[#This Row],[CONCENTRACION]],[1]!Tabla1[[#This Row],[FORMA FARMACEUTICA]])</f>
        <v>#REF!</v>
      </c>
    </row>
    <row r="147" spans="2:31" x14ac:dyDescent="0.25">
      <c r="B147" s="10">
        <v>54</v>
      </c>
      <c r="C147" s="10" t="s">
        <v>2470</v>
      </c>
      <c r="D147" s="10" t="s">
        <v>2464</v>
      </c>
      <c r="E147" s="10" t="s">
        <v>2465</v>
      </c>
      <c r="F147" s="10" t="s">
        <v>2466</v>
      </c>
      <c r="H147" s="10" t="str">
        <f>Tabla1[[#This Row],[DEPARTAMENTO]]</f>
        <v>SANTANDER</v>
      </c>
      <c r="I147" s="10" t="s">
        <v>2128</v>
      </c>
      <c r="J147" s="10" t="s">
        <v>1942</v>
      </c>
      <c r="K147" s="10" t="s">
        <v>2467</v>
      </c>
      <c r="L147" s="11">
        <v>202124100171872</v>
      </c>
      <c r="M147" s="20">
        <v>44229</v>
      </c>
      <c r="N147" s="20" t="str">
        <f>UPPER(TEXT(Tabla1[[#This Row],[FECHA RADICADO ENTRADA]],"MMM"))</f>
        <v>FEB</v>
      </c>
      <c r="O147" s="11">
        <v>202124110175621</v>
      </c>
      <c r="P147" s="20">
        <v>44231</v>
      </c>
      <c r="Q147" s="20" t="str">
        <f>UPPER(TEXT(Tabla1[[#This Row],[FECHA RADICADO ENTRADA]],"MMM"))</f>
        <v>FEB</v>
      </c>
      <c r="R147" s="10">
        <f t="shared" si="2"/>
        <v>-2</v>
      </c>
      <c r="S147" s="10" t="s">
        <v>2154</v>
      </c>
      <c r="U147" s="10" t="s">
        <v>2468</v>
      </c>
      <c r="V147" s="20">
        <v>43061</v>
      </c>
      <c r="W147" s="10" t="s">
        <v>37</v>
      </c>
      <c r="X147" s="10">
        <v>1000</v>
      </c>
      <c r="Y147" s="11">
        <f>IFERROR(INT(Tabla1[[#This Row],[CANTIDAD UND FARMACEUTICAS]]/(VLOOKUP(Tabla1[[#This Row],[MEDICAMENTO]],TAB_REF!$K$3:$L$27,2,0))),"")</f>
        <v>100</v>
      </c>
      <c r="Z147" s="10" t="str">
        <f>IFERROR(VLOOKUP(Tabla1[[#This Row],[MEDICAMENTO]],TAB_REF!$B$3:$F$27,2,0), "")</f>
        <v xml:space="preserve">Hidromorfona HCl </v>
      </c>
      <c r="AA147" s="10" t="str">
        <f>IFERROR(VLOOKUP(Tabla1[[#This Row],[MEDICAMENTO]],TAB_REF!$B$3:$F$27,3,0), "")</f>
        <v xml:space="preserve">2 mg/mL </v>
      </c>
      <c r="AB147" s="10" t="str">
        <f>IFERROR(VLOOKUP(Tabla1[[#This Row],[MEDICAMENTO]],TAB_REF!$B$3:$F$27,4,0), "")</f>
        <v>Solución Inyectable</v>
      </c>
      <c r="AC147" s="10" t="str">
        <f>IFERROR(VLOOKUP(Tabla1[[#This Row],[MEDICAMENTO]],TAB_REF!$B$3:$F$27,5,0), "")</f>
        <v>Caja x 10 unidades</v>
      </c>
      <c r="AD147" s="10" t="str">
        <f>IFERROR(VLOOKUP(Tabla1[[#This Row],[CANTIDAD UND COMERCIALES]],TAB_REF!$H$3:$I$1003,2,0)&amp;" ("&amp;Tabla1[[#This Row],[CANTIDAD UND COMERCIALES]]&amp;")"&amp;"_"&amp;Tabla1[[#This Row],[CANTIDAD]],"")</f>
        <v>Cien (100)_Caja x 10 unidades</v>
      </c>
      <c r="AE147" s="31" t="e">
        <f>CONCATENATE([1]!Tabla1[[#This Row],[NOMBRE MED.]],[1]!Tabla1[[#This Row],[CONCENTRACION]],[1]!Tabla1[[#This Row],[FORMA FARMACEUTICA]])</f>
        <v>#REF!</v>
      </c>
    </row>
    <row r="148" spans="2:31" x14ac:dyDescent="0.25">
      <c r="B148" s="10">
        <v>55</v>
      </c>
      <c r="C148" s="10" t="s">
        <v>2469</v>
      </c>
      <c r="D148" s="10" t="s">
        <v>2175</v>
      </c>
      <c r="E148" s="10" t="s">
        <v>2471</v>
      </c>
      <c r="F148" s="10" t="s">
        <v>2479</v>
      </c>
      <c r="G148" s="10" t="s">
        <v>2472</v>
      </c>
      <c r="H148" s="10" t="s">
        <v>2473</v>
      </c>
      <c r="I148" s="10" t="s">
        <v>2129</v>
      </c>
      <c r="J148" s="10" t="s">
        <v>2011</v>
      </c>
      <c r="K148" s="10" t="s">
        <v>2474</v>
      </c>
      <c r="L148" s="11">
        <v>202124100175812</v>
      </c>
      <c r="M148" s="20">
        <v>44229</v>
      </c>
      <c r="N148" s="20" t="str">
        <f>UPPER(TEXT(Tabla1[[#This Row],[FECHA RADICADO ENTRADA]],"MMM"))</f>
        <v>FEB</v>
      </c>
      <c r="O148" s="11">
        <v>202124110184981</v>
      </c>
      <c r="P148" s="20">
        <v>44232</v>
      </c>
      <c r="Q148" s="20" t="str">
        <f>UPPER(TEXT(Tabla1[[#This Row],[FECHA RADICADO ENTRADA]],"MMM"))</f>
        <v>FEB</v>
      </c>
      <c r="R148" s="10">
        <f t="shared" si="2"/>
        <v>-3</v>
      </c>
      <c r="S148" s="10" t="s">
        <v>2154</v>
      </c>
      <c r="U148" s="10" t="s">
        <v>2475</v>
      </c>
      <c r="V148" s="20">
        <v>43712</v>
      </c>
      <c r="W148" s="10" t="s">
        <v>63</v>
      </c>
      <c r="X148" s="10">
        <v>1000</v>
      </c>
      <c r="Y148" s="11">
        <f>IFERROR(INT(Tabla1[[#This Row],[CANTIDAD UND FARMACEUTICAS]]/(VLOOKUP(Tabla1[[#This Row],[MEDICAMENTO]],TAB_REF!$K$3:$L$27,2,0))),"")</f>
        <v>100</v>
      </c>
      <c r="Z148" s="10" t="str">
        <f>IFERROR(VLOOKUP(Tabla1[[#This Row],[MEDICAMENTO]],TAB_REF!$B$3:$F$27,2,0), "")</f>
        <v xml:space="preserve">Morfina HCl </v>
      </c>
      <c r="AA148" s="10" t="str">
        <f>IFERROR(VLOOKUP(Tabla1[[#This Row],[MEDICAMENTO]],TAB_REF!$B$3:$F$27,3,0), "")</f>
        <v xml:space="preserve">10 mg/mL </v>
      </c>
      <c r="AB148" s="10" t="str">
        <f>IFERROR(VLOOKUP(Tabla1[[#This Row],[MEDICAMENTO]],TAB_REF!$B$3:$F$27,4,0), "")</f>
        <v>Solución Inyectable</v>
      </c>
      <c r="AC148" s="10" t="str">
        <f>IFERROR(VLOOKUP(Tabla1[[#This Row],[MEDICAMENTO]],TAB_REF!$B$3:$F$27,5,0), "")</f>
        <v>Caja x 10 unidades</v>
      </c>
      <c r="AD148" s="10" t="str">
        <f>IFERROR(VLOOKUP(Tabla1[[#This Row],[CANTIDAD UND COMERCIALES]],TAB_REF!$H$3:$I$1003,2,0)&amp;" ("&amp;Tabla1[[#This Row],[CANTIDAD UND COMERCIALES]]&amp;")"&amp;"_"&amp;Tabla1[[#This Row],[CANTIDAD]],"")</f>
        <v>Cien (100)_Caja x 10 unidades</v>
      </c>
      <c r="AE148" s="31" t="e">
        <f>CONCATENATE([1]!Tabla1[[#This Row],[NOMBRE MED.]],[1]!Tabla1[[#This Row],[CONCENTRACION]],[1]!Tabla1[[#This Row],[FORMA FARMACEUTICA]])</f>
        <v>#REF!</v>
      </c>
    </row>
    <row r="149" spans="2:31" x14ac:dyDescent="0.25">
      <c r="B149" s="10">
        <v>55</v>
      </c>
      <c r="C149" s="10" t="s">
        <v>2469</v>
      </c>
      <c r="D149" s="10" t="s">
        <v>2175</v>
      </c>
      <c r="E149" s="10" t="s">
        <v>2471</v>
      </c>
      <c r="F149" s="10" t="s">
        <v>2479</v>
      </c>
      <c r="G149" s="10" t="s">
        <v>2472</v>
      </c>
      <c r="H149" s="22" t="s">
        <v>2473</v>
      </c>
      <c r="I149" s="10" t="s">
        <v>2129</v>
      </c>
      <c r="J149" s="10" t="s">
        <v>2011</v>
      </c>
      <c r="K149" s="10" t="s">
        <v>2474</v>
      </c>
      <c r="L149" s="11">
        <v>202124100175812</v>
      </c>
      <c r="M149" s="20">
        <v>44229</v>
      </c>
      <c r="N149" s="20" t="str">
        <f>UPPER(TEXT(Tabla1[[#This Row],[FECHA RADICADO ENTRADA]],"MMM"))</f>
        <v>FEB</v>
      </c>
      <c r="O149" s="11">
        <v>202124110184981</v>
      </c>
      <c r="P149" s="20">
        <v>44232</v>
      </c>
      <c r="Q149" s="20" t="str">
        <f>UPPER(TEXT(Tabla1[[#This Row],[FECHA RADICADO ENTRADA]],"MMM"))</f>
        <v>FEB</v>
      </c>
      <c r="R149" s="10">
        <f t="shared" si="2"/>
        <v>-3</v>
      </c>
      <c r="S149" s="10" t="s">
        <v>2154</v>
      </c>
      <c r="U149" s="10" t="s">
        <v>2475</v>
      </c>
      <c r="V149" s="20">
        <v>43712</v>
      </c>
      <c r="W149" s="10" t="s">
        <v>37</v>
      </c>
      <c r="X149" s="10">
        <v>2000</v>
      </c>
      <c r="Y149" s="11">
        <f>IFERROR(INT(Tabla1[[#This Row],[CANTIDAD UND FARMACEUTICAS]]/(VLOOKUP(Tabla1[[#This Row],[MEDICAMENTO]],TAB_REF!$K$3:$L$27,2,0))),"")</f>
        <v>200</v>
      </c>
      <c r="Z149" s="10" t="str">
        <f>IFERROR(VLOOKUP(Tabla1[[#This Row],[MEDICAMENTO]],TAB_REF!$B$3:$F$27,2,0), "")</f>
        <v xml:space="preserve">Hidromorfona HCl </v>
      </c>
      <c r="AA149" s="10" t="str">
        <f>IFERROR(VLOOKUP(Tabla1[[#This Row],[MEDICAMENTO]],TAB_REF!$B$3:$F$27,3,0), "")</f>
        <v xml:space="preserve">2 mg/mL </v>
      </c>
      <c r="AB149" s="10" t="str">
        <f>IFERROR(VLOOKUP(Tabla1[[#This Row],[MEDICAMENTO]],TAB_REF!$B$3:$F$27,4,0), "")</f>
        <v>Solución Inyectable</v>
      </c>
      <c r="AC149" s="10" t="str">
        <f>IFERROR(VLOOKUP(Tabla1[[#This Row],[MEDICAMENTO]],TAB_REF!$B$3:$F$27,5,0), "")</f>
        <v>Caja x 10 unidades</v>
      </c>
      <c r="AD149" s="10" t="str">
        <f>IFERROR(VLOOKUP(Tabla1[[#This Row],[CANTIDAD UND COMERCIALES]],TAB_REF!$H$3:$I$1003,2,0)&amp;" ("&amp;Tabla1[[#This Row],[CANTIDAD UND COMERCIALES]]&amp;")"&amp;"_"&amp;Tabla1[[#This Row],[CANTIDAD]],"")</f>
        <v>Doscientos (200)_Caja x 10 unidades</v>
      </c>
      <c r="AE149" s="31" t="e">
        <f>CONCATENATE([1]!Tabla1[[#This Row],[NOMBRE MED.]],[1]!Tabla1[[#This Row],[CONCENTRACION]],[1]!Tabla1[[#This Row],[FORMA FARMACEUTICA]])</f>
        <v>#REF!</v>
      </c>
    </row>
    <row r="150" spans="2:31" x14ac:dyDescent="0.25">
      <c r="B150" s="10">
        <v>56</v>
      </c>
      <c r="C150" s="10" t="s">
        <v>2476</v>
      </c>
      <c r="D150" s="10" t="s">
        <v>2175</v>
      </c>
      <c r="E150" s="10" t="s">
        <v>2477</v>
      </c>
      <c r="F150" s="3" t="s">
        <v>2478</v>
      </c>
      <c r="G150" s="10" t="s">
        <v>2480</v>
      </c>
      <c r="H150" s="10" t="s">
        <v>2481</v>
      </c>
      <c r="I150" s="10" t="s">
        <v>2116</v>
      </c>
      <c r="J150" s="10" t="s">
        <v>1550</v>
      </c>
      <c r="K150" s="10" t="s">
        <v>2482</v>
      </c>
      <c r="L150" s="11">
        <v>202124100179222</v>
      </c>
      <c r="M150" s="20">
        <v>44230</v>
      </c>
      <c r="N150" s="20" t="str">
        <f>UPPER(TEXT(Tabla1[[#This Row],[FECHA RADICADO ENTRADA]],"MMM"))</f>
        <v>FEB</v>
      </c>
      <c r="O150" s="11">
        <v>202124110205641</v>
      </c>
      <c r="P150" s="20">
        <v>44236</v>
      </c>
      <c r="Q150" s="20" t="str">
        <f>UPPER(TEXT(Tabla1[[#This Row],[FECHA RADICADO ENTRADA]],"MMM"))</f>
        <v>FEB</v>
      </c>
      <c r="R150" s="10">
        <f t="shared" si="2"/>
        <v>-6</v>
      </c>
      <c r="S150" s="10" t="s">
        <v>2154</v>
      </c>
      <c r="U150" s="10" t="s">
        <v>2483</v>
      </c>
      <c r="V150" s="20">
        <v>43256</v>
      </c>
      <c r="W150" s="10" t="s">
        <v>63</v>
      </c>
      <c r="X150" s="10">
        <v>400</v>
      </c>
      <c r="Y150" s="11">
        <f>IFERROR(INT(Tabla1[[#This Row],[CANTIDAD UND FARMACEUTICAS]]/(VLOOKUP(Tabla1[[#This Row],[MEDICAMENTO]],TAB_REF!$K$3:$L$27,2,0))),"")</f>
        <v>40</v>
      </c>
      <c r="Z150" s="10" t="str">
        <f>IFERROR(VLOOKUP(Tabla1[[#This Row],[MEDICAMENTO]],TAB_REF!$B$3:$F$27,2,0), "")</f>
        <v xml:space="preserve">Morfina HCl </v>
      </c>
      <c r="AA150" s="10" t="str">
        <f>IFERROR(VLOOKUP(Tabla1[[#This Row],[MEDICAMENTO]],TAB_REF!$B$3:$F$27,3,0), "")</f>
        <v xml:space="preserve">10 mg/mL </v>
      </c>
      <c r="AB150" s="10" t="str">
        <f>IFERROR(VLOOKUP(Tabla1[[#This Row],[MEDICAMENTO]],TAB_REF!$B$3:$F$27,4,0), "")</f>
        <v>Solución Inyectable</v>
      </c>
      <c r="AC150" s="10" t="str">
        <f>IFERROR(VLOOKUP(Tabla1[[#This Row],[MEDICAMENTO]],TAB_REF!$B$3:$F$27,5,0), "")</f>
        <v>Caja x 10 unidades</v>
      </c>
      <c r="AD150" s="10" t="str">
        <f>IFERROR(VLOOKUP(Tabla1[[#This Row],[CANTIDAD UND COMERCIALES]],TAB_REF!$H$3:$I$1003,2,0)&amp;" ("&amp;Tabla1[[#This Row],[CANTIDAD UND COMERCIALES]]&amp;")"&amp;"_"&amp;Tabla1[[#This Row],[CANTIDAD]],"")</f>
        <v>Cuarenta (40)_Caja x 10 unidades</v>
      </c>
      <c r="AE150" s="31" t="e">
        <f>CONCATENATE([1]!Tabla1[[#This Row],[NOMBRE MED.]],[1]!Tabla1[[#This Row],[CONCENTRACION]],[1]!Tabla1[[#This Row],[FORMA FARMACEUTICA]])</f>
        <v>#REF!</v>
      </c>
    </row>
    <row r="151" spans="2:31" x14ac:dyDescent="0.25">
      <c r="B151" s="10">
        <v>56</v>
      </c>
      <c r="C151" s="10" t="s">
        <v>2476</v>
      </c>
      <c r="D151" s="10" t="s">
        <v>2175</v>
      </c>
      <c r="E151" s="10" t="s">
        <v>2477</v>
      </c>
      <c r="F151" s="3" t="s">
        <v>2478</v>
      </c>
      <c r="G151" s="10" t="s">
        <v>2480</v>
      </c>
      <c r="H151" s="10" t="s">
        <v>2481</v>
      </c>
      <c r="I151" s="10" t="s">
        <v>2116</v>
      </c>
      <c r="J151" s="10" t="s">
        <v>1550</v>
      </c>
      <c r="K151" s="10" t="s">
        <v>2482</v>
      </c>
      <c r="L151" s="11">
        <v>202124100179222</v>
      </c>
      <c r="M151" s="20">
        <v>44230</v>
      </c>
      <c r="N151" s="20" t="str">
        <f>UPPER(TEXT(Tabla1[[#This Row],[FECHA RADICADO ENTRADA]],"MMM"))</f>
        <v>FEB</v>
      </c>
      <c r="O151" s="11">
        <v>202124110205641</v>
      </c>
      <c r="P151" s="20">
        <v>44236</v>
      </c>
      <c r="Q151" s="20" t="str">
        <f>UPPER(TEXT(Tabla1[[#This Row],[FECHA RADICADO ENTRADA]],"MMM"))</f>
        <v>FEB</v>
      </c>
      <c r="R151" s="10">
        <f t="shared" si="2"/>
        <v>-6</v>
      </c>
      <c r="S151" s="10" t="s">
        <v>2154</v>
      </c>
      <c r="U151" s="10" t="s">
        <v>2483</v>
      </c>
      <c r="V151" s="20">
        <v>43256</v>
      </c>
      <c r="W151" s="10" t="s">
        <v>41</v>
      </c>
      <c r="X151" s="10">
        <v>150</v>
      </c>
      <c r="Y151" s="11">
        <f>IFERROR(INT(Tabla1[[#This Row],[CANTIDAD UND FARMACEUTICAS]]/(VLOOKUP(Tabla1[[#This Row],[MEDICAMENTO]],TAB_REF!$K$3:$L$27,2,0))),"")</f>
        <v>15</v>
      </c>
      <c r="Z151" s="10" t="str">
        <f>IFERROR(VLOOKUP(Tabla1[[#This Row],[MEDICAMENTO]],TAB_REF!$B$3:$F$27,2,0), "")</f>
        <v xml:space="preserve">Meperidina HCl </v>
      </c>
      <c r="AA151" s="10" t="str">
        <f>IFERROR(VLOOKUP(Tabla1[[#This Row],[MEDICAMENTO]],TAB_REF!$B$3:$F$27,3,0), "")</f>
        <v xml:space="preserve">100 mg/2mL </v>
      </c>
      <c r="AB151" s="10" t="str">
        <f>IFERROR(VLOOKUP(Tabla1[[#This Row],[MEDICAMENTO]],TAB_REF!$B$3:$F$27,4,0), "")</f>
        <v>Solución Inyectable</v>
      </c>
      <c r="AC151" s="10" t="str">
        <f>IFERROR(VLOOKUP(Tabla1[[#This Row],[MEDICAMENTO]],TAB_REF!$B$3:$F$27,5,0), "")</f>
        <v>Caja 10 ampollas</v>
      </c>
      <c r="AD151" s="10" t="str">
        <f>IFERROR(VLOOKUP(Tabla1[[#This Row],[CANTIDAD UND COMERCIALES]],TAB_REF!$H$3:$I$1003,2,0)&amp;" ("&amp;Tabla1[[#This Row],[CANTIDAD UND COMERCIALES]]&amp;")"&amp;"_"&amp;Tabla1[[#This Row],[CANTIDAD]],"")</f>
        <v>Quince (15)_Caja 10 ampollas</v>
      </c>
      <c r="AE151" s="31" t="e">
        <f>CONCATENATE([1]!Tabla1[[#This Row],[NOMBRE MED.]],[1]!Tabla1[[#This Row],[CONCENTRACION]],[1]!Tabla1[[#This Row],[FORMA FARMACEUTICA]])</f>
        <v>#REF!</v>
      </c>
    </row>
    <row r="152" spans="2:31" x14ac:dyDescent="0.25">
      <c r="B152" s="10">
        <v>57</v>
      </c>
      <c r="C152" s="10" t="s">
        <v>2484</v>
      </c>
      <c r="D152" s="10" t="s">
        <v>2485</v>
      </c>
      <c r="E152" s="10" t="s">
        <v>2486</v>
      </c>
      <c r="F152" s="10" t="s">
        <v>2487</v>
      </c>
      <c r="G152" s="10" t="s">
        <v>2488</v>
      </c>
      <c r="H152" s="10" t="s">
        <v>2489</v>
      </c>
      <c r="I152" s="10" t="s">
        <v>2129</v>
      </c>
      <c r="J152" s="10" t="s">
        <v>2011</v>
      </c>
      <c r="K152" s="10" t="s">
        <v>2490</v>
      </c>
      <c r="L152" s="11">
        <v>202124100179602</v>
      </c>
      <c r="M152" s="20">
        <v>44230</v>
      </c>
      <c r="N152" s="20" t="str">
        <f>UPPER(TEXT(Tabla1[[#This Row],[FECHA RADICADO ENTRADA]],"MMM"))</f>
        <v>FEB</v>
      </c>
      <c r="O152" s="11">
        <v>202124110205681</v>
      </c>
      <c r="P152" s="20">
        <v>44236</v>
      </c>
      <c r="Q152" s="20" t="str">
        <f>UPPER(TEXT(Tabla1[[#This Row],[FECHA RADICADO ENTRADA]],"MMM"))</f>
        <v>FEB</v>
      </c>
      <c r="R152" s="10">
        <f t="shared" si="2"/>
        <v>-6</v>
      </c>
      <c r="S152" s="10" t="s">
        <v>2154</v>
      </c>
      <c r="U152" s="10" t="s">
        <v>2491</v>
      </c>
      <c r="V152" s="20">
        <v>43881</v>
      </c>
      <c r="W152" s="10" t="s">
        <v>41</v>
      </c>
      <c r="X152" s="10">
        <v>500</v>
      </c>
      <c r="Y152" s="11">
        <f>IFERROR(INT(Tabla1[[#This Row],[CANTIDAD UND FARMACEUTICAS]]/(VLOOKUP(Tabla1[[#This Row],[MEDICAMENTO]],TAB_REF!$K$3:$L$27,2,0))),"")</f>
        <v>50</v>
      </c>
      <c r="Z152" s="10" t="str">
        <f>IFERROR(VLOOKUP(Tabla1[[#This Row],[MEDICAMENTO]],TAB_REF!$B$3:$F$27,2,0), "")</f>
        <v xml:space="preserve">Meperidina HCl </v>
      </c>
      <c r="AA152" s="10" t="str">
        <f>IFERROR(VLOOKUP(Tabla1[[#This Row],[MEDICAMENTO]],TAB_REF!$B$3:$F$27,3,0), "")</f>
        <v xml:space="preserve">100 mg/2mL </v>
      </c>
      <c r="AB152" s="10" t="str">
        <f>IFERROR(VLOOKUP(Tabla1[[#This Row],[MEDICAMENTO]],TAB_REF!$B$3:$F$27,4,0), "")</f>
        <v>Solución Inyectable</v>
      </c>
      <c r="AC152" s="10" t="str">
        <f>IFERROR(VLOOKUP(Tabla1[[#This Row],[MEDICAMENTO]],TAB_REF!$B$3:$F$27,5,0), "")</f>
        <v>Caja 10 ampollas</v>
      </c>
      <c r="AD152" s="10" t="str">
        <f>IFERROR(VLOOKUP(Tabla1[[#This Row],[CANTIDAD UND COMERCIALES]],TAB_REF!$H$3:$I$1003,2,0)&amp;" ("&amp;Tabla1[[#This Row],[CANTIDAD UND COMERCIALES]]&amp;")"&amp;"_"&amp;Tabla1[[#This Row],[CANTIDAD]],"")</f>
        <v>Cincuenta (50)_Caja 10 ampollas</v>
      </c>
      <c r="AE152" s="31" t="e">
        <f>CONCATENATE([1]!Tabla1[[#This Row],[NOMBRE MED.]],[1]!Tabla1[[#This Row],[CONCENTRACION]],[1]!Tabla1[[#This Row],[FORMA FARMACEUTICA]])</f>
        <v>#REF!</v>
      </c>
    </row>
    <row r="153" spans="2:31" x14ac:dyDescent="0.25">
      <c r="B153" s="10">
        <v>58</v>
      </c>
      <c r="C153" s="10" t="s">
        <v>2492</v>
      </c>
      <c r="D153" s="10" t="s">
        <v>2162</v>
      </c>
      <c r="E153" s="10" t="s">
        <v>2493</v>
      </c>
      <c r="F153" s="10" t="s">
        <v>2494</v>
      </c>
      <c r="G153" s="10" t="s">
        <v>2495</v>
      </c>
      <c r="H153" s="10" t="s">
        <v>2496</v>
      </c>
      <c r="I153" s="10" t="s">
        <v>2122</v>
      </c>
      <c r="J153" s="10" t="s">
        <v>1742</v>
      </c>
      <c r="K153" s="10" t="s">
        <v>2497</v>
      </c>
      <c r="L153" s="11">
        <v>202124100186302</v>
      </c>
      <c r="M153" s="20">
        <v>44231</v>
      </c>
      <c r="N153" s="20" t="str">
        <f>UPPER(TEXT(Tabla1[[#This Row],[FECHA RADICADO ENTRADA]],"MMM"))</f>
        <v>FEB</v>
      </c>
      <c r="O153" s="11">
        <v>202124110205981</v>
      </c>
      <c r="P153" s="20">
        <v>44236</v>
      </c>
      <c r="Q153" s="20" t="str">
        <f>UPPER(TEXT(Tabla1[[#This Row],[FECHA RADICADO ENTRADA]],"MMM"))</f>
        <v>FEB</v>
      </c>
      <c r="R153" s="10">
        <f t="shared" si="2"/>
        <v>-5</v>
      </c>
      <c r="S153" s="10" t="s">
        <v>2154</v>
      </c>
      <c r="U153" s="10" t="s">
        <v>2498</v>
      </c>
      <c r="V153" s="20">
        <v>43620</v>
      </c>
      <c r="W153" s="10" t="s">
        <v>63</v>
      </c>
      <c r="X153" s="10">
        <v>100</v>
      </c>
      <c r="Y153" s="11">
        <f>IFERROR(INT(Tabla1[[#This Row],[CANTIDAD UND FARMACEUTICAS]]/(VLOOKUP(Tabla1[[#This Row],[MEDICAMENTO]],TAB_REF!$K$3:$L$27,2,0))),"")</f>
        <v>10</v>
      </c>
      <c r="Z153" s="10" t="str">
        <f>IFERROR(VLOOKUP(Tabla1[[#This Row],[MEDICAMENTO]],TAB_REF!$B$3:$F$27,2,0), "")</f>
        <v xml:space="preserve">Morfina HCl </v>
      </c>
      <c r="AA153" s="10" t="str">
        <f>IFERROR(VLOOKUP(Tabla1[[#This Row],[MEDICAMENTO]],TAB_REF!$B$3:$F$27,3,0), "")</f>
        <v xml:space="preserve">10 mg/mL </v>
      </c>
      <c r="AB153" s="10" t="str">
        <f>IFERROR(VLOOKUP(Tabla1[[#This Row],[MEDICAMENTO]],TAB_REF!$B$3:$F$27,4,0), "")</f>
        <v>Solución Inyectable</v>
      </c>
      <c r="AC153" s="10" t="str">
        <f>IFERROR(VLOOKUP(Tabla1[[#This Row],[MEDICAMENTO]],TAB_REF!$B$3:$F$27,5,0), "")</f>
        <v>Caja x 10 unidades</v>
      </c>
      <c r="AD153" s="10" t="str">
        <f>IFERROR(VLOOKUP(Tabla1[[#This Row],[CANTIDAD UND COMERCIALES]],TAB_REF!$H$3:$I$1003,2,0)&amp;" ("&amp;Tabla1[[#This Row],[CANTIDAD UND COMERCIALES]]&amp;")"&amp;"_"&amp;Tabla1[[#This Row],[CANTIDAD]],"")</f>
        <v>Diez (10)_Caja x 10 unidades</v>
      </c>
      <c r="AE153" s="31" t="e">
        <f>CONCATENATE([1]!Tabla1[[#This Row],[NOMBRE MED.]],[1]!Tabla1[[#This Row],[CONCENTRACION]],[1]!Tabla1[[#This Row],[FORMA FARMACEUTICA]])</f>
        <v>#REF!</v>
      </c>
    </row>
    <row r="154" spans="2:31" x14ac:dyDescent="0.25">
      <c r="B154" s="10">
        <v>58</v>
      </c>
      <c r="C154" s="10" t="s">
        <v>2492</v>
      </c>
      <c r="D154" s="10" t="s">
        <v>2162</v>
      </c>
      <c r="E154" s="10" t="s">
        <v>2493</v>
      </c>
      <c r="F154" s="10" t="s">
        <v>2494</v>
      </c>
      <c r="G154" s="10" t="s">
        <v>2495</v>
      </c>
      <c r="H154" s="10" t="s">
        <v>2496</v>
      </c>
      <c r="I154" s="10" t="s">
        <v>2122</v>
      </c>
      <c r="J154" s="10" t="s">
        <v>1742</v>
      </c>
      <c r="K154" s="10" t="s">
        <v>2497</v>
      </c>
      <c r="L154" s="11">
        <v>202124100186302</v>
      </c>
      <c r="M154" s="20">
        <v>44231</v>
      </c>
      <c r="N154" s="20" t="str">
        <f>UPPER(TEXT(Tabla1[[#This Row],[FECHA RADICADO ENTRADA]],"MMM"))</f>
        <v>FEB</v>
      </c>
      <c r="O154" s="11">
        <v>202124110205981</v>
      </c>
      <c r="P154" s="20">
        <v>44236</v>
      </c>
      <c r="Q154" s="20" t="str">
        <f>UPPER(TEXT(Tabla1[[#This Row],[FECHA RADICADO ENTRADA]],"MMM"))</f>
        <v>FEB</v>
      </c>
      <c r="R154" s="10">
        <f t="shared" si="2"/>
        <v>-5</v>
      </c>
      <c r="S154" s="10" t="s">
        <v>2154</v>
      </c>
      <c r="U154" s="10" t="s">
        <v>2498</v>
      </c>
      <c r="V154" s="20">
        <v>43620</v>
      </c>
      <c r="W154" s="10" t="s">
        <v>41</v>
      </c>
      <c r="X154" s="10">
        <v>100</v>
      </c>
      <c r="Y154" s="11">
        <f>IFERROR(INT(Tabla1[[#This Row],[CANTIDAD UND FARMACEUTICAS]]/(VLOOKUP(Tabla1[[#This Row],[MEDICAMENTO]],TAB_REF!$K$3:$L$27,2,0))),"")</f>
        <v>10</v>
      </c>
      <c r="Z154" s="10" t="str">
        <f>IFERROR(VLOOKUP(Tabla1[[#This Row],[MEDICAMENTO]],TAB_REF!$B$3:$F$27,2,0), "")</f>
        <v xml:space="preserve">Meperidina HCl </v>
      </c>
      <c r="AA154" s="10" t="str">
        <f>IFERROR(VLOOKUP(Tabla1[[#This Row],[MEDICAMENTO]],TAB_REF!$B$3:$F$27,3,0), "")</f>
        <v xml:space="preserve">100 mg/2mL </v>
      </c>
      <c r="AB154" s="10" t="str">
        <f>IFERROR(VLOOKUP(Tabla1[[#This Row],[MEDICAMENTO]],TAB_REF!$B$3:$F$27,4,0), "")</f>
        <v>Solución Inyectable</v>
      </c>
      <c r="AC154" s="10" t="str">
        <f>IFERROR(VLOOKUP(Tabla1[[#This Row],[MEDICAMENTO]],TAB_REF!$B$3:$F$27,5,0), "")</f>
        <v>Caja 10 ampollas</v>
      </c>
      <c r="AD154" s="10" t="str">
        <f>IFERROR(VLOOKUP(Tabla1[[#This Row],[CANTIDAD UND COMERCIALES]],TAB_REF!$H$3:$I$1003,2,0)&amp;" ("&amp;Tabla1[[#This Row],[CANTIDAD UND COMERCIALES]]&amp;")"&amp;"_"&amp;Tabla1[[#This Row],[CANTIDAD]],"")</f>
        <v>Diez (10)_Caja 10 ampollas</v>
      </c>
      <c r="AE154" s="31" t="e">
        <f>CONCATENATE([1]!Tabla1[[#This Row],[NOMBRE MED.]],[1]!Tabla1[[#This Row],[CONCENTRACION]],[1]!Tabla1[[#This Row],[FORMA FARMACEUTICA]])</f>
        <v>#REF!</v>
      </c>
    </row>
    <row r="155" spans="2:31" x14ac:dyDescent="0.25">
      <c r="B155" s="10">
        <v>59</v>
      </c>
      <c r="C155" s="10" t="s">
        <v>2499</v>
      </c>
      <c r="D155" s="10" t="s">
        <v>2312</v>
      </c>
      <c r="E155" s="10" t="s">
        <v>2500</v>
      </c>
      <c r="F155" s="10" t="s">
        <v>2501</v>
      </c>
      <c r="G155" s="10" t="s">
        <v>2502</v>
      </c>
      <c r="H155" s="10" t="s">
        <v>2503</v>
      </c>
      <c r="I155" s="10" t="s">
        <v>2123</v>
      </c>
      <c r="J155" s="10" t="s">
        <v>1770</v>
      </c>
      <c r="K155" s="10" t="s">
        <v>2504</v>
      </c>
      <c r="L155" s="11">
        <v>202124100189372</v>
      </c>
      <c r="M155" s="20">
        <v>44231</v>
      </c>
      <c r="N155" s="20" t="str">
        <f>UPPER(TEXT(Tabla1[[#This Row],[FECHA RADICADO ENTRADA]],"MMM"))</f>
        <v>FEB</v>
      </c>
      <c r="O155" s="11">
        <v>202124110205991</v>
      </c>
      <c r="P155" s="20">
        <v>44236</v>
      </c>
      <c r="Q155" s="20" t="str">
        <f>UPPER(TEXT(Tabla1[[#This Row],[FECHA RADICADO ENTRADA]],"MMM"))</f>
        <v>FEB</v>
      </c>
      <c r="R155" s="10">
        <f t="shared" si="2"/>
        <v>-5</v>
      </c>
      <c r="S155" s="10" t="s">
        <v>2154</v>
      </c>
      <c r="U155" s="10" t="s">
        <v>2505</v>
      </c>
      <c r="V155" s="20">
        <v>44070</v>
      </c>
      <c r="W155" s="10" t="s">
        <v>41</v>
      </c>
      <c r="X155" s="10">
        <v>400</v>
      </c>
      <c r="Y155" s="11">
        <f>IFERROR(INT(Tabla1[[#This Row],[CANTIDAD UND FARMACEUTICAS]]/(VLOOKUP(Tabla1[[#This Row],[MEDICAMENTO]],TAB_REF!$K$3:$L$27,2,0))),"")</f>
        <v>40</v>
      </c>
      <c r="Z155" s="10" t="str">
        <f>IFERROR(VLOOKUP(Tabla1[[#This Row],[MEDICAMENTO]],TAB_REF!$B$3:$F$27,2,0), "")</f>
        <v xml:space="preserve">Meperidina HCl </v>
      </c>
      <c r="AA155" s="10" t="str">
        <f>IFERROR(VLOOKUP(Tabla1[[#This Row],[MEDICAMENTO]],TAB_REF!$B$3:$F$27,3,0), "")</f>
        <v xml:space="preserve">100 mg/2mL </v>
      </c>
      <c r="AB155" s="10" t="str">
        <f>IFERROR(VLOOKUP(Tabla1[[#This Row],[MEDICAMENTO]],TAB_REF!$B$3:$F$27,4,0), "")</f>
        <v>Solución Inyectable</v>
      </c>
      <c r="AC155" s="10" t="str">
        <f>IFERROR(VLOOKUP(Tabla1[[#This Row],[MEDICAMENTO]],TAB_REF!$B$3:$F$27,5,0), "")</f>
        <v>Caja 10 ampollas</v>
      </c>
      <c r="AD155" s="10" t="str">
        <f>IFERROR(VLOOKUP(Tabla1[[#This Row],[CANTIDAD UND COMERCIALES]],TAB_REF!$H$3:$I$1003,2,0)&amp;" ("&amp;Tabla1[[#This Row],[CANTIDAD UND COMERCIALES]]&amp;")"&amp;"_"&amp;Tabla1[[#This Row],[CANTIDAD]],"")</f>
        <v>Cuarenta (40)_Caja 10 ampollas</v>
      </c>
      <c r="AE155" s="31" t="e">
        <f>CONCATENATE([1]!Tabla1[[#This Row],[NOMBRE MED.]],[1]!Tabla1[[#This Row],[CONCENTRACION]],[1]!Tabla1[[#This Row],[FORMA FARMACEUTICA]])</f>
        <v>#REF!</v>
      </c>
    </row>
    <row r="156" spans="2:31" x14ac:dyDescent="0.25">
      <c r="B156" s="10">
        <v>59</v>
      </c>
      <c r="C156" s="10" t="s">
        <v>2499</v>
      </c>
      <c r="D156" s="10" t="s">
        <v>2312</v>
      </c>
      <c r="E156" s="10" t="s">
        <v>2500</v>
      </c>
      <c r="F156" s="10" t="s">
        <v>2501</v>
      </c>
      <c r="G156" s="10" t="s">
        <v>2502</v>
      </c>
      <c r="H156" s="10" t="s">
        <v>2503</v>
      </c>
      <c r="I156" s="10" t="s">
        <v>2123</v>
      </c>
      <c r="J156" s="10" t="s">
        <v>1770</v>
      </c>
      <c r="K156" s="10" t="s">
        <v>2504</v>
      </c>
      <c r="L156" s="11">
        <v>202124100189372</v>
      </c>
      <c r="M156" s="20">
        <v>44231</v>
      </c>
      <c r="N156" s="20" t="str">
        <f>UPPER(TEXT(Tabla1[[#This Row],[FECHA RADICADO ENTRADA]],"MMM"))</f>
        <v>FEB</v>
      </c>
      <c r="O156" s="11">
        <v>202124110205991</v>
      </c>
      <c r="P156" s="20">
        <v>44236</v>
      </c>
      <c r="Q156" s="20" t="str">
        <f>UPPER(TEXT(Tabla1[[#This Row],[FECHA RADICADO ENTRADA]],"MMM"))</f>
        <v>FEB</v>
      </c>
      <c r="R156" s="10">
        <f t="shared" si="2"/>
        <v>-5</v>
      </c>
      <c r="S156" s="10" t="s">
        <v>2154</v>
      </c>
      <c r="U156" s="10" t="s">
        <v>2505</v>
      </c>
      <c r="V156" s="20">
        <v>44070</v>
      </c>
      <c r="W156" s="10" t="s">
        <v>63</v>
      </c>
      <c r="X156" s="10">
        <v>800</v>
      </c>
      <c r="Y156" s="11">
        <f>IFERROR(INT(Tabla1[[#This Row],[CANTIDAD UND FARMACEUTICAS]]/(VLOOKUP(Tabla1[[#This Row],[MEDICAMENTO]],TAB_REF!$K$3:$L$27,2,0))),"")</f>
        <v>80</v>
      </c>
      <c r="Z156" s="10" t="str">
        <f>IFERROR(VLOOKUP(Tabla1[[#This Row],[MEDICAMENTO]],TAB_REF!$B$3:$F$27,2,0), "")</f>
        <v xml:space="preserve">Morfina HCl </v>
      </c>
      <c r="AA156" s="10" t="str">
        <f>IFERROR(VLOOKUP(Tabla1[[#This Row],[MEDICAMENTO]],TAB_REF!$B$3:$F$27,3,0), "")</f>
        <v xml:space="preserve">10 mg/mL </v>
      </c>
      <c r="AB156" s="10" t="str">
        <f>IFERROR(VLOOKUP(Tabla1[[#This Row],[MEDICAMENTO]],TAB_REF!$B$3:$F$27,4,0), "")</f>
        <v>Solución Inyectable</v>
      </c>
      <c r="AC156" s="10" t="str">
        <f>IFERROR(VLOOKUP(Tabla1[[#This Row],[MEDICAMENTO]],TAB_REF!$B$3:$F$27,5,0), "")</f>
        <v>Caja x 10 unidades</v>
      </c>
      <c r="AD156" s="10" t="str">
        <f>IFERROR(VLOOKUP(Tabla1[[#This Row],[CANTIDAD UND COMERCIALES]],TAB_REF!$H$3:$I$1003,2,0)&amp;" ("&amp;Tabla1[[#This Row],[CANTIDAD UND COMERCIALES]]&amp;")"&amp;"_"&amp;Tabla1[[#This Row],[CANTIDAD]],"")</f>
        <v>Ochenta (80)_Caja x 10 unidades</v>
      </c>
      <c r="AE156" s="31" t="e">
        <f>CONCATENATE([1]!Tabla1[[#This Row],[NOMBRE MED.]],[1]!Tabla1[[#This Row],[CONCENTRACION]],[1]!Tabla1[[#This Row],[FORMA FARMACEUTICA]])</f>
        <v>#REF!</v>
      </c>
    </row>
    <row r="157" spans="2:31" x14ac:dyDescent="0.25">
      <c r="B157" s="10">
        <v>60</v>
      </c>
      <c r="C157" s="10" t="s">
        <v>2506</v>
      </c>
      <c r="D157" s="10" t="s">
        <v>2507</v>
      </c>
      <c r="E157" s="10" t="s">
        <v>2156</v>
      </c>
      <c r="F157" s="10" t="s">
        <v>2157</v>
      </c>
      <c r="G157" s="10" t="s">
        <v>2158</v>
      </c>
      <c r="H157" s="10" t="s">
        <v>2159</v>
      </c>
      <c r="I157" s="10" t="s">
        <v>2110</v>
      </c>
      <c r="J157" s="10" t="s">
        <v>1235</v>
      </c>
      <c r="K157" s="10" t="s">
        <v>2508</v>
      </c>
      <c r="L157" s="11">
        <v>202124100190902</v>
      </c>
      <c r="M157" s="20">
        <v>44231</v>
      </c>
      <c r="N157" s="20" t="str">
        <f>UPPER(TEXT(Tabla1[[#This Row],[FECHA RADICADO ENTRADA]],"MMM"))</f>
        <v>FEB</v>
      </c>
      <c r="O157" s="11">
        <v>202124110206011</v>
      </c>
      <c r="P157" s="20">
        <v>44236</v>
      </c>
      <c r="Q157" s="20" t="str">
        <f>UPPER(TEXT(Tabla1[[#This Row],[FECHA RADICADO ENTRADA]],"MMM"))</f>
        <v>FEB</v>
      </c>
      <c r="R157" s="10">
        <f t="shared" si="2"/>
        <v>-5</v>
      </c>
      <c r="S157" s="10" t="s">
        <v>2154</v>
      </c>
      <c r="U157" s="10" t="s">
        <v>2160</v>
      </c>
      <c r="V157" s="20">
        <v>42710</v>
      </c>
      <c r="W157" s="10" t="s">
        <v>63</v>
      </c>
      <c r="X157" s="10">
        <v>150</v>
      </c>
      <c r="Y157" s="11">
        <f>IFERROR(INT(Tabla1[[#This Row],[CANTIDAD UND FARMACEUTICAS]]/(VLOOKUP(Tabla1[[#This Row],[MEDICAMENTO]],TAB_REF!$K$3:$L$27,2,0))),"")</f>
        <v>15</v>
      </c>
      <c r="Z157" s="10" t="str">
        <f>IFERROR(VLOOKUP(Tabla1[[#This Row],[MEDICAMENTO]],TAB_REF!$B$3:$F$27,2,0), "")</f>
        <v xml:space="preserve">Morfina HCl </v>
      </c>
      <c r="AA157" s="10" t="str">
        <f>IFERROR(VLOOKUP(Tabla1[[#This Row],[MEDICAMENTO]],TAB_REF!$B$3:$F$27,3,0), "")</f>
        <v xml:space="preserve">10 mg/mL </v>
      </c>
      <c r="AB157" s="10" t="str">
        <f>IFERROR(VLOOKUP(Tabla1[[#This Row],[MEDICAMENTO]],TAB_REF!$B$3:$F$27,4,0), "")</f>
        <v>Solución Inyectable</v>
      </c>
      <c r="AC157" s="10" t="str">
        <f>IFERROR(VLOOKUP(Tabla1[[#This Row],[MEDICAMENTO]],TAB_REF!$B$3:$F$27,5,0), "")</f>
        <v>Caja x 10 unidades</v>
      </c>
      <c r="AD157" s="10" t="str">
        <f>IFERROR(VLOOKUP(Tabla1[[#This Row],[CANTIDAD UND COMERCIALES]],TAB_REF!$H$3:$I$1003,2,0)&amp;" ("&amp;Tabla1[[#This Row],[CANTIDAD UND COMERCIALES]]&amp;")"&amp;"_"&amp;Tabla1[[#This Row],[CANTIDAD]],"")</f>
        <v>Quince (15)_Caja x 10 unidades</v>
      </c>
      <c r="AE157" s="31" t="e">
        <f>CONCATENATE([1]!Tabla1[[#This Row],[NOMBRE MED.]],[1]!Tabla1[[#This Row],[CONCENTRACION]],[1]!Tabla1[[#This Row],[FORMA FARMACEUTICA]])</f>
        <v>#REF!</v>
      </c>
    </row>
    <row r="158" spans="2:31" x14ac:dyDescent="0.25">
      <c r="B158" s="10">
        <v>60</v>
      </c>
      <c r="C158" s="10" t="s">
        <v>2506</v>
      </c>
      <c r="D158" s="10" t="s">
        <v>2507</v>
      </c>
      <c r="E158" s="10" t="s">
        <v>2156</v>
      </c>
      <c r="F158" s="10" t="s">
        <v>2157</v>
      </c>
      <c r="G158" s="10" t="s">
        <v>2158</v>
      </c>
      <c r="H158" s="10" t="s">
        <v>2159</v>
      </c>
      <c r="I158" s="10" t="s">
        <v>2110</v>
      </c>
      <c r="J158" s="10" t="s">
        <v>1235</v>
      </c>
      <c r="K158" s="10" t="s">
        <v>2508</v>
      </c>
      <c r="L158" s="11">
        <v>202124100190902</v>
      </c>
      <c r="M158" s="20">
        <v>44231</v>
      </c>
      <c r="N158" s="20" t="str">
        <f>UPPER(TEXT(Tabla1[[#This Row],[FECHA RADICADO ENTRADA]],"MMM"))</f>
        <v>FEB</v>
      </c>
      <c r="O158" s="11">
        <v>202124110206011</v>
      </c>
      <c r="P158" s="20">
        <v>44236</v>
      </c>
      <c r="Q158" s="20" t="str">
        <f>UPPER(TEXT(Tabla1[[#This Row],[FECHA RADICADO ENTRADA]],"MMM"))</f>
        <v>FEB</v>
      </c>
      <c r="R158" s="10">
        <f t="shared" si="2"/>
        <v>-5</v>
      </c>
      <c r="S158" s="10" t="s">
        <v>2154</v>
      </c>
      <c r="U158" s="10" t="s">
        <v>2160</v>
      </c>
      <c r="V158" s="20">
        <v>42710</v>
      </c>
      <c r="W158" s="10" t="s">
        <v>37</v>
      </c>
      <c r="X158" s="10">
        <v>50</v>
      </c>
      <c r="Y158" s="11">
        <f>IFERROR(INT(Tabla1[[#This Row],[CANTIDAD UND FARMACEUTICAS]]/(VLOOKUP(Tabla1[[#This Row],[MEDICAMENTO]],TAB_REF!$K$3:$L$27,2,0))),"")</f>
        <v>5</v>
      </c>
      <c r="Z158" s="10" t="str">
        <f>IFERROR(VLOOKUP(Tabla1[[#This Row],[MEDICAMENTO]],TAB_REF!$B$3:$F$27,2,0), "")</f>
        <v xml:space="preserve">Hidromorfona HCl </v>
      </c>
      <c r="AA158" s="10" t="str">
        <f>IFERROR(VLOOKUP(Tabla1[[#This Row],[MEDICAMENTO]],TAB_REF!$B$3:$F$27,3,0), "")</f>
        <v xml:space="preserve">2 mg/mL </v>
      </c>
      <c r="AB158" s="10" t="str">
        <f>IFERROR(VLOOKUP(Tabla1[[#This Row],[MEDICAMENTO]],TAB_REF!$B$3:$F$27,4,0), "")</f>
        <v>Solución Inyectable</v>
      </c>
      <c r="AC158" s="10" t="str">
        <f>IFERROR(VLOOKUP(Tabla1[[#This Row],[MEDICAMENTO]],TAB_REF!$B$3:$F$27,5,0), "")</f>
        <v>Caja x 10 unidades</v>
      </c>
      <c r="AD158" s="10" t="str">
        <f>IFERROR(VLOOKUP(Tabla1[[#This Row],[CANTIDAD UND COMERCIALES]],TAB_REF!$H$3:$I$1003,2,0)&amp;" ("&amp;Tabla1[[#This Row],[CANTIDAD UND COMERCIALES]]&amp;")"&amp;"_"&amp;Tabla1[[#This Row],[CANTIDAD]],"")</f>
        <v>Cinco (5)_Caja x 10 unidades</v>
      </c>
      <c r="AE158" s="31" t="e">
        <f>CONCATENATE([1]!Tabla1[[#This Row],[NOMBRE MED.]],[1]!Tabla1[[#This Row],[CONCENTRACION]],[1]!Tabla1[[#This Row],[FORMA FARMACEUTICA]])</f>
        <v>#REF!</v>
      </c>
    </row>
    <row r="159" spans="2:31" x14ac:dyDescent="0.25">
      <c r="B159" s="10">
        <v>61</v>
      </c>
      <c r="C159" s="10" t="s">
        <v>2509</v>
      </c>
      <c r="D159" s="10" t="s">
        <v>2312</v>
      </c>
      <c r="E159" s="10" t="s">
        <v>2510</v>
      </c>
      <c r="F159" s="10" t="s">
        <v>2511</v>
      </c>
      <c r="G159" s="10" t="s">
        <v>2512</v>
      </c>
      <c r="H159" s="10" t="s">
        <v>2513</v>
      </c>
      <c r="I159" s="10" t="s">
        <v>2116</v>
      </c>
      <c r="J159" s="10" t="s">
        <v>1550</v>
      </c>
      <c r="K159" s="10" t="s">
        <v>2514</v>
      </c>
      <c r="L159" s="11">
        <v>202124100191212</v>
      </c>
      <c r="M159" s="20">
        <v>44231</v>
      </c>
      <c r="N159" s="20" t="str">
        <f>UPPER(TEXT(Tabla1[[#This Row],[FECHA RADICADO ENTRADA]],"MMM"))</f>
        <v>FEB</v>
      </c>
      <c r="O159" s="11">
        <v>202124110206031</v>
      </c>
      <c r="P159" s="20">
        <v>44236</v>
      </c>
      <c r="Q159" s="20" t="str">
        <f>UPPER(TEXT(Tabla1[[#This Row],[FECHA RADICADO ENTRADA]],"MMM"))</f>
        <v>FEB</v>
      </c>
      <c r="R159" s="10">
        <f t="shared" si="2"/>
        <v>-5</v>
      </c>
      <c r="S159" s="10" t="s">
        <v>2154</v>
      </c>
      <c r="U159" s="10" t="s">
        <v>2515</v>
      </c>
      <c r="V159" s="20">
        <v>43263</v>
      </c>
      <c r="W159" s="10" t="s">
        <v>63</v>
      </c>
      <c r="X159" s="10">
        <v>1000</v>
      </c>
      <c r="Y159" s="11">
        <f>IFERROR(INT(Tabla1[[#This Row],[CANTIDAD UND FARMACEUTICAS]]/(VLOOKUP(Tabla1[[#This Row],[MEDICAMENTO]],TAB_REF!$K$3:$L$27,2,0))),"")</f>
        <v>100</v>
      </c>
      <c r="Z159" s="10" t="str">
        <f>IFERROR(VLOOKUP(Tabla1[[#This Row],[MEDICAMENTO]],TAB_REF!$B$3:$F$27,2,0), "")</f>
        <v xml:space="preserve">Morfina HCl </v>
      </c>
      <c r="AA159" s="10" t="str">
        <f>IFERROR(VLOOKUP(Tabla1[[#This Row],[MEDICAMENTO]],TAB_REF!$B$3:$F$27,3,0), "")</f>
        <v xml:space="preserve">10 mg/mL </v>
      </c>
      <c r="AB159" s="10" t="str">
        <f>IFERROR(VLOOKUP(Tabla1[[#This Row],[MEDICAMENTO]],TAB_REF!$B$3:$F$27,4,0), "")</f>
        <v>Solución Inyectable</v>
      </c>
      <c r="AC159" s="10" t="str">
        <f>IFERROR(VLOOKUP(Tabla1[[#This Row],[MEDICAMENTO]],TAB_REF!$B$3:$F$27,5,0), "")</f>
        <v>Caja x 10 unidades</v>
      </c>
      <c r="AD159" s="10" t="str">
        <f>IFERROR(VLOOKUP(Tabla1[[#This Row],[CANTIDAD UND COMERCIALES]],TAB_REF!$H$3:$I$1003,2,0)&amp;" ("&amp;Tabla1[[#This Row],[CANTIDAD UND COMERCIALES]]&amp;")"&amp;"_"&amp;Tabla1[[#This Row],[CANTIDAD]],"")</f>
        <v>Cien (100)_Caja x 10 unidades</v>
      </c>
      <c r="AE159" s="31" t="e">
        <f>CONCATENATE([1]!Tabla1[[#This Row],[NOMBRE MED.]],[1]!Tabla1[[#This Row],[CONCENTRACION]],[1]!Tabla1[[#This Row],[FORMA FARMACEUTICA]])</f>
        <v>#REF!</v>
      </c>
    </row>
    <row r="160" spans="2:31" s="24" customFormat="1" x14ac:dyDescent="0.25">
      <c r="B160" s="24">
        <v>62</v>
      </c>
      <c r="C160" s="24" t="s">
        <v>2516</v>
      </c>
      <c r="D160" s="24" t="s">
        <v>2162</v>
      </c>
      <c r="E160" s="24" t="s">
        <v>2517</v>
      </c>
      <c r="F160" s="24" t="s">
        <v>2518</v>
      </c>
      <c r="G160" s="24" t="s">
        <v>2521</v>
      </c>
      <c r="H160" s="24" t="s">
        <v>2520</v>
      </c>
      <c r="I160" s="24" t="s">
        <v>2110</v>
      </c>
      <c r="J160" s="24" t="s">
        <v>1235</v>
      </c>
      <c r="K160" s="24" t="s">
        <v>2519</v>
      </c>
      <c r="L160" s="25">
        <v>202124100192342</v>
      </c>
      <c r="M160" s="35">
        <v>44231</v>
      </c>
      <c r="N160" s="20" t="str">
        <f>UPPER(TEXT(Tabla1[[#This Row],[FECHA RADICADO ENTRADA]],"MMM"))</f>
        <v>FEB</v>
      </c>
      <c r="O160" s="25">
        <v>202124110206101</v>
      </c>
      <c r="P160" s="20">
        <v>44236</v>
      </c>
      <c r="Q160" s="20" t="str">
        <f>UPPER(TEXT(Tabla1[[#This Row],[FECHA RADICADO ENTRADA]],"MMM"))</f>
        <v>FEB</v>
      </c>
      <c r="R160" s="24">
        <f t="shared" si="2"/>
        <v>-5</v>
      </c>
      <c r="S160" s="24" t="s">
        <v>2154</v>
      </c>
      <c r="U160" s="24" t="s">
        <v>2522</v>
      </c>
      <c r="V160" s="35">
        <v>42935</v>
      </c>
      <c r="W160" s="24" t="s">
        <v>2139</v>
      </c>
      <c r="X160" s="24">
        <v>360</v>
      </c>
      <c r="Y160" s="25">
        <f>IFERROR(INT(Tabla1[[#This Row],[CANTIDAD UND FARMACEUTICAS]]/(VLOOKUP(Tabla1[[#This Row],[MEDICAMENTO]],TAB_REF!$K$3:$L$27,2,0))),"")</f>
        <v>12</v>
      </c>
      <c r="Z160" s="24" t="str">
        <f>IFERROR(VLOOKUP(Tabla1[[#This Row],[MEDICAMENTO]],TAB_REF!$B$3:$F$27,2,0), "")</f>
        <v xml:space="preserve">Primidona </v>
      </c>
      <c r="AA160" s="24" t="str">
        <f>IFERROR(VLOOKUP(Tabla1[[#This Row],[MEDICAMENTO]],TAB_REF!$B$3:$F$27,3,0), "")</f>
        <v xml:space="preserve">250 mg </v>
      </c>
      <c r="AB160" s="24" t="str">
        <f>IFERROR(VLOOKUP(Tabla1[[#This Row],[MEDICAMENTO]],TAB_REF!$B$3:$F$27,4,0), "")</f>
        <v>Tabletas</v>
      </c>
      <c r="AC160" s="24" t="str">
        <f>IFERROR(VLOOKUP(Tabla1[[#This Row],[MEDICAMENTO]],TAB_REF!$B$3:$F$27,5,0), "")</f>
        <v>Caja x 30 unidades</v>
      </c>
      <c r="AD160" s="24" t="str">
        <f>IFERROR(VLOOKUP(Tabla1[[#This Row],[CANTIDAD UND COMERCIALES]],TAB_REF!$H$3:$I$1003,2,0)&amp;" ("&amp;Tabla1[[#This Row],[CANTIDAD UND COMERCIALES]]&amp;")"&amp;"_"&amp;Tabla1[[#This Row],[CANTIDAD]],"")</f>
        <v>Doce (12)_Caja x 30 unidades</v>
      </c>
      <c r="AE160" s="31" t="e">
        <f>CONCATENATE([1]!Tabla1[[#This Row],[NOMBRE MED.]],[1]!Tabla1[[#This Row],[CONCENTRACION]],[1]!Tabla1[[#This Row],[FORMA FARMACEUTICA]])</f>
        <v>#REF!</v>
      </c>
    </row>
    <row r="161" spans="2:31" x14ac:dyDescent="0.25">
      <c r="B161" s="10">
        <v>63</v>
      </c>
      <c r="C161" s="10" t="s">
        <v>2523</v>
      </c>
      <c r="D161" s="10" t="s">
        <v>2162</v>
      </c>
      <c r="E161" s="10" t="s">
        <v>2524</v>
      </c>
      <c r="F161" s="10" t="s">
        <v>2525</v>
      </c>
      <c r="G161" s="10" t="s">
        <v>2526</v>
      </c>
      <c r="H161" s="10" t="s">
        <v>2527</v>
      </c>
      <c r="I161" s="10" t="s">
        <v>2129</v>
      </c>
      <c r="J161" s="10" t="s">
        <v>2011</v>
      </c>
      <c r="K161" s="10" t="s">
        <v>2528</v>
      </c>
      <c r="L161" s="11">
        <v>202124100192662</v>
      </c>
      <c r="M161" s="20">
        <v>44231</v>
      </c>
      <c r="N161" s="20" t="str">
        <f>UPPER(TEXT(Tabla1[[#This Row],[FECHA RADICADO ENTRADA]],"MMM"))</f>
        <v>FEB</v>
      </c>
      <c r="O161" s="11">
        <v>202124110206141</v>
      </c>
      <c r="P161" s="20">
        <v>44236</v>
      </c>
      <c r="Q161" s="20" t="str">
        <f>UPPER(TEXT(Tabla1[[#This Row],[FECHA RADICADO ENTRADA]],"MMM"))</f>
        <v>FEB</v>
      </c>
      <c r="R161" s="10">
        <f t="shared" si="2"/>
        <v>-5</v>
      </c>
      <c r="S161" s="10" t="s">
        <v>2154</v>
      </c>
      <c r="U161" s="10" t="s">
        <v>2529</v>
      </c>
      <c r="V161" s="20">
        <v>43273</v>
      </c>
      <c r="W161" s="10" t="s">
        <v>32</v>
      </c>
      <c r="X161" s="10">
        <v>30</v>
      </c>
      <c r="Y161" s="11">
        <f>IFERROR(INT(Tabla1[[#This Row],[CANTIDAD UND FARMACEUTICAS]]/(VLOOKUP(Tabla1[[#This Row],[MEDICAMENTO]],TAB_REF!$K$3:$L$27,2,0))),"")</f>
        <v>1</v>
      </c>
      <c r="Z161" s="10" t="str">
        <f>IFERROR(VLOOKUP(Tabla1[[#This Row],[MEDICAMENTO]],TAB_REF!$B$3:$F$27,2,0), "")</f>
        <v xml:space="preserve">Fenobarbital </v>
      </c>
      <c r="AA161" s="10" t="str">
        <f>IFERROR(VLOOKUP(Tabla1[[#This Row],[MEDICAMENTO]],TAB_REF!$B$3:$F$27,3,0), "")</f>
        <v xml:space="preserve">100 mg </v>
      </c>
      <c r="AB161" s="10" t="str">
        <f>IFERROR(VLOOKUP(Tabla1[[#This Row],[MEDICAMENTO]],TAB_REF!$B$3:$F$27,4,0), "")</f>
        <v>Tabletas</v>
      </c>
      <c r="AC161" s="10" t="str">
        <f>IFERROR(VLOOKUP(Tabla1[[#This Row],[MEDICAMENTO]],TAB_REF!$B$3:$F$27,5,0), "")</f>
        <v>Caja x 30 unidades</v>
      </c>
      <c r="AD161" s="10" t="str">
        <f>IFERROR(VLOOKUP(Tabla1[[#This Row],[CANTIDAD UND COMERCIALES]],TAB_REF!$H$3:$I$1003,2,0)&amp;" ("&amp;Tabla1[[#This Row],[CANTIDAD UND COMERCIALES]]&amp;")"&amp;"_"&amp;Tabla1[[#This Row],[CANTIDAD]],"")</f>
        <v>Uno (1)_Caja x 30 unidades</v>
      </c>
      <c r="AE161" s="31" t="e">
        <f>CONCATENATE([1]!Tabla1[[#This Row],[NOMBRE MED.]],[1]!Tabla1[[#This Row],[CONCENTRACION]],[1]!Tabla1[[#This Row],[FORMA FARMACEUTICA]])</f>
        <v>#REF!</v>
      </c>
    </row>
    <row r="162" spans="2:31" x14ac:dyDescent="0.25">
      <c r="B162" s="10">
        <v>63</v>
      </c>
      <c r="C162" s="10" t="s">
        <v>2523</v>
      </c>
      <c r="D162" s="10" t="s">
        <v>2162</v>
      </c>
      <c r="E162" s="10" t="s">
        <v>2524</v>
      </c>
      <c r="F162" s="10" t="s">
        <v>2525</v>
      </c>
      <c r="G162" s="10" t="s">
        <v>2526</v>
      </c>
      <c r="H162" s="10" t="s">
        <v>2527</v>
      </c>
      <c r="I162" s="10" t="s">
        <v>2129</v>
      </c>
      <c r="J162" s="10" t="s">
        <v>2011</v>
      </c>
      <c r="K162" s="10" t="s">
        <v>2528</v>
      </c>
      <c r="L162" s="11">
        <v>202124100192662</v>
      </c>
      <c r="M162" s="20">
        <v>44231</v>
      </c>
      <c r="N162" s="20" t="str">
        <f>UPPER(TEXT(Tabla1[[#This Row],[FECHA RADICADO ENTRADA]],"MMM"))</f>
        <v>FEB</v>
      </c>
      <c r="O162" s="11">
        <v>202124110206141</v>
      </c>
      <c r="P162" s="20">
        <v>44236</v>
      </c>
      <c r="Q162" s="20" t="str">
        <f>UPPER(TEXT(Tabla1[[#This Row],[FECHA RADICADO ENTRADA]],"MMM"))</f>
        <v>FEB</v>
      </c>
      <c r="R162" s="10">
        <f t="shared" si="2"/>
        <v>-5</v>
      </c>
      <c r="S162" s="10" t="s">
        <v>2154</v>
      </c>
      <c r="U162" s="10" t="s">
        <v>2529</v>
      </c>
      <c r="V162" s="20">
        <v>43273</v>
      </c>
      <c r="W162" s="10" t="s">
        <v>36</v>
      </c>
      <c r="X162" s="10">
        <v>30</v>
      </c>
      <c r="Y162" s="11">
        <f>IFERROR(INT(Tabla1[[#This Row],[CANTIDAD UND FARMACEUTICAS]]/(VLOOKUP(Tabla1[[#This Row],[MEDICAMENTO]],TAB_REF!$K$3:$L$27,2,0))),"")</f>
        <v>3</v>
      </c>
      <c r="Z162" s="10" t="str">
        <f>IFERROR(VLOOKUP(Tabla1[[#This Row],[MEDICAMENTO]],TAB_REF!$B$3:$F$27,2,0), "")</f>
        <v xml:space="preserve">Fenobarbital Sódico </v>
      </c>
      <c r="AA162" s="10" t="str">
        <f>IFERROR(VLOOKUP(Tabla1[[#This Row],[MEDICAMENTO]],TAB_REF!$B$3:$F$27,3,0), "")</f>
        <v xml:space="preserve">40 mg/mL </v>
      </c>
      <c r="AB162" s="10" t="str">
        <f>IFERROR(VLOOKUP(Tabla1[[#This Row],[MEDICAMENTO]],TAB_REF!$B$3:$F$27,4,0), "")</f>
        <v>Solución Inyectable</v>
      </c>
      <c r="AC162" s="10" t="str">
        <f>IFERROR(VLOOKUP(Tabla1[[#This Row],[MEDICAMENTO]],TAB_REF!$B$3:$F$27,5,0), "")</f>
        <v>Caja x 10 unidades</v>
      </c>
      <c r="AD162" s="10" t="str">
        <f>IFERROR(VLOOKUP(Tabla1[[#This Row],[CANTIDAD UND COMERCIALES]],TAB_REF!$H$3:$I$1003,2,0)&amp;" ("&amp;Tabla1[[#This Row],[CANTIDAD UND COMERCIALES]]&amp;")"&amp;"_"&amp;Tabla1[[#This Row],[CANTIDAD]],"")</f>
        <v>Tres (3)_Caja x 10 unidades</v>
      </c>
      <c r="AE162" s="31" t="e">
        <f>CONCATENATE([1]!Tabla1[[#This Row],[NOMBRE MED.]],[1]!Tabla1[[#This Row],[CONCENTRACION]],[1]!Tabla1[[#This Row],[FORMA FARMACEUTICA]])</f>
        <v>#REF!</v>
      </c>
    </row>
    <row r="163" spans="2:31" x14ac:dyDescent="0.25">
      <c r="B163" s="10">
        <v>63</v>
      </c>
      <c r="C163" s="10" t="s">
        <v>2523</v>
      </c>
      <c r="D163" s="10" t="s">
        <v>2162</v>
      </c>
      <c r="E163" s="10" t="s">
        <v>2524</v>
      </c>
      <c r="F163" s="10" t="s">
        <v>2525</v>
      </c>
      <c r="G163" s="10" t="s">
        <v>2526</v>
      </c>
      <c r="H163" s="10" t="s">
        <v>2527</v>
      </c>
      <c r="I163" s="10" t="s">
        <v>2129</v>
      </c>
      <c r="J163" s="10" t="s">
        <v>2011</v>
      </c>
      <c r="K163" s="10" t="s">
        <v>2528</v>
      </c>
      <c r="L163" s="11">
        <v>202124100192662</v>
      </c>
      <c r="M163" s="20">
        <v>44231</v>
      </c>
      <c r="N163" s="20" t="str">
        <f>UPPER(TEXT(Tabla1[[#This Row],[FECHA RADICADO ENTRADA]],"MMM"))</f>
        <v>FEB</v>
      </c>
      <c r="O163" s="11">
        <v>202124110206141</v>
      </c>
      <c r="P163" s="20">
        <v>44236</v>
      </c>
      <c r="Q163" s="20" t="str">
        <f>UPPER(TEXT(Tabla1[[#This Row],[FECHA RADICADO ENTRADA]],"MMM"))</f>
        <v>FEB</v>
      </c>
      <c r="R163" s="10">
        <f t="shared" si="2"/>
        <v>-5</v>
      </c>
      <c r="S163" s="10" t="s">
        <v>2154</v>
      </c>
      <c r="U163" s="10" t="s">
        <v>2529</v>
      </c>
      <c r="V163" s="20">
        <v>43273</v>
      </c>
      <c r="W163" s="10" t="s">
        <v>37</v>
      </c>
      <c r="X163" s="10">
        <v>700</v>
      </c>
      <c r="Y163" s="11">
        <f>IFERROR(INT(Tabla1[[#This Row],[CANTIDAD UND FARMACEUTICAS]]/(VLOOKUP(Tabla1[[#This Row],[MEDICAMENTO]],TAB_REF!$K$3:$L$27,2,0))),"")</f>
        <v>70</v>
      </c>
      <c r="Z163" s="10" t="str">
        <f>IFERROR(VLOOKUP(Tabla1[[#This Row],[MEDICAMENTO]],TAB_REF!$B$3:$F$27,2,0), "")</f>
        <v xml:space="preserve">Hidromorfona HCl </v>
      </c>
      <c r="AA163" s="10" t="str">
        <f>IFERROR(VLOOKUP(Tabla1[[#This Row],[MEDICAMENTO]],TAB_REF!$B$3:$F$27,3,0), "")</f>
        <v xml:space="preserve">2 mg/mL </v>
      </c>
      <c r="AB163" s="10" t="str">
        <f>IFERROR(VLOOKUP(Tabla1[[#This Row],[MEDICAMENTO]],TAB_REF!$B$3:$F$27,4,0), "")</f>
        <v>Solución Inyectable</v>
      </c>
      <c r="AC163" s="10" t="str">
        <f>IFERROR(VLOOKUP(Tabla1[[#This Row],[MEDICAMENTO]],TAB_REF!$B$3:$F$27,5,0), "")</f>
        <v>Caja x 10 unidades</v>
      </c>
      <c r="AD163" s="10" t="str">
        <f>IFERROR(VLOOKUP(Tabla1[[#This Row],[CANTIDAD UND COMERCIALES]],TAB_REF!$H$3:$I$1003,2,0)&amp;" ("&amp;Tabla1[[#This Row],[CANTIDAD UND COMERCIALES]]&amp;")"&amp;"_"&amp;Tabla1[[#This Row],[CANTIDAD]],"")</f>
        <v>Setenta (70)_Caja x 10 unidades</v>
      </c>
      <c r="AE163" s="31" t="e">
        <f>CONCATENATE([1]!Tabla1[[#This Row],[NOMBRE MED.]],[1]!Tabla1[[#This Row],[CONCENTRACION]],[1]!Tabla1[[#This Row],[FORMA FARMACEUTICA]])</f>
        <v>#REF!</v>
      </c>
    </row>
    <row r="164" spans="2:31" x14ac:dyDescent="0.25">
      <c r="B164" s="10">
        <v>63</v>
      </c>
      <c r="C164" s="10" t="s">
        <v>2523</v>
      </c>
      <c r="D164" s="10" t="s">
        <v>2162</v>
      </c>
      <c r="E164" s="10" t="s">
        <v>2524</v>
      </c>
      <c r="F164" s="10" t="s">
        <v>2525</v>
      </c>
      <c r="G164" s="10" t="s">
        <v>2526</v>
      </c>
      <c r="H164" s="10" t="s">
        <v>2527</v>
      </c>
      <c r="I164" s="10" t="s">
        <v>2129</v>
      </c>
      <c r="J164" s="10" t="s">
        <v>2011</v>
      </c>
      <c r="K164" s="10" t="s">
        <v>2528</v>
      </c>
      <c r="L164" s="11">
        <v>202124100192662</v>
      </c>
      <c r="M164" s="20">
        <v>44231</v>
      </c>
      <c r="N164" s="20" t="str">
        <f>UPPER(TEXT(Tabla1[[#This Row],[FECHA RADICADO ENTRADA]],"MMM"))</f>
        <v>FEB</v>
      </c>
      <c r="O164" s="11">
        <v>202124110206141</v>
      </c>
      <c r="P164" s="20">
        <v>44236</v>
      </c>
      <c r="Q164" s="20" t="str">
        <f>UPPER(TEXT(Tabla1[[#This Row],[FECHA RADICADO ENTRADA]],"MMM"))</f>
        <v>FEB</v>
      </c>
      <c r="R164" s="10">
        <f t="shared" si="2"/>
        <v>-5</v>
      </c>
      <c r="S164" s="10" t="s">
        <v>2154</v>
      </c>
      <c r="U164" s="10" t="s">
        <v>2529</v>
      </c>
      <c r="V164" s="20">
        <v>43273</v>
      </c>
      <c r="W164" s="10" t="s">
        <v>41</v>
      </c>
      <c r="X164" s="10">
        <v>60</v>
      </c>
      <c r="Y164" s="11">
        <f>IFERROR(INT(Tabla1[[#This Row],[CANTIDAD UND FARMACEUTICAS]]/(VLOOKUP(Tabla1[[#This Row],[MEDICAMENTO]],TAB_REF!$K$3:$L$27,2,0))),"")</f>
        <v>6</v>
      </c>
      <c r="Z164" s="10" t="str">
        <f>IFERROR(VLOOKUP(Tabla1[[#This Row],[MEDICAMENTO]],TAB_REF!$B$3:$F$27,2,0), "")</f>
        <v xml:space="preserve">Meperidina HCl </v>
      </c>
      <c r="AA164" s="10" t="str">
        <f>IFERROR(VLOOKUP(Tabla1[[#This Row],[MEDICAMENTO]],TAB_REF!$B$3:$F$27,3,0), "")</f>
        <v xml:space="preserve">100 mg/2mL </v>
      </c>
      <c r="AB164" s="10" t="str">
        <f>IFERROR(VLOOKUP(Tabla1[[#This Row],[MEDICAMENTO]],TAB_REF!$B$3:$F$27,4,0), "")</f>
        <v>Solución Inyectable</v>
      </c>
      <c r="AC164" s="10" t="str">
        <f>IFERROR(VLOOKUP(Tabla1[[#This Row],[MEDICAMENTO]],TAB_REF!$B$3:$F$27,5,0), "")</f>
        <v>Caja 10 ampollas</v>
      </c>
      <c r="AD164" s="10" t="str">
        <f>IFERROR(VLOOKUP(Tabla1[[#This Row],[CANTIDAD UND COMERCIALES]],TAB_REF!$H$3:$I$1003,2,0)&amp;" ("&amp;Tabla1[[#This Row],[CANTIDAD UND COMERCIALES]]&amp;")"&amp;"_"&amp;Tabla1[[#This Row],[CANTIDAD]],"")</f>
        <v>Seis (6)_Caja 10 ampollas</v>
      </c>
      <c r="AE164" s="31" t="e">
        <f>CONCATENATE([1]!Tabla1[[#This Row],[NOMBRE MED.]],[1]!Tabla1[[#This Row],[CONCENTRACION]],[1]!Tabla1[[#This Row],[FORMA FARMACEUTICA]])</f>
        <v>#REF!</v>
      </c>
    </row>
    <row r="165" spans="2:31" x14ac:dyDescent="0.25">
      <c r="B165" s="10">
        <v>63</v>
      </c>
      <c r="C165" s="10" t="s">
        <v>2523</v>
      </c>
      <c r="D165" s="10" t="s">
        <v>2162</v>
      </c>
      <c r="E165" s="10" t="s">
        <v>2524</v>
      </c>
      <c r="F165" s="10" t="s">
        <v>2525</v>
      </c>
      <c r="G165" s="10" t="s">
        <v>2526</v>
      </c>
      <c r="H165" s="10" t="s">
        <v>2527</v>
      </c>
      <c r="I165" s="10" t="s">
        <v>2129</v>
      </c>
      <c r="J165" s="10" t="s">
        <v>2011</v>
      </c>
      <c r="K165" s="10" t="s">
        <v>2528</v>
      </c>
      <c r="L165" s="11">
        <v>202124100192662</v>
      </c>
      <c r="M165" s="20">
        <v>44231</v>
      </c>
      <c r="N165" s="20" t="str">
        <f>UPPER(TEXT(Tabla1[[#This Row],[FECHA RADICADO ENTRADA]],"MMM"))</f>
        <v>FEB</v>
      </c>
      <c r="O165" s="11">
        <v>202124110206141</v>
      </c>
      <c r="P165" s="20">
        <v>44236</v>
      </c>
      <c r="Q165" s="20" t="str">
        <f>UPPER(TEXT(Tabla1[[#This Row],[FECHA RADICADO ENTRADA]],"MMM"))</f>
        <v>FEB</v>
      </c>
      <c r="R165" s="10">
        <f t="shared" si="2"/>
        <v>-5</v>
      </c>
      <c r="S165" s="10" t="s">
        <v>2154</v>
      </c>
      <c r="U165" s="10" t="s">
        <v>2529</v>
      </c>
      <c r="V165" s="20">
        <v>43273</v>
      </c>
      <c r="W165" s="10" t="s">
        <v>63</v>
      </c>
      <c r="X165" s="10">
        <v>2000</v>
      </c>
      <c r="Y165" s="11">
        <f>IFERROR(INT(Tabla1[[#This Row],[CANTIDAD UND FARMACEUTICAS]]/(VLOOKUP(Tabla1[[#This Row],[MEDICAMENTO]],TAB_REF!$K$3:$L$27,2,0))),"")</f>
        <v>200</v>
      </c>
      <c r="Z165" s="10" t="str">
        <f>IFERROR(VLOOKUP(Tabla1[[#This Row],[MEDICAMENTO]],TAB_REF!$B$3:$F$27,2,0), "")</f>
        <v xml:space="preserve">Morfina HCl </v>
      </c>
      <c r="AA165" s="10" t="str">
        <f>IFERROR(VLOOKUP(Tabla1[[#This Row],[MEDICAMENTO]],TAB_REF!$B$3:$F$27,3,0), "")</f>
        <v xml:space="preserve">10 mg/mL </v>
      </c>
      <c r="AB165" s="10" t="str">
        <f>IFERROR(VLOOKUP(Tabla1[[#This Row],[MEDICAMENTO]],TAB_REF!$B$3:$F$27,4,0), "")</f>
        <v>Solución Inyectable</v>
      </c>
      <c r="AC165" s="10" t="str">
        <f>IFERROR(VLOOKUP(Tabla1[[#This Row],[MEDICAMENTO]],TAB_REF!$B$3:$F$27,5,0), "")</f>
        <v>Caja x 10 unidades</v>
      </c>
      <c r="AD165" s="10" t="str">
        <f>IFERROR(VLOOKUP(Tabla1[[#This Row],[CANTIDAD UND COMERCIALES]],TAB_REF!$H$3:$I$1003,2,0)&amp;" ("&amp;Tabla1[[#This Row],[CANTIDAD UND COMERCIALES]]&amp;")"&amp;"_"&amp;Tabla1[[#This Row],[CANTIDAD]],"")</f>
        <v>Doscientos (200)_Caja x 10 unidades</v>
      </c>
      <c r="AE165" s="31" t="e">
        <f>CONCATENATE([1]!Tabla1[[#This Row],[NOMBRE MED.]],[1]!Tabla1[[#This Row],[CONCENTRACION]],[1]!Tabla1[[#This Row],[FORMA FARMACEUTICA]])</f>
        <v>#REF!</v>
      </c>
    </row>
    <row r="166" spans="2:31" x14ac:dyDescent="0.25">
      <c r="B166" s="24">
        <v>64</v>
      </c>
      <c r="C166" s="10" t="s">
        <v>2530</v>
      </c>
      <c r="D166" s="10" t="s">
        <v>2531</v>
      </c>
      <c r="E166" s="10" t="s">
        <v>2532</v>
      </c>
      <c r="F166" s="10" t="s">
        <v>2533</v>
      </c>
      <c r="G166" s="10" t="s">
        <v>2534</v>
      </c>
      <c r="H166" s="10" t="s">
        <v>2535</v>
      </c>
      <c r="I166" s="10" t="s">
        <v>1068</v>
      </c>
      <c r="J166" s="10" t="s">
        <v>1234</v>
      </c>
      <c r="K166" s="10" t="s">
        <v>2536</v>
      </c>
      <c r="L166" s="11">
        <v>202124100198252</v>
      </c>
      <c r="M166" s="20">
        <v>44232</v>
      </c>
      <c r="N166" s="20" t="str">
        <f>UPPER(TEXT(Tabla1[[#This Row],[FECHA RADICADO ENTRADA]],"MMM"))</f>
        <v>FEB</v>
      </c>
      <c r="O166" s="11">
        <v>202124110238651</v>
      </c>
      <c r="P166" s="20">
        <v>44239</v>
      </c>
      <c r="Q166" s="20" t="str">
        <f>UPPER(TEXT(Tabla1[[#This Row],[FECHA RADICADO ENTRADA]],"MMM"))</f>
        <v>FEB</v>
      </c>
      <c r="R166" s="10">
        <f t="shared" si="2"/>
        <v>-7</v>
      </c>
      <c r="S166" s="10" t="s">
        <v>2145</v>
      </c>
      <c r="T166" s="10" t="s">
        <v>2653</v>
      </c>
      <c r="U166" s="10" t="s">
        <v>2164</v>
      </c>
      <c r="V166" s="10" t="s">
        <v>2164</v>
      </c>
      <c r="W166" s="10" t="s">
        <v>32</v>
      </c>
      <c r="X166" s="10">
        <v>0</v>
      </c>
      <c r="Y166" s="11">
        <f>IFERROR(INT(Tabla1[[#This Row],[CANTIDAD UND FARMACEUTICAS]]/(VLOOKUP(Tabla1[[#This Row],[MEDICAMENTO]],TAB_REF!$K$3:$L$27,2,0))),"")</f>
        <v>0</v>
      </c>
      <c r="Z166" s="10" t="str">
        <f>IFERROR(VLOOKUP(Tabla1[[#This Row],[MEDICAMENTO]],TAB_REF!$B$3:$F$27,2,0), "")</f>
        <v xml:space="preserve">Fenobarbital </v>
      </c>
      <c r="AA166" s="10" t="str">
        <f>IFERROR(VLOOKUP(Tabla1[[#This Row],[MEDICAMENTO]],TAB_REF!$B$3:$F$27,3,0), "")</f>
        <v xml:space="preserve">100 mg </v>
      </c>
      <c r="AB166" s="10" t="str">
        <f>IFERROR(VLOOKUP(Tabla1[[#This Row],[MEDICAMENTO]],TAB_REF!$B$3:$F$27,4,0), "")</f>
        <v>Tabletas</v>
      </c>
      <c r="AC166" s="10" t="str">
        <f>IFERROR(VLOOKUP(Tabla1[[#This Row],[MEDICAMENTO]],TAB_REF!$B$3:$F$27,5,0), "")</f>
        <v>Caja x 30 unidades</v>
      </c>
      <c r="AD166" s="10" t="str">
        <f>IFERROR(VLOOKUP(Tabla1[[#This Row],[CANTIDAD UND COMERCIALES]],TAB_REF!$H$3:$I$1003,2,0)&amp;" ("&amp;Tabla1[[#This Row],[CANTIDAD UND COMERCIALES]]&amp;")"&amp;"_"&amp;Tabla1[[#This Row],[CANTIDAD]],"")</f>
        <v/>
      </c>
      <c r="AE166" s="31" t="e">
        <f>CONCATENATE([1]!Tabla1[[#This Row],[NOMBRE MED.]],[1]!Tabla1[[#This Row],[CONCENTRACION]],[1]!Tabla1[[#This Row],[FORMA FARMACEUTICA]])</f>
        <v>#REF!</v>
      </c>
    </row>
    <row r="167" spans="2:31" x14ac:dyDescent="0.25">
      <c r="B167" s="24">
        <v>64</v>
      </c>
      <c r="C167" s="10" t="s">
        <v>2530</v>
      </c>
      <c r="D167" s="10" t="s">
        <v>2531</v>
      </c>
      <c r="E167" s="10" t="s">
        <v>2532</v>
      </c>
      <c r="F167" s="10" t="s">
        <v>2533</v>
      </c>
      <c r="G167" s="10" t="s">
        <v>2534</v>
      </c>
      <c r="H167" s="10" t="s">
        <v>2535</v>
      </c>
      <c r="I167" s="10" t="s">
        <v>1068</v>
      </c>
      <c r="J167" s="10" t="s">
        <v>1234</v>
      </c>
      <c r="K167" s="10" t="s">
        <v>2536</v>
      </c>
      <c r="L167" s="11">
        <v>202124100198252</v>
      </c>
      <c r="M167" s="20">
        <v>44232</v>
      </c>
      <c r="N167" s="20" t="str">
        <f>UPPER(TEXT(Tabla1[[#This Row],[FECHA RADICADO ENTRADA]],"MMM"))</f>
        <v>FEB</v>
      </c>
      <c r="O167" s="11">
        <v>202124110238651</v>
      </c>
      <c r="P167" s="20">
        <v>44239</v>
      </c>
      <c r="Q167" s="20" t="str">
        <f>UPPER(TEXT(Tabla1[[#This Row],[FECHA RADICADO ENTRADA]],"MMM"))</f>
        <v>FEB</v>
      </c>
      <c r="R167" s="10">
        <f t="shared" si="2"/>
        <v>-7</v>
      </c>
      <c r="S167" s="10" t="s">
        <v>2145</v>
      </c>
      <c r="T167" s="10" t="s">
        <v>2653</v>
      </c>
      <c r="U167" s="10" t="s">
        <v>2164</v>
      </c>
      <c r="V167" s="10" t="s">
        <v>2164</v>
      </c>
      <c r="W167" s="10" t="s">
        <v>36</v>
      </c>
      <c r="X167" s="10">
        <v>0</v>
      </c>
      <c r="Y167" s="11">
        <f>IFERROR(INT(Tabla1[[#This Row],[CANTIDAD UND FARMACEUTICAS]]/(VLOOKUP(Tabla1[[#This Row],[MEDICAMENTO]],TAB_REF!$K$3:$L$27,2,0))),"")</f>
        <v>0</v>
      </c>
      <c r="Z167" s="10" t="str">
        <f>IFERROR(VLOOKUP(Tabla1[[#This Row],[MEDICAMENTO]],TAB_REF!$B$3:$F$27,2,0), "")</f>
        <v xml:space="preserve">Fenobarbital Sódico </v>
      </c>
      <c r="AA167" s="10" t="str">
        <f>IFERROR(VLOOKUP(Tabla1[[#This Row],[MEDICAMENTO]],TAB_REF!$B$3:$F$27,3,0), "")</f>
        <v xml:space="preserve">40 mg/mL </v>
      </c>
      <c r="AB167" s="10" t="str">
        <f>IFERROR(VLOOKUP(Tabla1[[#This Row],[MEDICAMENTO]],TAB_REF!$B$3:$F$27,4,0), "")</f>
        <v>Solución Inyectable</v>
      </c>
      <c r="AC167" s="10" t="str">
        <f>IFERROR(VLOOKUP(Tabla1[[#This Row],[MEDICAMENTO]],TAB_REF!$B$3:$F$27,5,0), "")</f>
        <v>Caja x 10 unidades</v>
      </c>
      <c r="AD167" s="10" t="str">
        <f>IFERROR(VLOOKUP(Tabla1[[#This Row],[CANTIDAD UND COMERCIALES]],TAB_REF!$H$3:$I$1003,2,0)&amp;" ("&amp;Tabla1[[#This Row],[CANTIDAD UND COMERCIALES]]&amp;")"&amp;"_"&amp;Tabla1[[#This Row],[CANTIDAD]],"")</f>
        <v/>
      </c>
      <c r="AE167" s="31" t="e">
        <f>CONCATENATE([1]!Tabla1[[#This Row],[NOMBRE MED.]],[1]!Tabla1[[#This Row],[CONCENTRACION]],[1]!Tabla1[[#This Row],[FORMA FARMACEUTICA]])</f>
        <v>#REF!</v>
      </c>
    </row>
    <row r="168" spans="2:31" x14ac:dyDescent="0.25">
      <c r="B168" s="24">
        <v>64</v>
      </c>
      <c r="C168" s="10" t="s">
        <v>2530</v>
      </c>
      <c r="D168" s="10" t="s">
        <v>2531</v>
      </c>
      <c r="E168" s="10" t="s">
        <v>2532</v>
      </c>
      <c r="F168" s="10" t="s">
        <v>2533</v>
      </c>
      <c r="G168" s="10" t="s">
        <v>2534</v>
      </c>
      <c r="H168" s="10" t="s">
        <v>2535</v>
      </c>
      <c r="I168" s="10" t="s">
        <v>1068</v>
      </c>
      <c r="J168" s="10" t="s">
        <v>1234</v>
      </c>
      <c r="K168" s="10" t="s">
        <v>2536</v>
      </c>
      <c r="L168" s="11">
        <v>202124100198252</v>
      </c>
      <c r="M168" s="20">
        <v>44232</v>
      </c>
      <c r="N168" s="20" t="str">
        <f>UPPER(TEXT(Tabla1[[#This Row],[FECHA RADICADO ENTRADA]],"MMM"))</f>
        <v>FEB</v>
      </c>
      <c r="O168" s="11">
        <v>202124110238651</v>
      </c>
      <c r="P168" s="20">
        <v>44239</v>
      </c>
      <c r="Q168" s="20" t="str">
        <f>UPPER(TEXT(Tabla1[[#This Row],[FECHA RADICADO ENTRADA]],"MMM"))</f>
        <v>FEB</v>
      </c>
      <c r="R168" s="10">
        <f t="shared" si="2"/>
        <v>-7</v>
      </c>
      <c r="S168" s="10" t="s">
        <v>2145</v>
      </c>
      <c r="T168" s="10" t="s">
        <v>2653</v>
      </c>
      <c r="U168" s="10" t="s">
        <v>2164</v>
      </c>
      <c r="V168" s="10" t="s">
        <v>2164</v>
      </c>
      <c r="W168" s="10" t="s">
        <v>34</v>
      </c>
      <c r="X168" s="10">
        <v>0</v>
      </c>
      <c r="Y168" s="11">
        <f>IFERROR(INT(Tabla1[[#This Row],[CANTIDAD UND FARMACEUTICAS]]/(VLOOKUP(Tabla1[[#This Row],[MEDICAMENTO]],TAB_REF!$K$3:$L$27,2,0))),"")</f>
        <v>0</v>
      </c>
      <c r="Z168" s="10" t="str">
        <f>IFERROR(VLOOKUP(Tabla1[[#This Row],[MEDICAMENTO]],TAB_REF!$B$3:$F$27,2,0), "")</f>
        <v xml:space="preserve">Fenobarbital Sódico </v>
      </c>
      <c r="AA168" s="10" t="str">
        <f>IFERROR(VLOOKUP(Tabla1[[#This Row],[MEDICAMENTO]],TAB_REF!$B$3:$F$27,3,0), "")</f>
        <v xml:space="preserve">200 mg/Ml </v>
      </c>
      <c r="AB168" s="10" t="str">
        <f>IFERROR(VLOOKUP(Tabla1[[#This Row],[MEDICAMENTO]],TAB_REF!$B$3:$F$27,4,0), "")</f>
        <v>Solución Inyectable</v>
      </c>
      <c r="AC168" s="10" t="str">
        <f>IFERROR(VLOOKUP(Tabla1[[#This Row],[MEDICAMENTO]],TAB_REF!$B$3:$F$27,5,0), "")</f>
        <v>Caja x 10 unidades</v>
      </c>
      <c r="AD168" s="10" t="str">
        <f>IFERROR(VLOOKUP(Tabla1[[#This Row],[CANTIDAD UND COMERCIALES]],TAB_REF!$H$3:$I$1003,2,0)&amp;" ("&amp;Tabla1[[#This Row],[CANTIDAD UND COMERCIALES]]&amp;")"&amp;"_"&amp;Tabla1[[#This Row],[CANTIDAD]],"")</f>
        <v/>
      </c>
      <c r="AE168" s="31" t="e">
        <f>CONCATENATE([1]!Tabla1[[#This Row],[NOMBRE MED.]],[1]!Tabla1[[#This Row],[CONCENTRACION]],[1]!Tabla1[[#This Row],[FORMA FARMACEUTICA]])</f>
        <v>#REF!</v>
      </c>
    </row>
    <row r="169" spans="2:31" x14ac:dyDescent="0.25">
      <c r="B169" s="24">
        <v>64</v>
      </c>
      <c r="C169" s="10" t="s">
        <v>2530</v>
      </c>
      <c r="D169" s="10" t="s">
        <v>2531</v>
      </c>
      <c r="E169" s="10" t="s">
        <v>2532</v>
      </c>
      <c r="F169" s="10" t="s">
        <v>2533</v>
      </c>
      <c r="G169" s="10" t="s">
        <v>2534</v>
      </c>
      <c r="H169" s="10" t="s">
        <v>2535</v>
      </c>
      <c r="I169" s="10" t="s">
        <v>1068</v>
      </c>
      <c r="J169" s="10" t="s">
        <v>1234</v>
      </c>
      <c r="K169" s="10" t="s">
        <v>2536</v>
      </c>
      <c r="L169" s="11">
        <v>202124100198252</v>
      </c>
      <c r="M169" s="20">
        <v>44232</v>
      </c>
      <c r="N169" s="20" t="str">
        <f>UPPER(TEXT(Tabla1[[#This Row],[FECHA RADICADO ENTRADA]],"MMM"))</f>
        <v>FEB</v>
      </c>
      <c r="O169" s="11">
        <v>202124110238651</v>
      </c>
      <c r="P169" s="20">
        <v>44239</v>
      </c>
      <c r="Q169" s="20" t="str">
        <f>UPPER(TEXT(Tabla1[[#This Row],[FECHA RADICADO ENTRADA]],"MMM"))</f>
        <v>FEB</v>
      </c>
      <c r="R169" s="10">
        <f t="shared" si="2"/>
        <v>-7</v>
      </c>
      <c r="S169" s="10" t="s">
        <v>2145</v>
      </c>
      <c r="T169" s="10" t="s">
        <v>2653</v>
      </c>
      <c r="U169" s="10" t="s">
        <v>2164</v>
      </c>
      <c r="V169" s="10" t="s">
        <v>2164</v>
      </c>
      <c r="W169" s="10" t="s">
        <v>28</v>
      </c>
      <c r="X169" s="10">
        <v>0</v>
      </c>
      <c r="Y169" s="11">
        <f>IFERROR(INT(Tabla1[[#This Row],[CANTIDAD UND FARMACEUTICAS]]/(VLOOKUP(Tabla1[[#This Row],[MEDICAMENTO]],TAB_REF!$K$3:$L$27,2,0))),"")</f>
        <v>0</v>
      </c>
      <c r="Z169" s="10" t="str">
        <f>IFERROR(VLOOKUP(Tabla1[[#This Row],[MEDICAMENTO]],TAB_REF!$B$3:$F$27,2,0), "")</f>
        <v xml:space="preserve">Fenobarbital </v>
      </c>
      <c r="AA169" s="10" t="str">
        <f>IFERROR(VLOOKUP(Tabla1[[#This Row],[MEDICAMENTO]],TAB_REF!$B$3:$F$27,3,0), "")</f>
        <v xml:space="preserve">0,4%. </v>
      </c>
      <c r="AB169" s="10" t="str">
        <f>IFERROR(VLOOKUP(Tabla1[[#This Row],[MEDICAMENTO]],TAB_REF!$B$3:$F$27,4,0), "")</f>
        <v>Solución Oral</v>
      </c>
      <c r="AC169" s="10" t="str">
        <f>IFERROR(VLOOKUP(Tabla1[[#This Row],[MEDICAMENTO]],TAB_REF!$B$3:$F$27,5,0), "")</f>
        <v>Frasco x 120 mL</v>
      </c>
      <c r="AD169" s="10" t="str">
        <f>IFERROR(VLOOKUP(Tabla1[[#This Row],[CANTIDAD UND COMERCIALES]],TAB_REF!$H$3:$I$1003,2,0)&amp;" ("&amp;Tabla1[[#This Row],[CANTIDAD UND COMERCIALES]]&amp;")"&amp;"_"&amp;Tabla1[[#This Row],[CANTIDAD]],"")</f>
        <v/>
      </c>
      <c r="AE169" s="31" t="e">
        <f>CONCATENATE([1]!Tabla1[[#This Row],[NOMBRE MED.]],[1]!Tabla1[[#This Row],[CONCENTRACION]],[1]!Tabla1[[#This Row],[FORMA FARMACEUTICA]])</f>
        <v>#REF!</v>
      </c>
    </row>
    <row r="170" spans="2:31" x14ac:dyDescent="0.25">
      <c r="B170" s="24">
        <v>64</v>
      </c>
      <c r="C170" s="10" t="s">
        <v>2530</v>
      </c>
      <c r="D170" s="10" t="s">
        <v>2531</v>
      </c>
      <c r="E170" s="10" t="s">
        <v>2532</v>
      </c>
      <c r="F170" s="10" t="s">
        <v>2533</v>
      </c>
      <c r="G170" s="10" t="s">
        <v>2534</v>
      </c>
      <c r="H170" s="10" t="s">
        <v>2535</v>
      </c>
      <c r="I170" s="10" t="s">
        <v>1068</v>
      </c>
      <c r="J170" s="10" t="s">
        <v>1234</v>
      </c>
      <c r="K170" s="10" t="s">
        <v>2536</v>
      </c>
      <c r="L170" s="11">
        <v>202124100198252</v>
      </c>
      <c r="M170" s="20">
        <v>44232</v>
      </c>
      <c r="N170" s="20" t="str">
        <f>UPPER(TEXT(Tabla1[[#This Row],[FECHA RADICADO ENTRADA]],"MMM"))</f>
        <v>FEB</v>
      </c>
      <c r="O170" s="11">
        <v>202124110238651</v>
      </c>
      <c r="P170" s="20">
        <v>44239</v>
      </c>
      <c r="Q170" s="20" t="str">
        <f>UPPER(TEXT(Tabla1[[#This Row],[FECHA RADICADO ENTRADA]],"MMM"))</f>
        <v>FEB</v>
      </c>
      <c r="R170" s="10">
        <f t="shared" si="2"/>
        <v>-7</v>
      </c>
      <c r="S170" s="10" t="s">
        <v>2145</v>
      </c>
      <c r="T170" s="10" t="s">
        <v>2653</v>
      </c>
      <c r="U170" s="10" t="s">
        <v>2164</v>
      </c>
      <c r="V170" s="10" t="s">
        <v>2164</v>
      </c>
      <c r="W170" s="10" t="s">
        <v>41</v>
      </c>
      <c r="X170" s="10">
        <v>0</v>
      </c>
      <c r="Y170" s="11">
        <f>IFERROR(INT(Tabla1[[#This Row],[CANTIDAD UND FARMACEUTICAS]]/(VLOOKUP(Tabla1[[#This Row],[MEDICAMENTO]],TAB_REF!$K$3:$L$27,2,0))),"")</f>
        <v>0</v>
      </c>
      <c r="Z170" s="10" t="str">
        <f>IFERROR(VLOOKUP(Tabla1[[#This Row],[MEDICAMENTO]],TAB_REF!$B$3:$F$27,2,0), "")</f>
        <v xml:space="preserve">Meperidina HCl </v>
      </c>
      <c r="AA170" s="10" t="str">
        <f>IFERROR(VLOOKUP(Tabla1[[#This Row],[MEDICAMENTO]],TAB_REF!$B$3:$F$27,3,0), "")</f>
        <v xml:space="preserve">100 mg/2mL </v>
      </c>
      <c r="AB170" s="10" t="str">
        <f>IFERROR(VLOOKUP(Tabla1[[#This Row],[MEDICAMENTO]],TAB_REF!$B$3:$F$27,4,0), "")</f>
        <v>Solución Inyectable</v>
      </c>
      <c r="AC170" s="10" t="str">
        <f>IFERROR(VLOOKUP(Tabla1[[#This Row],[MEDICAMENTO]],TAB_REF!$B$3:$F$27,5,0), "")</f>
        <v>Caja 10 ampollas</v>
      </c>
      <c r="AD170" s="10" t="str">
        <f>IFERROR(VLOOKUP(Tabla1[[#This Row],[CANTIDAD UND COMERCIALES]],TAB_REF!$H$3:$I$1003,2,0)&amp;" ("&amp;Tabla1[[#This Row],[CANTIDAD UND COMERCIALES]]&amp;")"&amp;"_"&amp;Tabla1[[#This Row],[CANTIDAD]],"")</f>
        <v/>
      </c>
      <c r="AE170" s="31" t="e">
        <f>CONCATENATE([1]!Tabla1[[#This Row],[NOMBRE MED.]],[1]!Tabla1[[#This Row],[CONCENTRACION]],[1]!Tabla1[[#This Row],[FORMA FARMACEUTICA]])</f>
        <v>#REF!</v>
      </c>
    </row>
    <row r="171" spans="2:31" x14ac:dyDescent="0.25">
      <c r="B171" s="24">
        <v>64</v>
      </c>
      <c r="C171" s="10" t="s">
        <v>2530</v>
      </c>
      <c r="D171" s="10" t="s">
        <v>2531</v>
      </c>
      <c r="E171" s="10" t="s">
        <v>2532</v>
      </c>
      <c r="F171" s="10" t="s">
        <v>2533</v>
      </c>
      <c r="G171" s="10" t="s">
        <v>2534</v>
      </c>
      <c r="H171" s="10" t="s">
        <v>2535</v>
      </c>
      <c r="I171" s="10" t="s">
        <v>1068</v>
      </c>
      <c r="J171" s="10" t="s">
        <v>1234</v>
      </c>
      <c r="K171" s="10" t="s">
        <v>2536</v>
      </c>
      <c r="L171" s="11">
        <v>202124100198252</v>
      </c>
      <c r="M171" s="20">
        <v>44232</v>
      </c>
      <c r="N171" s="20" t="str">
        <f>UPPER(TEXT(Tabla1[[#This Row],[FECHA RADICADO ENTRADA]],"MMM"))</f>
        <v>FEB</v>
      </c>
      <c r="O171" s="11">
        <v>202124110238651</v>
      </c>
      <c r="P171" s="20">
        <v>44239</v>
      </c>
      <c r="Q171" s="20" t="str">
        <f>UPPER(TEXT(Tabla1[[#This Row],[FECHA RADICADO ENTRADA]],"MMM"))</f>
        <v>FEB</v>
      </c>
      <c r="R171" s="10">
        <f t="shared" si="2"/>
        <v>-7</v>
      </c>
      <c r="S171" s="10" t="s">
        <v>2145</v>
      </c>
      <c r="T171" s="10" t="s">
        <v>2653</v>
      </c>
      <c r="U171" s="10" t="s">
        <v>2164</v>
      </c>
      <c r="V171" s="10" t="s">
        <v>2164</v>
      </c>
      <c r="W171" s="10" t="s">
        <v>63</v>
      </c>
      <c r="X171" s="10">
        <v>0</v>
      </c>
      <c r="Y171" s="11">
        <f>IFERROR(INT(Tabla1[[#This Row],[CANTIDAD UND FARMACEUTICAS]]/(VLOOKUP(Tabla1[[#This Row],[MEDICAMENTO]],TAB_REF!$K$3:$L$27,2,0))),"")</f>
        <v>0</v>
      </c>
      <c r="Z171" s="10" t="str">
        <f>IFERROR(VLOOKUP(Tabla1[[#This Row],[MEDICAMENTO]],TAB_REF!$B$3:$F$27,2,0), "")</f>
        <v xml:space="preserve">Morfina HCl </v>
      </c>
      <c r="AA171" s="10" t="str">
        <f>IFERROR(VLOOKUP(Tabla1[[#This Row],[MEDICAMENTO]],TAB_REF!$B$3:$F$27,3,0), "")</f>
        <v xml:space="preserve">10 mg/mL </v>
      </c>
      <c r="AB171" s="10" t="str">
        <f>IFERROR(VLOOKUP(Tabla1[[#This Row],[MEDICAMENTO]],TAB_REF!$B$3:$F$27,4,0), "")</f>
        <v>Solución Inyectable</v>
      </c>
      <c r="AC171" s="10" t="str">
        <f>IFERROR(VLOOKUP(Tabla1[[#This Row],[MEDICAMENTO]],TAB_REF!$B$3:$F$27,5,0), "")</f>
        <v>Caja x 10 unidades</v>
      </c>
      <c r="AD171" s="10" t="str">
        <f>IFERROR(VLOOKUP(Tabla1[[#This Row],[CANTIDAD UND COMERCIALES]],TAB_REF!$H$3:$I$1003,2,0)&amp;" ("&amp;Tabla1[[#This Row],[CANTIDAD UND COMERCIALES]]&amp;")"&amp;"_"&amp;Tabla1[[#This Row],[CANTIDAD]],"")</f>
        <v/>
      </c>
      <c r="AE171" s="31" t="e">
        <f>CONCATENATE([1]!Tabla1[[#This Row],[NOMBRE MED.]],[1]!Tabla1[[#This Row],[CONCENTRACION]],[1]!Tabla1[[#This Row],[FORMA FARMACEUTICA]])</f>
        <v>#REF!</v>
      </c>
    </row>
    <row r="172" spans="2:31" x14ac:dyDescent="0.25">
      <c r="B172" s="24">
        <v>64</v>
      </c>
      <c r="C172" s="10" t="s">
        <v>2530</v>
      </c>
      <c r="D172" s="10" t="s">
        <v>2531</v>
      </c>
      <c r="E172" s="10" t="s">
        <v>2532</v>
      </c>
      <c r="F172" s="10" t="s">
        <v>2533</v>
      </c>
      <c r="G172" s="10" t="s">
        <v>2534</v>
      </c>
      <c r="H172" s="10" t="s">
        <v>2535</v>
      </c>
      <c r="I172" s="10" t="s">
        <v>1068</v>
      </c>
      <c r="J172" s="10" t="s">
        <v>1234</v>
      </c>
      <c r="K172" s="10" t="s">
        <v>2536</v>
      </c>
      <c r="L172" s="11">
        <v>202124100198252</v>
      </c>
      <c r="M172" s="20">
        <v>44232</v>
      </c>
      <c r="N172" s="20" t="str">
        <f>UPPER(TEXT(Tabla1[[#This Row],[FECHA RADICADO ENTRADA]],"MMM"))</f>
        <v>FEB</v>
      </c>
      <c r="O172" s="11">
        <v>202124110238651</v>
      </c>
      <c r="P172" s="20">
        <v>44239</v>
      </c>
      <c r="Q172" s="20" t="str">
        <f>UPPER(TEXT(Tabla1[[#This Row],[FECHA RADICADO ENTRADA]],"MMM"))</f>
        <v>FEB</v>
      </c>
      <c r="R172" s="10">
        <f t="shared" si="2"/>
        <v>-7</v>
      </c>
      <c r="S172" s="10" t="s">
        <v>2145</v>
      </c>
      <c r="T172" s="10" t="s">
        <v>2653</v>
      </c>
      <c r="U172" s="10" t="s">
        <v>2164</v>
      </c>
      <c r="V172" s="10" t="s">
        <v>2164</v>
      </c>
      <c r="W172" s="10" t="s">
        <v>60</v>
      </c>
      <c r="X172" s="10">
        <v>0</v>
      </c>
      <c r="Y172" s="11">
        <f>IFERROR(INT(Tabla1[[#This Row],[CANTIDAD UND FARMACEUTICAS]]/(VLOOKUP(Tabla1[[#This Row],[MEDICAMENTO]],TAB_REF!$K$3:$L$27,2,0))),"")</f>
        <v>0</v>
      </c>
      <c r="Z172" s="10" t="str">
        <f>IFERROR(VLOOKUP(Tabla1[[#This Row],[MEDICAMENTO]],TAB_REF!$B$3:$F$27,2,0), "")</f>
        <v xml:space="preserve">Morfina HCl </v>
      </c>
      <c r="AA172" s="10" t="str">
        <f>IFERROR(VLOOKUP(Tabla1[[#This Row],[MEDICAMENTO]],TAB_REF!$B$3:$F$27,3,0), "")</f>
        <v xml:space="preserve">3%. </v>
      </c>
      <c r="AB172" s="10" t="str">
        <f>IFERROR(VLOOKUP(Tabla1[[#This Row],[MEDICAMENTO]],TAB_REF!$B$3:$F$27,4,0), "")</f>
        <v>Solución Oral</v>
      </c>
      <c r="AC172" s="10" t="str">
        <f>IFERROR(VLOOKUP(Tabla1[[#This Row],[MEDICAMENTO]],TAB_REF!$B$3:$F$27,5,0), "")</f>
        <v>Frasco x 30 mL</v>
      </c>
      <c r="AD172" s="10" t="str">
        <f>IFERROR(VLOOKUP(Tabla1[[#This Row],[CANTIDAD UND COMERCIALES]],TAB_REF!$H$3:$I$1003,2,0)&amp;" ("&amp;Tabla1[[#This Row],[CANTIDAD UND COMERCIALES]]&amp;")"&amp;"_"&amp;Tabla1[[#This Row],[CANTIDAD]],"")</f>
        <v/>
      </c>
      <c r="AE172" s="31" t="e">
        <f>CONCATENATE([1]!Tabla1[[#This Row],[NOMBRE MED.]],[1]!Tabla1[[#This Row],[CONCENTRACION]],[1]!Tabla1[[#This Row],[FORMA FARMACEUTICA]])</f>
        <v>#REF!</v>
      </c>
    </row>
    <row r="173" spans="2:31" x14ac:dyDescent="0.25">
      <c r="B173" s="10">
        <v>65</v>
      </c>
      <c r="C173" s="10" t="s">
        <v>2538</v>
      </c>
      <c r="D173" s="10" t="s">
        <v>2531</v>
      </c>
      <c r="E173" s="10" t="s">
        <v>2539</v>
      </c>
      <c r="F173" s="10" t="s">
        <v>2540</v>
      </c>
      <c r="G173" s="10" t="s">
        <v>2541</v>
      </c>
      <c r="H173" s="10" t="s">
        <v>2542</v>
      </c>
      <c r="I173" s="10" t="s">
        <v>2120</v>
      </c>
      <c r="J173" s="10" t="s">
        <v>1696</v>
      </c>
      <c r="K173" s="10" t="s">
        <v>2543</v>
      </c>
      <c r="L173" s="11">
        <v>202124100201502</v>
      </c>
      <c r="M173" s="20">
        <v>44232</v>
      </c>
      <c r="N173" s="20" t="str">
        <f>UPPER(TEXT(Tabla1[[#This Row],[FECHA RADICADO ENTRADA]],"MMM"))</f>
        <v>FEB</v>
      </c>
      <c r="O173" s="11">
        <v>202124110206151</v>
      </c>
      <c r="P173" s="20">
        <v>44236</v>
      </c>
      <c r="Q173" s="20" t="str">
        <f>UPPER(TEXT(Tabla1[[#This Row],[FECHA RADICADO ENTRADA]],"MMM"))</f>
        <v>FEB</v>
      </c>
      <c r="R173" s="10">
        <f t="shared" si="2"/>
        <v>-4</v>
      </c>
      <c r="S173" s="10" t="s">
        <v>2154</v>
      </c>
      <c r="U173" s="10" t="s">
        <v>2544</v>
      </c>
      <c r="V173" s="20">
        <v>42831</v>
      </c>
      <c r="W173" s="10" t="s">
        <v>45</v>
      </c>
      <c r="X173" s="10">
        <v>1500</v>
      </c>
      <c r="Y173" s="11">
        <f>IFERROR(INT(Tabla1[[#This Row],[CANTIDAD UND FARMACEUTICAS]]/(VLOOKUP(Tabla1[[#This Row],[MEDICAMENTO]],TAB_REF!$K$3:$L$27,2,0))),"")</f>
        <v>50</v>
      </c>
      <c r="Z173" s="10" t="str">
        <f>IFERROR(VLOOKUP(Tabla1[[#This Row],[MEDICAMENTO]],TAB_REF!$B$3:$F$27,2,0), "")</f>
        <v xml:space="preserve">Metadona HCl </v>
      </c>
      <c r="AA173" s="10" t="str">
        <f>IFERROR(VLOOKUP(Tabla1[[#This Row],[MEDICAMENTO]],TAB_REF!$B$3:$F$27,3,0), "")</f>
        <v xml:space="preserve">10 mg </v>
      </c>
      <c r="AB173" s="10" t="str">
        <f>IFERROR(VLOOKUP(Tabla1[[#This Row],[MEDICAMENTO]],TAB_REF!$B$3:$F$27,4,0), "")</f>
        <v>Tabletas NACIONAL</v>
      </c>
      <c r="AC173" s="10" t="str">
        <f>IFERROR(VLOOKUP(Tabla1[[#This Row],[MEDICAMENTO]],TAB_REF!$B$3:$F$27,5,0), "")</f>
        <v>Caja x 30 unidades</v>
      </c>
      <c r="AD173" s="10" t="str">
        <f>IFERROR(VLOOKUP(Tabla1[[#This Row],[CANTIDAD UND COMERCIALES]],TAB_REF!$H$3:$I$1003,2,0)&amp;" ("&amp;Tabla1[[#This Row],[CANTIDAD UND COMERCIALES]]&amp;")"&amp;"_"&amp;Tabla1[[#This Row],[CANTIDAD]],"")</f>
        <v>Cincuenta (50)_Caja x 30 unidades</v>
      </c>
      <c r="AE173" s="31" t="e">
        <f>CONCATENATE([1]!Tabla1[[#This Row],[NOMBRE MED.]],[1]!Tabla1[[#This Row],[CONCENTRACION]],[1]!Tabla1[[#This Row],[FORMA FARMACEUTICA]])</f>
        <v>#REF!</v>
      </c>
    </row>
    <row r="174" spans="2:31" x14ac:dyDescent="0.25">
      <c r="B174" s="10">
        <v>65</v>
      </c>
      <c r="C174" s="10" t="s">
        <v>2538</v>
      </c>
      <c r="D174" s="10" t="s">
        <v>2531</v>
      </c>
      <c r="E174" s="10" t="s">
        <v>2539</v>
      </c>
      <c r="F174" s="10" t="s">
        <v>2540</v>
      </c>
      <c r="G174" s="10" t="s">
        <v>2541</v>
      </c>
      <c r="H174" s="10" t="s">
        <v>2542</v>
      </c>
      <c r="I174" s="10" t="s">
        <v>2120</v>
      </c>
      <c r="J174" s="10" t="s">
        <v>1696</v>
      </c>
      <c r="K174" s="10" t="s">
        <v>2543</v>
      </c>
      <c r="L174" s="11">
        <v>202124100201502</v>
      </c>
      <c r="M174" s="20">
        <v>44232</v>
      </c>
      <c r="N174" s="20" t="str">
        <f>UPPER(TEXT(Tabla1[[#This Row],[FECHA RADICADO ENTRADA]],"MMM"))</f>
        <v>FEB</v>
      </c>
      <c r="O174" s="11">
        <v>202124110206151</v>
      </c>
      <c r="P174" s="20">
        <v>44236</v>
      </c>
      <c r="Q174" s="20" t="str">
        <f>UPPER(TEXT(Tabla1[[#This Row],[FECHA RADICADO ENTRADA]],"MMM"))</f>
        <v>FEB</v>
      </c>
      <c r="R174" s="10">
        <f t="shared" si="2"/>
        <v>-4</v>
      </c>
      <c r="S174" s="10" t="s">
        <v>2154</v>
      </c>
      <c r="U174" s="10" t="s">
        <v>2544</v>
      </c>
      <c r="V174" s="20">
        <v>42831</v>
      </c>
      <c r="W174" s="10" t="s">
        <v>28</v>
      </c>
      <c r="X174" s="10">
        <v>10</v>
      </c>
      <c r="Y174" s="11">
        <f>IFERROR(INT(Tabla1[[#This Row],[CANTIDAD UND FARMACEUTICAS]]/(VLOOKUP(Tabla1[[#This Row],[MEDICAMENTO]],TAB_REF!$K$3:$L$27,2,0))),"")</f>
        <v>10</v>
      </c>
      <c r="Z174" s="10" t="str">
        <f>IFERROR(VLOOKUP(Tabla1[[#This Row],[MEDICAMENTO]],TAB_REF!$B$3:$F$27,2,0), "")</f>
        <v xml:space="preserve">Fenobarbital </v>
      </c>
      <c r="AA174" s="10" t="str">
        <f>IFERROR(VLOOKUP(Tabla1[[#This Row],[MEDICAMENTO]],TAB_REF!$B$3:$F$27,3,0), "")</f>
        <v xml:space="preserve">0,4%. </v>
      </c>
      <c r="AB174" s="10" t="str">
        <f>IFERROR(VLOOKUP(Tabla1[[#This Row],[MEDICAMENTO]],TAB_REF!$B$3:$F$27,4,0), "")</f>
        <v>Solución Oral</v>
      </c>
      <c r="AC174" s="10" t="str">
        <f>IFERROR(VLOOKUP(Tabla1[[#This Row],[MEDICAMENTO]],TAB_REF!$B$3:$F$27,5,0), "")</f>
        <v>Frasco x 120 mL</v>
      </c>
      <c r="AD174" s="10" t="str">
        <f>IFERROR(VLOOKUP(Tabla1[[#This Row],[CANTIDAD UND COMERCIALES]],TAB_REF!$H$3:$I$1003,2,0)&amp;" ("&amp;Tabla1[[#This Row],[CANTIDAD UND COMERCIALES]]&amp;")"&amp;"_"&amp;Tabla1[[#This Row],[CANTIDAD]],"")</f>
        <v>Diez (10)_Frasco x 120 mL</v>
      </c>
      <c r="AE174" s="31" t="e">
        <f>CONCATENATE([1]!Tabla1[[#This Row],[NOMBRE MED.]],[1]!Tabla1[[#This Row],[CONCENTRACION]],[1]!Tabla1[[#This Row],[FORMA FARMACEUTICA]])</f>
        <v>#REF!</v>
      </c>
    </row>
    <row r="175" spans="2:31" x14ac:dyDescent="0.25">
      <c r="B175" s="10">
        <v>65</v>
      </c>
      <c r="C175" s="10" t="s">
        <v>2538</v>
      </c>
      <c r="D175" s="10" t="s">
        <v>2531</v>
      </c>
      <c r="E175" s="10" t="s">
        <v>2539</v>
      </c>
      <c r="F175" s="10" t="s">
        <v>2540</v>
      </c>
      <c r="G175" s="10" t="s">
        <v>2541</v>
      </c>
      <c r="H175" s="10" t="s">
        <v>2542</v>
      </c>
      <c r="I175" s="10" t="s">
        <v>2120</v>
      </c>
      <c r="J175" s="10" t="s">
        <v>1696</v>
      </c>
      <c r="K175" s="10" t="s">
        <v>2543</v>
      </c>
      <c r="L175" s="11">
        <v>202124100201502</v>
      </c>
      <c r="M175" s="20">
        <v>44232</v>
      </c>
      <c r="N175" s="20" t="str">
        <f>UPPER(TEXT(Tabla1[[#This Row],[FECHA RADICADO ENTRADA]],"MMM"))</f>
        <v>FEB</v>
      </c>
      <c r="O175" s="11">
        <v>202124110206151</v>
      </c>
      <c r="P175" s="20">
        <v>44236</v>
      </c>
      <c r="Q175" s="20" t="str">
        <f>UPPER(TEXT(Tabla1[[#This Row],[FECHA RADICADO ENTRADA]],"MMM"))</f>
        <v>FEB</v>
      </c>
      <c r="R175" s="10">
        <f t="shared" si="2"/>
        <v>-4</v>
      </c>
      <c r="S175" s="10" t="s">
        <v>2154</v>
      </c>
      <c r="U175" s="10" t="s">
        <v>2544</v>
      </c>
      <c r="V175" s="20">
        <v>42831</v>
      </c>
      <c r="W175" s="10" t="s">
        <v>63</v>
      </c>
      <c r="X175" s="10">
        <v>6000</v>
      </c>
      <c r="Y175" s="11">
        <f>IFERROR(INT(Tabla1[[#This Row],[CANTIDAD UND FARMACEUTICAS]]/(VLOOKUP(Tabla1[[#This Row],[MEDICAMENTO]],TAB_REF!$K$3:$L$27,2,0))),"")</f>
        <v>600</v>
      </c>
      <c r="Z175" s="10" t="str">
        <f>IFERROR(VLOOKUP(Tabla1[[#This Row],[MEDICAMENTO]],TAB_REF!$B$3:$F$27,2,0), "")</f>
        <v xml:space="preserve">Morfina HCl </v>
      </c>
      <c r="AA175" s="10" t="str">
        <f>IFERROR(VLOOKUP(Tabla1[[#This Row],[MEDICAMENTO]],TAB_REF!$B$3:$F$27,3,0), "")</f>
        <v xml:space="preserve">10 mg/mL </v>
      </c>
      <c r="AB175" s="10" t="str">
        <f>IFERROR(VLOOKUP(Tabla1[[#This Row],[MEDICAMENTO]],TAB_REF!$B$3:$F$27,4,0), "")</f>
        <v>Solución Inyectable</v>
      </c>
      <c r="AC175" s="10" t="str">
        <f>IFERROR(VLOOKUP(Tabla1[[#This Row],[MEDICAMENTO]],TAB_REF!$B$3:$F$27,5,0), "")</f>
        <v>Caja x 10 unidades</v>
      </c>
      <c r="AD175" s="10" t="str">
        <f>IFERROR(VLOOKUP(Tabla1[[#This Row],[CANTIDAD UND COMERCIALES]],TAB_REF!$H$3:$I$1003,2,0)&amp;" ("&amp;Tabla1[[#This Row],[CANTIDAD UND COMERCIALES]]&amp;")"&amp;"_"&amp;Tabla1[[#This Row],[CANTIDAD]],"")</f>
        <v>Seiscientos (600)_Caja x 10 unidades</v>
      </c>
      <c r="AE175" s="31" t="e">
        <f>CONCATENATE([1]!Tabla1[[#This Row],[NOMBRE MED.]],[1]!Tabla1[[#This Row],[CONCENTRACION]],[1]!Tabla1[[#This Row],[FORMA FARMACEUTICA]])</f>
        <v>#REF!</v>
      </c>
    </row>
    <row r="176" spans="2:31" x14ac:dyDescent="0.25">
      <c r="B176" s="10">
        <v>66</v>
      </c>
      <c r="C176" s="10" t="s">
        <v>2545</v>
      </c>
      <c r="D176" s="10" t="s">
        <v>2546</v>
      </c>
      <c r="E176" s="10" t="s">
        <v>2547</v>
      </c>
      <c r="F176" s="10" t="s">
        <v>2164</v>
      </c>
      <c r="G176" s="10" t="s">
        <v>2548</v>
      </c>
      <c r="H176" s="10" t="s">
        <v>2549</v>
      </c>
      <c r="I176" s="10" t="s">
        <v>2129</v>
      </c>
      <c r="J176" s="10" t="s">
        <v>2011</v>
      </c>
      <c r="K176" s="10" t="s">
        <v>2551</v>
      </c>
      <c r="L176" s="11">
        <v>202124100203622</v>
      </c>
      <c r="M176" s="20">
        <v>44232</v>
      </c>
      <c r="N176" s="20" t="str">
        <f>UPPER(TEXT(Tabla1[[#This Row],[FECHA RADICADO ENTRADA]],"MMM"))</f>
        <v>FEB</v>
      </c>
      <c r="O176" s="11">
        <v>202124110206231</v>
      </c>
      <c r="P176" s="20">
        <v>44236</v>
      </c>
      <c r="Q176" s="20" t="str">
        <f>UPPER(TEXT(Tabla1[[#This Row],[FECHA RADICADO ENTRADA]],"MMM"))</f>
        <v>FEB</v>
      </c>
      <c r="R176" s="10">
        <f t="shared" si="2"/>
        <v>-4</v>
      </c>
      <c r="S176" s="10" t="s">
        <v>2145</v>
      </c>
      <c r="T176" s="10" t="s">
        <v>2167</v>
      </c>
      <c r="U176" s="10" t="s">
        <v>2164</v>
      </c>
      <c r="V176" s="20" t="s">
        <v>2164</v>
      </c>
      <c r="W176" s="10" t="s">
        <v>63</v>
      </c>
      <c r="X176" s="10">
        <v>0</v>
      </c>
      <c r="Y176" s="11">
        <f>IFERROR(INT(Tabla1[[#This Row],[CANTIDAD UND FARMACEUTICAS]]/(VLOOKUP(Tabla1[[#This Row],[MEDICAMENTO]],TAB_REF!$K$3:$L$27,2,0))),"")</f>
        <v>0</v>
      </c>
      <c r="Z176" s="10" t="str">
        <f>IFERROR(VLOOKUP(Tabla1[[#This Row],[MEDICAMENTO]],TAB_REF!$B$3:$F$27,2,0), "")</f>
        <v xml:space="preserve">Morfina HCl </v>
      </c>
      <c r="AA176" s="10" t="str">
        <f>IFERROR(VLOOKUP(Tabla1[[#This Row],[MEDICAMENTO]],TAB_REF!$B$3:$F$27,3,0), "")</f>
        <v xml:space="preserve">10 mg/mL </v>
      </c>
      <c r="AB176" s="10" t="str">
        <f>IFERROR(VLOOKUP(Tabla1[[#This Row],[MEDICAMENTO]],TAB_REF!$B$3:$F$27,4,0), "")</f>
        <v>Solución Inyectable</v>
      </c>
      <c r="AC176" s="10" t="str">
        <f>IFERROR(VLOOKUP(Tabla1[[#This Row],[MEDICAMENTO]],TAB_REF!$B$3:$F$27,5,0), "")</f>
        <v>Caja x 10 unidades</v>
      </c>
      <c r="AD176" s="10" t="str">
        <f>IFERROR(VLOOKUP(Tabla1[[#This Row],[CANTIDAD UND COMERCIALES]],TAB_REF!$H$3:$I$1003,2,0)&amp;" ("&amp;Tabla1[[#This Row],[CANTIDAD UND COMERCIALES]]&amp;")"&amp;"_"&amp;Tabla1[[#This Row],[CANTIDAD]],"")</f>
        <v/>
      </c>
      <c r="AE176" s="31" t="e">
        <f>CONCATENATE([1]!Tabla1[[#This Row],[NOMBRE MED.]],[1]!Tabla1[[#This Row],[CONCENTRACION]],[1]!Tabla1[[#This Row],[FORMA FARMACEUTICA]])</f>
        <v>#REF!</v>
      </c>
    </row>
    <row r="177" spans="2:31" x14ac:dyDescent="0.25">
      <c r="B177" s="10">
        <v>66</v>
      </c>
      <c r="C177" s="10" t="s">
        <v>2545</v>
      </c>
      <c r="D177" s="10" t="s">
        <v>2546</v>
      </c>
      <c r="E177" s="10" t="s">
        <v>2547</v>
      </c>
      <c r="F177" s="10" t="s">
        <v>2164</v>
      </c>
      <c r="G177" s="10" t="s">
        <v>2548</v>
      </c>
      <c r="H177" s="10" t="s">
        <v>2550</v>
      </c>
      <c r="I177" s="10" t="s">
        <v>2129</v>
      </c>
      <c r="J177" s="10" t="s">
        <v>2011</v>
      </c>
      <c r="K177" s="10" t="s">
        <v>2551</v>
      </c>
      <c r="L177" s="11">
        <v>202124100203622</v>
      </c>
      <c r="M177" s="20">
        <v>44232</v>
      </c>
      <c r="N177" s="20" t="str">
        <f>UPPER(TEXT(Tabla1[[#This Row],[FECHA RADICADO ENTRADA]],"MMM"))</f>
        <v>FEB</v>
      </c>
      <c r="O177" s="11">
        <v>202124110206231</v>
      </c>
      <c r="P177" s="20">
        <v>44236</v>
      </c>
      <c r="Q177" s="20" t="str">
        <f>UPPER(TEXT(Tabla1[[#This Row],[FECHA RADICADO ENTRADA]],"MMM"))</f>
        <v>FEB</v>
      </c>
      <c r="R177" s="10">
        <f t="shared" si="2"/>
        <v>-4</v>
      </c>
      <c r="S177" s="10" t="s">
        <v>2145</v>
      </c>
      <c r="T177" s="10" t="s">
        <v>2167</v>
      </c>
      <c r="U177" s="10" t="s">
        <v>2164</v>
      </c>
      <c r="V177" s="20" t="s">
        <v>2164</v>
      </c>
      <c r="W177" s="10" t="s">
        <v>37</v>
      </c>
      <c r="X177" s="10">
        <v>0</v>
      </c>
      <c r="Y177" s="11">
        <f>IFERROR(INT(Tabla1[[#This Row],[CANTIDAD UND FARMACEUTICAS]]/(VLOOKUP(Tabla1[[#This Row],[MEDICAMENTO]],TAB_REF!$K$3:$L$27,2,0))),"")</f>
        <v>0</v>
      </c>
      <c r="Z177" s="10" t="str">
        <f>IFERROR(VLOOKUP(Tabla1[[#This Row],[MEDICAMENTO]],TAB_REF!$B$3:$F$27,2,0), "")</f>
        <v xml:space="preserve">Hidromorfona HCl </v>
      </c>
      <c r="AA177" s="10" t="str">
        <f>IFERROR(VLOOKUP(Tabla1[[#This Row],[MEDICAMENTO]],TAB_REF!$B$3:$F$27,3,0), "")</f>
        <v xml:space="preserve">2 mg/mL </v>
      </c>
      <c r="AB177" s="10" t="str">
        <f>IFERROR(VLOOKUP(Tabla1[[#This Row],[MEDICAMENTO]],TAB_REF!$B$3:$F$27,4,0), "")</f>
        <v>Solución Inyectable</v>
      </c>
      <c r="AC177" s="10" t="str">
        <f>IFERROR(VLOOKUP(Tabla1[[#This Row],[MEDICAMENTO]],TAB_REF!$B$3:$F$27,5,0), "")</f>
        <v>Caja x 10 unidades</v>
      </c>
      <c r="AD177" s="10" t="str">
        <f>IFERROR(VLOOKUP(Tabla1[[#This Row],[CANTIDAD UND COMERCIALES]],TAB_REF!$H$3:$I$1003,2,0)&amp;" ("&amp;Tabla1[[#This Row],[CANTIDAD UND COMERCIALES]]&amp;")"&amp;"_"&amp;Tabla1[[#This Row],[CANTIDAD]],"")</f>
        <v/>
      </c>
      <c r="AE177" s="31" t="e">
        <f>CONCATENATE([1]!Tabla1[[#This Row],[NOMBRE MED.]],[1]!Tabla1[[#This Row],[CONCENTRACION]],[1]!Tabla1[[#This Row],[FORMA FARMACEUTICA]])</f>
        <v>#REF!</v>
      </c>
    </row>
    <row r="178" spans="2:31" x14ac:dyDescent="0.25">
      <c r="B178" s="10">
        <v>67</v>
      </c>
      <c r="C178" s="10" t="s">
        <v>2149</v>
      </c>
      <c r="D178" s="10" t="s">
        <v>2162</v>
      </c>
      <c r="E178" s="10" t="s">
        <v>2150</v>
      </c>
      <c r="F178" s="10" t="s">
        <v>2192</v>
      </c>
      <c r="G178" s="10" t="s">
        <v>2152</v>
      </c>
      <c r="H178" s="10" t="s">
        <v>2151</v>
      </c>
      <c r="I178" s="10" t="s">
        <v>2116</v>
      </c>
      <c r="J178" s="10" t="s">
        <v>1550</v>
      </c>
      <c r="K178" s="10" t="s">
        <v>2552</v>
      </c>
      <c r="L178" s="11">
        <v>202124100212762</v>
      </c>
      <c r="M178" s="20">
        <v>44235</v>
      </c>
      <c r="N178" s="20" t="str">
        <f>UPPER(TEXT(Tabla1[[#This Row],[FECHA RADICADO ENTRADA]],"MMM"))</f>
        <v>FEB</v>
      </c>
      <c r="O178" s="11">
        <v>202124110219001</v>
      </c>
      <c r="P178" s="20">
        <v>44238</v>
      </c>
      <c r="Q178" s="20" t="str">
        <f>UPPER(TEXT(Tabla1[[#This Row],[FECHA RADICADO ENTRADA]],"MMM"))</f>
        <v>FEB</v>
      </c>
      <c r="R178" s="10">
        <f t="shared" si="2"/>
        <v>-3</v>
      </c>
      <c r="S178" s="10" t="s">
        <v>2154</v>
      </c>
      <c r="U178" s="10" t="s">
        <v>2557</v>
      </c>
      <c r="V178" s="20">
        <v>43829</v>
      </c>
      <c r="W178" s="10" t="s">
        <v>63</v>
      </c>
      <c r="X178" s="10">
        <v>500</v>
      </c>
      <c r="Y178" s="11">
        <f>IFERROR(INT(Tabla1[[#This Row],[CANTIDAD UND FARMACEUTICAS]]/(VLOOKUP(Tabla1[[#This Row],[MEDICAMENTO]],TAB_REF!$K$3:$L$27,2,0))),"")</f>
        <v>50</v>
      </c>
      <c r="Z178" s="10" t="str">
        <f>IFERROR(VLOOKUP(Tabla1[[#This Row],[MEDICAMENTO]],TAB_REF!$B$3:$F$27,2,0), "")</f>
        <v xml:space="preserve">Morfina HCl </v>
      </c>
      <c r="AA178" s="10" t="str">
        <f>IFERROR(VLOOKUP(Tabla1[[#This Row],[MEDICAMENTO]],TAB_REF!$B$3:$F$27,3,0), "")</f>
        <v xml:space="preserve">10 mg/mL </v>
      </c>
      <c r="AB178" s="10" t="str">
        <f>IFERROR(VLOOKUP(Tabla1[[#This Row],[MEDICAMENTO]],TAB_REF!$B$3:$F$27,4,0), "")</f>
        <v>Solución Inyectable</v>
      </c>
      <c r="AC178" s="10" t="str">
        <f>IFERROR(VLOOKUP(Tabla1[[#This Row],[MEDICAMENTO]],TAB_REF!$B$3:$F$27,5,0), "")</f>
        <v>Caja x 10 unidades</v>
      </c>
      <c r="AD178" s="10" t="str">
        <f>IFERROR(VLOOKUP(Tabla1[[#This Row],[CANTIDAD UND COMERCIALES]],TAB_REF!$H$3:$I$1003,2,0)&amp;" ("&amp;Tabla1[[#This Row],[CANTIDAD UND COMERCIALES]]&amp;")"&amp;"_"&amp;Tabla1[[#This Row],[CANTIDAD]],"")</f>
        <v>Cincuenta (50)_Caja x 10 unidades</v>
      </c>
      <c r="AE178" s="31" t="e">
        <f>CONCATENATE([1]!Tabla1[[#This Row],[NOMBRE MED.]],[1]!Tabla1[[#This Row],[CONCENTRACION]],[1]!Tabla1[[#This Row],[FORMA FARMACEUTICA]])</f>
        <v>#REF!</v>
      </c>
    </row>
    <row r="179" spans="2:31" x14ac:dyDescent="0.25">
      <c r="B179" s="10">
        <v>67</v>
      </c>
      <c r="C179" s="10" t="s">
        <v>2149</v>
      </c>
      <c r="D179" s="10" t="s">
        <v>2162</v>
      </c>
      <c r="E179" s="10" t="s">
        <v>2150</v>
      </c>
      <c r="F179" s="10" t="s">
        <v>2192</v>
      </c>
      <c r="G179" s="10" t="s">
        <v>2152</v>
      </c>
      <c r="H179" s="10" t="s">
        <v>2151</v>
      </c>
      <c r="I179" s="10" t="s">
        <v>2116</v>
      </c>
      <c r="J179" s="10" t="s">
        <v>1550</v>
      </c>
      <c r="K179" s="10" t="s">
        <v>2553</v>
      </c>
      <c r="L179" s="11">
        <v>202124100212762</v>
      </c>
      <c r="M179" s="20">
        <v>44235</v>
      </c>
      <c r="N179" s="20" t="str">
        <f>UPPER(TEXT(Tabla1[[#This Row],[FECHA RADICADO ENTRADA]],"MMM"))</f>
        <v>FEB</v>
      </c>
      <c r="O179" s="11">
        <v>202124110219001</v>
      </c>
      <c r="P179" s="20">
        <v>44238</v>
      </c>
      <c r="Q179" s="20" t="str">
        <f>UPPER(TEXT(Tabla1[[#This Row],[FECHA RADICADO ENTRADA]],"MMM"))</f>
        <v>FEB</v>
      </c>
      <c r="R179" s="10">
        <f t="shared" si="2"/>
        <v>-3</v>
      </c>
      <c r="S179" s="10" t="s">
        <v>2154</v>
      </c>
      <c r="U179" s="10" t="s">
        <v>2557</v>
      </c>
      <c r="V179" s="20">
        <v>43829</v>
      </c>
      <c r="W179" s="10" t="s">
        <v>37</v>
      </c>
      <c r="X179" s="10">
        <v>200</v>
      </c>
      <c r="Y179" s="11">
        <f>IFERROR(INT(Tabla1[[#This Row],[CANTIDAD UND FARMACEUTICAS]]/(VLOOKUP(Tabla1[[#This Row],[MEDICAMENTO]],TAB_REF!$K$3:$L$27,2,0))),"")</f>
        <v>20</v>
      </c>
      <c r="Z179" s="10" t="str">
        <f>IFERROR(VLOOKUP(Tabla1[[#This Row],[MEDICAMENTO]],TAB_REF!$B$3:$F$27,2,0), "")</f>
        <v xml:space="preserve">Hidromorfona HCl </v>
      </c>
      <c r="AA179" s="10" t="str">
        <f>IFERROR(VLOOKUP(Tabla1[[#This Row],[MEDICAMENTO]],TAB_REF!$B$3:$F$27,3,0), "")</f>
        <v xml:space="preserve">2 mg/mL </v>
      </c>
      <c r="AB179" s="10" t="str">
        <f>IFERROR(VLOOKUP(Tabla1[[#This Row],[MEDICAMENTO]],TAB_REF!$B$3:$F$27,4,0), "")</f>
        <v>Solución Inyectable</v>
      </c>
      <c r="AC179" s="10" t="str">
        <f>IFERROR(VLOOKUP(Tabla1[[#This Row],[MEDICAMENTO]],TAB_REF!$B$3:$F$27,5,0), "")</f>
        <v>Caja x 10 unidades</v>
      </c>
      <c r="AD179" s="10" t="str">
        <f>IFERROR(VLOOKUP(Tabla1[[#This Row],[CANTIDAD UND COMERCIALES]],TAB_REF!$H$3:$I$1003,2,0)&amp;" ("&amp;Tabla1[[#This Row],[CANTIDAD UND COMERCIALES]]&amp;")"&amp;"_"&amp;Tabla1[[#This Row],[CANTIDAD]],"")</f>
        <v>Veinte (20)_Caja x 10 unidades</v>
      </c>
      <c r="AE179" s="31" t="e">
        <f>CONCATENATE([1]!Tabla1[[#This Row],[NOMBRE MED.]],[1]!Tabla1[[#This Row],[CONCENTRACION]],[1]!Tabla1[[#This Row],[FORMA FARMACEUTICA]])</f>
        <v>#REF!</v>
      </c>
    </row>
    <row r="180" spans="2:31" x14ac:dyDescent="0.25">
      <c r="B180" s="10">
        <v>67</v>
      </c>
      <c r="C180" s="10" t="s">
        <v>2149</v>
      </c>
      <c r="D180" s="10" t="s">
        <v>2162</v>
      </c>
      <c r="E180" s="10" t="s">
        <v>2150</v>
      </c>
      <c r="F180" s="10" t="s">
        <v>2192</v>
      </c>
      <c r="G180" s="10" t="s">
        <v>2152</v>
      </c>
      <c r="H180" s="10" t="s">
        <v>2151</v>
      </c>
      <c r="I180" s="10" t="s">
        <v>2116</v>
      </c>
      <c r="J180" s="10" t="s">
        <v>1550</v>
      </c>
      <c r="K180" s="10" t="s">
        <v>2554</v>
      </c>
      <c r="L180" s="11">
        <v>202124100212762</v>
      </c>
      <c r="M180" s="20">
        <v>44235</v>
      </c>
      <c r="N180" s="20" t="str">
        <f>UPPER(TEXT(Tabla1[[#This Row],[FECHA RADICADO ENTRADA]],"MMM"))</f>
        <v>FEB</v>
      </c>
      <c r="O180" s="11">
        <v>202124110219001</v>
      </c>
      <c r="P180" s="20">
        <v>44238</v>
      </c>
      <c r="Q180" s="20" t="str">
        <f>UPPER(TEXT(Tabla1[[#This Row],[FECHA RADICADO ENTRADA]],"MMM"))</f>
        <v>FEB</v>
      </c>
      <c r="R180" s="10">
        <f t="shared" si="2"/>
        <v>-3</v>
      </c>
      <c r="S180" s="10" t="s">
        <v>2154</v>
      </c>
      <c r="U180" s="10" t="s">
        <v>2557</v>
      </c>
      <c r="V180" s="20">
        <v>43829</v>
      </c>
      <c r="W180" s="10" t="s">
        <v>45</v>
      </c>
      <c r="X180" s="10">
        <v>100</v>
      </c>
      <c r="Y180" s="11">
        <f>IFERROR(INT(Tabla1[[#This Row],[CANTIDAD UND FARMACEUTICAS]]/(VLOOKUP(Tabla1[[#This Row],[MEDICAMENTO]],TAB_REF!$K$3:$L$27,2,0))),"")</f>
        <v>3</v>
      </c>
      <c r="Z180" s="10" t="str">
        <f>IFERROR(VLOOKUP(Tabla1[[#This Row],[MEDICAMENTO]],TAB_REF!$B$3:$F$27,2,0), "")</f>
        <v xml:space="preserve">Metadona HCl </v>
      </c>
      <c r="AA180" s="10" t="str">
        <f>IFERROR(VLOOKUP(Tabla1[[#This Row],[MEDICAMENTO]],TAB_REF!$B$3:$F$27,3,0), "")</f>
        <v xml:space="preserve">10 mg </v>
      </c>
      <c r="AB180" s="10" t="str">
        <f>IFERROR(VLOOKUP(Tabla1[[#This Row],[MEDICAMENTO]],TAB_REF!$B$3:$F$27,4,0), "")</f>
        <v>Tabletas NACIONAL</v>
      </c>
      <c r="AC180" s="10" t="str">
        <f>IFERROR(VLOOKUP(Tabla1[[#This Row],[MEDICAMENTO]],TAB_REF!$B$3:$F$27,5,0), "")</f>
        <v>Caja x 30 unidades</v>
      </c>
      <c r="AD180" s="10" t="str">
        <f>IFERROR(VLOOKUP(Tabla1[[#This Row],[CANTIDAD UND COMERCIALES]],TAB_REF!$H$3:$I$1003,2,0)&amp;" ("&amp;Tabla1[[#This Row],[CANTIDAD UND COMERCIALES]]&amp;")"&amp;"_"&amp;Tabla1[[#This Row],[CANTIDAD]],"")</f>
        <v>Tres (3)_Caja x 30 unidades</v>
      </c>
      <c r="AE180" s="31" t="e">
        <f>CONCATENATE([1]!Tabla1[[#This Row],[NOMBRE MED.]],[1]!Tabla1[[#This Row],[CONCENTRACION]],[1]!Tabla1[[#This Row],[FORMA FARMACEUTICA]])</f>
        <v>#REF!</v>
      </c>
    </row>
    <row r="181" spans="2:31" x14ac:dyDescent="0.25">
      <c r="B181" s="10">
        <v>67</v>
      </c>
      <c r="C181" s="10" t="s">
        <v>2149</v>
      </c>
      <c r="D181" s="10" t="s">
        <v>2162</v>
      </c>
      <c r="E181" s="10" t="s">
        <v>2150</v>
      </c>
      <c r="F181" s="10" t="s">
        <v>2192</v>
      </c>
      <c r="G181" s="10" t="s">
        <v>2152</v>
      </c>
      <c r="H181" s="10" t="s">
        <v>2151</v>
      </c>
      <c r="I181" s="10" t="s">
        <v>2116</v>
      </c>
      <c r="J181" s="10" t="s">
        <v>1550</v>
      </c>
      <c r="K181" s="10" t="s">
        <v>2555</v>
      </c>
      <c r="L181" s="11">
        <v>202124100212762</v>
      </c>
      <c r="M181" s="20">
        <v>44235</v>
      </c>
      <c r="N181" s="20" t="str">
        <f>UPPER(TEXT(Tabla1[[#This Row],[FECHA RADICADO ENTRADA]],"MMM"))</f>
        <v>FEB</v>
      </c>
      <c r="O181" s="11">
        <v>202124110219001</v>
      </c>
      <c r="P181" s="20">
        <v>44238</v>
      </c>
      <c r="Q181" s="20" t="str">
        <f>UPPER(TEXT(Tabla1[[#This Row],[FECHA RADICADO ENTRADA]],"MMM"))</f>
        <v>FEB</v>
      </c>
      <c r="R181" s="10">
        <f t="shared" si="2"/>
        <v>-3</v>
      </c>
      <c r="S181" s="10" t="s">
        <v>2154</v>
      </c>
      <c r="U181" s="10" t="s">
        <v>2557</v>
      </c>
      <c r="V181" s="20">
        <v>43829</v>
      </c>
      <c r="W181" s="10" t="s">
        <v>47</v>
      </c>
      <c r="X181" s="10">
        <v>100</v>
      </c>
      <c r="Y181" s="11">
        <f>IFERROR(INT(Tabla1[[#This Row],[CANTIDAD UND FARMACEUTICAS]]/(VLOOKUP(Tabla1[[#This Row],[MEDICAMENTO]],TAB_REF!$K$3:$L$27,2,0))),"")</f>
        <v>3</v>
      </c>
      <c r="Z181" s="10" t="str">
        <f>IFERROR(VLOOKUP(Tabla1[[#This Row],[MEDICAMENTO]],TAB_REF!$B$3:$F$27,2,0), "")</f>
        <v xml:space="preserve">Metadona HCl </v>
      </c>
      <c r="AA181" s="10" t="str">
        <f>IFERROR(VLOOKUP(Tabla1[[#This Row],[MEDICAMENTO]],TAB_REF!$B$3:$F$27,3,0), "")</f>
        <v xml:space="preserve">40 mg </v>
      </c>
      <c r="AB181" s="10" t="str">
        <f>IFERROR(VLOOKUP(Tabla1[[#This Row],[MEDICAMENTO]],TAB_REF!$B$3:$F$27,4,0), "")</f>
        <v>Tabletas NACIONAL</v>
      </c>
      <c r="AC181" s="10" t="str">
        <f>IFERROR(VLOOKUP(Tabla1[[#This Row],[MEDICAMENTO]],TAB_REF!$B$3:$F$27,5,0), "")</f>
        <v>Caja x 30 unidades</v>
      </c>
      <c r="AD181" s="10" t="str">
        <f>IFERROR(VLOOKUP(Tabla1[[#This Row],[CANTIDAD UND COMERCIALES]],TAB_REF!$H$3:$I$1003,2,0)&amp;" ("&amp;Tabla1[[#This Row],[CANTIDAD UND COMERCIALES]]&amp;")"&amp;"_"&amp;Tabla1[[#This Row],[CANTIDAD]],"")</f>
        <v>Tres (3)_Caja x 30 unidades</v>
      </c>
      <c r="AE181" s="31" t="e">
        <f>CONCATENATE([1]!Tabla1[[#This Row],[NOMBRE MED.]],[1]!Tabla1[[#This Row],[CONCENTRACION]],[1]!Tabla1[[#This Row],[FORMA FARMACEUTICA]])</f>
        <v>#REF!</v>
      </c>
    </row>
    <row r="182" spans="2:31" x14ac:dyDescent="0.25">
      <c r="B182" s="10">
        <v>67</v>
      </c>
      <c r="C182" s="10" t="s">
        <v>2149</v>
      </c>
      <c r="D182" s="10" t="s">
        <v>2162</v>
      </c>
      <c r="E182" s="10" t="s">
        <v>2150</v>
      </c>
      <c r="F182" s="10" t="s">
        <v>2192</v>
      </c>
      <c r="G182" s="10" t="s">
        <v>2152</v>
      </c>
      <c r="H182" s="10" t="s">
        <v>2151</v>
      </c>
      <c r="I182" s="10" t="s">
        <v>2116</v>
      </c>
      <c r="J182" s="10" t="s">
        <v>1550</v>
      </c>
      <c r="K182" s="10" t="s">
        <v>2556</v>
      </c>
      <c r="L182" s="11">
        <v>202124100212762</v>
      </c>
      <c r="M182" s="20">
        <v>44235</v>
      </c>
      <c r="N182" s="20" t="str">
        <f>UPPER(TEXT(Tabla1[[#This Row],[FECHA RADICADO ENTRADA]],"MMM"))</f>
        <v>FEB</v>
      </c>
      <c r="O182" s="11">
        <v>202124110219001</v>
      </c>
      <c r="P182" s="20">
        <v>44238</v>
      </c>
      <c r="Q182" s="20" t="str">
        <f>UPPER(TEXT(Tabla1[[#This Row],[FECHA RADICADO ENTRADA]],"MMM"))</f>
        <v>FEB</v>
      </c>
      <c r="R182" s="10">
        <f t="shared" si="2"/>
        <v>-3</v>
      </c>
      <c r="S182" s="10" t="s">
        <v>2154</v>
      </c>
      <c r="U182" s="10" t="s">
        <v>2557</v>
      </c>
      <c r="V182" s="20">
        <v>43829</v>
      </c>
      <c r="W182" s="10" t="s">
        <v>38</v>
      </c>
      <c r="X182" s="10">
        <v>100</v>
      </c>
      <c r="Y182" s="11">
        <f>IFERROR(INT(Tabla1[[#This Row],[CANTIDAD UND FARMACEUTICAS]]/(VLOOKUP(Tabla1[[#This Row],[MEDICAMENTO]],TAB_REF!$K$3:$L$27,2,0))),"")</f>
        <v>5</v>
      </c>
      <c r="Z182" s="10" t="str">
        <f>IFERROR(VLOOKUP(Tabla1[[#This Row],[MEDICAMENTO]],TAB_REF!$B$3:$F$27,2,0), "")</f>
        <v xml:space="preserve">Hidromorfona HCl </v>
      </c>
      <c r="AA182" s="10" t="str">
        <f>IFERROR(VLOOKUP(Tabla1[[#This Row],[MEDICAMENTO]],TAB_REF!$B$3:$F$27,3,0), "")</f>
        <v xml:space="preserve">2,5 mg </v>
      </c>
      <c r="AB182" s="10" t="str">
        <f>IFERROR(VLOOKUP(Tabla1[[#This Row],[MEDICAMENTO]],TAB_REF!$B$3:$F$27,4,0), "")</f>
        <v>Tabletas</v>
      </c>
      <c r="AC182" s="10" t="str">
        <f>IFERROR(VLOOKUP(Tabla1[[#This Row],[MEDICAMENTO]],TAB_REF!$B$3:$F$27,5,0), "")</f>
        <v>Caja x 20 unidades</v>
      </c>
      <c r="AD182" s="10" t="str">
        <f>IFERROR(VLOOKUP(Tabla1[[#This Row],[CANTIDAD UND COMERCIALES]],TAB_REF!$H$3:$I$1003,2,0)&amp;" ("&amp;Tabla1[[#This Row],[CANTIDAD UND COMERCIALES]]&amp;")"&amp;"_"&amp;Tabla1[[#This Row],[CANTIDAD]],"")</f>
        <v>Cinco (5)_Caja x 20 unidades</v>
      </c>
      <c r="AE182" s="31" t="e">
        <f>CONCATENATE([1]!Tabla1[[#This Row],[NOMBRE MED.]],[1]!Tabla1[[#This Row],[CONCENTRACION]],[1]!Tabla1[[#This Row],[FORMA FARMACEUTICA]])</f>
        <v>#REF!</v>
      </c>
    </row>
    <row r="183" spans="2:31" x14ac:dyDescent="0.25">
      <c r="B183" s="10">
        <v>68</v>
      </c>
      <c r="C183" s="10" t="s">
        <v>2558</v>
      </c>
      <c r="D183" s="10" t="s">
        <v>2365</v>
      </c>
      <c r="E183" s="10" t="s">
        <v>2559</v>
      </c>
      <c r="F183" s="10" t="s">
        <v>2560</v>
      </c>
      <c r="G183" s="21" t="s">
        <v>2561</v>
      </c>
      <c r="H183" s="10" t="s">
        <v>2562</v>
      </c>
      <c r="I183" s="10" t="s">
        <v>2119</v>
      </c>
      <c r="J183" s="10" t="s">
        <v>1694</v>
      </c>
      <c r="K183" s="10" t="s">
        <v>2563</v>
      </c>
      <c r="L183" s="11">
        <v>202124100211922</v>
      </c>
      <c r="M183" s="20">
        <v>44235</v>
      </c>
      <c r="N183" s="20" t="str">
        <f>UPPER(TEXT(Tabla1[[#This Row],[FECHA RADICADO ENTRADA]],"MMM"))</f>
        <v>FEB</v>
      </c>
      <c r="O183" s="11">
        <v>202124110238641</v>
      </c>
      <c r="P183" s="20">
        <v>44239</v>
      </c>
      <c r="Q183" s="20" t="str">
        <f>UPPER(TEXT(Tabla1[[#This Row],[FECHA RADICADO ENTRADA]],"MMM"))</f>
        <v>FEB</v>
      </c>
      <c r="R183" s="10">
        <f t="shared" si="2"/>
        <v>-4</v>
      </c>
      <c r="S183" s="10" t="s">
        <v>2154</v>
      </c>
      <c r="U183" s="10" t="s">
        <v>2564</v>
      </c>
      <c r="V183" s="20">
        <v>43942</v>
      </c>
      <c r="W183" s="10" t="s">
        <v>63</v>
      </c>
      <c r="X183" s="10">
        <v>100</v>
      </c>
      <c r="Y183" s="11">
        <f>IFERROR(INT(Tabla1[[#This Row],[CANTIDAD UND FARMACEUTICAS]]/(VLOOKUP(Tabla1[[#This Row],[MEDICAMENTO]],TAB_REF!$K$3:$L$27,2,0))),"")</f>
        <v>10</v>
      </c>
      <c r="Z183" s="10" t="str">
        <f>IFERROR(VLOOKUP(Tabla1[[#This Row],[MEDICAMENTO]],TAB_REF!$B$3:$F$27,2,0), "")</f>
        <v xml:space="preserve">Morfina HCl </v>
      </c>
      <c r="AA183" s="10" t="str">
        <f>IFERROR(VLOOKUP(Tabla1[[#This Row],[MEDICAMENTO]],TAB_REF!$B$3:$F$27,3,0), "")</f>
        <v xml:space="preserve">10 mg/mL </v>
      </c>
      <c r="AB183" s="10" t="str">
        <f>IFERROR(VLOOKUP(Tabla1[[#This Row],[MEDICAMENTO]],TAB_REF!$B$3:$F$27,4,0), "")</f>
        <v>Solución Inyectable</v>
      </c>
      <c r="AC183" s="10" t="str">
        <f>IFERROR(VLOOKUP(Tabla1[[#This Row],[MEDICAMENTO]],TAB_REF!$B$3:$F$27,5,0), "")</f>
        <v>Caja x 10 unidades</v>
      </c>
      <c r="AD183" s="10" t="str">
        <f>IFERROR(VLOOKUP(Tabla1[[#This Row],[CANTIDAD UND COMERCIALES]],TAB_REF!$H$3:$I$1003,2,0)&amp;" ("&amp;Tabla1[[#This Row],[CANTIDAD UND COMERCIALES]]&amp;")"&amp;"_"&amp;Tabla1[[#This Row],[CANTIDAD]],"")</f>
        <v>Diez (10)_Caja x 10 unidades</v>
      </c>
      <c r="AE183" s="31" t="e">
        <f>CONCATENATE([1]!Tabla1[[#This Row],[NOMBRE MED.]],[1]!Tabla1[[#This Row],[CONCENTRACION]],[1]!Tabla1[[#This Row],[FORMA FARMACEUTICA]])</f>
        <v>#REF!</v>
      </c>
    </row>
    <row r="184" spans="2:31" x14ac:dyDescent="0.25">
      <c r="B184" s="10">
        <v>69</v>
      </c>
      <c r="C184" s="10" t="s">
        <v>2565</v>
      </c>
      <c r="D184" s="10" t="s">
        <v>2162</v>
      </c>
      <c r="E184" s="37" t="s">
        <v>2566</v>
      </c>
      <c r="F184" s="10" t="s">
        <v>2567</v>
      </c>
      <c r="G184" s="38" t="s">
        <v>2568</v>
      </c>
      <c r="H184" s="10" t="s">
        <v>2569</v>
      </c>
      <c r="I184" s="10" t="s">
        <v>2110</v>
      </c>
      <c r="J184" s="10" t="s">
        <v>1235</v>
      </c>
      <c r="K184" s="10" t="s">
        <v>2563</v>
      </c>
      <c r="L184" s="11">
        <v>202124100225502</v>
      </c>
      <c r="M184" s="20">
        <v>44237</v>
      </c>
      <c r="N184" s="20" t="str">
        <f>UPPER(TEXT(Tabla1[[#This Row],[FECHA RADICADO ENTRADA]],"MMM"))</f>
        <v>FEB</v>
      </c>
      <c r="O184" s="11">
        <v>202124110238561</v>
      </c>
      <c r="P184" s="20">
        <v>44239</v>
      </c>
      <c r="Q184" s="20" t="str">
        <f>UPPER(TEXT(Tabla1[[#This Row],[FECHA RADICADO ENTRADA]],"MMM"))</f>
        <v>FEB</v>
      </c>
      <c r="R184" s="10">
        <f t="shared" si="2"/>
        <v>-2</v>
      </c>
      <c r="S184" s="10" t="s">
        <v>2154</v>
      </c>
      <c r="U184" s="10" t="s">
        <v>2570</v>
      </c>
      <c r="V184" s="20">
        <v>44095</v>
      </c>
      <c r="W184" s="10" t="s">
        <v>32</v>
      </c>
      <c r="X184" s="10">
        <f>24*30</f>
        <v>720</v>
      </c>
      <c r="Y184" s="11">
        <f>IFERROR(INT(Tabla1[[#This Row],[CANTIDAD UND FARMACEUTICAS]]/(VLOOKUP(Tabla1[[#This Row],[MEDICAMENTO]],TAB_REF!$K$3:$L$27,2,0))),"")</f>
        <v>24</v>
      </c>
      <c r="Z184" s="10" t="str">
        <f>IFERROR(VLOOKUP(Tabla1[[#This Row],[MEDICAMENTO]],TAB_REF!$B$3:$F$27,2,0), "")</f>
        <v xml:space="preserve">Fenobarbital </v>
      </c>
      <c r="AA184" s="10" t="str">
        <f>IFERROR(VLOOKUP(Tabla1[[#This Row],[MEDICAMENTO]],TAB_REF!$B$3:$F$27,3,0), "")</f>
        <v xml:space="preserve">100 mg </v>
      </c>
      <c r="AB184" s="10" t="str">
        <f>IFERROR(VLOOKUP(Tabla1[[#This Row],[MEDICAMENTO]],TAB_REF!$B$3:$F$27,4,0), "")</f>
        <v>Tabletas</v>
      </c>
      <c r="AC184" s="10" t="str">
        <f>IFERROR(VLOOKUP(Tabla1[[#This Row],[MEDICAMENTO]],TAB_REF!$B$3:$F$27,5,0), "")</f>
        <v>Caja x 30 unidades</v>
      </c>
      <c r="AD184" s="10" t="str">
        <f>IFERROR(VLOOKUP(Tabla1[[#This Row],[CANTIDAD UND COMERCIALES]],TAB_REF!$H$3:$I$1003,2,0)&amp;" ("&amp;Tabla1[[#This Row],[CANTIDAD UND COMERCIALES]]&amp;")"&amp;"_"&amp;Tabla1[[#This Row],[CANTIDAD]],"")</f>
        <v>Veinticuatro (24)_Caja x 30 unidades</v>
      </c>
      <c r="AE184" s="31" t="e">
        <f>CONCATENATE([1]!Tabla1[[#This Row],[NOMBRE MED.]],[1]!Tabla1[[#This Row],[CONCENTRACION]],[1]!Tabla1[[#This Row],[FORMA FARMACEUTICA]])</f>
        <v>#REF!</v>
      </c>
    </row>
    <row r="185" spans="2:31" x14ac:dyDescent="0.25">
      <c r="B185" s="10">
        <v>69</v>
      </c>
      <c r="C185" s="10" t="s">
        <v>2565</v>
      </c>
      <c r="D185" s="10" t="s">
        <v>2162</v>
      </c>
      <c r="E185" s="37" t="s">
        <v>2566</v>
      </c>
      <c r="F185" s="10" t="s">
        <v>2567</v>
      </c>
      <c r="G185" s="38" t="s">
        <v>2568</v>
      </c>
      <c r="H185" s="10" t="s">
        <v>2569</v>
      </c>
      <c r="I185" s="10" t="s">
        <v>2110</v>
      </c>
      <c r="J185" s="10" t="s">
        <v>1235</v>
      </c>
      <c r="K185" s="10" t="s">
        <v>2563</v>
      </c>
      <c r="L185" s="11">
        <v>202124100225502</v>
      </c>
      <c r="M185" s="20">
        <v>44237</v>
      </c>
      <c r="N185" s="20" t="str">
        <f>UPPER(TEXT(Tabla1[[#This Row],[FECHA RADICADO ENTRADA]],"MMM"))</f>
        <v>FEB</v>
      </c>
      <c r="O185" s="11">
        <v>202124110238561</v>
      </c>
      <c r="P185" s="20">
        <v>44239</v>
      </c>
      <c r="Q185" s="20" t="str">
        <f>UPPER(TEXT(Tabla1[[#This Row],[FECHA RADICADO ENTRADA]],"MMM"))</f>
        <v>FEB</v>
      </c>
      <c r="R185" s="10">
        <f t="shared" si="2"/>
        <v>-2</v>
      </c>
      <c r="S185" s="10" t="s">
        <v>2154</v>
      </c>
      <c r="U185" s="10" t="s">
        <v>2570</v>
      </c>
      <c r="V185" s="20">
        <v>44095</v>
      </c>
      <c r="W185" s="10" t="s">
        <v>38</v>
      </c>
      <c r="X185" s="10">
        <f>27*20</f>
        <v>540</v>
      </c>
      <c r="Y185" s="11">
        <f>IFERROR(INT(Tabla1[[#This Row],[CANTIDAD UND FARMACEUTICAS]]/(VLOOKUP(Tabla1[[#This Row],[MEDICAMENTO]],TAB_REF!$K$3:$L$27,2,0))),"")</f>
        <v>27</v>
      </c>
      <c r="Z185" s="10" t="str">
        <f>IFERROR(VLOOKUP(Tabla1[[#This Row],[MEDICAMENTO]],TAB_REF!$B$3:$F$27,2,0), "")</f>
        <v xml:space="preserve">Hidromorfona HCl </v>
      </c>
      <c r="AA185" s="10" t="str">
        <f>IFERROR(VLOOKUP(Tabla1[[#This Row],[MEDICAMENTO]],TAB_REF!$B$3:$F$27,3,0), "")</f>
        <v xml:space="preserve">2,5 mg </v>
      </c>
      <c r="AB185" s="10" t="str">
        <f>IFERROR(VLOOKUP(Tabla1[[#This Row],[MEDICAMENTO]],TAB_REF!$B$3:$F$27,4,0), "")</f>
        <v>Tabletas</v>
      </c>
      <c r="AC185" s="10" t="str">
        <f>IFERROR(VLOOKUP(Tabla1[[#This Row],[MEDICAMENTO]],TAB_REF!$B$3:$F$27,5,0), "")</f>
        <v>Caja x 20 unidades</v>
      </c>
      <c r="AD185" s="10" t="str">
        <f>IFERROR(VLOOKUP(Tabla1[[#This Row],[CANTIDAD UND COMERCIALES]],TAB_REF!$H$3:$I$1003,2,0)&amp;" ("&amp;Tabla1[[#This Row],[CANTIDAD UND COMERCIALES]]&amp;")"&amp;"_"&amp;Tabla1[[#This Row],[CANTIDAD]],"")</f>
        <v>Veintisiete (27)_Caja x 20 unidades</v>
      </c>
      <c r="AE185" s="31" t="e">
        <f>CONCATENATE([1]!Tabla1[[#This Row],[NOMBRE MED.]],[1]!Tabla1[[#This Row],[CONCENTRACION]],[1]!Tabla1[[#This Row],[FORMA FARMACEUTICA]])</f>
        <v>#REF!</v>
      </c>
    </row>
    <row r="186" spans="2:31" x14ac:dyDescent="0.25">
      <c r="B186" s="10">
        <v>69</v>
      </c>
      <c r="C186" s="10" t="s">
        <v>2565</v>
      </c>
      <c r="D186" s="10" t="s">
        <v>2162</v>
      </c>
      <c r="E186" s="37" t="s">
        <v>2566</v>
      </c>
      <c r="F186" s="10" t="s">
        <v>2567</v>
      </c>
      <c r="G186" s="38" t="s">
        <v>2568</v>
      </c>
      <c r="H186" s="10" t="s">
        <v>2569</v>
      </c>
      <c r="I186" s="10" t="s">
        <v>2110</v>
      </c>
      <c r="J186" s="10" t="s">
        <v>1235</v>
      </c>
      <c r="K186" s="10" t="s">
        <v>2563</v>
      </c>
      <c r="L186" s="11">
        <v>202124100225502</v>
      </c>
      <c r="M186" s="20">
        <v>44237</v>
      </c>
      <c r="N186" s="20" t="str">
        <f>UPPER(TEXT(Tabla1[[#This Row],[FECHA RADICADO ENTRADA]],"MMM"))</f>
        <v>FEB</v>
      </c>
      <c r="O186" s="11">
        <v>202124110238561</v>
      </c>
      <c r="P186" s="20">
        <v>44239</v>
      </c>
      <c r="Q186" s="20" t="str">
        <f>UPPER(TEXT(Tabla1[[#This Row],[FECHA RADICADO ENTRADA]],"MMM"))</f>
        <v>FEB</v>
      </c>
      <c r="R186" s="10">
        <f t="shared" si="2"/>
        <v>-2</v>
      </c>
      <c r="S186" s="10" t="s">
        <v>2154</v>
      </c>
      <c r="U186" s="10" t="s">
        <v>2570</v>
      </c>
      <c r="V186" s="20">
        <v>44095</v>
      </c>
      <c r="W186" s="10" t="s">
        <v>45</v>
      </c>
      <c r="X186" s="10">
        <f>21*30</f>
        <v>630</v>
      </c>
      <c r="Y186" s="11">
        <f>IFERROR(INT(Tabla1[[#This Row],[CANTIDAD UND FARMACEUTICAS]]/(VLOOKUP(Tabla1[[#This Row],[MEDICAMENTO]],TAB_REF!$K$3:$L$27,2,0))),"")</f>
        <v>21</v>
      </c>
      <c r="Z186" s="10" t="str">
        <f>IFERROR(VLOOKUP(Tabla1[[#This Row],[MEDICAMENTO]],TAB_REF!$B$3:$F$27,2,0), "")</f>
        <v xml:space="preserve">Metadona HCl </v>
      </c>
      <c r="AA186" s="10" t="str">
        <f>IFERROR(VLOOKUP(Tabla1[[#This Row],[MEDICAMENTO]],TAB_REF!$B$3:$F$27,3,0), "")</f>
        <v xml:space="preserve">10 mg </v>
      </c>
      <c r="AB186" s="10" t="str">
        <f>IFERROR(VLOOKUP(Tabla1[[#This Row],[MEDICAMENTO]],TAB_REF!$B$3:$F$27,4,0), "")</f>
        <v>Tabletas NACIONAL</v>
      </c>
      <c r="AC186" s="10" t="str">
        <f>IFERROR(VLOOKUP(Tabla1[[#This Row],[MEDICAMENTO]],TAB_REF!$B$3:$F$27,5,0), "")</f>
        <v>Caja x 30 unidades</v>
      </c>
      <c r="AD186" s="10" t="str">
        <f>IFERROR(VLOOKUP(Tabla1[[#This Row],[CANTIDAD UND COMERCIALES]],TAB_REF!$H$3:$I$1003,2,0)&amp;" ("&amp;Tabla1[[#This Row],[CANTIDAD UND COMERCIALES]]&amp;")"&amp;"_"&amp;Tabla1[[#This Row],[CANTIDAD]],"")</f>
        <v>Veintiuno (21)_Caja x 30 unidades</v>
      </c>
      <c r="AE186" s="31" t="e">
        <f>CONCATENATE([1]!Tabla1[[#This Row],[NOMBRE MED.]],[1]!Tabla1[[#This Row],[CONCENTRACION]],[1]!Tabla1[[#This Row],[FORMA FARMACEUTICA]])</f>
        <v>#REF!</v>
      </c>
    </row>
    <row r="187" spans="2:31" x14ac:dyDescent="0.25">
      <c r="B187" s="10">
        <v>69</v>
      </c>
      <c r="C187" s="10" t="s">
        <v>2565</v>
      </c>
      <c r="D187" s="10" t="s">
        <v>2162</v>
      </c>
      <c r="E187" s="37" t="s">
        <v>2566</v>
      </c>
      <c r="F187" s="10" t="s">
        <v>2567</v>
      </c>
      <c r="G187" s="38" t="s">
        <v>2568</v>
      </c>
      <c r="H187" s="10" t="s">
        <v>2569</v>
      </c>
      <c r="I187" s="10" t="s">
        <v>2110</v>
      </c>
      <c r="J187" s="10" t="s">
        <v>1235</v>
      </c>
      <c r="K187" s="10" t="s">
        <v>2563</v>
      </c>
      <c r="L187" s="11">
        <v>202124100225502</v>
      </c>
      <c r="M187" s="20">
        <v>44237</v>
      </c>
      <c r="N187" s="20" t="str">
        <f>UPPER(TEXT(Tabla1[[#This Row],[FECHA RADICADO ENTRADA]],"MMM"))</f>
        <v>FEB</v>
      </c>
      <c r="O187" s="11">
        <v>202124110238561</v>
      </c>
      <c r="P187" s="20">
        <v>44239</v>
      </c>
      <c r="Q187" s="20" t="str">
        <f>UPPER(TEXT(Tabla1[[#This Row],[FECHA RADICADO ENTRADA]],"MMM"))</f>
        <v>FEB</v>
      </c>
      <c r="R187" s="10">
        <f t="shared" si="2"/>
        <v>-2</v>
      </c>
      <c r="S187" s="10" t="s">
        <v>2154</v>
      </c>
      <c r="U187" s="10" t="s">
        <v>2570</v>
      </c>
      <c r="V187" s="20">
        <v>44095</v>
      </c>
      <c r="W187" s="10" t="s">
        <v>48</v>
      </c>
      <c r="X187" s="10">
        <f>15*30</f>
        <v>450</v>
      </c>
      <c r="Y187" s="11">
        <f>IFERROR(INT(Tabla1[[#This Row],[CANTIDAD UND FARMACEUTICAS]]/(VLOOKUP(Tabla1[[#This Row],[MEDICAMENTO]],TAB_REF!$K$3:$L$27,2,0))),"")</f>
        <v>15</v>
      </c>
      <c r="Z187" s="10" t="str">
        <f>IFERROR(VLOOKUP(Tabla1[[#This Row],[MEDICAMENTO]],TAB_REF!$B$3:$F$27,2,0), "")</f>
        <v xml:space="preserve">Metilfenidato HCl </v>
      </c>
      <c r="AA187" s="10" t="str">
        <f>IFERROR(VLOOKUP(Tabla1[[#This Row],[MEDICAMENTO]],TAB_REF!$B$3:$F$27,3,0), "")</f>
        <v xml:space="preserve">10 mg </v>
      </c>
      <c r="AB187" s="10" t="str">
        <f>IFERROR(VLOOKUP(Tabla1[[#This Row],[MEDICAMENTO]],TAB_REF!$B$3:$F$27,4,0), "")</f>
        <v>Comprimidos</v>
      </c>
      <c r="AC187" s="10" t="str">
        <f>IFERROR(VLOOKUP(Tabla1[[#This Row],[MEDICAMENTO]],TAB_REF!$B$3:$F$27,5,0), "")</f>
        <v>Caja x 30 unidades</v>
      </c>
      <c r="AD187" s="10" t="str">
        <f>IFERROR(VLOOKUP(Tabla1[[#This Row],[CANTIDAD UND COMERCIALES]],TAB_REF!$H$3:$I$1003,2,0)&amp;" ("&amp;Tabla1[[#This Row],[CANTIDAD UND COMERCIALES]]&amp;")"&amp;"_"&amp;Tabla1[[#This Row],[CANTIDAD]],"")</f>
        <v>Quince (15)_Caja x 30 unidades</v>
      </c>
      <c r="AE187" s="31" t="e">
        <f>CONCATENATE([1]!Tabla1[[#This Row],[NOMBRE MED.]],[1]!Tabla1[[#This Row],[CONCENTRACION]],[1]!Tabla1[[#This Row],[FORMA FARMACEUTICA]])</f>
        <v>#REF!</v>
      </c>
    </row>
    <row r="188" spans="2:31" x14ac:dyDescent="0.25">
      <c r="B188" s="10">
        <v>69</v>
      </c>
      <c r="C188" s="10" t="s">
        <v>2565</v>
      </c>
      <c r="D188" s="10" t="s">
        <v>2162</v>
      </c>
      <c r="E188" s="37" t="s">
        <v>2566</v>
      </c>
      <c r="F188" s="10" t="s">
        <v>2567</v>
      </c>
      <c r="G188" s="38" t="s">
        <v>2568</v>
      </c>
      <c r="H188" s="10" t="s">
        <v>2569</v>
      </c>
      <c r="I188" s="10" t="s">
        <v>2110</v>
      </c>
      <c r="J188" s="10" t="s">
        <v>1235</v>
      </c>
      <c r="K188" s="10" t="s">
        <v>2563</v>
      </c>
      <c r="L188" s="11">
        <v>202124100225502</v>
      </c>
      <c r="M188" s="20">
        <v>44237</v>
      </c>
      <c r="N188" s="20" t="str">
        <f>UPPER(TEXT(Tabla1[[#This Row],[FECHA RADICADO ENTRADA]],"MMM"))</f>
        <v>FEB</v>
      </c>
      <c r="O188" s="11">
        <v>202124110238561</v>
      </c>
      <c r="P188" s="20">
        <v>44239</v>
      </c>
      <c r="Q188" s="20" t="str">
        <f>UPPER(TEXT(Tabla1[[#This Row],[FECHA RADICADO ENTRADA]],"MMM"))</f>
        <v>FEB</v>
      </c>
      <c r="R188" s="10">
        <f t="shared" si="2"/>
        <v>-2</v>
      </c>
      <c r="S188" s="10" t="s">
        <v>2154</v>
      </c>
      <c r="U188" s="10" t="s">
        <v>2570</v>
      </c>
      <c r="V188" s="20">
        <v>44095</v>
      </c>
      <c r="W188" s="10" t="s">
        <v>60</v>
      </c>
      <c r="X188" s="10">
        <v>3</v>
      </c>
      <c r="Y188" s="11">
        <f>IFERROR(INT(Tabla1[[#This Row],[CANTIDAD UND FARMACEUTICAS]]/(VLOOKUP(Tabla1[[#This Row],[MEDICAMENTO]],TAB_REF!$K$3:$L$27,2,0))),"")</f>
        <v>3</v>
      </c>
      <c r="Z188" s="10" t="str">
        <f>IFERROR(VLOOKUP(Tabla1[[#This Row],[MEDICAMENTO]],TAB_REF!$B$3:$F$27,2,0), "")</f>
        <v xml:space="preserve">Morfina HCl </v>
      </c>
      <c r="AA188" s="10" t="str">
        <f>IFERROR(VLOOKUP(Tabla1[[#This Row],[MEDICAMENTO]],TAB_REF!$B$3:$F$27,3,0), "")</f>
        <v xml:space="preserve">3%. </v>
      </c>
      <c r="AB188" s="10" t="str">
        <f>IFERROR(VLOOKUP(Tabla1[[#This Row],[MEDICAMENTO]],TAB_REF!$B$3:$F$27,4,0), "")</f>
        <v>Solución Oral</v>
      </c>
      <c r="AC188" s="10" t="str">
        <f>IFERROR(VLOOKUP(Tabla1[[#This Row],[MEDICAMENTO]],TAB_REF!$B$3:$F$27,5,0), "")</f>
        <v>Frasco x 30 mL</v>
      </c>
      <c r="AD188" s="10" t="str">
        <f>IFERROR(VLOOKUP(Tabla1[[#This Row],[CANTIDAD UND COMERCIALES]],TAB_REF!$H$3:$I$1003,2,0)&amp;" ("&amp;Tabla1[[#This Row],[CANTIDAD UND COMERCIALES]]&amp;")"&amp;"_"&amp;Tabla1[[#This Row],[CANTIDAD]],"")</f>
        <v>Tres (3)_Frasco x 30 mL</v>
      </c>
      <c r="AE188" s="31" t="e">
        <f>CONCATENATE([1]!Tabla1[[#This Row],[NOMBRE MED.]],[1]!Tabla1[[#This Row],[CONCENTRACION]],[1]!Tabla1[[#This Row],[FORMA FARMACEUTICA]])</f>
        <v>#REF!</v>
      </c>
    </row>
    <row r="189" spans="2:31" x14ac:dyDescent="0.25">
      <c r="B189" s="10">
        <v>70</v>
      </c>
      <c r="C189" s="10" t="s">
        <v>2571</v>
      </c>
      <c r="D189" s="10" t="s">
        <v>2162</v>
      </c>
      <c r="E189" s="10" t="s">
        <v>2532</v>
      </c>
      <c r="F189" s="10" t="s">
        <v>2533</v>
      </c>
      <c r="G189" s="10" t="s">
        <v>2534</v>
      </c>
      <c r="H189" s="10" t="s">
        <v>2572</v>
      </c>
      <c r="I189" s="10" t="s">
        <v>2121</v>
      </c>
      <c r="K189" s="10" t="s">
        <v>2563</v>
      </c>
      <c r="L189" s="11">
        <v>202124100222612</v>
      </c>
      <c r="M189" s="20">
        <v>44236</v>
      </c>
      <c r="N189" s="20" t="str">
        <f>UPPER(TEXT(Tabla1[[#This Row],[FECHA RADICADO ENTRADA]],"MMM"))</f>
        <v>FEB</v>
      </c>
      <c r="O189" s="11">
        <v>202124110238611</v>
      </c>
      <c r="P189" s="20">
        <v>44239</v>
      </c>
      <c r="Q189" s="20" t="str">
        <f>UPPER(TEXT(Tabla1[[#This Row],[FECHA RADICADO ENTRADA]],"MMM"))</f>
        <v>FEB</v>
      </c>
      <c r="R189" s="10">
        <f t="shared" si="2"/>
        <v>-3</v>
      </c>
      <c r="S189" s="10" t="s">
        <v>2154</v>
      </c>
      <c r="U189" s="10" t="s">
        <v>2573</v>
      </c>
      <c r="V189" s="20">
        <v>42873</v>
      </c>
      <c r="W189" s="10" t="s">
        <v>28</v>
      </c>
      <c r="X189" s="10">
        <v>20</v>
      </c>
      <c r="Y189" s="11">
        <f>IFERROR(INT(Tabla1[[#This Row],[CANTIDAD UND FARMACEUTICAS]]/(VLOOKUP(Tabla1[[#This Row],[MEDICAMENTO]],TAB_REF!$K$3:$L$27,2,0))),"")</f>
        <v>20</v>
      </c>
      <c r="Z189" s="10" t="str">
        <f>IFERROR(VLOOKUP(Tabla1[[#This Row],[MEDICAMENTO]],TAB_REF!$B$3:$F$27,2,0), "")</f>
        <v xml:space="preserve">Fenobarbital </v>
      </c>
      <c r="AA189" s="10" t="str">
        <f>IFERROR(VLOOKUP(Tabla1[[#This Row],[MEDICAMENTO]],TAB_REF!$B$3:$F$27,3,0), "")</f>
        <v xml:space="preserve">0,4%. </v>
      </c>
      <c r="AB189" s="10" t="str">
        <f>IFERROR(VLOOKUP(Tabla1[[#This Row],[MEDICAMENTO]],TAB_REF!$B$3:$F$27,4,0), "")</f>
        <v>Solución Oral</v>
      </c>
      <c r="AC189" s="10" t="str">
        <f>IFERROR(VLOOKUP(Tabla1[[#This Row],[MEDICAMENTO]],TAB_REF!$B$3:$F$27,5,0), "")</f>
        <v>Frasco x 120 mL</v>
      </c>
      <c r="AD189" s="10" t="str">
        <f>IFERROR(VLOOKUP(Tabla1[[#This Row],[CANTIDAD UND COMERCIALES]],TAB_REF!$H$3:$I$1003,2,0)&amp;" ("&amp;Tabla1[[#This Row],[CANTIDAD UND COMERCIALES]]&amp;")"&amp;"_"&amp;Tabla1[[#This Row],[CANTIDAD]],"")</f>
        <v>Veinte (20)_Frasco x 120 mL</v>
      </c>
      <c r="AE189" s="31" t="e">
        <f>CONCATENATE([1]!Tabla1[[#This Row],[NOMBRE MED.]],[1]!Tabla1[[#This Row],[CONCENTRACION]],[1]!Tabla1[[#This Row],[FORMA FARMACEUTICA]])</f>
        <v>#REF!</v>
      </c>
    </row>
    <row r="190" spans="2:31" x14ac:dyDescent="0.25">
      <c r="B190" s="10">
        <v>70</v>
      </c>
      <c r="C190" s="10" t="s">
        <v>2571</v>
      </c>
      <c r="D190" s="10" t="s">
        <v>2162</v>
      </c>
      <c r="E190" s="10" t="s">
        <v>2532</v>
      </c>
      <c r="F190" s="10" t="s">
        <v>2533</v>
      </c>
      <c r="G190" s="10" t="s">
        <v>2534</v>
      </c>
      <c r="H190" s="10" t="s">
        <v>2572</v>
      </c>
      <c r="I190" s="10" t="s">
        <v>2121</v>
      </c>
      <c r="K190" s="10" t="s">
        <v>2563</v>
      </c>
      <c r="L190" s="11">
        <v>202124100222612</v>
      </c>
      <c r="M190" s="20">
        <v>44236</v>
      </c>
      <c r="N190" s="20" t="str">
        <f>UPPER(TEXT(Tabla1[[#This Row],[FECHA RADICADO ENTRADA]],"MMM"))</f>
        <v>FEB</v>
      </c>
      <c r="O190" s="11">
        <v>202124110238611</v>
      </c>
      <c r="P190" s="20">
        <v>44239</v>
      </c>
      <c r="Q190" s="20" t="str">
        <f>UPPER(TEXT(Tabla1[[#This Row],[FECHA RADICADO ENTRADA]],"MMM"))</f>
        <v>FEB</v>
      </c>
      <c r="R190" s="10">
        <f t="shared" si="2"/>
        <v>-3</v>
      </c>
      <c r="S190" s="10" t="s">
        <v>2154</v>
      </c>
      <c r="U190" s="10" t="s">
        <v>2573</v>
      </c>
      <c r="V190" s="20">
        <v>42873</v>
      </c>
      <c r="W190" s="10" t="s">
        <v>48</v>
      </c>
      <c r="X190" s="10">
        <v>300</v>
      </c>
      <c r="Y190" s="11">
        <f>IFERROR(INT(Tabla1[[#This Row],[CANTIDAD UND FARMACEUTICAS]]/(VLOOKUP(Tabla1[[#This Row],[MEDICAMENTO]],TAB_REF!$K$3:$L$27,2,0))),"")</f>
        <v>10</v>
      </c>
      <c r="Z190" s="10" t="str">
        <f>IFERROR(VLOOKUP(Tabla1[[#This Row],[MEDICAMENTO]],TAB_REF!$B$3:$F$27,2,0), "")</f>
        <v xml:space="preserve">Metilfenidato HCl </v>
      </c>
      <c r="AA190" s="10" t="str">
        <f>IFERROR(VLOOKUP(Tabla1[[#This Row],[MEDICAMENTO]],TAB_REF!$B$3:$F$27,3,0), "")</f>
        <v xml:space="preserve">10 mg </v>
      </c>
      <c r="AB190" s="10" t="str">
        <f>IFERROR(VLOOKUP(Tabla1[[#This Row],[MEDICAMENTO]],TAB_REF!$B$3:$F$27,4,0), "")</f>
        <v>Comprimidos</v>
      </c>
      <c r="AC190" s="10" t="str">
        <f>IFERROR(VLOOKUP(Tabla1[[#This Row],[MEDICAMENTO]],TAB_REF!$B$3:$F$27,5,0), "")</f>
        <v>Caja x 30 unidades</v>
      </c>
      <c r="AD190" s="10" t="str">
        <f>IFERROR(VLOOKUP(Tabla1[[#This Row],[CANTIDAD UND COMERCIALES]],TAB_REF!$H$3:$I$1003,2,0)&amp;" ("&amp;Tabla1[[#This Row],[CANTIDAD UND COMERCIALES]]&amp;")"&amp;"_"&amp;Tabla1[[#This Row],[CANTIDAD]],"")</f>
        <v>Diez (10)_Caja x 30 unidades</v>
      </c>
      <c r="AE190" s="31" t="e">
        <f>CONCATENATE([1]!Tabla1[[#This Row],[NOMBRE MED.]],[1]!Tabla1[[#This Row],[CONCENTRACION]],[1]!Tabla1[[#This Row],[FORMA FARMACEUTICA]])</f>
        <v>#REF!</v>
      </c>
    </row>
    <row r="191" spans="2:31" x14ac:dyDescent="0.25">
      <c r="B191" s="10">
        <v>70</v>
      </c>
      <c r="C191" s="10" t="s">
        <v>2571</v>
      </c>
      <c r="D191" s="10" t="s">
        <v>2162</v>
      </c>
      <c r="E191" s="10" t="s">
        <v>2532</v>
      </c>
      <c r="F191" s="10" t="s">
        <v>2533</v>
      </c>
      <c r="G191" s="10" t="s">
        <v>2534</v>
      </c>
      <c r="H191" s="10" t="s">
        <v>2572</v>
      </c>
      <c r="I191" s="10" t="s">
        <v>2121</v>
      </c>
      <c r="K191" s="10" t="s">
        <v>2563</v>
      </c>
      <c r="L191" s="11">
        <v>202124100222612</v>
      </c>
      <c r="M191" s="20">
        <v>44236</v>
      </c>
      <c r="N191" s="20" t="str">
        <f>UPPER(TEXT(Tabla1[[#This Row],[FECHA RADICADO ENTRADA]],"MMM"))</f>
        <v>FEB</v>
      </c>
      <c r="O191" s="11">
        <v>202124110238611</v>
      </c>
      <c r="P191" s="20">
        <v>44239</v>
      </c>
      <c r="Q191" s="20" t="str">
        <f>UPPER(TEXT(Tabla1[[#This Row],[FECHA RADICADO ENTRADA]],"MMM"))</f>
        <v>FEB</v>
      </c>
      <c r="R191" s="10">
        <f t="shared" si="2"/>
        <v>-3</v>
      </c>
      <c r="S191" s="10" t="s">
        <v>2154</v>
      </c>
      <c r="U191" s="10" t="s">
        <v>2573</v>
      </c>
      <c r="V191" s="20">
        <v>42873</v>
      </c>
      <c r="W191" s="10" t="s">
        <v>60</v>
      </c>
      <c r="X191" s="10">
        <v>30</v>
      </c>
      <c r="Y191" s="11">
        <f>IFERROR(INT(Tabla1[[#This Row],[CANTIDAD UND FARMACEUTICAS]]/(VLOOKUP(Tabla1[[#This Row],[MEDICAMENTO]],TAB_REF!$K$3:$L$27,2,0))),"")</f>
        <v>30</v>
      </c>
      <c r="Z191" s="10" t="str">
        <f>IFERROR(VLOOKUP(Tabla1[[#This Row],[MEDICAMENTO]],TAB_REF!$B$3:$F$27,2,0), "")</f>
        <v xml:space="preserve">Morfina HCl </v>
      </c>
      <c r="AA191" s="10" t="str">
        <f>IFERROR(VLOOKUP(Tabla1[[#This Row],[MEDICAMENTO]],TAB_REF!$B$3:$F$27,3,0), "")</f>
        <v xml:space="preserve">3%. </v>
      </c>
      <c r="AB191" s="10" t="str">
        <f>IFERROR(VLOOKUP(Tabla1[[#This Row],[MEDICAMENTO]],TAB_REF!$B$3:$F$27,4,0), "")</f>
        <v>Solución Oral</v>
      </c>
      <c r="AC191" s="10" t="str">
        <f>IFERROR(VLOOKUP(Tabla1[[#This Row],[MEDICAMENTO]],TAB_REF!$B$3:$F$27,5,0), "")</f>
        <v>Frasco x 30 mL</v>
      </c>
      <c r="AD191" s="10" t="str">
        <f>IFERROR(VLOOKUP(Tabla1[[#This Row],[CANTIDAD UND COMERCIALES]],TAB_REF!$H$3:$I$1003,2,0)&amp;" ("&amp;Tabla1[[#This Row],[CANTIDAD UND COMERCIALES]]&amp;")"&amp;"_"&amp;Tabla1[[#This Row],[CANTIDAD]],"")</f>
        <v>Treinta (30)_Frasco x 30 mL</v>
      </c>
      <c r="AE191" s="31" t="e">
        <f>CONCATENATE([1]!Tabla1[[#This Row],[NOMBRE MED.]],[1]!Tabla1[[#This Row],[CONCENTRACION]],[1]!Tabla1[[#This Row],[FORMA FARMACEUTICA]])</f>
        <v>#REF!</v>
      </c>
    </row>
    <row r="192" spans="2:31" x14ac:dyDescent="0.25">
      <c r="B192" s="10">
        <v>71</v>
      </c>
      <c r="C192" s="10" t="s">
        <v>2574</v>
      </c>
      <c r="D192" s="10" t="s">
        <v>2575</v>
      </c>
      <c r="E192" s="10" t="s">
        <v>2576</v>
      </c>
      <c r="F192" s="10" t="s">
        <v>2577</v>
      </c>
      <c r="G192" s="21" t="s">
        <v>2578</v>
      </c>
      <c r="H192" s="10" t="s">
        <v>2579</v>
      </c>
      <c r="I192" s="10" t="s">
        <v>2114</v>
      </c>
      <c r="J192" s="10" t="s">
        <v>1459</v>
      </c>
      <c r="K192" s="10" t="s">
        <v>2563</v>
      </c>
      <c r="L192" s="11">
        <v>202124100223072</v>
      </c>
      <c r="M192" s="20">
        <v>44236</v>
      </c>
      <c r="N192" s="20" t="str">
        <f>UPPER(TEXT(Tabla1[[#This Row],[FECHA RADICADO ENTRADA]],"MMM"))</f>
        <v>FEB</v>
      </c>
      <c r="O192" s="11">
        <v>202124110243581</v>
      </c>
      <c r="P192" s="20">
        <v>44239</v>
      </c>
      <c r="Q192" s="20" t="str">
        <f>UPPER(TEXT(Tabla1[[#This Row],[FECHA RADICADO ENTRADA]],"MMM"))</f>
        <v>FEB</v>
      </c>
      <c r="R192" s="10">
        <f t="shared" si="2"/>
        <v>-3</v>
      </c>
      <c r="S192" s="10" t="s">
        <v>2154</v>
      </c>
      <c r="U192" s="10" t="s">
        <v>2580</v>
      </c>
      <c r="V192" s="20">
        <v>43271</v>
      </c>
      <c r="W192" s="10" t="s">
        <v>37</v>
      </c>
      <c r="X192" s="10">
        <v>800</v>
      </c>
      <c r="Y192" s="11">
        <f>IFERROR(INT(Tabla1[[#This Row],[CANTIDAD UND FARMACEUTICAS]]/(VLOOKUP(Tabla1[[#This Row],[MEDICAMENTO]],TAB_REF!$K$3:$L$27,2,0))),"")</f>
        <v>80</v>
      </c>
      <c r="Z192" s="10" t="str">
        <f>IFERROR(VLOOKUP(Tabla1[[#This Row],[MEDICAMENTO]],TAB_REF!$B$3:$F$27,2,0), "")</f>
        <v xml:space="preserve">Hidromorfona HCl </v>
      </c>
      <c r="AA192" s="10" t="str">
        <f>IFERROR(VLOOKUP(Tabla1[[#This Row],[MEDICAMENTO]],TAB_REF!$B$3:$F$27,3,0), "")</f>
        <v xml:space="preserve">2 mg/mL </v>
      </c>
      <c r="AB192" s="10" t="str">
        <f>IFERROR(VLOOKUP(Tabla1[[#This Row],[MEDICAMENTO]],TAB_REF!$B$3:$F$27,4,0), "")</f>
        <v>Solución Inyectable</v>
      </c>
      <c r="AC192" s="10" t="str">
        <f>IFERROR(VLOOKUP(Tabla1[[#This Row],[MEDICAMENTO]],TAB_REF!$B$3:$F$27,5,0), "")</f>
        <v>Caja x 10 unidades</v>
      </c>
      <c r="AD192" s="10" t="str">
        <f>IFERROR(VLOOKUP(Tabla1[[#This Row],[CANTIDAD UND COMERCIALES]],TAB_REF!$H$3:$I$1003,2,0)&amp;" ("&amp;Tabla1[[#This Row],[CANTIDAD UND COMERCIALES]]&amp;")"&amp;"_"&amp;Tabla1[[#This Row],[CANTIDAD]],"")</f>
        <v>Ochenta (80)_Caja x 10 unidades</v>
      </c>
      <c r="AE192" s="31" t="e">
        <f>CONCATENATE([1]!Tabla1[[#This Row],[NOMBRE MED.]],[1]!Tabla1[[#This Row],[CONCENTRACION]],[1]!Tabla1[[#This Row],[FORMA FARMACEUTICA]])</f>
        <v>#REF!</v>
      </c>
    </row>
    <row r="193" spans="2:31" x14ac:dyDescent="0.25">
      <c r="B193" s="10">
        <v>71</v>
      </c>
      <c r="C193" s="10" t="s">
        <v>2574</v>
      </c>
      <c r="D193" s="10" t="s">
        <v>2575</v>
      </c>
      <c r="E193" s="10" t="s">
        <v>2576</v>
      </c>
      <c r="F193" s="10" t="s">
        <v>2577</v>
      </c>
      <c r="G193" s="10" t="s">
        <v>2578</v>
      </c>
      <c r="H193" s="10" t="s">
        <v>2579</v>
      </c>
      <c r="I193" s="10" t="s">
        <v>2114</v>
      </c>
      <c r="J193" s="10" t="s">
        <v>1459</v>
      </c>
      <c r="K193" s="10" t="s">
        <v>2563</v>
      </c>
      <c r="L193" s="11">
        <v>202124100223072</v>
      </c>
      <c r="M193" s="20">
        <v>44236</v>
      </c>
      <c r="N193" s="20" t="str">
        <f>UPPER(TEXT(Tabla1[[#This Row],[FECHA RADICADO ENTRADA]],"MMM"))</f>
        <v>FEB</v>
      </c>
      <c r="O193" s="11">
        <v>202124110243581</v>
      </c>
      <c r="P193" s="20">
        <v>44239</v>
      </c>
      <c r="Q193" s="20" t="str">
        <f>UPPER(TEXT(Tabla1[[#This Row],[FECHA RADICADO ENTRADA]],"MMM"))</f>
        <v>FEB</v>
      </c>
      <c r="R193" s="10">
        <f t="shared" si="2"/>
        <v>-3</v>
      </c>
      <c r="S193" s="10" t="s">
        <v>2154</v>
      </c>
      <c r="U193" s="10" t="s">
        <v>2580</v>
      </c>
      <c r="V193" s="20">
        <v>43271</v>
      </c>
      <c r="W193" s="10" t="s">
        <v>63</v>
      </c>
      <c r="X193" s="10">
        <v>3000</v>
      </c>
      <c r="Y193" s="11">
        <f>IFERROR(INT(Tabla1[[#This Row],[CANTIDAD UND FARMACEUTICAS]]/(VLOOKUP(Tabla1[[#This Row],[MEDICAMENTO]],TAB_REF!$K$3:$L$27,2,0))),"")</f>
        <v>300</v>
      </c>
      <c r="Z193" s="10" t="str">
        <f>IFERROR(VLOOKUP(Tabla1[[#This Row],[MEDICAMENTO]],TAB_REF!$B$3:$F$27,2,0), "")</f>
        <v xml:space="preserve">Morfina HCl </v>
      </c>
      <c r="AA193" s="10" t="str">
        <f>IFERROR(VLOOKUP(Tabla1[[#This Row],[MEDICAMENTO]],TAB_REF!$B$3:$F$27,3,0), "")</f>
        <v xml:space="preserve">10 mg/mL </v>
      </c>
      <c r="AB193" s="10" t="str">
        <f>IFERROR(VLOOKUP(Tabla1[[#This Row],[MEDICAMENTO]],TAB_REF!$B$3:$F$27,4,0), "")</f>
        <v>Solución Inyectable</v>
      </c>
      <c r="AC193" s="10" t="str">
        <f>IFERROR(VLOOKUP(Tabla1[[#This Row],[MEDICAMENTO]],TAB_REF!$B$3:$F$27,5,0), "")</f>
        <v>Caja x 10 unidades</v>
      </c>
      <c r="AD193" s="10" t="str">
        <f>IFERROR(VLOOKUP(Tabla1[[#This Row],[CANTIDAD UND COMERCIALES]],TAB_REF!$H$3:$I$1003,2,0)&amp;" ("&amp;Tabla1[[#This Row],[CANTIDAD UND COMERCIALES]]&amp;")"&amp;"_"&amp;Tabla1[[#This Row],[CANTIDAD]],"")</f>
        <v>Trescientos (300)_Caja x 10 unidades</v>
      </c>
      <c r="AE193" s="31" t="e">
        <f>CONCATENATE([1]!Tabla1[[#This Row],[NOMBRE MED.]],[1]!Tabla1[[#This Row],[CONCENTRACION]],[1]!Tabla1[[#This Row],[FORMA FARMACEUTICA]])</f>
        <v>#REF!</v>
      </c>
    </row>
    <row r="194" spans="2:31" x14ac:dyDescent="0.25">
      <c r="B194" s="10">
        <v>72</v>
      </c>
      <c r="C194" s="10" t="s">
        <v>2581</v>
      </c>
      <c r="D194" s="10" t="s">
        <v>2164</v>
      </c>
      <c r="E194" s="10" t="s">
        <v>2581</v>
      </c>
      <c r="F194" s="10" t="s">
        <v>2582</v>
      </c>
      <c r="G194" s="10" t="s">
        <v>2583</v>
      </c>
      <c r="H194" s="10" t="s">
        <v>2584</v>
      </c>
      <c r="I194" s="10" t="s">
        <v>2107</v>
      </c>
      <c r="J194" s="10" t="s">
        <v>1212</v>
      </c>
      <c r="K194" s="10" t="s">
        <v>2563</v>
      </c>
      <c r="L194" s="11">
        <v>202124100224482</v>
      </c>
      <c r="M194" s="20">
        <v>44237</v>
      </c>
      <c r="N194" s="20" t="str">
        <f>UPPER(TEXT(Tabla1[[#This Row],[FECHA RADICADO ENTRADA]],"MMM"))</f>
        <v>FEB</v>
      </c>
      <c r="O194" s="11">
        <v>202124110238591</v>
      </c>
      <c r="P194" s="20">
        <v>44239</v>
      </c>
      <c r="Q194" s="20" t="str">
        <f>UPPER(TEXT(Tabla1[[#This Row],[FECHA RADICADO ENTRADA]],"MMM"))</f>
        <v>FEB</v>
      </c>
      <c r="R194" s="10">
        <f t="shared" ref="R194:R257" si="3">_xlfn.DAYS(M194,P194)</f>
        <v>-2</v>
      </c>
      <c r="S194" s="10" t="s">
        <v>2154</v>
      </c>
      <c r="U194" s="10" t="s">
        <v>2585</v>
      </c>
      <c r="V194" s="20">
        <v>43425</v>
      </c>
      <c r="W194" s="10" t="s">
        <v>45</v>
      </c>
      <c r="X194" s="10">
        <v>210</v>
      </c>
      <c r="Y194" s="11">
        <f>IFERROR(INT(Tabla1[[#This Row],[CANTIDAD UND FARMACEUTICAS]]/(VLOOKUP(Tabla1[[#This Row],[MEDICAMENTO]],TAB_REF!$K$3:$L$27,2,0))),"")</f>
        <v>7</v>
      </c>
      <c r="Z194" s="10" t="str">
        <f>IFERROR(VLOOKUP(Tabla1[[#This Row],[MEDICAMENTO]],TAB_REF!$B$3:$F$27,2,0), "")</f>
        <v xml:space="preserve">Metadona HCl </v>
      </c>
      <c r="AA194" s="10" t="str">
        <f>IFERROR(VLOOKUP(Tabla1[[#This Row],[MEDICAMENTO]],TAB_REF!$B$3:$F$27,3,0), "")</f>
        <v xml:space="preserve">10 mg </v>
      </c>
      <c r="AB194" s="10" t="str">
        <f>IFERROR(VLOOKUP(Tabla1[[#This Row],[MEDICAMENTO]],TAB_REF!$B$3:$F$27,4,0), "")</f>
        <v>Tabletas NACIONAL</v>
      </c>
      <c r="AC194" s="10" t="str">
        <f>IFERROR(VLOOKUP(Tabla1[[#This Row],[MEDICAMENTO]],TAB_REF!$B$3:$F$27,5,0), "")</f>
        <v>Caja x 30 unidades</v>
      </c>
      <c r="AD194" s="10" t="str">
        <f>IFERROR(VLOOKUP(Tabla1[[#This Row],[CANTIDAD UND COMERCIALES]],TAB_REF!$H$3:$I$1003,2,0)&amp;" ("&amp;Tabla1[[#This Row],[CANTIDAD UND COMERCIALES]]&amp;")"&amp;"_"&amp;Tabla1[[#This Row],[CANTIDAD]],"")</f>
        <v>Siete (7)_Caja x 30 unidades</v>
      </c>
      <c r="AE194" s="31" t="e">
        <f>CONCATENATE([1]!Tabla1[[#This Row],[NOMBRE MED.]],[1]!Tabla1[[#This Row],[CONCENTRACION]],[1]!Tabla1[[#This Row],[FORMA FARMACEUTICA]])</f>
        <v>#REF!</v>
      </c>
    </row>
    <row r="195" spans="2:31" x14ac:dyDescent="0.25">
      <c r="B195" s="10">
        <v>72</v>
      </c>
      <c r="C195" s="10" t="s">
        <v>2581</v>
      </c>
      <c r="D195" s="10" t="s">
        <v>2164</v>
      </c>
      <c r="E195" s="10" t="s">
        <v>2581</v>
      </c>
      <c r="F195" s="10" t="s">
        <v>2582</v>
      </c>
      <c r="G195" s="10" t="s">
        <v>2583</v>
      </c>
      <c r="H195" s="10" t="s">
        <v>2584</v>
      </c>
      <c r="I195" s="10" t="s">
        <v>2107</v>
      </c>
      <c r="J195" s="10" t="s">
        <v>1212</v>
      </c>
      <c r="K195" s="10" t="s">
        <v>2563</v>
      </c>
      <c r="L195" s="11">
        <v>202124100224482</v>
      </c>
      <c r="M195" s="20">
        <v>44237</v>
      </c>
      <c r="N195" s="20" t="str">
        <f>UPPER(TEXT(Tabla1[[#This Row],[FECHA RADICADO ENTRADA]],"MMM"))</f>
        <v>FEB</v>
      </c>
      <c r="O195" s="11">
        <v>202124110238591</v>
      </c>
      <c r="P195" s="20">
        <v>44239</v>
      </c>
      <c r="Q195" s="20" t="str">
        <f>UPPER(TEXT(Tabla1[[#This Row],[FECHA RADICADO ENTRADA]],"MMM"))</f>
        <v>FEB</v>
      </c>
      <c r="R195" s="10">
        <f t="shared" si="3"/>
        <v>-2</v>
      </c>
      <c r="S195" s="10" t="s">
        <v>2154</v>
      </c>
      <c r="U195" s="10" t="s">
        <v>2585</v>
      </c>
      <c r="V195" s="20">
        <v>43425</v>
      </c>
      <c r="W195" s="10" t="s">
        <v>47</v>
      </c>
      <c r="X195" s="10">
        <v>300</v>
      </c>
      <c r="Y195" s="11">
        <f>IFERROR(INT(Tabla1[[#This Row],[CANTIDAD UND FARMACEUTICAS]]/(VLOOKUP(Tabla1[[#This Row],[MEDICAMENTO]],TAB_REF!$K$3:$L$27,2,0))),"")</f>
        <v>10</v>
      </c>
      <c r="Z195" s="10" t="str">
        <f>IFERROR(VLOOKUP(Tabla1[[#This Row],[MEDICAMENTO]],TAB_REF!$B$3:$F$27,2,0), "")</f>
        <v xml:space="preserve">Metadona HCl </v>
      </c>
      <c r="AA195" s="10" t="str">
        <f>IFERROR(VLOOKUP(Tabla1[[#This Row],[MEDICAMENTO]],TAB_REF!$B$3:$F$27,3,0), "")</f>
        <v xml:space="preserve">40 mg </v>
      </c>
      <c r="AB195" s="10" t="str">
        <f>IFERROR(VLOOKUP(Tabla1[[#This Row],[MEDICAMENTO]],TAB_REF!$B$3:$F$27,4,0), "")</f>
        <v>Tabletas NACIONAL</v>
      </c>
      <c r="AC195" s="10" t="str">
        <f>IFERROR(VLOOKUP(Tabla1[[#This Row],[MEDICAMENTO]],TAB_REF!$B$3:$F$27,5,0), "")</f>
        <v>Caja x 30 unidades</v>
      </c>
      <c r="AD195" s="10" t="str">
        <f>IFERROR(VLOOKUP(Tabla1[[#This Row],[CANTIDAD UND COMERCIALES]],TAB_REF!$H$3:$I$1003,2,0)&amp;" ("&amp;Tabla1[[#This Row],[CANTIDAD UND COMERCIALES]]&amp;")"&amp;"_"&amp;Tabla1[[#This Row],[CANTIDAD]],"")</f>
        <v>Diez (10)_Caja x 30 unidades</v>
      </c>
      <c r="AE195" s="31" t="e">
        <f>CONCATENATE([1]!Tabla1[[#This Row],[NOMBRE MED.]],[1]!Tabla1[[#This Row],[CONCENTRACION]],[1]!Tabla1[[#This Row],[FORMA FARMACEUTICA]])</f>
        <v>#REF!</v>
      </c>
    </row>
    <row r="196" spans="2:31" x14ac:dyDescent="0.25">
      <c r="B196" s="10">
        <v>72</v>
      </c>
      <c r="C196" s="10" t="s">
        <v>2581</v>
      </c>
      <c r="D196" s="10" t="s">
        <v>2164</v>
      </c>
      <c r="E196" s="10" t="s">
        <v>2581</v>
      </c>
      <c r="F196" s="10" t="s">
        <v>2582</v>
      </c>
      <c r="G196" s="10" t="s">
        <v>2583</v>
      </c>
      <c r="H196" s="10" t="s">
        <v>2584</v>
      </c>
      <c r="I196" s="10" t="s">
        <v>2107</v>
      </c>
      <c r="J196" s="10" t="s">
        <v>1212</v>
      </c>
      <c r="K196" s="10" t="s">
        <v>2563</v>
      </c>
      <c r="L196" s="11">
        <v>202124100224482</v>
      </c>
      <c r="M196" s="20">
        <v>44237</v>
      </c>
      <c r="N196" s="20" t="str">
        <f>UPPER(TEXT(Tabla1[[#This Row],[FECHA RADICADO ENTRADA]],"MMM"))</f>
        <v>FEB</v>
      </c>
      <c r="O196" s="11">
        <v>202124110238591</v>
      </c>
      <c r="P196" s="20">
        <v>44239</v>
      </c>
      <c r="Q196" s="20" t="str">
        <f>UPPER(TEXT(Tabla1[[#This Row],[FECHA RADICADO ENTRADA]],"MMM"))</f>
        <v>FEB</v>
      </c>
      <c r="R196" s="10">
        <f t="shared" si="3"/>
        <v>-2</v>
      </c>
      <c r="S196" s="10" t="s">
        <v>2154</v>
      </c>
      <c r="U196" s="10" t="s">
        <v>2585</v>
      </c>
      <c r="V196" s="20">
        <v>43425</v>
      </c>
      <c r="W196" s="10" t="s">
        <v>48</v>
      </c>
      <c r="X196" s="10">
        <f>120*30</f>
        <v>3600</v>
      </c>
      <c r="Y196" s="11">
        <f>IFERROR(INT(Tabla1[[#This Row],[CANTIDAD UND FARMACEUTICAS]]/(VLOOKUP(Tabla1[[#This Row],[MEDICAMENTO]],TAB_REF!$K$3:$L$27,2,0))),"")</f>
        <v>120</v>
      </c>
      <c r="Z196" s="10" t="str">
        <f>IFERROR(VLOOKUP(Tabla1[[#This Row],[MEDICAMENTO]],TAB_REF!$B$3:$F$27,2,0), "")</f>
        <v xml:space="preserve">Metilfenidato HCl </v>
      </c>
      <c r="AA196" s="10" t="str">
        <f>IFERROR(VLOOKUP(Tabla1[[#This Row],[MEDICAMENTO]],TAB_REF!$B$3:$F$27,3,0), "")</f>
        <v xml:space="preserve">10 mg </v>
      </c>
      <c r="AB196" s="10" t="str">
        <f>IFERROR(VLOOKUP(Tabla1[[#This Row],[MEDICAMENTO]],TAB_REF!$B$3:$F$27,4,0), "")</f>
        <v>Comprimidos</v>
      </c>
      <c r="AC196" s="10" t="str">
        <f>IFERROR(VLOOKUP(Tabla1[[#This Row],[MEDICAMENTO]],TAB_REF!$B$3:$F$27,5,0), "")</f>
        <v>Caja x 30 unidades</v>
      </c>
      <c r="AD196" s="10" t="str">
        <f>IFERROR(VLOOKUP(Tabla1[[#This Row],[CANTIDAD UND COMERCIALES]],TAB_REF!$H$3:$I$1003,2,0)&amp;" ("&amp;Tabla1[[#This Row],[CANTIDAD UND COMERCIALES]]&amp;")"&amp;"_"&amp;Tabla1[[#This Row],[CANTIDAD]],"")</f>
        <v>Ciento Veinte (120)_Caja x 30 unidades</v>
      </c>
      <c r="AE196" s="31" t="e">
        <f>CONCATENATE([1]!Tabla1[[#This Row],[NOMBRE MED.]],[1]!Tabla1[[#This Row],[CONCENTRACION]],[1]!Tabla1[[#This Row],[FORMA FARMACEUTICA]])</f>
        <v>#REF!</v>
      </c>
    </row>
    <row r="197" spans="2:31" x14ac:dyDescent="0.25">
      <c r="B197" s="10">
        <v>73</v>
      </c>
      <c r="C197" s="10" t="s">
        <v>2586</v>
      </c>
      <c r="D197" s="10" t="s">
        <v>2182</v>
      </c>
      <c r="E197" s="10" t="s">
        <v>2451</v>
      </c>
      <c r="F197" s="10" t="s">
        <v>2452</v>
      </c>
      <c r="G197" s="21" t="s">
        <v>2453</v>
      </c>
      <c r="H197" s="10" t="s">
        <v>2587</v>
      </c>
      <c r="I197" s="10" t="s">
        <v>2123</v>
      </c>
      <c r="J197" s="10" t="s">
        <v>1770</v>
      </c>
      <c r="K197" s="10" t="s">
        <v>2563</v>
      </c>
      <c r="L197" s="11">
        <v>202124100229412</v>
      </c>
      <c r="M197" s="20">
        <v>44237</v>
      </c>
      <c r="N197" s="20" t="str">
        <f>UPPER(TEXT(Tabla1[[#This Row],[FECHA RADICADO ENTRADA]],"MMM"))</f>
        <v>FEB</v>
      </c>
      <c r="O197" s="11">
        <v>202124110238541</v>
      </c>
      <c r="P197" s="20">
        <v>44239</v>
      </c>
      <c r="Q197" s="20" t="str">
        <f>UPPER(TEXT(Tabla1[[#This Row],[FECHA RADICADO ENTRADA]],"MMM"))</f>
        <v>FEB</v>
      </c>
      <c r="R197" s="10">
        <f t="shared" si="3"/>
        <v>-2</v>
      </c>
      <c r="S197" s="10" t="s">
        <v>2154</v>
      </c>
      <c r="U197" s="10" t="s">
        <v>2456</v>
      </c>
      <c r="V197" s="20">
        <v>42439</v>
      </c>
      <c r="W197" s="10" t="s">
        <v>63</v>
      </c>
      <c r="X197" s="10">
        <v>60</v>
      </c>
      <c r="Y197" s="11">
        <f>IFERROR(INT(Tabla1[[#This Row],[CANTIDAD UND FARMACEUTICAS]]/(VLOOKUP(Tabla1[[#This Row],[MEDICAMENTO]],TAB_REF!$K$3:$L$27,2,0))),"")</f>
        <v>6</v>
      </c>
      <c r="Z197" s="10" t="str">
        <f>IFERROR(VLOOKUP(Tabla1[[#This Row],[MEDICAMENTO]],TAB_REF!$B$3:$F$27,2,0), "")</f>
        <v xml:space="preserve">Morfina HCl </v>
      </c>
      <c r="AA197" s="10" t="str">
        <f>IFERROR(VLOOKUP(Tabla1[[#This Row],[MEDICAMENTO]],TAB_REF!$B$3:$F$27,3,0), "")</f>
        <v xml:space="preserve">10 mg/mL </v>
      </c>
      <c r="AB197" s="10" t="str">
        <f>IFERROR(VLOOKUP(Tabla1[[#This Row],[MEDICAMENTO]],TAB_REF!$B$3:$F$27,4,0), "")</f>
        <v>Solución Inyectable</v>
      </c>
      <c r="AC197" s="10" t="str">
        <f>IFERROR(VLOOKUP(Tabla1[[#This Row],[MEDICAMENTO]],TAB_REF!$B$3:$F$27,5,0), "")</f>
        <v>Caja x 10 unidades</v>
      </c>
      <c r="AD197" s="10" t="str">
        <f>IFERROR(VLOOKUP(Tabla1[[#This Row],[CANTIDAD UND COMERCIALES]],TAB_REF!$H$3:$I$1003,2,0)&amp;" ("&amp;Tabla1[[#This Row],[CANTIDAD UND COMERCIALES]]&amp;")"&amp;"_"&amp;Tabla1[[#This Row],[CANTIDAD]],"")</f>
        <v>Seis (6)_Caja x 10 unidades</v>
      </c>
      <c r="AE197" s="31" t="e">
        <f>CONCATENATE([1]!Tabla1[[#This Row],[NOMBRE MED.]],[1]!Tabla1[[#This Row],[CONCENTRACION]],[1]!Tabla1[[#This Row],[FORMA FARMACEUTICA]])</f>
        <v>#REF!</v>
      </c>
    </row>
    <row r="198" spans="2:31" x14ac:dyDescent="0.25">
      <c r="B198" s="10">
        <v>74</v>
      </c>
      <c r="C198" s="10" t="s">
        <v>2588</v>
      </c>
      <c r="D198" s="10" t="s">
        <v>2182</v>
      </c>
      <c r="E198" s="10" t="s">
        <v>2589</v>
      </c>
      <c r="F198" s="10" t="s">
        <v>2164</v>
      </c>
      <c r="G198" s="10" t="s">
        <v>2590</v>
      </c>
      <c r="H198" s="10" t="s">
        <v>2164</v>
      </c>
      <c r="I198" s="10" t="s">
        <v>2128</v>
      </c>
      <c r="J198" s="10" t="s">
        <v>1918</v>
      </c>
      <c r="K198" s="10" t="s">
        <v>2591</v>
      </c>
      <c r="L198" s="11">
        <v>202124100193802</v>
      </c>
      <c r="M198" s="20">
        <v>44231</v>
      </c>
      <c r="N198" s="20" t="str">
        <f>UPPER(TEXT(Tabla1[[#This Row],[FECHA RADICADO ENTRADA]],"MMM"))</f>
        <v>FEB</v>
      </c>
      <c r="O198" s="11">
        <v>202124110238691</v>
      </c>
      <c r="P198" s="20">
        <v>44239</v>
      </c>
      <c r="Q198" s="20" t="str">
        <f>UPPER(TEXT(Tabla1[[#This Row],[FECHA RADICADO ENTRADA]],"MMM"))</f>
        <v>FEB</v>
      </c>
      <c r="R198" s="10">
        <f t="shared" si="3"/>
        <v>-8</v>
      </c>
      <c r="S198" s="10" t="s">
        <v>2145</v>
      </c>
      <c r="T198" s="10" t="s">
        <v>2167</v>
      </c>
      <c r="U198" s="10" t="s">
        <v>2164</v>
      </c>
      <c r="V198" s="20" t="s">
        <v>2164</v>
      </c>
      <c r="W198" s="10" t="s">
        <v>63</v>
      </c>
      <c r="X198" s="10">
        <v>0</v>
      </c>
      <c r="Y198" s="11">
        <f>IFERROR(INT(Tabla1[[#This Row],[CANTIDAD UND FARMACEUTICAS]]/(VLOOKUP(Tabla1[[#This Row],[MEDICAMENTO]],TAB_REF!$K$3:$L$27,2,0))),"")</f>
        <v>0</v>
      </c>
      <c r="Z198" s="10" t="str">
        <f>IFERROR(VLOOKUP(Tabla1[[#This Row],[MEDICAMENTO]],TAB_REF!$B$3:$F$27,2,0), "")</f>
        <v xml:space="preserve">Morfina HCl </v>
      </c>
      <c r="AA198" s="10" t="str">
        <f>IFERROR(VLOOKUP(Tabla1[[#This Row],[MEDICAMENTO]],TAB_REF!$B$3:$F$27,3,0), "")</f>
        <v xml:space="preserve">10 mg/mL </v>
      </c>
      <c r="AB198" s="10" t="str">
        <f>IFERROR(VLOOKUP(Tabla1[[#This Row],[MEDICAMENTO]],TAB_REF!$B$3:$F$27,4,0), "")</f>
        <v>Solución Inyectable</v>
      </c>
      <c r="AC198" s="10" t="str">
        <f>IFERROR(VLOOKUP(Tabla1[[#This Row],[MEDICAMENTO]],TAB_REF!$B$3:$F$27,5,0), "")</f>
        <v>Caja x 10 unidades</v>
      </c>
      <c r="AD198" s="10" t="str">
        <f>IFERROR(VLOOKUP(Tabla1[[#This Row],[CANTIDAD UND COMERCIALES]],TAB_REF!$H$3:$I$1003,2,0)&amp;" ("&amp;Tabla1[[#This Row],[CANTIDAD UND COMERCIALES]]&amp;")"&amp;"_"&amp;Tabla1[[#This Row],[CANTIDAD]],"")</f>
        <v/>
      </c>
      <c r="AE198" s="31" t="e">
        <f>CONCATENATE([1]!Tabla1[[#This Row],[NOMBRE MED.]],[1]!Tabla1[[#This Row],[CONCENTRACION]],[1]!Tabla1[[#This Row],[FORMA FARMACEUTICA]])</f>
        <v>#REF!</v>
      </c>
    </row>
    <row r="199" spans="2:31" x14ac:dyDescent="0.25">
      <c r="B199" s="10">
        <v>74</v>
      </c>
      <c r="C199" s="10" t="s">
        <v>2588</v>
      </c>
      <c r="D199" s="10" t="s">
        <v>2182</v>
      </c>
      <c r="E199" s="10" t="s">
        <v>2589</v>
      </c>
      <c r="F199" s="10" t="s">
        <v>2164</v>
      </c>
      <c r="G199" s="10" t="s">
        <v>2590</v>
      </c>
      <c r="H199" s="10" t="s">
        <v>2164</v>
      </c>
      <c r="I199" s="10" t="s">
        <v>2128</v>
      </c>
      <c r="J199" s="10" t="s">
        <v>1918</v>
      </c>
      <c r="K199" s="10" t="s">
        <v>2592</v>
      </c>
      <c r="L199" s="11">
        <v>202124100193802</v>
      </c>
      <c r="M199" s="20">
        <v>44231</v>
      </c>
      <c r="N199" s="20" t="str">
        <f>UPPER(TEXT(Tabla1[[#This Row],[FECHA RADICADO ENTRADA]],"MMM"))</f>
        <v>FEB</v>
      </c>
      <c r="O199" s="11">
        <v>202124110238691</v>
      </c>
      <c r="P199" s="20">
        <v>44239</v>
      </c>
      <c r="Q199" s="20" t="str">
        <f>UPPER(TEXT(Tabla1[[#This Row],[FECHA RADICADO ENTRADA]],"MMM"))</f>
        <v>FEB</v>
      </c>
      <c r="R199" s="10">
        <f t="shared" si="3"/>
        <v>-8</v>
      </c>
      <c r="S199" s="10" t="s">
        <v>2145</v>
      </c>
      <c r="T199" s="10" t="s">
        <v>2167</v>
      </c>
      <c r="U199" s="10" t="s">
        <v>2164</v>
      </c>
      <c r="V199" s="20" t="s">
        <v>2164</v>
      </c>
      <c r="W199" s="10" t="s">
        <v>37</v>
      </c>
      <c r="X199" s="10">
        <v>0</v>
      </c>
      <c r="Y199" s="11">
        <f>IFERROR(INT(Tabla1[[#This Row],[CANTIDAD UND FARMACEUTICAS]]/(VLOOKUP(Tabla1[[#This Row],[MEDICAMENTO]],TAB_REF!$K$3:$L$27,2,0))),"")</f>
        <v>0</v>
      </c>
      <c r="Z199" s="10" t="str">
        <f>IFERROR(VLOOKUP(Tabla1[[#This Row],[MEDICAMENTO]],TAB_REF!$B$3:$F$27,2,0), "")</f>
        <v xml:space="preserve">Hidromorfona HCl </v>
      </c>
      <c r="AA199" s="10" t="str">
        <f>IFERROR(VLOOKUP(Tabla1[[#This Row],[MEDICAMENTO]],TAB_REF!$B$3:$F$27,3,0), "")</f>
        <v xml:space="preserve">2 mg/mL </v>
      </c>
      <c r="AB199" s="10" t="str">
        <f>IFERROR(VLOOKUP(Tabla1[[#This Row],[MEDICAMENTO]],TAB_REF!$B$3:$F$27,4,0), "")</f>
        <v>Solución Inyectable</v>
      </c>
      <c r="AC199" s="10" t="str">
        <f>IFERROR(VLOOKUP(Tabla1[[#This Row],[MEDICAMENTO]],TAB_REF!$B$3:$F$27,5,0), "")</f>
        <v>Caja x 10 unidades</v>
      </c>
      <c r="AD199" s="10" t="str">
        <f>IFERROR(VLOOKUP(Tabla1[[#This Row],[CANTIDAD UND COMERCIALES]],TAB_REF!$H$3:$I$1003,2,0)&amp;" ("&amp;Tabla1[[#This Row],[CANTIDAD UND COMERCIALES]]&amp;")"&amp;"_"&amp;Tabla1[[#This Row],[CANTIDAD]],"")</f>
        <v/>
      </c>
      <c r="AE199" s="31" t="e">
        <f>CONCATENATE([1]!Tabla1[[#This Row],[NOMBRE MED.]],[1]!Tabla1[[#This Row],[CONCENTRACION]],[1]!Tabla1[[#This Row],[FORMA FARMACEUTICA]])</f>
        <v>#REF!</v>
      </c>
    </row>
    <row r="200" spans="2:31" x14ac:dyDescent="0.25">
      <c r="B200" s="10">
        <v>75</v>
      </c>
      <c r="C200" s="10" t="s">
        <v>2593</v>
      </c>
      <c r="D200" s="10" t="s">
        <v>2575</v>
      </c>
      <c r="E200" s="10" t="s">
        <v>2594</v>
      </c>
      <c r="F200" s="10" t="s">
        <v>2603</v>
      </c>
      <c r="G200" s="21" t="s">
        <v>2595</v>
      </c>
      <c r="H200" s="10" t="s">
        <v>2596</v>
      </c>
      <c r="I200" s="10" t="s">
        <v>2122</v>
      </c>
      <c r="J200" s="10" t="s">
        <v>1742</v>
      </c>
      <c r="K200" s="10" t="s">
        <v>2597</v>
      </c>
      <c r="L200" s="10" t="s">
        <v>2598</v>
      </c>
      <c r="M200" s="20">
        <v>44237</v>
      </c>
      <c r="N200" s="20" t="str">
        <f>UPPER(TEXT(Tabla1[[#This Row],[FECHA RADICADO ENTRADA]],"MMM"))</f>
        <v>FEB</v>
      </c>
      <c r="O200" s="11">
        <v>202124110238481</v>
      </c>
      <c r="P200" s="20">
        <v>44239</v>
      </c>
      <c r="Q200" s="20" t="str">
        <f>UPPER(TEXT(Tabla1[[#This Row],[FECHA RADICADO ENTRADA]],"MMM"))</f>
        <v>FEB</v>
      </c>
      <c r="R200" s="10">
        <f t="shared" si="3"/>
        <v>-2</v>
      </c>
      <c r="S200" s="10" t="s">
        <v>2154</v>
      </c>
      <c r="U200" s="10" t="s">
        <v>2623</v>
      </c>
      <c r="V200" s="20">
        <v>44099</v>
      </c>
      <c r="W200" s="10" t="s">
        <v>32</v>
      </c>
      <c r="X200" s="10">
        <f>226*30</f>
        <v>6780</v>
      </c>
      <c r="Y200" s="11">
        <f>IFERROR(INT(Tabla1[[#This Row],[CANTIDAD UND FARMACEUTICAS]]/(VLOOKUP(Tabla1[[#This Row],[MEDICAMENTO]],TAB_REF!$K$3:$L$27,2,0))),"")</f>
        <v>226</v>
      </c>
      <c r="Z200" s="10" t="str">
        <f>IFERROR(VLOOKUP(Tabla1[[#This Row],[MEDICAMENTO]],TAB_REF!$B$3:$F$27,2,0), "")</f>
        <v xml:space="preserve">Fenobarbital </v>
      </c>
      <c r="AA200" s="10" t="str">
        <f>IFERROR(VLOOKUP(Tabla1[[#This Row],[MEDICAMENTO]],TAB_REF!$B$3:$F$27,3,0), "")</f>
        <v xml:space="preserve">100 mg </v>
      </c>
      <c r="AB200" s="10" t="str">
        <f>IFERROR(VLOOKUP(Tabla1[[#This Row],[MEDICAMENTO]],TAB_REF!$B$3:$F$27,4,0), "")</f>
        <v>Tabletas</v>
      </c>
      <c r="AC200" s="10" t="str">
        <f>IFERROR(VLOOKUP(Tabla1[[#This Row],[MEDICAMENTO]],TAB_REF!$B$3:$F$27,5,0), "")</f>
        <v>Caja x 30 unidades</v>
      </c>
      <c r="AD200" s="10" t="str">
        <f>IFERROR(VLOOKUP(Tabla1[[#This Row],[CANTIDAD UND COMERCIALES]],TAB_REF!$H$3:$I$1003,2,0)&amp;" ("&amp;Tabla1[[#This Row],[CANTIDAD UND COMERCIALES]]&amp;")"&amp;"_"&amp;Tabla1[[#This Row],[CANTIDAD]],"")</f>
        <v>Doscientos Veintiséis (226)_Caja x 30 unidades</v>
      </c>
      <c r="AE200" s="31" t="e">
        <f>CONCATENATE([1]!Tabla1[[#This Row],[NOMBRE MED.]],[1]!Tabla1[[#This Row],[CONCENTRACION]],[1]!Tabla1[[#This Row],[FORMA FARMACEUTICA]])</f>
        <v>#REF!</v>
      </c>
    </row>
    <row r="201" spans="2:31" x14ac:dyDescent="0.25">
      <c r="B201" s="10">
        <v>75</v>
      </c>
      <c r="C201" s="10" t="s">
        <v>2593</v>
      </c>
      <c r="D201" s="10" t="s">
        <v>2575</v>
      </c>
      <c r="E201" s="10" t="s">
        <v>2594</v>
      </c>
      <c r="F201" s="10" t="s">
        <v>2603</v>
      </c>
      <c r="G201" s="10" t="s">
        <v>2595</v>
      </c>
      <c r="H201" s="10" t="s">
        <v>2596</v>
      </c>
      <c r="I201" s="10" t="s">
        <v>2122</v>
      </c>
      <c r="J201" s="10" t="s">
        <v>1742</v>
      </c>
      <c r="K201" s="10" t="s">
        <v>2597</v>
      </c>
      <c r="L201" s="10" t="s">
        <v>2598</v>
      </c>
      <c r="M201" s="20">
        <v>44237</v>
      </c>
      <c r="N201" s="20" t="str">
        <f>UPPER(TEXT(Tabla1[[#This Row],[FECHA RADICADO ENTRADA]],"MMM"))</f>
        <v>FEB</v>
      </c>
      <c r="O201" s="11">
        <v>202124110238481</v>
      </c>
      <c r="P201" s="20">
        <v>44239</v>
      </c>
      <c r="Q201" s="20" t="str">
        <f>UPPER(TEXT(Tabla1[[#This Row],[FECHA RADICADO ENTRADA]],"MMM"))</f>
        <v>FEB</v>
      </c>
      <c r="R201" s="10">
        <f t="shared" si="3"/>
        <v>-2</v>
      </c>
      <c r="S201" s="10" t="s">
        <v>2154</v>
      </c>
      <c r="U201" s="10" t="s">
        <v>2623</v>
      </c>
      <c r="V201" s="20">
        <v>44099</v>
      </c>
      <c r="W201" s="10" t="s">
        <v>60</v>
      </c>
      <c r="X201" s="10">
        <v>4</v>
      </c>
      <c r="Y201" s="11">
        <f>IFERROR(INT(Tabla1[[#This Row],[CANTIDAD UND FARMACEUTICAS]]/(VLOOKUP(Tabla1[[#This Row],[MEDICAMENTO]],TAB_REF!$K$3:$L$27,2,0))),"")</f>
        <v>4</v>
      </c>
      <c r="Z201" s="10" t="str">
        <f>IFERROR(VLOOKUP(Tabla1[[#This Row],[MEDICAMENTO]],TAB_REF!$B$3:$F$27,2,0), "")</f>
        <v xml:space="preserve">Morfina HCl </v>
      </c>
      <c r="AA201" s="10" t="str">
        <f>IFERROR(VLOOKUP(Tabla1[[#This Row],[MEDICAMENTO]],TAB_REF!$B$3:$F$27,3,0), "")</f>
        <v xml:space="preserve">3%. </v>
      </c>
      <c r="AB201" s="10" t="str">
        <f>IFERROR(VLOOKUP(Tabla1[[#This Row],[MEDICAMENTO]],TAB_REF!$B$3:$F$27,4,0), "")</f>
        <v>Solución Oral</v>
      </c>
      <c r="AC201" s="10" t="str">
        <f>IFERROR(VLOOKUP(Tabla1[[#This Row],[MEDICAMENTO]],TAB_REF!$B$3:$F$27,5,0), "")</f>
        <v>Frasco x 30 mL</v>
      </c>
      <c r="AD201" s="10" t="str">
        <f>IFERROR(VLOOKUP(Tabla1[[#This Row],[CANTIDAD UND COMERCIALES]],TAB_REF!$H$3:$I$1003,2,0)&amp;" ("&amp;Tabla1[[#This Row],[CANTIDAD UND COMERCIALES]]&amp;")"&amp;"_"&amp;Tabla1[[#This Row],[CANTIDAD]],"")</f>
        <v>Cuatro (4)_Frasco x 30 mL</v>
      </c>
      <c r="AE201" s="31" t="e">
        <f>CONCATENATE([1]!Tabla1[[#This Row],[NOMBRE MED.]],[1]!Tabla1[[#This Row],[CONCENTRACION]],[1]!Tabla1[[#This Row],[FORMA FARMACEUTICA]])</f>
        <v>#REF!</v>
      </c>
    </row>
    <row r="202" spans="2:31" x14ac:dyDescent="0.25">
      <c r="B202" s="10">
        <v>76</v>
      </c>
      <c r="C202" s="10" t="s">
        <v>2599</v>
      </c>
      <c r="D202" s="10" t="s">
        <v>2600</v>
      </c>
      <c r="E202" s="10" t="s">
        <v>2601</v>
      </c>
      <c r="F202" s="10" t="s">
        <v>2602</v>
      </c>
      <c r="G202" s="10" t="s">
        <v>2604</v>
      </c>
      <c r="H202" s="10" t="s">
        <v>2605</v>
      </c>
      <c r="I202" s="10" t="s">
        <v>2107</v>
      </c>
      <c r="J202" s="10" t="s">
        <v>1212</v>
      </c>
      <c r="K202" s="10" t="s">
        <v>2606</v>
      </c>
      <c r="L202" s="11">
        <v>202124100236072</v>
      </c>
      <c r="M202" s="20">
        <v>44238</v>
      </c>
      <c r="N202" s="20" t="str">
        <f>UPPER(TEXT(Tabla1[[#This Row],[FECHA RADICADO ENTRADA]],"MMM"))</f>
        <v>FEB</v>
      </c>
      <c r="O202" s="11">
        <v>202124110238391</v>
      </c>
      <c r="P202" s="20">
        <v>44239</v>
      </c>
      <c r="Q202" s="20" t="str">
        <f>UPPER(TEXT(Tabla1[[#This Row],[FECHA RADICADO ENTRADA]],"MMM"))</f>
        <v>FEB</v>
      </c>
      <c r="R202" s="10">
        <f t="shared" si="3"/>
        <v>-1</v>
      </c>
      <c r="S202" s="10" t="s">
        <v>2154</v>
      </c>
      <c r="U202" s="10" t="s">
        <v>2607</v>
      </c>
      <c r="V202" s="20">
        <v>43005</v>
      </c>
      <c r="W202" s="10" t="s">
        <v>63</v>
      </c>
      <c r="X202" s="10">
        <v>500</v>
      </c>
      <c r="Y202" s="11">
        <f>IFERROR(INT(Tabla1[[#This Row],[CANTIDAD UND FARMACEUTICAS]]/(VLOOKUP(Tabla1[[#This Row],[MEDICAMENTO]],TAB_REF!$K$3:$L$27,2,0))),"")</f>
        <v>50</v>
      </c>
      <c r="Z202" s="10" t="str">
        <f>IFERROR(VLOOKUP(Tabla1[[#This Row],[MEDICAMENTO]],TAB_REF!$B$3:$F$27,2,0), "")</f>
        <v xml:space="preserve">Morfina HCl </v>
      </c>
      <c r="AA202" s="10" t="str">
        <f>IFERROR(VLOOKUP(Tabla1[[#This Row],[MEDICAMENTO]],TAB_REF!$B$3:$F$27,3,0), "")</f>
        <v xml:space="preserve">10 mg/mL </v>
      </c>
      <c r="AB202" s="10" t="str">
        <f>IFERROR(VLOOKUP(Tabla1[[#This Row],[MEDICAMENTO]],TAB_REF!$B$3:$F$27,4,0), "")</f>
        <v>Solución Inyectable</v>
      </c>
      <c r="AC202" s="10" t="str">
        <f>IFERROR(VLOOKUP(Tabla1[[#This Row],[MEDICAMENTO]],TAB_REF!$B$3:$F$27,5,0), "")</f>
        <v>Caja x 10 unidades</v>
      </c>
      <c r="AD202" s="10" t="str">
        <f>IFERROR(VLOOKUP(Tabla1[[#This Row],[CANTIDAD UND COMERCIALES]],TAB_REF!$H$3:$I$1003,2,0)&amp;" ("&amp;Tabla1[[#This Row],[CANTIDAD UND COMERCIALES]]&amp;")"&amp;"_"&amp;Tabla1[[#This Row],[CANTIDAD]],"")</f>
        <v>Cincuenta (50)_Caja x 10 unidades</v>
      </c>
      <c r="AE202" s="31" t="e">
        <f>CONCATENATE([1]!Tabla1[[#This Row],[NOMBRE MED.]],[1]!Tabla1[[#This Row],[CONCENTRACION]],[1]!Tabla1[[#This Row],[FORMA FARMACEUTICA]])</f>
        <v>#REF!</v>
      </c>
    </row>
    <row r="203" spans="2:31" x14ac:dyDescent="0.25">
      <c r="B203" s="10">
        <v>76</v>
      </c>
      <c r="C203" s="10" t="s">
        <v>2599</v>
      </c>
      <c r="D203" s="10" t="s">
        <v>2600</v>
      </c>
      <c r="E203" s="10" t="s">
        <v>2601</v>
      </c>
      <c r="F203" s="10" t="s">
        <v>2602</v>
      </c>
      <c r="G203" s="10" t="s">
        <v>2604</v>
      </c>
      <c r="H203" s="10" t="s">
        <v>2605</v>
      </c>
      <c r="I203" s="10" t="s">
        <v>2107</v>
      </c>
      <c r="J203" s="10" t="s">
        <v>1212</v>
      </c>
      <c r="K203" s="10" t="s">
        <v>2606</v>
      </c>
      <c r="L203" s="11">
        <v>202124100236072</v>
      </c>
      <c r="M203" s="20">
        <v>44238</v>
      </c>
      <c r="N203" s="20" t="str">
        <f>UPPER(TEXT(Tabla1[[#This Row],[FECHA RADICADO ENTRADA]],"MMM"))</f>
        <v>FEB</v>
      </c>
      <c r="O203" s="11">
        <v>202124110238391</v>
      </c>
      <c r="P203" s="20">
        <v>44239</v>
      </c>
      <c r="Q203" s="20" t="str">
        <f>UPPER(TEXT(Tabla1[[#This Row],[FECHA RADICADO ENTRADA]],"MMM"))</f>
        <v>FEB</v>
      </c>
      <c r="R203" s="10">
        <f t="shared" si="3"/>
        <v>-1</v>
      </c>
      <c r="S203" s="10" t="s">
        <v>2154</v>
      </c>
      <c r="U203" s="10" t="s">
        <v>2607</v>
      </c>
      <c r="V203" s="20">
        <v>43005</v>
      </c>
      <c r="W203" s="10" t="s">
        <v>41</v>
      </c>
      <c r="X203" s="10">
        <v>150</v>
      </c>
      <c r="Y203" s="11">
        <f>IFERROR(INT(Tabla1[[#This Row],[CANTIDAD UND FARMACEUTICAS]]/(VLOOKUP(Tabla1[[#This Row],[MEDICAMENTO]],TAB_REF!$K$3:$L$27,2,0))),"")</f>
        <v>15</v>
      </c>
      <c r="Z203" s="10" t="str">
        <f>IFERROR(VLOOKUP(Tabla1[[#This Row],[MEDICAMENTO]],TAB_REF!$B$3:$F$27,2,0), "")</f>
        <v xml:space="preserve">Meperidina HCl </v>
      </c>
      <c r="AA203" s="10" t="str">
        <f>IFERROR(VLOOKUP(Tabla1[[#This Row],[MEDICAMENTO]],TAB_REF!$B$3:$F$27,3,0), "")</f>
        <v xml:space="preserve">100 mg/2mL </v>
      </c>
      <c r="AB203" s="10" t="str">
        <f>IFERROR(VLOOKUP(Tabla1[[#This Row],[MEDICAMENTO]],TAB_REF!$B$3:$F$27,4,0), "")</f>
        <v>Solución Inyectable</v>
      </c>
      <c r="AC203" s="10" t="str">
        <f>IFERROR(VLOOKUP(Tabla1[[#This Row],[MEDICAMENTO]],TAB_REF!$B$3:$F$27,5,0), "")</f>
        <v>Caja 10 ampollas</v>
      </c>
      <c r="AD203" s="10" t="str">
        <f>IFERROR(VLOOKUP(Tabla1[[#This Row],[CANTIDAD UND COMERCIALES]],TAB_REF!$H$3:$I$1003,2,0)&amp;" ("&amp;Tabla1[[#This Row],[CANTIDAD UND COMERCIALES]]&amp;")"&amp;"_"&amp;Tabla1[[#This Row],[CANTIDAD]],"")</f>
        <v>Quince (15)_Caja 10 ampollas</v>
      </c>
      <c r="AE203" s="31" t="e">
        <f>CONCATENATE([1]!Tabla1[[#This Row],[NOMBRE MED.]],[1]!Tabla1[[#This Row],[CONCENTRACION]],[1]!Tabla1[[#This Row],[FORMA FARMACEUTICA]])</f>
        <v>#REF!</v>
      </c>
    </row>
    <row r="204" spans="2:31" x14ac:dyDescent="0.25">
      <c r="B204" s="10">
        <v>77</v>
      </c>
      <c r="C204" s="10" t="s">
        <v>2608</v>
      </c>
      <c r="D204" s="10" t="s">
        <v>2609</v>
      </c>
      <c r="E204" s="10" t="s">
        <v>2610</v>
      </c>
      <c r="F204" s="10" t="s">
        <v>2611</v>
      </c>
      <c r="G204" s="10" t="s">
        <v>2612</v>
      </c>
      <c r="H204" s="10" t="s">
        <v>2613</v>
      </c>
      <c r="I204" s="10" t="s">
        <v>2125</v>
      </c>
      <c r="J204" s="10" t="s">
        <v>1885</v>
      </c>
      <c r="K204" s="10" t="s">
        <v>2614</v>
      </c>
      <c r="L204" s="11">
        <v>202124100243472</v>
      </c>
      <c r="M204" s="20">
        <v>44239</v>
      </c>
      <c r="N204" s="20" t="str">
        <f>UPPER(TEXT(Tabla1[[#This Row],[FECHA RADICADO ENTRADA]],"MMM"))</f>
        <v>FEB</v>
      </c>
      <c r="O204" s="11">
        <v>202124110238291</v>
      </c>
      <c r="P204" s="20">
        <v>44239</v>
      </c>
      <c r="Q204" s="20" t="str">
        <f>UPPER(TEXT(Tabla1[[#This Row],[FECHA RADICADO ENTRADA]],"MMM"))</f>
        <v>FEB</v>
      </c>
      <c r="R204" s="10">
        <f t="shared" si="3"/>
        <v>0</v>
      </c>
      <c r="S204" s="10" t="s">
        <v>2154</v>
      </c>
      <c r="U204" s="10" t="s">
        <v>2615</v>
      </c>
      <c r="V204" s="20">
        <v>43061</v>
      </c>
      <c r="W204" s="10" t="s">
        <v>63</v>
      </c>
      <c r="X204" s="10">
        <v>100</v>
      </c>
      <c r="Y204" s="11">
        <f>IFERROR(INT(Tabla1[[#This Row],[CANTIDAD UND FARMACEUTICAS]]/(VLOOKUP(Tabla1[[#This Row],[MEDICAMENTO]],TAB_REF!$K$3:$L$27,2,0))),"")</f>
        <v>10</v>
      </c>
      <c r="Z204" s="10" t="str">
        <f>IFERROR(VLOOKUP(Tabla1[[#This Row],[MEDICAMENTO]],TAB_REF!$B$3:$F$27,2,0), "")</f>
        <v xml:space="preserve">Morfina HCl </v>
      </c>
      <c r="AA204" s="10" t="str">
        <f>IFERROR(VLOOKUP(Tabla1[[#This Row],[MEDICAMENTO]],TAB_REF!$B$3:$F$27,3,0), "")</f>
        <v xml:space="preserve">10 mg/mL </v>
      </c>
      <c r="AB204" s="10" t="str">
        <f>IFERROR(VLOOKUP(Tabla1[[#This Row],[MEDICAMENTO]],TAB_REF!$B$3:$F$27,4,0), "")</f>
        <v>Solución Inyectable</v>
      </c>
      <c r="AC204" s="10" t="str">
        <f>IFERROR(VLOOKUP(Tabla1[[#This Row],[MEDICAMENTO]],TAB_REF!$B$3:$F$27,5,0), "")</f>
        <v>Caja x 10 unidades</v>
      </c>
      <c r="AD204" s="10" t="str">
        <f>IFERROR(VLOOKUP(Tabla1[[#This Row],[CANTIDAD UND COMERCIALES]],TAB_REF!$H$3:$I$1003,2,0)&amp;" ("&amp;Tabla1[[#This Row],[CANTIDAD UND COMERCIALES]]&amp;")"&amp;"_"&amp;Tabla1[[#This Row],[CANTIDAD]],"")</f>
        <v>Diez (10)_Caja x 10 unidades</v>
      </c>
      <c r="AE204" s="31" t="e">
        <f>CONCATENATE([1]!Tabla1[[#This Row],[NOMBRE MED.]],[1]!Tabla1[[#This Row],[CONCENTRACION]],[1]!Tabla1[[#This Row],[FORMA FARMACEUTICA]])</f>
        <v>#REF!</v>
      </c>
    </row>
    <row r="205" spans="2:31" x14ac:dyDescent="0.25">
      <c r="B205" s="10">
        <v>78</v>
      </c>
      <c r="C205" s="10" t="s">
        <v>2616</v>
      </c>
      <c r="D205" s="10" t="s">
        <v>2617</v>
      </c>
      <c r="E205" s="10" t="s">
        <v>2618</v>
      </c>
      <c r="F205" s="10" t="s">
        <v>2619</v>
      </c>
      <c r="G205" s="10" t="s">
        <v>2620</v>
      </c>
      <c r="H205" s="10" t="s">
        <v>2283</v>
      </c>
      <c r="I205" s="10" t="s">
        <v>2129</v>
      </c>
      <c r="J205" s="10" t="s">
        <v>2032</v>
      </c>
      <c r="K205" s="10" t="s">
        <v>2621</v>
      </c>
      <c r="L205" s="11">
        <v>202124100244552</v>
      </c>
      <c r="M205" s="20">
        <v>44239</v>
      </c>
      <c r="N205" s="20" t="str">
        <f>UPPER(TEXT(Tabla1[[#This Row],[FECHA RADICADO ENTRADA]],"MMM"))</f>
        <v>FEB</v>
      </c>
      <c r="O205" s="11">
        <v>202124110238251</v>
      </c>
      <c r="P205" s="20">
        <v>44239</v>
      </c>
      <c r="Q205" s="20" t="str">
        <f>UPPER(TEXT(Tabla1[[#This Row],[FECHA RADICADO ENTRADA]],"MMM"))</f>
        <v>FEB</v>
      </c>
      <c r="R205" s="10">
        <f t="shared" si="3"/>
        <v>0</v>
      </c>
      <c r="S205" s="10" t="s">
        <v>2154</v>
      </c>
      <c r="U205" s="10" t="s">
        <v>2622</v>
      </c>
      <c r="V205" s="20">
        <v>43734</v>
      </c>
      <c r="W205" s="10" t="s">
        <v>41</v>
      </c>
      <c r="X205" s="10">
        <v>200</v>
      </c>
      <c r="Y205" s="11">
        <f>IFERROR(INT(Tabla1[[#This Row],[CANTIDAD UND FARMACEUTICAS]]/(VLOOKUP(Tabla1[[#This Row],[MEDICAMENTO]],TAB_REF!$K$3:$L$27,2,0))),"")</f>
        <v>20</v>
      </c>
      <c r="Z205" s="10" t="str">
        <f>IFERROR(VLOOKUP(Tabla1[[#This Row],[MEDICAMENTO]],TAB_REF!$B$3:$F$27,2,0), "")</f>
        <v xml:space="preserve">Meperidina HCl </v>
      </c>
      <c r="AA205" s="10" t="str">
        <f>IFERROR(VLOOKUP(Tabla1[[#This Row],[MEDICAMENTO]],TAB_REF!$B$3:$F$27,3,0), "")</f>
        <v xml:space="preserve">100 mg/2mL </v>
      </c>
      <c r="AB205" s="10" t="str">
        <f>IFERROR(VLOOKUP(Tabla1[[#This Row],[MEDICAMENTO]],TAB_REF!$B$3:$F$27,4,0), "")</f>
        <v>Solución Inyectable</v>
      </c>
      <c r="AC205" s="10" t="str">
        <f>IFERROR(VLOOKUP(Tabla1[[#This Row],[MEDICAMENTO]],TAB_REF!$B$3:$F$27,5,0), "")</f>
        <v>Caja 10 ampollas</v>
      </c>
      <c r="AD205" s="10" t="str">
        <f>IFERROR(VLOOKUP(Tabla1[[#This Row],[CANTIDAD UND COMERCIALES]],TAB_REF!$H$3:$I$1003,2,0)&amp;" ("&amp;Tabla1[[#This Row],[CANTIDAD UND COMERCIALES]]&amp;")"&amp;"_"&amp;Tabla1[[#This Row],[CANTIDAD]],"")</f>
        <v>Veinte (20)_Caja 10 ampollas</v>
      </c>
      <c r="AE205" s="31" t="e">
        <f>CONCATENATE([1]!Tabla1[[#This Row],[NOMBRE MED.]],[1]!Tabla1[[#This Row],[CONCENTRACION]],[1]!Tabla1[[#This Row],[FORMA FARMACEUTICA]])</f>
        <v>#REF!</v>
      </c>
    </row>
    <row r="206" spans="2:31" x14ac:dyDescent="0.25">
      <c r="B206" s="10">
        <v>78</v>
      </c>
      <c r="C206" s="10" t="s">
        <v>2616</v>
      </c>
      <c r="D206" s="10" t="s">
        <v>2617</v>
      </c>
      <c r="E206" s="10" t="s">
        <v>2618</v>
      </c>
      <c r="F206" s="10" t="s">
        <v>2619</v>
      </c>
      <c r="G206" s="10" t="s">
        <v>2620</v>
      </c>
      <c r="H206" s="10" t="s">
        <v>2283</v>
      </c>
      <c r="I206" s="10" t="s">
        <v>2129</v>
      </c>
      <c r="J206" s="10" t="s">
        <v>2032</v>
      </c>
      <c r="K206" s="10" t="s">
        <v>2621</v>
      </c>
      <c r="L206" s="11">
        <v>202124100244552</v>
      </c>
      <c r="M206" s="20">
        <v>44239</v>
      </c>
      <c r="N206" s="20" t="str">
        <f>UPPER(TEXT(Tabla1[[#This Row],[FECHA RADICADO ENTRADA]],"MMM"))</f>
        <v>FEB</v>
      </c>
      <c r="O206" s="11">
        <v>202124110238251</v>
      </c>
      <c r="P206" s="20">
        <v>44239</v>
      </c>
      <c r="Q206" s="20" t="str">
        <f>UPPER(TEXT(Tabla1[[#This Row],[FECHA RADICADO ENTRADA]],"MMM"))</f>
        <v>FEB</v>
      </c>
      <c r="R206" s="10">
        <f t="shared" si="3"/>
        <v>0</v>
      </c>
      <c r="S206" s="10" t="s">
        <v>2154</v>
      </c>
      <c r="U206" s="10" t="s">
        <v>2622</v>
      </c>
      <c r="V206" s="20">
        <v>43734</v>
      </c>
      <c r="W206" s="10" t="s">
        <v>63</v>
      </c>
      <c r="X206" s="10">
        <v>200</v>
      </c>
      <c r="Y206" s="11">
        <f>IFERROR(INT(Tabla1[[#This Row],[CANTIDAD UND FARMACEUTICAS]]/(VLOOKUP(Tabla1[[#This Row],[MEDICAMENTO]],TAB_REF!$K$3:$L$27,2,0))),"")</f>
        <v>20</v>
      </c>
      <c r="Z206" s="10" t="str">
        <f>IFERROR(VLOOKUP(Tabla1[[#This Row],[MEDICAMENTO]],TAB_REF!$B$3:$F$27,2,0), "")</f>
        <v xml:space="preserve">Morfina HCl </v>
      </c>
      <c r="AA206" s="10" t="str">
        <f>IFERROR(VLOOKUP(Tabla1[[#This Row],[MEDICAMENTO]],TAB_REF!$B$3:$F$27,3,0), "")</f>
        <v xml:space="preserve">10 mg/mL </v>
      </c>
      <c r="AB206" s="10" t="str">
        <f>IFERROR(VLOOKUP(Tabla1[[#This Row],[MEDICAMENTO]],TAB_REF!$B$3:$F$27,4,0), "")</f>
        <v>Solución Inyectable</v>
      </c>
      <c r="AC206" s="10" t="str">
        <f>IFERROR(VLOOKUP(Tabla1[[#This Row],[MEDICAMENTO]],TAB_REF!$B$3:$F$27,5,0), "")</f>
        <v>Caja x 10 unidades</v>
      </c>
      <c r="AD206" s="10" t="str">
        <f>IFERROR(VLOOKUP(Tabla1[[#This Row],[CANTIDAD UND COMERCIALES]],TAB_REF!$H$3:$I$1003,2,0)&amp;" ("&amp;Tabla1[[#This Row],[CANTIDAD UND COMERCIALES]]&amp;")"&amp;"_"&amp;Tabla1[[#This Row],[CANTIDAD]],"")</f>
        <v>Veinte (20)_Caja x 10 unidades</v>
      </c>
      <c r="AE206" s="31" t="e">
        <f>CONCATENATE([1]!Tabla1[[#This Row],[NOMBRE MED.]],[1]!Tabla1[[#This Row],[CONCENTRACION]],[1]!Tabla1[[#This Row],[FORMA FARMACEUTICA]])</f>
        <v>#REF!</v>
      </c>
    </row>
    <row r="207" spans="2:31" x14ac:dyDescent="0.25">
      <c r="B207" s="10">
        <v>78</v>
      </c>
      <c r="C207" s="10" t="s">
        <v>2616</v>
      </c>
      <c r="D207" s="10" t="s">
        <v>2617</v>
      </c>
      <c r="E207" s="10" t="s">
        <v>2618</v>
      </c>
      <c r="F207" s="10" t="s">
        <v>2619</v>
      </c>
      <c r="G207" s="10" t="s">
        <v>2620</v>
      </c>
      <c r="H207" s="10" t="s">
        <v>2283</v>
      </c>
      <c r="I207" s="10" t="s">
        <v>2129</v>
      </c>
      <c r="J207" s="10" t="s">
        <v>2032</v>
      </c>
      <c r="K207" s="10" t="s">
        <v>2621</v>
      </c>
      <c r="L207" s="11">
        <v>202124100244552</v>
      </c>
      <c r="M207" s="20">
        <v>44239</v>
      </c>
      <c r="N207" s="20" t="str">
        <f>UPPER(TEXT(Tabla1[[#This Row],[FECHA RADICADO ENTRADA]],"MMM"))</f>
        <v>FEB</v>
      </c>
      <c r="O207" s="11">
        <v>202124110238251</v>
      </c>
      <c r="P207" s="20">
        <v>44239</v>
      </c>
      <c r="Q207" s="20" t="str">
        <f>UPPER(TEXT(Tabla1[[#This Row],[FECHA RADICADO ENTRADA]],"MMM"))</f>
        <v>FEB</v>
      </c>
      <c r="R207" s="10">
        <f t="shared" si="3"/>
        <v>0</v>
      </c>
      <c r="S207" s="10" t="s">
        <v>2154</v>
      </c>
      <c r="U207" s="10" t="s">
        <v>2622</v>
      </c>
      <c r="V207" s="20">
        <v>43734</v>
      </c>
      <c r="W207" s="10" t="s">
        <v>37</v>
      </c>
      <c r="X207" s="10">
        <v>100</v>
      </c>
      <c r="Y207" s="11">
        <f>IFERROR(INT(Tabla1[[#This Row],[CANTIDAD UND FARMACEUTICAS]]/(VLOOKUP(Tabla1[[#This Row],[MEDICAMENTO]],TAB_REF!$K$3:$L$27,2,0))),"")</f>
        <v>10</v>
      </c>
      <c r="Z207" s="10" t="str">
        <f>IFERROR(VLOOKUP(Tabla1[[#This Row],[MEDICAMENTO]],TAB_REF!$B$3:$F$27,2,0), "")</f>
        <v xml:space="preserve">Hidromorfona HCl </v>
      </c>
      <c r="AA207" s="10" t="str">
        <f>IFERROR(VLOOKUP(Tabla1[[#This Row],[MEDICAMENTO]],TAB_REF!$B$3:$F$27,3,0), "")</f>
        <v xml:space="preserve">2 mg/mL </v>
      </c>
      <c r="AB207" s="10" t="str">
        <f>IFERROR(VLOOKUP(Tabla1[[#This Row],[MEDICAMENTO]],TAB_REF!$B$3:$F$27,4,0), "")</f>
        <v>Solución Inyectable</v>
      </c>
      <c r="AC207" s="10" t="str">
        <f>IFERROR(VLOOKUP(Tabla1[[#This Row],[MEDICAMENTO]],TAB_REF!$B$3:$F$27,5,0), "")</f>
        <v>Caja x 10 unidades</v>
      </c>
      <c r="AD207" s="10" t="str">
        <f>IFERROR(VLOOKUP(Tabla1[[#This Row],[CANTIDAD UND COMERCIALES]],TAB_REF!$H$3:$I$1003,2,0)&amp;" ("&amp;Tabla1[[#This Row],[CANTIDAD UND COMERCIALES]]&amp;")"&amp;"_"&amp;Tabla1[[#This Row],[CANTIDAD]],"")</f>
        <v>Diez (10)_Caja x 10 unidades</v>
      </c>
      <c r="AE207" s="31" t="e">
        <f>CONCATENATE([1]!Tabla1[[#This Row],[NOMBRE MED.]],[1]!Tabla1[[#This Row],[CONCENTRACION]],[1]!Tabla1[[#This Row],[FORMA FARMACEUTICA]])</f>
        <v>#REF!</v>
      </c>
    </row>
    <row r="208" spans="2:31" x14ac:dyDescent="0.25">
      <c r="B208" s="10">
        <v>79</v>
      </c>
      <c r="C208" s="10" t="s">
        <v>2624</v>
      </c>
      <c r="D208" s="10" t="s">
        <v>2617</v>
      </c>
      <c r="E208" s="10" t="s">
        <v>2211</v>
      </c>
      <c r="F208" s="10" t="s">
        <v>2212</v>
      </c>
      <c r="G208" s="10" t="s">
        <v>2625</v>
      </c>
      <c r="H208" s="10" t="s">
        <v>2214</v>
      </c>
      <c r="I208" s="10" t="s">
        <v>2129</v>
      </c>
      <c r="J208" s="10" t="s">
        <v>2011</v>
      </c>
      <c r="K208" s="10" t="s">
        <v>2626</v>
      </c>
      <c r="L208" s="11">
        <v>202124100254772</v>
      </c>
      <c r="M208" s="20">
        <v>44242</v>
      </c>
      <c r="N208" s="20" t="str">
        <f>UPPER(TEXT(Tabla1[[#This Row],[FECHA RADICADO ENTRADA]],"MMM"))</f>
        <v>FEB</v>
      </c>
      <c r="O208" s="11">
        <v>202124110302021</v>
      </c>
      <c r="P208" s="20">
        <v>44250</v>
      </c>
      <c r="Q208" s="20" t="str">
        <f>UPPER(TEXT(Tabla1[[#This Row],[FECHA RADICADO ENTRADA]],"MMM"))</f>
        <v>FEB</v>
      </c>
      <c r="R208" s="10">
        <f t="shared" si="3"/>
        <v>-8</v>
      </c>
      <c r="S208" s="10" t="s">
        <v>2154</v>
      </c>
      <c r="U208" s="10" t="s">
        <v>2216</v>
      </c>
      <c r="V208" s="20">
        <v>43664</v>
      </c>
      <c r="W208" s="10" t="s">
        <v>28</v>
      </c>
      <c r="X208" s="10">
        <v>5</v>
      </c>
      <c r="Y208" s="11">
        <f>IFERROR(INT(Tabla1[[#This Row],[CANTIDAD UND FARMACEUTICAS]]/(VLOOKUP(Tabla1[[#This Row],[MEDICAMENTO]],TAB_REF!$K$3:$L$27,2,0))),"")</f>
        <v>5</v>
      </c>
      <c r="Z208" s="10" t="str">
        <f>IFERROR(VLOOKUP(Tabla1[[#This Row],[MEDICAMENTO]],TAB_REF!$B$3:$F$27,2,0), "")</f>
        <v xml:space="preserve">Fenobarbital </v>
      </c>
      <c r="AA208" s="10" t="str">
        <f>IFERROR(VLOOKUP(Tabla1[[#This Row],[MEDICAMENTO]],TAB_REF!$B$3:$F$27,3,0), "")</f>
        <v xml:space="preserve">0,4%. </v>
      </c>
      <c r="AB208" s="10" t="str">
        <f>IFERROR(VLOOKUP(Tabla1[[#This Row],[MEDICAMENTO]],TAB_REF!$B$3:$F$27,4,0), "")</f>
        <v>Solución Oral</v>
      </c>
      <c r="AC208" s="10" t="str">
        <f>IFERROR(VLOOKUP(Tabla1[[#This Row],[MEDICAMENTO]],TAB_REF!$B$3:$F$27,5,0), "")</f>
        <v>Frasco x 120 mL</v>
      </c>
      <c r="AD208" s="10" t="str">
        <f>IFERROR(VLOOKUP(Tabla1[[#This Row],[CANTIDAD UND COMERCIALES]],TAB_REF!$H$3:$I$1003,2,0)&amp;" ("&amp;Tabla1[[#This Row],[CANTIDAD UND COMERCIALES]]&amp;")"&amp;"_"&amp;Tabla1[[#This Row],[CANTIDAD]],"")</f>
        <v>Cinco (5)_Frasco x 120 mL</v>
      </c>
      <c r="AE208" s="31" t="e">
        <f>CONCATENATE([1]!Tabla1[[#This Row],[NOMBRE MED.]],[1]!Tabla1[[#This Row],[CONCENTRACION]],[1]!Tabla1[[#This Row],[FORMA FARMACEUTICA]])</f>
        <v>#REF!</v>
      </c>
    </row>
    <row r="209" spans="2:31" x14ac:dyDescent="0.25">
      <c r="B209" s="10">
        <v>80</v>
      </c>
      <c r="C209" s="10" t="s">
        <v>2627</v>
      </c>
      <c r="D209" s="10" t="s">
        <v>2162</v>
      </c>
      <c r="E209" s="10" t="s">
        <v>2628</v>
      </c>
      <c r="F209" s="10" t="s">
        <v>2629</v>
      </c>
      <c r="G209" s="21" t="s">
        <v>2630</v>
      </c>
      <c r="H209" s="10" t="s">
        <v>2631</v>
      </c>
      <c r="I209" s="10" t="s">
        <v>2116</v>
      </c>
      <c r="J209" s="10" t="s">
        <v>1550</v>
      </c>
      <c r="K209" s="10" t="s">
        <v>2632</v>
      </c>
      <c r="L209" s="11">
        <v>202124100258462</v>
      </c>
      <c r="M209" s="20">
        <v>44242</v>
      </c>
      <c r="N209" s="20" t="str">
        <f>UPPER(TEXT(Tabla1[[#This Row],[FECHA RADICADO ENTRADA]],"MMM"))</f>
        <v>FEB</v>
      </c>
      <c r="O209" s="11">
        <v>202124110302081</v>
      </c>
      <c r="P209" s="20">
        <v>44250</v>
      </c>
      <c r="Q209" s="20" t="str">
        <f>UPPER(TEXT(Tabla1[[#This Row],[FECHA RADICADO ENTRADA]],"MMM"))</f>
        <v>FEB</v>
      </c>
      <c r="R209" s="10">
        <f t="shared" si="3"/>
        <v>-8</v>
      </c>
      <c r="S209" s="10" t="s">
        <v>2154</v>
      </c>
      <c r="U209" s="10" t="s">
        <v>2633</v>
      </c>
      <c r="V209" s="20">
        <v>42621</v>
      </c>
      <c r="W209" s="10" t="s">
        <v>63</v>
      </c>
      <c r="X209" s="10">
        <v>60</v>
      </c>
      <c r="Y209" s="11">
        <f>IFERROR(INT(Tabla1[[#This Row],[CANTIDAD UND FARMACEUTICAS]]/(VLOOKUP(Tabla1[[#This Row],[MEDICAMENTO]],TAB_REF!$K$3:$L$27,2,0))),"")</f>
        <v>6</v>
      </c>
      <c r="Z209" s="10" t="str">
        <f>IFERROR(VLOOKUP(Tabla1[[#This Row],[MEDICAMENTO]],TAB_REF!$B$3:$F$27,2,0), "")</f>
        <v xml:space="preserve">Morfina HCl </v>
      </c>
      <c r="AA209" s="10" t="str">
        <f>IFERROR(VLOOKUP(Tabla1[[#This Row],[MEDICAMENTO]],TAB_REF!$B$3:$F$27,3,0), "")</f>
        <v xml:space="preserve">10 mg/mL </v>
      </c>
      <c r="AB209" s="10" t="str">
        <f>IFERROR(VLOOKUP(Tabla1[[#This Row],[MEDICAMENTO]],TAB_REF!$B$3:$F$27,4,0), "")</f>
        <v>Solución Inyectable</v>
      </c>
      <c r="AC209" s="10" t="str">
        <f>IFERROR(VLOOKUP(Tabla1[[#This Row],[MEDICAMENTO]],TAB_REF!$B$3:$F$27,5,0), "")</f>
        <v>Caja x 10 unidades</v>
      </c>
      <c r="AD209" s="10" t="str">
        <f>IFERROR(VLOOKUP(Tabla1[[#This Row],[CANTIDAD UND COMERCIALES]],TAB_REF!$H$3:$I$1003,2,0)&amp;" ("&amp;Tabla1[[#This Row],[CANTIDAD UND COMERCIALES]]&amp;")"&amp;"_"&amp;Tabla1[[#This Row],[CANTIDAD]],"")</f>
        <v>Seis (6)_Caja x 10 unidades</v>
      </c>
      <c r="AE209" s="31" t="e">
        <f>CONCATENATE([1]!Tabla1[[#This Row],[NOMBRE MED.]],[1]!Tabla1[[#This Row],[CONCENTRACION]],[1]!Tabla1[[#This Row],[FORMA FARMACEUTICA]])</f>
        <v>#REF!</v>
      </c>
    </row>
    <row r="210" spans="2:31" x14ac:dyDescent="0.25">
      <c r="B210" s="10">
        <v>81</v>
      </c>
      <c r="C210" s="10" t="s">
        <v>2634</v>
      </c>
      <c r="D210" s="10" t="s">
        <v>2312</v>
      </c>
      <c r="E210" s="10" t="s">
        <v>2635</v>
      </c>
      <c r="F210" s="10" t="s">
        <v>2636</v>
      </c>
      <c r="G210" s="21" t="s">
        <v>2637</v>
      </c>
      <c r="H210" s="10" t="s">
        <v>2638</v>
      </c>
      <c r="I210" s="10" t="s">
        <v>2116</v>
      </c>
      <c r="J210" s="10" t="s">
        <v>1550</v>
      </c>
      <c r="K210" s="10" t="s">
        <v>2639</v>
      </c>
      <c r="L210" s="11">
        <v>202124100267322</v>
      </c>
      <c r="M210" s="20">
        <v>44243</v>
      </c>
      <c r="N210" s="20" t="str">
        <f>UPPER(TEXT(Tabla1[[#This Row],[FECHA RADICADO ENTRADA]],"MMM"))</f>
        <v>FEB</v>
      </c>
      <c r="O210" s="11">
        <v>202124110302411</v>
      </c>
      <c r="P210" s="20">
        <v>44250</v>
      </c>
      <c r="Q210" s="20" t="str">
        <f>UPPER(TEXT(Tabla1[[#This Row],[FECHA RADICADO ENTRADA]],"MMM"))</f>
        <v>FEB</v>
      </c>
      <c r="R210" s="10">
        <f t="shared" si="3"/>
        <v>-7</v>
      </c>
      <c r="S210" s="10" t="s">
        <v>2154</v>
      </c>
      <c r="U210" s="10" t="s">
        <v>2640</v>
      </c>
      <c r="V210" s="20">
        <v>43210</v>
      </c>
      <c r="W210" s="10" t="s">
        <v>60</v>
      </c>
      <c r="X210" s="10">
        <v>450</v>
      </c>
      <c r="Y210" s="11">
        <f>IFERROR(INT(Tabla1[[#This Row],[CANTIDAD UND FARMACEUTICAS]]/(VLOOKUP(Tabla1[[#This Row],[MEDICAMENTO]],TAB_REF!$K$3:$L$27,2,0))),"")</f>
        <v>450</v>
      </c>
      <c r="Z210" s="10" t="str">
        <f>IFERROR(VLOOKUP(Tabla1[[#This Row],[MEDICAMENTO]],TAB_REF!$B$3:$F$27,2,0), "")</f>
        <v xml:space="preserve">Morfina HCl </v>
      </c>
      <c r="AA210" s="10" t="str">
        <f>IFERROR(VLOOKUP(Tabla1[[#This Row],[MEDICAMENTO]],TAB_REF!$B$3:$F$27,3,0), "")</f>
        <v xml:space="preserve">3%. </v>
      </c>
      <c r="AB210" s="10" t="str">
        <f>IFERROR(VLOOKUP(Tabla1[[#This Row],[MEDICAMENTO]],TAB_REF!$B$3:$F$27,4,0), "")</f>
        <v>Solución Oral</v>
      </c>
      <c r="AC210" s="10" t="str">
        <f>IFERROR(VLOOKUP(Tabla1[[#This Row],[MEDICAMENTO]],TAB_REF!$B$3:$F$27,5,0), "")</f>
        <v>Frasco x 30 mL</v>
      </c>
      <c r="AD210" s="10" t="str">
        <f>IFERROR(VLOOKUP(Tabla1[[#This Row],[CANTIDAD UND COMERCIALES]],TAB_REF!$H$3:$I$1003,2,0)&amp;" ("&amp;Tabla1[[#This Row],[CANTIDAD UND COMERCIALES]]&amp;")"&amp;"_"&amp;Tabla1[[#This Row],[CANTIDAD]],"")</f>
        <v>Cuatrocientos Cincuenta (450)_Frasco x 30 mL</v>
      </c>
      <c r="AE210" s="31" t="e">
        <f>CONCATENATE([1]!Tabla1[[#This Row],[NOMBRE MED.]],[1]!Tabla1[[#This Row],[CONCENTRACION]],[1]!Tabla1[[#This Row],[FORMA FARMACEUTICA]])</f>
        <v>#REF!</v>
      </c>
    </row>
    <row r="211" spans="2:31" x14ac:dyDescent="0.25">
      <c r="B211" s="10">
        <v>81</v>
      </c>
      <c r="C211" s="10" t="s">
        <v>2634</v>
      </c>
      <c r="D211" s="10" t="s">
        <v>2312</v>
      </c>
      <c r="E211" s="10" t="s">
        <v>2635</v>
      </c>
      <c r="F211" s="10" t="s">
        <v>2636</v>
      </c>
      <c r="G211" s="10" t="s">
        <v>2637</v>
      </c>
      <c r="H211" s="10" t="s">
        <v>2638</v>
      </c>
      <c r="I211" s="10" t="s">
        <v>2116</v>
      </c>
      <c r="J211" s="10" t="s">
        <v>1550</v>
      </c>
      <c r="K211" s="10" t="s">
        <v>2639</v>
      </c>
      <c r="L211" s="11">
        <v>202124100267322</v>
      </c>
      <c r="M211" s="20">
        <v>44243</v>
      </c>
      <c r="N211" s="20" t="str">
        <f>UPPER(TEXT(Tabla1[[#This Row],[FECHA RADICADO ENTRADA]],"MMM"))</f>
        <v>FEB</v>
      </c>
      <c r="O211" s="11">
        <v>202124110302411</v>
      </c>
      <c r="P211" s="20">
        <v>44250</v>
      </c>
      <c r="Q211" s="20" t="str">
        <f>UPPER(TEXT(Tabla1[[#This Row],[FECHA RADICADO ENTRADA]],"MMM"))</f>
        <v>FEB</v>
      </c>
      <c r="R211" s="10">
        <f t="shared" si="3"/>
        <v>-7</v>
      </c>
      <c r="S211" s="10" t="s">
        <v>2154</v>
      </c>
      <c r="U211" s="10" t="s">
        <v>2640</v>
      </c>
      <c r="V211" s="20">
        <v>43210</v>
      </c>
      <c r="W211" s="10" t="s">
        <v>38</v>
      </c>
      <c r="X211" s="10">
        <v>1000</v>
      </c>
      <c r="Y211" s="11">
        <f>IFERROR(INT(Tabla1[[#This Row],[CANTIDAD UND FARMACEUTICAS]]/(VLOOKUP(Tabla1[[#This Row],[MEDICAMENTO]],TAB_REF!$K$3:$L$27,2,0))),"")</f>
        <v>50</v>
      </c>
      <c r="Z211" s="10" t="str">
        <f>IFERROR(VLOOKUP(Tabla1[[#This Row],[MEDICAMENTO]],TAB_REF!$B$3:$F$27,2,0), "")</f>
        <v xml:space="preserve">Hidromorfona HCl </v>
      </c>
      <c r="AA211" s="10" t="str">
        <f>IFERROR(VLOOKUP(Tabla1[[#This Row],[MEDICAMENTO]],TAB_REF!$B$3:$F$27,3,0), "")</f>
        <v xml:space="preserve">2,5 mg </v>
      </c>
      <c r="AB211" s="10" t="str">
        <f>IFERROR(VLOOKUP(Tabla1[[#This Row],[MEDICAMENTO]],TAB_REF!$B$3:$F$27,4,0), "")</f>
        <v>Tabletas</v>
      </c>
      <c r="AC211" s="10" t="str">
        <f>IFERROR(VLOOKUP(Tabla1[[#This Row],[MEDICAMENTO]],TAB_REF!$B$3:$F$27,5,0), "")</f>
        <v>Caja x 20 unidades</v>
      </c>
      <c r="AD211" s="10" t="str">
        <f>IFERROR(VLOOKUP(Tabla1[[#This Row],[CANTIDAD UND COMERCIALES]],TAB_REF!$H$3:$I$1003,2,0)&amp;" ("&amp;Tabla1[[#This Row],[CANTIDAD UND COMERCIALES]]&amp;")"&amp;"_"&amp;Tabla1[[#This Row],[CANTIDAD]],"")</f>
        <v>Cincuenta (50)_Caja x 20 unidades</v>
      </c>
      <c r="AE211" s="31" t="e">
        <f>CONCATENATE([1]!Tabla1[[#This Row],[NOMBRE MED.]],[1]!Tabla1[[#This Row],[CONCENTRACION]],[1]!Tabla1[[#This Row],[FORMA FARMACEUTICA]])</f>
        <v>#REF!</v>
      </c>
    </row>
    <row r="212" spans="2:31" x14ac:dyDescent="0.25">
      <c r="B212" s="10">
        <v>82</v>
      </c>
      <c r="C212" s="10" t="s">
        <v>2641</v>
      </c>
      <c r="D212" s="10" t="s">
        <v>2162</v>
      </c>
      <c r="E212" s="10" t="s">
        <v>2642</v>
      </c>
      <c r="F212" s="10" t="s">
        <v>2643</v>
      </c>
      <c r="G212" s="10" t="s">
        <v>2548</v>
      </c>
      <c r="H212" s="10" t="s">
        <v>2644</v>
      </c>
      <c r="I212" s="10" t="s">
        <v>2129</v>
      </c>
      <c r="J212" s="10" t="s">
        <v>2011</v>
      </c>
      <c r="K212" s="10" t="s">
        <v>2551</v>
      </c>
      <c r="L212" s="11">
        <v>202124100270922</v>
      </c>
      <c r="M212" s="20">
        <v>44243</v>
      </c>
      <c r="N212" s="20" t="str">
        <f>UPPER(TEXT(Tabla1[[#This Row],[FECHA RADICADO ENTRADA]],"MMM"))</f>
        <v>FEB</v>
      </c>
      <c r="O212" s="11">
        <v>202124110302451</v>
      </c>
      <c r="P212" s="20">
        <v>44250</v>
      </c>
      <c r="Q212" s="20" t="str">
        <f>UPPER(TEXT(Tabla1[[#This Row],[FECHA RADICADO ENTRADA]],"MMM"))</f>
        <v>FEB</v>
      </c>
      <c r="R212" s="10">
        <f t="shared" si="3"/>
        <v>-7</v>
      </c>
      <c r="S212" s="10" t="s">
        <v>2154</v>
      </c>
      <c r="T212" s="10" t="s">
        <v>2741</v>
      </c>
      <c r="U212" s="10" t="s">
        <v>2645</v>
      </c>
      <c r="V212" s="20">
        <v>43392</v>
      </c>
      <c r="W212" s="10" t="s">
        <v>63</v>
      </c>
      <c r="X212" s="10">
        <v>400</v>
      </c>
      <c r="Y212" s="11">
        <f>IFERROR(INT(Tabla1[[#This Row],[CANTIDAD UND FARMACEUTICAS]]/(VLOOKUP(Tabla1[[#This Row],[MEDICAMENTO]],TAB_REF!$K$3:$L$27,2,0))),"")</f>
        <v>40</v>
      </c>
      <c r="Z212" s="10" t="str">
        <f>IFERROR(VLOOKUP(Tabla1[[#This Row],[MEDICAMENTO]],TAB_REF!$B$3:$F$27,2,0), "")</f>
        <v xml:space="preserve">Morfina HCl </v>
      </c>
      <c r="AA212" s="10" t="str">
        <f>IFERROR(VLOOKUP(Tabla1[[#This Row],[MEDICAMENTO]],TAB_REF!$B$3:$F$27,3,0), "")</f>
        <v xml:space="preserve">10 mg/mL </v>
      </c>
      <c r="AB212" s="10" t="str">
        <f>IFERROR(VLOOKUP(Tabla1[[#This Row],[MEDICAMENTO]],TAB_REF!$B$3:$F$27,4,0), "")</f>
        <v>Solución Inyectable</v>
      </c>
      <c r="AC212" s="10" t="str">
        <f>IFERROR(VLOOKUP(Tabla1[[#This Row],[MEDICAMENTO]],TAB_REF!$B$3:$F$27,5,0), "")</f>
        <v>Caja x 10 unidades</v>
      </c>
      <c r="AD212" s="10" t="str">
        <f>IFERROR(VLOOKUP(Tabla1[[#This Row],[CANTIDAD UND COMERCIALES]],TAB_REF!$H$3:$I$1003,2,0)&amp;" ("&amp;Tabla1[[#This Row],[CANTIDAD UND COMERCIALES]]&amp;")"&amp;"_"&amp;Tabla1[[#This Row],[CANTIDAD]],"")</f>
        <v>Cuarenta (40)_Caja x 10 unidades</v>
      </c>
      <c r="AE212" s="31" t="e">
        <f>CONCATENATE([1]!Tabla1[[#This Row],[NOMBRE MED.]],[1]!Tabla1[[#This Row],[CONCENTRACION]],[1]!Tabla1[[#This Row],[FORMA FARMACEUTICA]])</f>
        <v>#REF!</v>
      </c>
    </row>
    <row r="213" spans="2:31" x14ac:dyDescent="0.25">
      <c r="B213" s="10">
        <v>82</v>
      </c>
      <c r="C213" s="10" t="s">
        <v>2641</v>
      </c>
      <c r="D213" s="10" t="s">
        <v>2162</v>
      </c>
      <c r="E213" s="10" t="s">
        <v>2642</v>
      </c>
      <c r="F213" s="10" t="s">
        <v>2643</v>
      </c>
      <c r="G213" s="10" t="s">
        <v>2548</v>
      </c>
      <c r="H213" s="10" t="s">
        <v>2644</v>
      </c>
      <c r="I213" s="10" t="s">
        <v>2129</v>
      </c>
      <c r="J213" s="10" t="s">
        <v>2011</v>
      </c>
      <c r="K213" s="10" t="s">
        <v>2551</v>
      </c>
      <c r="L213" s="11">
        <v>202124100270922</v>
      </c>
      <c r="M213" s="20">
        <v>44243</v>
      </c>
      <c r="N213" s="20" t="str">
        <f>UPPER(TEXT(Tabla1[[#This Row],[FECHA RADICADO ENTRADA]],"MMM"))</f>
        <v>FEB</v>
      </c>
      <c r="O213" s="11">
        <v>202124110302451</v>
      </c>
      <c r="P213" s="20">
        <v>44250</v>
      </c>
      <c r="Q213" s="20" t="str">
        <f>UPPER(TEXT(Tabla1[[#This Row],[FECHA RADICADO ENTRADA]],"MMM"))</f>
        <v>FEB</v>
      </c>
      <c r="R213" s="10">
        <f t="shared" si="3"/>
        <v>-7</v>
      </c>
      <c r="S213" s="10" t="s">
        <v>2154</v>
      </c>
      <c r="T213" s="10" t="s">
        <v>2741</v>
      </c>
      <c r="U213" s="10" t="s">
        <v>2645</v>
      </c>
      <c r="V213" s="20">
        <v>43392</v>
      </c>
      <c r="W213" s="10" t="s">
        <v>37</v>
      </c>
      <c r="X213" s="10">
        <v>300</v>
      </c>
      <c r="Y213" s="11">
        <f>IFERROR(INT(Tabla1[[#This Row],[CANTIDAD UND FARMACEUTICAS]]/(VLOOKUP(Tabla1[[#This Row],[MEDICAMENTO]],TAB_REF!$K$3:$L$27,2,0))),"")</f>
        <v>30</v>
      </c>
      <c r="Z213" s="10" t="str">
        <f>IFERROR(VLOOKUP(Tabla1[[#This Row],[MEDICAMENTO]],TAB_REF!$B$3:$F$27,2,0), "")</f>
        <v xml:space="preserve">Hidromorfona HCl </v>
      </c>
      <c r="AA213" s="10" t="str">
        <f>IFERROR(VLOOKUP(Tabla1[[#This Row],[MEDICAMENTO]],TAB_REF!$B$3:$F$27,3,0), "")</f>
        <v xml:space="preserve">2 mg/mL </v>
      </c>
      <c r="AB213" s="10" t="str">
        <f>IFERROR(VLOOKUP(Tabla1[[#This Row],[MEDICAMENTO]],TAB_REF!$B$3:$F$27,4,0), "")</f>
        <v>Solución Inyectable</v>
      </c>
      <c r="AC213" s="10" t="str">
        <f>IFERROR(VLOOKUP(Tabla1[[#This Row],[MEDICAMENTO]],TAB_REF!$B$3:$F$27,5,0), "")</f>
        <v>Caja x 10 unidades</v>
      </c>
      <c r="AD213" s="10" t="str">
        <f>IFERROR(VLOOKUP(Tabla1[[#This Row],[CANTIDAD UND COMERCIALES]],TAB_REF!$H$3:$I$1003,2,0)&amp;" ("&amp;Tabla1[[#This Row],[CANTIDAD UND COMERCIALES]]&amp;")"&amp;"_"&amp;Tabla1[[#This Row],[CANTIDAD]],"")</f>
        <v>Treinta (30)_Caja x 10 unidades</v>
      </c>
      <c r="AE213" s="31" t="e">
        <f>CONCATENATE([1]!Tabla1[[#This Row],[NOMBRE MED.]],[1]!Tabla1[[#This Row],[CONCENTRACION]],[1]!Tabla1[[#This Row],[FORMA FARMACEUTICA]])</f>
        <v>#REF!</v>
      </c>
    </row>
    <row r="214" spans="2:31" x14ac:dyDescent="0.25">
      <c r="B214" s="10">
        <v>83</v>
      </c>
      <c r="C214" s="10" t="s">
        <v>2646</v>
      </c>
      <c r="D214" s="10" t="s">
        <v>2182</v>
      </c>
      <c r="E214" s="10" t="s">
        <v>2647</v>
      </c>
      <c r="F214" s="10" t="s">
        <v>2648</v>
      </c>
      <c r="G214" s="10" t="s">
        <v>2649</v>
      </c>
      <c r="H214" s="10" t="s">
        <v>2650</v>
      </c>
      <c r="I214" s="10" t="s">
        <v>2123</v>
      </c>
      <c r="J214" s="10" t="s">
        <v>1770</v>
      </c>
      <c r="K214" s="10" t="s">
        <v>2651</v>
      </c>
      <c r="L214" s="11">
        <v>202124100271042</v>
      </c>
      <c r="M214" s="20">
        <v>44243</v>
      </c>
      <c r="N214" s="20" t="str">
        <f>UPPER(TEXT(Tabla1[[#This Row],[FECHA RADICADO ENTRADA]],"MMM"))</f>
        <v>FEB</v>
      </c>
      <c r="O214" s="11">
        <v>202124110302471</v>
      </c>
      <c r="P214" s="20">
        <v>44250</v>
      </c>
      <c r="Q214" s="20" t="str">
        <f>UPPER(TEXT(Tabla1[[#This Row],[FECHA RADICADO ENTRADA]],"MMM"))</f>
        <v>FEB</v>
      </c>
      <c r="R214" s="10">
        <f t="shared" si="3"/>
        <v>-7</v>
      </c>
      <c r="S214" s="10" t="s">
        <v>2154</v>
      </c>
      <c r="U214" s="10" t="s">
        <v>2652</v>
      </c>
      <c r="V214" s="20">
        <v>44193</v>
      </c>
      <c r="W214" s="10" t="s">
        <v>63</v>
      </c>
      <c r="X214" s="10">
        <v>120</v>
      </c>
      <c r="Y214" s="11">
        <f>IFERROR(INT(Tabla1[[#This Row],[CANTIDAD UND FARMACEUTICAS]]/(VLOOKUP(Tabla1[[#This Row],[MEDICAMENTO]],TAB_REF!$K$3:$L$27,2,0))),"")</f>
        <v>12</v>
      </c>
      <c r="Z214" s="10" t="str">
        <f>IFERROR(VLOOKUP(Tabla1[[#This Row],[MEDICAMENTO]],TAB_REF!$B$3:$F$27,2,0), "")</f>
        <v xml:space="preserve">Morfina HCl </v>
      </c>
      <c r="AA214" s="10" t="str">
        <f>IFERROR(VLOOKUP(Tabla1[[#This Row],[MEDICAMENTO]],TAB_REF!$B$3:$F$27,3,0), "")</f>
        <v xml:space="preserve">10 mg/mL </v>
      </c>
      <c r="AB214" s="10" t="str">
        <f>IFERROR(VLOOKUP(Tabla1[[#This Row],[MEDICAMENTO]],TAB_REF!$B$3:$F$27,4,0), "")</f>
        <v>Solución Inyectable</v>
      </c>
      <c r="AC214" s="10" t="str">
        <f>IFERROR(VLOOKUP(Tabla1[[#This Row],[MEDICAMENTO]],TAB_REF!$B$3:$F$27,5,0), "")</f>
        <v>Caja x 10 unidades</v>
      </c>
      <c r="AD214" s="10" t="str">
        <f>IFERROR(VLOOKUP(Tabla1[[#This Row],[CANTIDAD UND COMERCIALES]],TAB_REF!$H$3:$I$1003,2,0)&amp;" ("&amp;Tabla1[[#This Row],[CANTIDAD UND COMERCIALES]]&amp;")"&amp;"_"&amp;Tabla1[[#This Row],[CANTIDAD]],"")</f>
        <v>Doce (12)_Caja x 10 unidades</v>
      </c>
      <c r="AE214" s="31" t="e">
        <f>CONCATENATE([1]!Tabla1[[#This Row],[NOMBRE MED.]],[1]!Tabla1[[#This Row],[CONCENTRACION]],[1]!Tabla1[[#This Row],[FORMA FARMACEUTICA]])</f>
        <v>#REF!</v>
      </c>
    </row>
    <row r="215" spans="2:31" x14ac:dyDescent="0.25">
      <c r="B215" s="10">
        <v>83</v>
      </c>
      <c r="C215" s="10" t="s">
        <v>2646</v>
      </c>
      <c r="D215" s="10" t="s">
        <v>2182</v>
      </c>
      <c r="E215" s="10" t="s">
        <v>2647</v>
      </c>
      <c r="F215" s="10" t="s">
        <v>2648</v>
      </c>
      <c r="G215" s="10" t="s">
        <v>2649</v>
      </c>
      <c r="H215" s="10" t="s">
        <v>2650</v>
      </c>
      <c r="I215" s="10" t="s">
        <v>2123</v>
      </c>
      <c r="J215" s="10" t="s">
        <v>1770</v>
      </c>
      <c r="K215" s="10" t="s">
        <v>2651</v>
      </c>
      <c r="L215" s="11">
        <v>202124100271042</v>
      </c>
      <c r="M215" s="20">
        <v>44243</v>
      </c>
      <c r="N215" s="20" t="str">
        <f>UPPER(TEXT(Tabla1[[#This Row],[FECHA RADICADO ENTRADA]],"MMM"))</f>
        <v>FEB</v>
      </c>
      <c r="O215" s="11">
        <v>202124110302471</v>
      </c>
      <c r="P215" s="20">
        <v>44250</v>
      </c>
      <c r="Q215" s="20" t="str">
        <f>UPPER(TEXT(Tabla1[[#This Row],[FECHA RADICADO ENTRADA]],"MMM"))</f>
        <v>FEB</v>
      </c>
      <c r="R215" s="10">
        <f t="shared" si="3"/>
        <v>-7</v>
      </c>
      <c r="S215" s="10" t="s">
        <v>2154</v>
      </c>
      <c r="U215" s="10" t="s">
        <v>2652</v>
      </c>
      <c r="V215" s="20">
        <v>44193</v>
      </c>
      <c r="W215" s="10" t="s">
        <v>41</v>
      </c>
      <c r="X215" s="10">
        <v>120</v>
      </c>
      <c r="Y215" s="11">
        <f>IFERROR(INT(Tabla1[[#This Row],[CANTIDAD UND FARMACEUTICAS]]/(VLOOKUP(Tabla1[[#This Row],[MEDICAMENTO]],TAB_REF!$K$3:$L$27,2,0))),"")</f>
        <v>12</v>
      </c>
      <c r="Z215" s="10" t="str">
        <f>IFERROR(VLOOKUP(Tabla1[[#This Row],[MEDICAMENTO]],TAB_REF!$B$3:$F$27,2,0), "")</f>
        <v xml:space="preserve">Meperidina HCl </v>
      </c>
      <c r="AA215" s="10" t="str">
        <f>IFERROR(VLOOKUP(Tabla1[[#This Row],[MEDICAMENTO]],TAB_REF!$B$3:$F$27,3,0), "")</f>
        <v xml:space="preserve">100 mg/2mL </v>
      </c>
      <c r="AB215" s="10" t="str">
        <f>IFERROR(VLOOKUP(Tabla1[[#This Row],[MEDICAMENTO]],TAB_REF!$B$3:$F$27,4,0), "")</f>
        <v>Solución Inyectable</v>
      </c>
      <c r="AC215" s="10" t="str">
        <f>IFERROR(VLOOKUP(Tabla1[[#This Row],[MEDICAMENTO]],TAB_REF!$B$3:$F$27,5,0), "")</f>
        <v>Caja 10 ampollas</v>
      </c>
      <c r="AD215" s="10" t="str">
        <f>IFERROR(VLOOKUP(Tabla1[[#This Row],[CANTIDAD UND COMERCIALES]],TAB_REF!$H$3:$I$1003,2,0)&amp;" ("&amp;Tabla1[[#This Row],[CANTIDAD UND COMERCIALES]]&amp;")"&amp;"_"&amp;Tabla1[[#This Row],[CANTIDAD]],"")</f>
        <v>Doce (12)_Caja 10 ampollas</v>
      </c>
      <c r="AE215" s="31" t="e">
        <f>CONCATENATE([1]!Tabla1[[#This Row],[NOMBRE MED.]],[1]!Tabla1[[#This Row],[CONCENTRACION]],[1]!Tabla1[[#This Row],[FORMA FARMACEUTICA]])</f>
        <v>#REF!</v>
      </c>
    </row>
    <row r="216" spans="2:31" x14ac:dyDescent="0.25">
      <c r="B216" s="10">
        <v>83</v>
      </c>
      <c r="C216" s="10" t="s">
        <v>2646</v>
      </c>
      <c r="D216" s="10" t="s">
        <v>2182</v>
      </c>
      <c r="E216" s="10" t="s">
        <v>2647</v>
      </c>
      <c r="F216" s="10" t="s">
        <v>2648</v>
      </c>
      <c r="G216" s="21" t="s">
        <v>2649</v>
      </c>
      <c r="H216" s="10" t="s">
        <v>2650</v>
      </c>
      <c r="I216" s="10" t="s">
        <v>2123</v>
      </c>
      <c r="J216" s="10" t="s">
        <v>1770</v>
      </c>
      <c r="K216" s="10" t="s">
        <v>2651</v>
      </c>
      <c r="L216" s="11">
        <v>202124100271042</v>
      </c>
      <c r="M216" s="20">
        <v>44243</v>
      </c>
      <c r="N216" s="20" t="str">
        <f>UPPER(TEXT(Tabla1[[#This Row],[FECHA RADICADO ENTRADA]],"MMM"))</f>
        <v>FEB</v>
      </c>
      <c r="O216" s="11">
        <v>202124110302471</v>
      </c>
      <c r="P216" s="20">
        <v>44250</v>
      </c>
      <c r="Q216" s="20" t="str">
        <f>UPPER(TEXT(Tabla1[[#This Row],[FECHA RADICADO ENTRADA]],"MMM"))</f>
        <v>FEB</v>
      </c>
      <c r="R216" s="10">
        <f t="shared" si="3"/>
        <v>-7</v>
      </c>
      <c r="S216" s="10" t="s">
        <v>2145</v>
      </c>
      <c r="T216" s="10" t="s">
        <v>2537</v>
      </c>
      <c r="U216" s="10" t="s">
        <v>2652</v>
      </c>
      <c r="V216" s="20">
        <v>44193</v>
      </c>
      <c r="W216" s="10" t="s">
        <v>34</v>
      </c>
      <c r="X216" s="10">
        <v>0</v>
      </c>
      <c r="Y216" s="11">
        <f>IFERROR(INT(Tabla1[[#This Row],[CANTIDAD UND FARMACEUTICAS]]/(VLOOKUP(Tabla1[[#This Row],[MEDICAMENTO]],TAB_REF!$K$3:$L$27,2,0))),"")</f>
        <v>0</v>
      </c>
      <c r="Z216" s="10" t="str">
        <f>IFERROR(VLOOKUP(Tabla1[[#This Row],[MEDICAMENTO]],TAB_REF!$B$3:$F$27,2,0), "")</f>
        <v xml:space="preserve">Fenobarbital Sódico </v>
      </c>
      <c r="AA216" s="10" t="str">
        <f>IFERROR(VLOOKUP(Tabla1[[#This Row],[MEDICAMENTO]],TAB_REF!$B$3:$F$27,3,0), "")</f>
        <v xml:space="preserve">200 mg/Ml </v>
      </c>
      <c r="AB216" s="10" t="str">
        <f>IFERROR(VLOOKUP(Tabla1[[#This Row],[MEDICAMENTO]],TAB_REF!$B$3:$F$27,4,0), "")</f>
        <v>Solución Inyectable</v>
      </c>
      <c r="AC216" s="10" t="str">
        <f>IFERROR(VLOOKUP(Tabla1[[#This Row],[MEDICAMENTO]],TAB_REF!$B$3:$F$27,5,0), "")</f>
        <v>Caja x 10 unidades</v>
      </c>
      <c r="AD216" s="10" t="str">
        <f>IFERROR(VLOOKUP(Tabla1[[#This Row],[CANTIDAD UND COMERCIALES]],TAB_REF!$H$3:$I$1003,2,0)&amp;" ("&amp;Tabla1[[#This Row],[CANTIDAD UND COMERCIALES]]&amp;")"&amp;"_"&amp;Tabla1[[#This Row],[CANTIDAD]],"")</f>
        <v/>
      </c>
      <c r="AE216" s="31" t="e">
        <f>CONCATENATE([1]!Tabla1[[#This Row],[NOMBRE MED.]],[1]!Tabla1[[#This Row],[CONCENTRACION]],[1]!Tabla1[[#This Row],[FORMA FARMACEUTICA]])</f>
        <v>#REF!</v>
      </c>
    </row>
    <row r="217" spans="2:31" x14ac:dyDescent="0.25">
      <c r="B217" s="10">
        <v>84</v>
      </c>
      <c r="C217" s="10" t="s">
        <v>2654</v>
      </c>
      <c r="D217" s="10" t="s">
        <v>2464</v>
      </c>
      <c r="E217" s="10" t="s">
        <v>2655</v>
      </c>
      <c r="F217" s="10" t="s">
        <v>2656</v>
      </c>
      <c r="G217" s="10" t="s">
        <v>2657</v>
      </c>
      <c r="H217" s="10" t="s">
        <v>2658</v>
      </c>
      <c r="I217" s="10" t="s">
        <v>2122</v>
      </c>
      <c r="J217" s="10" t="s">
        <v>1748</v>
      </c>
      <c r="K217" s="10" t="s">
        <v>2659</v>
      </c>
      <c r="L217" s="11">
        <v>202124100273362</v>
      </c>
      <c r="M217" s="20">
        <v>44244</v>
      </c>
      <c r="N217" s="20" t="str">
        <f>UPPER(TEXT(Tabla1[[#This Row],[FECHA RADICADO ENTRADA]],"MMM"))</f>
        <v>FEB</v>
      </c>
      <c r="O217" s="11">
        <v>202124110302481</v>
      </c>
      <c r="P217" s="20">
        <v>44250</v>
      </c>
      <c r="Q217" s="20" t="str">
        <f>UPPER(TEXT(Tabla1[[#This Row],[FECHA RADICADO ENTRADA]],"MMM"))</f>
        <v>FEB</v>
      </c>
      <c r="R217" s="10">
        <f t="shared" si="3"/>
        <v>-6</v>
      </c>
      <c r="S217" s="10" t="s">
        <v>2154</v>
      </c>
      <c r="U217" s="10" t="s">
        <v>2660</v>
      </c>
      <c r="V217" s="20">
        <v>43230</v>
      </c>
      <c r="W217" s="10" t="s">
        <v>32</v>
      </c>
      <c r="X217" s="10">
        <f>21*30</f>
        <v>630</v>
      </c>
      <c r="Y217" s="11">
        <f>IFERROR(INT(Tabla1[[#This Row],[CANTIDAD UND FARMACEUTICAS]]/(VLOOKUP(Tabla1[[#This Row],[MEDICAMENTO]],TAB_REF!$K$3:$L$27,2,0))),"")</f>
        <v>21</v>
      </c>
      <c r="Z217" s="10" t="str">
        <f>IFERROR(VLOOKUP(Tabla1[[#This Row],[MEDICAMENTO]],TAB_REF!$B$3:$F$27,2,0), "")</f>
        <v xml:space="preserve">Fenobarbital </v>
      </c>
      <c r="AA217" s="10" t="str">
        <f>IFERROR(VLOOKUP(Tabla1[[#This Row],[MEDICAMENTO]],TAB_REF!$B$3:$F$27,3,0), "")</f>
        <v xml:space="preserve">100 mg </v>
      </c>
      <c r="AB217" s="10" t="str">
        <f>IFERROR(VLOOKUP(Tabla1[[#This Row],[MEDICAMENTO]],TAB_REF!$B$3:$F$27,4,0), "")</f>
        <v>Tabletas</v>
      </c>
      <c r="AC217" s="10" t="str">
        <f>IFERROR(VLOOKUP(Tabla1[[#This Row],[MEDICAMENTO]],TAB_REF!$B$3:$F$27,5,0), "")</f>
        <v>Caja x 30 unidades</v>
      </c>
      <c r="AD217" s="10" t="str">
        <f>IFERROR(VLOOKUP(Tabla1[[#This Row],[CANTIDAD UND COMERCIALES]],TAB_REF!$H$3:$I$1003,2,0)&amp;" ("&amp;Tabla1[[#This Row],[CANTIDAD UND COMERCIALES]]&amp;")"&amp;"_"&amp;Tabla1[[#This Row],[CANTIDAD]],"")</f>
        <v>Veintiuno (21)_Caja x 30 unidades</v>
      </c>
      <c r="AE217" s="31" t="e">
        <f>CONCATENATE([1]!Tabla1[[#This Row],[NOMBRE MED.]],[1]!Tabla1[[#This Row],[CONCENTRACION]],[1]!Tabla1[[#This Row],[FORMA FARMACEUTICA]])</f>
        <v>#REF!</v>
      </c>
    </row>
    <row r="218" spans="2:31" x14ac:dyDescent="0.25">
      <c r="B218" s="10">
        <v>84</v>
      </c>
      <c r="C218" s="10" t="s">
        <v>2654</v>
      </c>
      <c r="D218" s="10" t="s">
        <v>2464</v>
      </c>
      <c r="E218" s="10" t="s">
        <v>2655</v>
      </c>
      <c r="F218" s="10" t="s">
        <v>2656</v>
      </c>
      <c r="G218" s="21" t="s">
        <v>2657</v>
      </c>
      <c r="H218" s="10" t="s">
        <v>2658</v>
      </c>
      <c r="I218" s="10" t="s">
        <v>2122</v>
      </c>
      <c r="J218" s="10" t="s">
        <v>1748</v>
      </c>
      <c r="K218" s="10" t="s">
        <v>2659</v>
      </c>
      <c r="L218" s="11">
        <v>202124100273362</v>
      </c>
      <c r="M218" s="20">
        <v>44244</v>
      </c>
      <c r="N218" s="20" t="str">
        <f>UPPER(TEXT(Tabla1[[#This Row],[FECHA RADICADO ENTRADA]],"MMM"))</f>
        <v>FEB</v>
      </c>
      <c r="O218" s="11">
        <v>202124110302481</v>
      </c>
      <c r="P218" s="20">
        <v>44250</v>
      </c>
      <c r="Q218" s="20" t="str">
        <f>UPPER(TEXT(Tabla1[[#This Row],[FECHA RADICADO ENTRADA]],"MMM"))</f>
        <v>FEB</v>
      </c>
      <c r="R218" s="10">
        <f t="shared" si="3"/>
        <v>-6</v>
      </c>
      <c r="S218" s="10" t="s">
        <v>2145</v>
      </c>
      <c r="T218" s="10" t="s">
        <v>2537</v>
      </c>
      <c r="U218" s="10" t="s">
        <v>2660</v>
      </c>
      <c r="V218" s="20">
        <v>43231</v>
      </c>
      <c r="W218" s="10" t="s">
        <v>34</v>
      </c>
      <c r="X218" s="10">
        <v>0</v>
      </c>
      <c r="Y218" s="11">
        <f>IFERROR(INT(Tabla1[[#This Row],[CANTIDAD UND FARMACEUTICAS]]/(VLOOKUP(Tabla1[[#This Row],[MEDICAMENTO]],TAB_REF!$K$3:$L$27,2,0))),"")</f>
        <v>0</v>
      </c>
      <c r="Z218" s="10" t="str">
        <f>IFERROR(VLOOKUP(Tabla1[[#This Row],[MEDICAMENTO]],TAB_REF!$B$3:$F$27,2,0), "")</f>
        <v xml:space="preserve">Fenobarbital Sódico </v>
      </c>
      <c r="AA218" s="10" t="str">
        <f>IFERROR(VLOOKUP(Tabla1[[#This Row],[MEDICAMENTO]],TAB_REF!$B$3:$F$27,3,0), "")</f>
        <v xml:space="preserve">200 mg/Ml </v>
      </c>
      <c r="AB218" s="10" t="str">
        <f>IFERROR(VLOOKUP(Tabla1[[#This Row],[MEDICAMENTO]],TAB_REF!$B$3:$F$27,4,0), "")</f>
        <v>Solución Inyectable</v>
      </c>
      <c r="AC218" s="10" t="str">
        <f>IFERROR(VLOOKUP(Tabla1[[#This Row],[MEDICAMENTO]],TAB_REF!$B$3:$F$27,5,0), "")</f>
        <v>Caja x 10 unidades</v>
      </c>
      <c r="AD218" s="10" t="str">
        <f>IFERROR(VLOOKUP(Tabla1[[#This Row],[CANTIDAD UND COMERCIALES]],TAB_REF!$H$3:$I$1003,2,0)&amp;" ("&amp;Tabla1[[#This Row],[CANTIDAD UND COMERCIALES]]&amp;")"&amp;"_"&amp;Tabla1[[#This Row],[CANTIDAD]],"")</f>
        <v/>
      </c>
      <c r="AE218" s="31" t="e">
        <f>CONCATENATE([1]!Tabla1[[#This Row],[NOMBRE MED.]],[1]!Tabla1[[#This Row],[CONCENTRACION]],[1]!Tabla1[[#This Row],[FORMA FARMACEUTICA]])</f>
        <v>#REF!</v>
      </c>
    </row>
    <row r="219" spans="2:31" x14ac:dyDescent="0.25">
      <c r="B219" s="10">
        <v>84</v>
      </c>
      <c r="C219" s="10" t="s">
        <v>2654</v>
      </c>
      <c r="D219" s="10" t="s">
        <v>2464</v>
      </c>
      <c r="E219" s="10" t="s">
        <v>2655</v>
      </c>
      <c r="F219" s="10" t="s">
        <v>2656</v>
      </c>
      <c r="G219" s="10" t="s">
        <v>2657</v>
      </c>
      <c r="H219" s="10" t="s">
        <v>2658</v>
      </c>
      <c r="I219" s="10" t="s">
        <v>2122</v>
      </c>
      <c r="J219" s="10" t="s">
        <v>1748</v>
      </c>
      <c r="K219" s="10" t="s">
        <v>2659</v>
      </c>
      <c r="L219" s="11">
        <v>202124100273362</v>
      </c>
      <c r="M219" s="20">
        <v>44244</v>
      </c>
      <c r="N219" s="20" t="str">
        <f>UPPER(TEXT(Tabla1[[#This Row],[FECHA RADICADO ENTRADA]],"MMM"))</f>
        <v>FEB</v>
      </c>
      <c r="O219" s="11">
        <v>202124110302481</v>
      </c>
      <c r="P219" s="20">
        <v>44250</v>
      </c>
      <c r="Q219" s="20" t="str">
        <f>UPPER(TEXT(Tabla1[[#This Row],[FECHA RADICADO ENTRADA]],"MMM"))</f>
        <v>FEB</v>
      </c>
      <c r="R219" s="10">
        <f t="shared" si="3"/>
        <v>-6</v>
      </c>
      <c r="S219" s="10" t="s">
        <v>2154</v>
      </c>
      <c r="U219" s="10" t="s">
        <v>2660</v>
      </c>
      <c r="V219" s="20">
        <v>43232</v>
      </c>
      <c r="W219" s="10" t="s">
        <v>36</v>
      </c>
      <c r="X219" s="10">
        <v>420</v>
      </c>
      <c r="Y219" s="11">
        <f>IFERROR(INT(Tabla1[[#This Row],[CANTIDAD UND FARMACEUTICAS]]/(VLOOKUP(Tabla1[[#This Row],[MEDICAMENTO]],TAB_REF!$K$3:$L$27,2,0))),"")</f>
        <v>42</v>
      </c>
      <c r="Z219" s="10" t="str">
        <f>IFERROR(VLOOKUP(Tabla1[[#This Row],[MEDICAMENTO]],TAB_REF!$B$3:$F$27,2,0), "")</f>
        <v xml:space="preserve">Fenobarbital Sódico </v>
      </c>
      <c r="AA219" s="10" t="str">
        <f>IFERROR(VLOOKUP(Tabla1[[#This Row],[MEDICAMENTO]],TAB_REF!$B$3:$F$27,3,0), "")</f>
        <v xml:space="preserve">40 mg/mL </v>
      </c>
      <c r="AB219" s="10" t="str">
        <f>IFERROR(VLOOKUP(Tabla1[[#This Row],[MEDICAMENTO]],TAB_REF!$B$3:$F$27,4,0), "")</f>
        <v>Solución Inyectable</v>
      </c>
      <c r="AC219" s="10" t="str">
        <f>IFERROR(VLOOKUP(Tabla1[[#This Row],[MEDICAMENTO]],TAB_REF!$B$3:$F$27,5,0), "")</f>
        <v>Caja x 10 unidades</v>
      </c>
      <c r="AD219" s="10" t="str">
        <f>IFERROR(VLOOKUP(Tabla1[[#This Row],[CANTIDAD UND COMERCIALES]],TAB_REF!$H$3:$I$1003,2,0)&amp;" ("&amp;Tabla1[[#This Row],[CANTIDAD UND COMERCIALES]]&amp;")"&amp;"_"&amp;Tabla1[[#This Row],[CANTIDAD]],"")</f>
        <v>Cuarenta Y Dos (42)_Caja x 10 unidades</v>
      </c>
      <c r="AE219" s="31" t="e">
        <f>CONCATENATE([1]!Tabla1[[#This Row],[NOMBRE MED.]],[1]!Tabla1[[#This Row],[CONCENTRACION]],[1]!Tabla1[[#This Row],[FORMA FARMACEUTICA]])</f>
        <v>#REF!</v>
      </c>
    </row>
    <row r="220" spans="2:31" x14ac:dyDescent="0.25">
      <c r="B220" s="10">
        <v>84</v>
      </c>
      <c r="C220" s="10" t="s">
        <v>2654</v>
      </c>
      <c r="D220" s="10" t="s">
        <v>2464</v>
      </c>
      <c r="E220" s="10" t="s">
        <v>2655</v>
      </c>
      <c r="F220" s="10" t="s">
        <v>2656</v>
      </c>
      <c r="G220" s="10" t="s">
        <v>2657</v>
      </c>
      <c r="H220" s="10" t="s">
        <v>2658</v>
      </c>
      <c r="I220" s="10" t="s">
        <v>2122</v>
      </c>
      <c r="J220" s="10" t="s">
        <v>1748</v>
      </c>
      <c r="K220" s="10" t="s">
        <v>2659</v>
      </c>
      <c r="L220" s="11">
        <v>202124100273362</v>
      </c>
      <c r="M220" s="20">
        <v>44244</v>
      </c>
      <c r="N220" s="20" t="str">
        <f>UPPER(TEXT(Tabla1[[#This Row],[FECHA RADICADO ENTRADA]],"MMM"))</f>
        <v>FEB</v>
      </c>
      <c r="O220" s="11">
        <v>202124110302481</v>
      </c>
      <c r="P220" s="20">
        <v>44250</v>
      </c>
      <c r="Q220" s="20" t="str">
        <f>UPPER(TEXT(Tabla1[[#This Row],[FECHA RADICADO ENTRADA]],"MMM"))</f>
        <v>FEB</v>
      </c>
      <c r="R220" s="10">
        <f t="shared" si="3"/>
        <v>-6</v>
      </c>
      <c r="S220" s="10" t="s">
        <v>2154</v>
      </c>
      <c r="U220" s="10" t="s">
        <v>2660</v>
      </c>
      <c r="V220" s="20">
        <v>43233</v>
      </c>
      <c r="W220" s="10" t="s">
        <v>41</v>
      </c>
      <c r="X220" s="10">
        <v>130</v>
      </c>
      <c r="Y220" s="11">
        <f>IFERROR(INT(Tabla1[[#This Row],[CANTIDAD UND FARMACEUTICAS]]/(VLOOKUP(Tabla1[[#This Row],[MEDICAMENTO]],TAB_REF!$K$3:$L$27,2,0))),"")</f>
        <v>13</v>
      </c>
      <c r="Z220" s="10" t="str">
        <f>IFERROR(VLOOKUP(Tabla1[[#This Row],[MEDICAMENTO]],TAB_REF!$B$3:$F$27,2,0), "")</f>
        <v xml:space="preserve">Meperidina HCl </v>
      </c>
      <c r="AA220" s="10" t="str">
        <f>IFERROR(VLOOKUP(Tabla1[[#This Row],[MEDICAMENTO]],TAB_REF!$B$3:$F$27,3,0), "")</f>
        <v xml:space="preserve">100 mg/2mL </v>
      </c>
      <c r="AB220" s="10" t="str">
        <f>IFERROR(VLOOKUP(Tabla1[[#This Row],[MEDICAMENTO]],TAB_REF!$B$3:$F$27,4,0), "")</f>
        <v>Solución Inyectable</v>
      </c>
      <c r="AC220" s="10" t="str">
        <f>IFERROR(VLOOKUP(Tabla1[[#This Row],[MEDICAMENTO]],TAB_REF!$B$3:$F$27,5,0), "")</f>
        <v>Caja 10 ampollas</v>
      </c>
      <c r="AD220" s="10" t="str">
        <f>IFERROR(VLOOKUP(Tabla1[[#This Row],[CANTIDAD UND COMERCIALES]],TAB_REF!$H$3:$I$1003,2,0)&amp;" ("&amp;Tabla1[[#This Row],[CANTIDAD UND COMERCIALES]]&amp;")"&amp;"_"&amp;Tabla1[[#This Row],[CANTIDAD]],"")</f>
        <v>Trece (13)_Caja 10 ampollas</v>
      </c>
      <c r="AE220" s="31" t="e">
        <f>CONCATENATE([1]!Tabla1[[#This Row],[NOMBRE MED.]],[1]!Tabla1[[#This Row],[CONCENTRACION]],[1]!Tabla1[[#This Row],[FORMA FARMACEUTICA]])</f>
        <v>#REF!</v>
      </c>
    </row>
    <row r="221" spans="2:31" x14ac:dyDescent="0.25">
      <c r="B221" s="10">
        <v>84</v>
      </c>
      <c r="C221" s="10" t="s">
        <v>2654</v>
      </c>
      <c r="D221" s="10" t="s">
        <v>2464</v>
      </c>
      <c r="E221" s="10" t="s">
        <v>2655</v>
      </c>
      <c r="F221" s="10" t="s">
        <v>2656</v>
      </c>
      <c r="G221" s="10" t="s">
        <v>2657</v>
      </c>
      <c r="H221" s="10" t="s">
        <v>2658</v>
      </c>
      <c r="I221" s="10" t="s">
        <v>2122</v>
      </c>
      <c r="J221" s="10" t="s">
        <v>1748</v>
      </c>
      <c r="K221" s="10" t="s">
        <v>2659</v>
      </c>
      <c r="L221" s="11">
        <v>202124100273362</v>
      </c>
      <c r="M221" s="20">
        <v>44244</v>
      </c>
      <c r="N221" s="20" t="str">
        <f>UPPER(TEXT(Tabla1[[#This Row],[FECHA RADICADO ENTRADA]],"MMM"))</f>
        <v>FEB</v>
      </c>
      <c r="O221" s="11">
        <v>202124110302481</v>
      </c>
      <c r="P221" s="20">
        <v>44250</v>
      </c>
      <c r="Q221" s="20" t="str">
        <f>UPPER(TEXT(Tabla1[[#This Row],[FECHA RADICADO ENTRADA]],"MMM"))</f>
        <v>FEB</v>
      </c>
      <c r="R221" s="10">
        <f t="shared" si="3"/>
        <v>-6</v>
      </c>
      <c r="S221" s="10" t="s">
        <v>2154</v>
      </c>
      <c r="U221" s="10" t="s">
        <v>2660</v>
      </c>
      <c r="V221" s="20">
        <v>43234</v>
      </c>
      <c r="W221" s="10" t="s">
        <v>63</v>
      </c>
      <c r="X221" s="10">
        <v>350</v>
      </c>
      <c r="Y221" s="11">
        <f>IFERROR(INT(Tabla1[[#This Row],[CANTIDAD UND FARMACEUTICAS]]/(VLOOKUP(Tabla1[[#This Row],[MEDICAMENTO]],TAB_REF!$K$3:$L$27,2,0))),"")</f>
        <v>35</v>
      </c>
      <c r="Z221" s="10" t="str">
        <f>IFERROR(VLOOKUP(Tabla1[[#This Row],[MEDICAMENTO]],TAB_REF!$B$3:$F$27,2,0), "")</f>
        <v xml:space="preserve">Morfina HCl </v>
      </c>
      <c r="AA221" s="10" t="str">
        <f>IFERROR(VLOOKUP(Tabla1[[#This Row],[MEDICAMENTO]],TAB_REF!$B$3:$F$27,3,0), "")</f>
        <v xml:space="preserve">10 mg/mL </v>
      </c>
      <c r="AB221" s="10" t="str">
        <f>IFERROR(VLOOKUP(Tabla1[[#This Row],[MEDICAMENTO]],TAB_REF!$B$3:$F$27,4,0), "")</f>
        <v>Solución Inyectable</v>
      </c>
      <c r="AC221" s="10" t="str">
        <f>IFERROR(VLOOKUP(Tabla1[[#This Row],[MEDICAMENTO]],TAB_REF!$B$3:$F$27,5,0), "")</f>
        <v>Caja x 10 unidades</v>
      </c>
      <c r="AD221" s="10" t="str">
        <f>IFERROR(VLOOKUP(Tabla1[[#This Row],[CANTIDAD UND COMERCIALES]],TAB_REF!$H$3:$I$1003,2,0)&amp;" ("&amp;Tabla1[[#This Row],[CANTIDAD UND COMERCIALES]]&amp;")"&amp;"_"&amp;Tabla1[[#This Row],[CANTIDAD]],"")</f>
        <v>Treinta Y Cinco (35)_Caja x 10 unidades</v>
      </c>
      <c r="AE221" s="31" t="e">
        <f>CONCATENATE([1]!Tabla1[[#This Row],[NOMBRE MED.]],[1]!Tabla1[[#This Row],[CONCENTRACION]],[1]!Tabla1[[#This Row],[FORMA FARMACEUTICA]])</f>
        <v>#REF!</v>
      </c>
    </row>
    <row r="222" spans="2:31" x14ac:dyDescent="0.25">
      <c r="B222" s="10">
        <v>85</v>
      </c>
      <c r="C222" s="10" t="s">
        <v>2661</v>
      </c>
      <c r="D222" s="10" t="s">
        <v>2182</v>
      </c>
      <c r="E222" s="10" t="s">
        <v>2662</v>
      </c>
      <c r="F222" s="10" t="s">
        <v>2663</v>
      </c>
      <c r="G222" s="10" t="s">
        <v>2664</v>
      </c>
      <c r="H222" s="10" t="s">
        <v>2665</v>
      </c>
      <c r="I222" s="10" t="s">
        <v>2129</v>
      </c>
      <c r="J222" s="10" t="s">
        <v>2038</v>
      </c>
      <c r="K222" s="10" t="s">
        <v>2666</v>
      </c>
      <c r="L222" s="11">
        <v>202124100274922</v>
      </c>
      <c r="M222" s="20">
        <v>44244</v>
      </c>
      <c r="N222" s="20" t="str">
        <f>UPPER(TEXT(Tabla1[[#This Row],[FECHA RADICADO ENTRADA]],"MMM"))</f>
        <v>FEB</v>
      </c>
      <c r="O222" s="11">
        <v>202124110302521</v>
      </c>
      <c r="P222" s="20">
        <v>44250</v>
      </c>
      <c r="Q222" s="20" t="str">
        <f>UPPER(TEXT(Tabla1[[#This Row],[FECHA RADICADO ENTRADA]],"MMM"))</f>
        <v>FEB</v>
      </c>
      <c r="R222" s="10">
        <f t="shared" si="3"/>
        <v>-6</v>
      </c>
      <c r="S222" s="10" t="s">
        <v>2154</v>
      </c>
      <c r="U222" s="10" t="s">
        <v>2667</v>
      </c>
      <c r="V222" s="20">
        <v>43521</v>
      </c>
      <c r="W222" s="10" t="s">
        <v>32</v>
      </c>
      <c r="X222" s="10">
        <v>600</v>
      </c>
      <c r="Y222" s="11">
        <f>IFERROR(INT(Tabla1[[#This Row],[CANTIDAD UND FARMACEUTICAS]]/(VLOOKUP(Tabla1[[#This Row],[MEDICAMENTO]],TAB_REF!$K$3:$L$27,2,0))),"")</f>
        <v>20</v>
      </c>
      <c r="Z222" s="10" t="str">
        <f>IFERROR(VLOOKUP(Tabla1[[#This Row],[MEDICAMENTO]],TAB_REF!$B$3:$F$27,2,0), "")</f>
        <v xml:space="preserve">Fenobarbital </v>
      </c>
      <c r="AA222" s="10" t="str">
        <f>IFERROR(VLOOKUP(Tabla1[[#This Row],[MEDICAMENTO]],TAB_REF!$B$3:$F$27,3,0), "")</f>
        <v xml:space="preserve">100 mg </v>
      </c>
      <c r="AB222" s="10" t="str">
        <f>IFERROR(VLOOKUP(Tabla1[[#This Row],[MEDICAMENTO]],TAB_REF!$B$3:$F$27,4,0), "")</f>
        <v>Tabletas</v>
      </c>
      <c r="AC222" s="10" t="str">
        <f>IFERROR(VLOOKUP(Tabla1[[#This Row],[MEDICAMENTO]],TAB_REF!$B$3:$F$27,5,0), "")</f>
        <v>Caja x 30 unidades</v>
      </c>
      <c r="AD222" s="10" t="str">
        <f>IFERROR(VLOOKUP(Tabla1[[#This Row],[CANTIDAD UND COMERCIALES]],TAB_REF!$H$3:$I$1003,2,0)&amp;" ("&amp;Tabla1[[#This Row],[CANTIDAD UND COMERCIALES]]&amp;")"&amp;"_"&amp;Tabla1[[#This Row],[CANTIDAD]],"")</f>
        <v>Veinte (20)_Caja x 30 unidades</v>
      </c>
      <c r="AE222" s="31" t="e">
        <f>CONCATENATE([1]!Tabla1[[#This Row],[NOMBRE MED.]],[1]!Tabla1[[#This Row],[CONCENTRACION]],[1]!Tabla1[[#This Row],[FORMA FARMACEUTICA]])</f>
        <v>#REF!</v>
      </c>
    </row>
    <row r="223" spans="2:31" x14ac:dyDescent="0.25">
      <c r="B223" s="10">
        <v>86</v>
      </c>
      <c r="C223" s="10" t="s">
        <v>3017</v>
      </c>
      <c r="D223" s="10" t="s">
        <v>2175</v>
      </c>
      <c r="E223" s="10" t="s">
        <v>2668</v>
      </c>
      <c r="F223" s="10" t="s">
        <v>2669</v>
      </c>
      <c r="G223" s="10" t="s">
        <v>2670</v>
      </c>
      <c r="H223" s="10" t="s">
        <v>2671</v>
      </c>
      <c r="I223" s="10" t="s">
        <v>2110</v>
      </c>
      <c r="J223" s="10" t="s">
        <v>1235</v>
      </c>
      <c r="K223" s="10" t="s">
        <v>2672</v>
      </c>
      <c r="L223" s="11">
        <v>202124100276142</v>
      </c>
      <c r="M223" s="20">
        <v>44244</v>
      </c>
      <c r="N223" s="20" t="str">
        <f>UPPER(TEXT(Tabla1[[#This Row],[FECHA RADICADO ENTRADA]],"MMM"))</f>
        <v>FEB</v>
      </c>
      <c r="O223" s="11">
        <v>202124110302571</v>
      </c>
      <c r="P223" s="20">
        <v>44250</v>
      </c>
      <c r="Q223" s="20" t="str">
        <f>UPPER(TEXT(Tabla1[[#This Row],[FECHA RADICADO ENTRADA]],"MMM"))</f>
        <v>FEB</v>
      </c>
      <c r="R223" s="10">
        <f t="shared" si="3"/>
        <v>-6</v>
      </c>
      <c r="S223" s="10" t="s">
        <v>2154</v>
      </c>
      <c r="U223" s="10" t="s">
        <v>2673</v>
      </c>
      <c r="V223" s="20">
        <v>43578</v>
      </c>
      <c r="W223" s="10" t="s">
        <v>63</v>
      </c>
      <c r="X223" s="10">
        <v>200</v>
      </c>
      <c r="Y223" s="11">
        <f>IFERROR(INT(Tabla1[[#This Row],[CANTIDAD UND FARMACEUTICAS]]/(VLOOKUP(Tabla1[[#This Row],[MEDICAMENTO]],TAB_REF!$K$3:$L$27,2,0))),"")</f>
        <v>20</v>
      </c>
      <c r="Z223" s="10" t="str">
        <f>IFERROR(VLOOKUP(Tabla1[[#This Row],[MEDICAMENTO]],TAB_REF!$B$3:$F$27,2,0), "")</f>
        <v xml:space="preserve">Morfina HCl </v>
      </c>
      <c r="AA223" s="10" t="str">
        <f>IFERROR(VLOOKUP(Tabla1[[#This Row],[MEDICAMENTO]],TAB_REF!$B$3:$F$27,3,0), "")</f>
        <v xml:space="preserve">10 mg/mL </v>
      </c>
      <c r="AB223" s="10" t="str">
        <f>IFERROR(VLOOKUP(Tabla1[[#This Row],[MEDICAMENTO]],TAB_REF!$B$3:$F$27,4,0), "")</f>
        <v>Solución Inyectable</v>
      </c>
      <c r="AC223" s="10" t="str">
        <f>IFERROR(VLOOKUP(Tabla1[[#This Row],[MEDICAMENTO]],TAB_REF!$B$3:$F$27,5,0), "")</f>
        <v>Caja x 10 unidades</v>
      </c>
      <c r="AD223" s="10" t="str">
        <f>IFERROR(VLOOKUP(Tabla1[[#This Row],[CANTIDAD UND COMERCIALES]],TAB_REF!$H$3:$I$1003,2,0)&amp;" ("&amp;Tabla1[[#This Row],[CANTIDAD UND COMERCIALES]]&amp;")"&amp;"_"&amp;Tabla1[[#This Row],[CANTIDAD]],"")</f>
        <v>Veinte (20)_Caja x 10 unidades</v>
      </c>
      <c r="AE223" s="31" t="e">
        <f>CONCATENATE([1]!Tabla1[[#This Row],[NOMBRE MED.]],[1]!Tabla1[[#This Row],[CONCENTRACION]],[1]!Tabla1[[#This Row],[FORMA FARMACEUTICA]])</f>
        <v>#REF!</v>
      </c>
    </row>
    <row r="224" spans="2:31" x14ac:dyDescent="0.25">
      <c r="B224" s="10">
        <v>86</v>
      </c>
      <c r="C224" s="10" t="s">
        <v>3017</v>
      </c>
      <c r="D224" s="10" t="s">
        <v>2175</v>
      </c>
      <c r="E224" s="10" t="s">
        <v>2668</v>
      </c>
      <c r="F224" s="10" t="s">
        <v>2669</v>
      </c>
      <c r="G224" s="10" t="s">
        <v>2670</v>
      </c>
      <c r="H224" s="10" t="s">
        <v>2671</v>
      </c>
      <c r="I224" s="10" t="s">
        <v>2110</v>
      </c>
      <c r="J224" s="10" t="s">
        <v>1235</v>
      </c>
      <c r="K224" s="10" t="s">
        <v>2672</v>
      </c>
      <c r="L224" s="11">
        <v>202124100276142</v>
      </c>
      <c r="M224" s="20">
        <v>44244</v>
      </c>
      <c r="N224" s="20" t="str">
        <f>UPPER(TEXT(Tabla1[[#This Row],[FECHA RADICADO ENTRADA]],"MMM"))</f>
        <v>FEB</v>
      </c>
      <c r="O224" s="11">
        <v>202124110302571</v>
      </c>
      <c r="P224" s="20">
        <v>44250</v>
      </c>
      <c r="Q224" s="20" t="str">
        <f>UPPER(TEXT(Tabla1[[#This Row],[FECHA RADICADO ENTRADA]],"MMM"))</f>
        <v>FEB</v>
      </c>
      <c r="R224" s="10">
        <f t="shared" si="3"/>
        <v>-6</v>
      </c>
      <c r="S224" s="10" t="s">
        <v>2154</v>
      </c>
      <c r="U224" s="10" t="s">
        <v>2673</v>
      </c>
      <c r="V224" s="20">
        <v>43578</v>
      </c>
      <c r="W224" s="10" t="s">
        <v>38</v>
      </c>
      <c r="X224" s="10">
        <v>40</v>
      </c>
      <c r="Y224" s="11">
        <f>IFERROR(INT(Tabla1[[#This Row],[CANTIDAD UND FARMACEUTICAS]]/(VLOOKUP(Tabla1[[#This Row],[MEDICAMENTO]],TAB_REF!$K$3:$L$27,2,0))),"")</f>
        <v>2</v>
      </c>
      <c r="Z224" s="10" t="str">
        <f>IFERROR(VLOOKUP(Tabla1[[#This Row],[MEDICAMENTO]],TAB_REF!$B$3:$F$27,2,0), "")</f>
        <v xml:space="preserve">Hidromorfona HCl </v>
      </c>
      <c r="AA224" s="10" t="str">
        <f>IFERROR(VLOOKUP(Tabla1[[#This Row],[MEDICAMENTO]],TAB_REF!$B$3:$F$27,3,0), "")</f>
        <v xml:space="preserve">2,5 mg </v>
      </c>
      <c r="AB224" s="10" t="str">
        <f>IFERROR(VLOOKUP(Tabla1[[#This Row],[MEDICAMENTO]],TAB_REF!$B$3:$F$27,4,0), "")</f>
        <v>Tabletas</v>
      </c>
      <c r="AC224" s="10" t="str">
        <f>IFERROR(VLOOKUP(Tabla1[[#This Row],[MEDICAMENTO]],TAB_REF!$B$3:$F$27,5,0), "")</f>
        <v>Caja x 20 unidades</v>
      </c>
      <c r="AD224" s="10" t="str">
        <f>IFERROR(VLOOKUP(Tabla1[[#This Row],[CANTIDAD UND COMERCIALES]],TAB_REF!$H$3:$I$1003,2,0)&amp;" ("&amp;Tabla1[[#This Row],[CANTIDAD UND COMERCIALES]]&amp;")"&amp;"_"&amp;Tabla1[[#This Row],[CANTIDAD]],"")</f>
        <v>Dos (2)_Caja x 20 unidades</v>
      </c>
      <c r="AE224" s="31" t="e">
        <f>CONCATENATE([1]!Tabla1[[#This Row],[NOMBRE MED.]],[1]!Tabla1[[#This Row],[CONCENTRACION]],[1]!Tabla1[[#This Row],[FORMA FARMACEUTICA]])</f>
        <v>#REF!</v>
      </c>
    </row>
    <row r="225" spans="2:31" x14ac:dyDescent="0.25">
      <c r="B225" s="10">
        <v>86</v>
      </c>
      <c r="C225" s="10" t="s">
        <v>3017</v>
      </c>
      <c r="D225" s="10" t="s">
        <v>2175</v>
      </c>
      <c r="E225" s="10" t="s">
        <v>2668</v>
      </c>
      <c r="F225" s="10" t="s">
        <v>2669</v>
      </c>
      <c r="G225" s="10" t="s">
        <v>2670</v>
      </c>
      <c r="H225" s="10" t="s">
        <v>2671</v>
      </c>
      <c r="I225" s="10" t="s">
        <v>2110</v>
      </c>
      <c r="J225" s="10" t="s">
        <v>1235</v>
      </c>
      <c r="K225" s="10" t="s">
        <v>2672</v>
      </c>
      <c r="L225" s="11">
        <v>202124100276142</v>
      </c>
      <c r="M225" s="20">
        <v>44244</v>
      </c>
      <c r="N225" s="20" t="str">
        <f>UPPER(TEXT(Tabla1[[#This Row],[FECHA RADICADO ENTRADA]],"MMM"))</f>
        <v>FEB</v>
      </c>
      <c r="O225" s="11">
        <v>202124110302571</v>
      </c>
      <c r="P225" s="20">
        <v>44250</v>
      </c>
      <c r="Q225" s="20" t="str">
        <f>UPPER(TEXT(Tabla1[[#This Row],[FECHA RADICADO ENTRADA]],"MMM"))</f>
        <v>FEB</v>
      </c>
      <c r="R225" s="10">
        <f t="shared" si="3"/>
        <v>-6</v>
      </c>
      <c r="S225" s="10" t="s">
        <v>2154</v>
      </c>
      <c r="U225" s="10" t="s">
        <v>2673</v>
      </c>
      <c r="V225" s="20">
        <v>43578</v>
      </c>
      <c r="W225" s="10" t="s">
        <v>45</v>
      </c>
      <c r="X225" s="10">
        <v>90</v>
      </c>
      <c r="Y225" s="11">
        <f>IFERROR(INT(Tabla1[[#This Row],[CANTIDAD UND FARMACEUTICAS]]/(VLOOKUP(Tabla1[[#This Row],[MEDICAMENTO]],TAB_REF!$K$3:$L$27,2,0))),"")</f>
        <v>3</v>
      </c>
      <c r="Z225" s="10" t="str">
        <f>IFERROR(VLOOKUP(Tabla1[[#This Row],[MEDICAMENTO]],TAB_REF!$B$3:$F$27,2,0), "")</f>
        <v xml:space="preserve">Metadona HCl </v>
      </c>
      <c r="AA225" s="10" t="str">
        <f>IFERROR(VLOOKUP(Tabla1[[#This Row],[MEDICAMENTO]],TAB_REF!$B$3:$F$27,3,0), "")</f>
        <v xml:space="preserve">10 mg </v>
      </c>
      <c r="AB225" s="10" t="str">
        <f>IFERROR(VLOOKUP(Tabla1[[#This Row],[MEDICAMENTO]],TAB_REF!$B$3:$F$27,4,0), "")</f>
        <v>Tabletas NACIONAL</v>
      </c>
      <c r="AC225" s="10" t="str">
        <f>IFERROR(VLOOKUP(Tabla1[[#This Row],[MEDICAMENTO]],TAB_REF!$B$3:$F$27,5,0), "")</f>
        <v>Caja x 30 unidades</v>
      </c>
      <c r="AD225" s="10" t="str">
        <f>IFERROR(VLOOKUP(Tabla1[[#This Row],[CANTIDAD UND COMERCIALES]],TAB_REF!$H$3:$I$1003,2,0)&amp;" ("&amp;Tabla1[[#This Row],[CANTIDAD UND COMERCIALES]]&amp;")"&amp;"_"&amp;Tabla1[[#This Row],[CANTIDAD]],"")</f>
        <v>Tres (3)_Caja x 30 unidades</v>
      </c>
      <c r="AE225" s="31" t="e">
        <f>CONCATENATE([1]!Tabla1[[#This Row],[NOMBRE MED.]],[1]!Tabla1[[#This Row],[CONCENTRACION]],[1]!Tabla1[[#This Row],[FORMA FARMACEUTICA]])</f>
        <v>#REF!</v>
      </c>
    </row>
    <row r="226" spans="2:31" x14ac:dyDescent="0.25">
      <c r="B226" s="10">
        <v>87</v>
      </c>
      <c r="C226" s="10" t="s">
        <v>2217</v>
      </c>
      <c r="D226" s="10" t="s">
        <v>2162</v>
      </c>
      <c r="E226" s="10" t="s">
        <v>2674</v>
      </c>
      <c r="F226" s="10" t="s">
        <v>2675</v>
      </c>
      <c r="G226" s="21" t="s">
        <v>2676</v>
      </c>
      <c r="H226" s="10" t="s">
        <v>2677</v>
      </c>
      <c r="I226" s="10" t="s">
        <v>2122</v>
      </c>
      <c r="J226" s="10" t="s">
        <v>1742</v>
      </c>
      <c r="K226" s="10" t="s">
        <v>2678</v>
      </c>
      <c r="L226" s="11">
        <v>202124100281432</v>
      </c>
      <c r="M226" s="20">
        <v>44245</v>
      </c>
      <c r="N226" s="20" t="str">
        <f>UPPER(TEXT(Tabla1[[#This Row],[FECHA RADICADO ENTRADA]],"MMM"))</f>
        <v>FEB</v>
      </c>
      <c r="O226" s="11">
        <v>202124110302611</v>
      </c>
      <c r="P226" s="20">
        <v>44250</v>
      </c>
      <c r="Q226" s="20" t="str">
        <f>UPPER(TEXT(Tabla1[[#This Row],[FECHA RADICADO ENTRADA]],"MMM"))</f>
        <v>FEB</v>
      </c>
      <c r="R226" s="10">
        <f t="shared" si="3"/>
        <v>-5</v>
      </c>
      <c r="S226" s="10" t="s">
        <v>2154</v>
      </c>
      <c r="U226" s="10" t="s">
        <v>2679</v>
      </c>
      <c r="V226" s="20">
        <v>43767</v>
      </c>
      <c r="W226" s="10" t="s">
        <v>60</v>
      </c>
      <c r="X226" s="10">
        <v>3</v>
      </c>
      <c r="Y226" s="11">
        <f>IFERROR(INT(Tabla1[[#This Row],[CANTIDAD UND FARMACEUTICAS]]/(VLOOKUP(Tabla1[[#This Row],[MEDICAMENTO]],TAB_REF!$K$3:$L$27,2,0))),"")</f>
        <v>3</v>
      </c>
      <c r="Z226" s="10" t="str">
        <f>IFERROR(VLOOKUP(Tabla1[[#This Row],[MEDICAMENTO]],TAB_REF!$B$3:$F$27,2,0), "")</f>
        <v xml:space="preserve">Morfina HCl </v>
      </c>
      <c r="AA226" s="10" t="str">
        <f>IFERROR(VLOOKUP(Tabla1[[#This Row],[MEDICAMENTO]],TAB_REF!$B$3:$F$27,3,0), "")</f>
        <v xml:space="preserve">3%. </v>
      </c>
      <c r="AB226" s="10" t="str">
        <f>IFERROR(VLOOKUP(Tabla1[[#This Row],[MEDICAMENTO]],TAB_REF!$B$3:$F$27,4,0), "")</f>
        <v>Solución Oral</v>
      </c>
      <c r="AC226" s="10" t="str">
        <f>IFERROR(VLOOKUP(Tabla1[[#This Row],[MEDICAMENTO]],TAB_REF!$B$3:$F$27,5,0), "")</f>
        <v>Frasco x 30 mL</v>
      </c>
      <c r="AD226" s="10" t="str">
        <f>IFERROR(VLOOKUP(Tabla1[[#This Row],[CANTIDAD UND COMERCIALES]],TAB_REF!$H$3:$I$1003,2,0)&amp;" ("&amp;Tabla1[[#This Row],[CANTIDAD UND COMERCIALES]]&amp;")"&amp;"_"&amp;Tabla1[[#This Row],[CANTIDAD]],"")</f>
        <v>Tres (3)_Frasco x 30 mL</v>
      </c>
      <c r="AE226" s="31" t="e">
        <f>CONCATENATE([1]!Tabla1[[#This Row],[NOMBRE MED.]],[1]!Tabla1[[#This Row],[CONCENTRACION]],[1]!Tabla1[[#This Row],[FORMA FARMACEUTICA]])</f>
        <v>#REF!</v>
      </c>
    </row>
    <row r="227" spans="2:31" x14ac:dyDescent="0.25">
      <c r="B227" s="10">
        <v>87</v>
      </c>
      <c r="C227" s="10" t="s">
        <v>2217</v>
      </c>
      <c r="D227" s="10" t="s">
        <v>2162</v>
      </c>
      <c r="E227" s="10" t="s">
        <v>2674</v>
      </c>
      <c r="F227" s="10" t="s">
        <v>2675</v>
      </c>
      <c r="G227" s="10" t="s">
        <v>2676</v>
      </c>
      <c r="H227" s="10" t="s">
        <v>2677</v>
      </c>
      <c r="I227" s="10" t="s">
        <v>2122</v>
      </c>
      <c r="J227" s="10" t="s">
        <v>1742</v>
      </c>
      <c r="K227" s="10" t="s">
        <v>2678</v>
      </c>
      <c r="L227" s="11">
        <v>202124100281432</v>
      </c>
      <c r="M227" s="20">
        <v>44245</v>
      </c>
      <c r="N227" s="20" t="str">
        <f>UPPER(TEXT(Tabla1[[#This Row],[FECHA RADICADO ENTRADA]],"MMM"))</f>
        <v>FEB</v>
      </c>
      <c r="O227" s="11">
        <v>202124110302611</v>
      </c>
      <c r="P227" s="20">
        <v>44250</v>
      </c>
      <c r="Q227" s="20" t="str">
        <f>UPPER(TEXT(Tabla1[[#This Row],[FECHA RADICADO ENTRADA]],"MMM"))</f>
        <v>FEB</v>
      </c>
      <c r="R227" s="10">
        <f t="shared" si="3"/>
        <v>-5</v>
      </c>
      <c r="S227" s="10" t="s">
        <v>2154</v>
      </c>
      <c r="U227" s="10" t="s">
        <v>2679</v>
      </c>
      <c r="V227" s="20">
        <v>43767</v>
      </c>
      <c r="W227" s="10" t="s">
        <v>48</v>
      </c>
      <c r="X227" s="10">
        <v>60</v>
      </c>
      <c r="Y227" s="11">
        <f>IFERROR(INT(Tabla1[[#This Row],[CANTIDAD UND FARMACEUTICAS]]/(VLOOKUP(Tabla1[[#This Row],[MEDICAMENTO]],TAB_REF!$K$3:$L$27,2,0))),"")</f>
        <v>2</v>
      </c>
      <c r="Z227" s="10" t="str">
        <f>IFERROR(VLOOKUP(Tabla1[[#This Row],[MEDICAMENTO]],TAB_REF!$B$3:$F$27,2,0), "")</f>
        <v xml:space="preserve">Metilfenidato HCl </v>
      </c>
      <c r="AA227" s="10" t="str">
        <f>IFERROR(VLOOKUP(Tabla1[[#This Row],[MEDICAMENTO]],TAB_REF!$B$3:$F$27,3,0), "")</f>
        <v xml:space="preserve">10 mg </v>
      </c>
      <c r="AB227" s="10" t="str">
        <f>IFERROR(VLOOKUP(Tabla1[[#This Row],[MEDICAMENTO]],TAB_REF!$B$3:$F$27,4,0), "")</f>
        <v>Comprimidos</v>
      </c>
      <c r="AC227" s="10" t="str">
        <f>IFERROR(VLOOKUP(Tabla1[[#This Row],[MEDICAMENTO]],TAB_REF!$B$3:$F$27,5,0), "")</f>
        <v>Caja x 30 unidades</v>
      </c>
      <c r="AD227" s="10" t="str">
        <f>IFERROR(VLOOKUP(Tabla1[[#This Row],[CANTIDAD UND COMERCIALES]],TAB_REF!$H$3:$I$1003,2,0)&amp;" ("&amp;Tabla1[[#This Row],[CANTIDAD UND COMERCIALES]]&amp;")"&amp;"_"&amp;Tabla1[[#This Row],[CANTIDAD]],"")</f>
        <v>Dos (2)_Caja x 30 unidades</v>
      </c>
      <c r="AE227" s="31" t="e">
        <f>CONCATENATE([1]!Tabla1[[#This Row],[NOMBRE MED.]],[1]!Tabla1[[#This Row],[CONCENTRACION]],[1]!Tabla1[[#This Row],[FORMA FARMACEUTICA]])</f>
        <v>#REF!</v>
      </c>
    </row>
    <row r="228" spans="2:31" x14ac:dyDescent="0.25">
      <c r="B228" s="10">
        <v>87</v>
      </c>
      <c r="C228" s="10" t="s">
        <v>2217</v>
      </c>
      <c r="D228" s="10" t="s">
        <v>2162</v>
      </c>
      <c r="E228" s="10" t="s">
        <v>2674</v>
      </c>
      <c r="F228" s="10" t="s">
        <v>2675</v>
      </c>
      <c r="G228" s="10" t="s">
        <v>2676</v>
      </c>
      <c r="H228" s="10" t="s">
        <v>2677</v>
      </c>
      <c r="I228" s="10" t="s">
        <v>2122</v>
      </c>
      <c r="J228" s="10" t="s">
        <v>1742</v>
      </c>
      <c r="K228" s="10" t="s">
        <v>2678</v>
      </c>
      <c r="L228" s="11">
        <v>202124100281432</v>
      </c>
      <c r="M228" s="20">
        <v>44245</v>
      </c>
      <c r="N228" s="20" t="str">
        <f>UPPER(TEXT(Tabla1[[#This Row],[FECHA RADICADO ENTRADA]],"MMM"))</f>
        <v>FEB</v>
      </c>
      <c r="O228" s="11">
        <v>202124110302611</v>
      </c>
      <c r="P228" s="20">
        <v>44250</v>
      </c>
      <c r="Q228" s="20" t="str">
        <f>UPPER(TEXT(Tabla1[[#This Row],[FECHA RADICADO ENTRADA]],"MMM"))</f>
        <v>FEB</v>
      </c>
      <c r="R228" s="10">
        <f t="shared" si="3"/>
        <v>-5</v>
      </c>
      <c r="S228" s="10" t="s">
        <v>2154</v>
      </c>
      <c r="U228" s="10" t="s">
        <v>2679</v>
      </c>
      <c r="V228" s="20">
        <v>43767</v>
      </c>
      <c r="W228" s="10" t="s">
        <v>32</v>
      </c>
      <c r="X228" s="10">
        <v>600</v>
      </c>
      <c r="Y228" s="11">
        <f>IFERROR(INT(Tabla1[[#This Row],[CANTIDAD UND FARMACEUTICAS]]/(VLOOKUP(Tabla1[[#This Row],[MEDICAMENTO]],TAB_REF!$K$3:$L$27,2,0))),"")</f>
        <v>20</v>
      </c>
      <c r="Z228" s="10" t="str">
        <f>IFERROR(VLOOKUP(Tabla1[[#This Row],[MEDICAMENTO]],TAB_REF!$B$3:$F$27,2,0), "")</f>
        <v xml:space="preserve">Fenobarbital </v>
      </c>
      <c r="AA228" s="10" t="str">
        <f>IFERROR(VLOOKUP(Tabla1[[#This Row],[MEDICAMENTO]],TAB_REF!$B$3:$F$27,3,0), "")</f>
        <v xml:space="preserve">100 mg </v>
      </c>
      <c r="AB228" s="10" t="str">
        <f>IFERROR(VLOOKUP(Tabla1[[#This Row],[MEDICAMENTO]],TAB_REF!$B$3:$F$27,4,0), "")</f>
        <v>Tabletas</v>
      </c>
      <c r="AC228" s="10" t="str">
        <f>IFERROR(VLOOKUP(Tabla1[[#This Row],[MEDICAMENTO]],TAB_REF!$B$3:$F$27,5,0), "")</f>
        <v>Caja x 30 unidades</v>
      </c>
      <c r="AD228" s="10" t="str">
        <f>IFERROR(VLOOKUP(Tabla1[[#This Row],[CANTIDAD UND COMERCIALES]],TAB_REF!$H$3:$I$1003,2,0)&amp;" ("&amp;Tabla1[[#This Row],[CANTIDAD UND COMERCIALES]]&amp;")"&amp;"_"&amp;Tabla1[[#This Row],[CANTIDAD]],"")</f>
        <v>Veinte (20)_Caja x 30 unidades</v>
      </c>
      <c r="AE228" s="31" t="e">
        <f>CONCATENATE([1]!Tabla1[[#This Row],[NOMBRE MED.]],[1]!Tabla1[[#This Row],[CONCENTRACION]],[1]!Tabla1[[#This Row],[FORMA FARMACEUTICA]])</f>
        <v>#REF!</v>
      </c>
    </row>
    <row r="229" spans="2:31" x14ac:dyDescent="0.25">
      <c r="B229" s="10">
        <v>88</v>
      </c>
      <c r="C229" s="10" t="s">
        <v>2680</v>
      </c>
      <c r="D229" s="10" t="s">
        <v>2617</v>
      </c>
      <c r="E229" s="10" t="s">
        <v>2681</v>
      </c>
      <c r="F229" s="10" t="s">
        <v>2682</v>
      </c>
      <c r="G229" s="10" t="s">
        <v>2683</v>
      </c>
      <c r="H229" s="10" t="s">
        <v>2684</v>
      </c>
      <c r="I229" s="10" t="s">
        <v>2129</v>
      </c>
      <c r="J229" s="10" t="s">
        <v>2032</v>
      </c>
      <c r="K229" s="10" t="s">
        <v>2685</v>
      </c>
      <c r="L229" s="11">
        <v>202124100281512</v>
      </c>
      <c r="M229" s="20">
        <v>44245</v>
      </c>
      <c r="N229" s="20" t="str">
        <f>UPPER(TEXT(Tabla1[[#This Row],[FECHA RADICADO ENTRADA]],"MMM"))</f>
        <v>FEB</v>
      </c>
      <c r="O229" s="11">
        <v>202124110302631</v>
      </c>
      <c r="P229" s="20">
        <v>44250</v>
      </c>
      <c r="Q229" s="20" t="str">
        <f>UPPER(TEXT(Tabla1[[#This Row],[FECHA RADICADO ENTRADA]],"MMM"))</f>
        <v>FEB</v>
      </c>
      <c r="R229" s="10">
        <f t="shared" si="3"/>
        <v>-5</v>
      </c>
      <c r="S229" s="10" t="s">
        <v>2154</v>
      </c>
      <c r="U229" s="10" t="s">
        <v>2686</v>
      </c>
      <c r="V229" s="20">
        <v>43487</v>
      </c>
      <c r="W229" s="10" t="s">
        <v>41</v>
      </c>
      <c r="X229" s="10">
        <v>100</v>
      </c>
      <c r="Y229" s="11">
        <f>IFERROR(INT(Tabla1[[#This Row],[CANTIDAD UND FARMACEUTICAS]]/(VLOOKUP(Tabla1[[#This Row],[MEDICAMENTO]],TAB_REF!$K$3:$L$27,2,0))),"")</f>
        <v>10</v>
      </c>
      <c r="Z229" s="10" t="str">
        <f>IFERROR(VLOOKUP(Tabla1[[#This Row],[MEDICAMENTO]],TAB_REF!$B$3:$F$27,2,0), "")</f>
        <v xml:space="preserve">Meperidina HCl </v>
      </c>
      <c r="AA229" s="10" t="str">
        <f>IFERROR(VLOOKUP(Tabla1[[#This Row],[MEDICAMENTO]],TAB_REF!$B$3:$F$27,3,0), "")</f>
        <v xml:space="preserve">100 mg/2mL </v>
      </c>
      <c r="AB229" s="10" t="str">
        <f>IFERROR(VLOOKUP(Tabla1[[#This Row],[MEDICAMENTO]],TAB_REF!$B$3:$F$27,4,0), "")</f>
        <v>Solución Inyectable</v>
      </c>
      <c r="AC229" s="10" t="str">
        <f>IFERROR(VLOOKUP(Tabla1[[#This Row],[MEDICAMENTO]],TAB_REF!$B$3:$F$27,5,0), "")</f>
        <v>Caja 10 ampollas</v>
      </c>
      <c r="AD229" s="10" t="str">
        <f>IFERROR(VLOOKUP(Tabla1[[#This Row],[CANTIDAD UND COMERCIALES]],TAB_REF!$H$3:$I$1003,2,0)&amp;" ("&amp;Tabla1[[#This Row],[CANTIDAD UND COMERCIALES]]&amp;")"&amp;"_"&amp;Tabla1[[#This Row],[CANTIDAD]],"")</f>
        <v>Diez (10)_Caja 10 ampollas</v>
      </c>
      <c r="AE229" s="31" t="e">
        <f>CONCATENATE([1]!Tabla1[[#This Row],[NOMBRE MED.]],[1]!Tabla1[[#This Row],[CONCENTRACION]],[1]!Tabla1[[#This Row],[FORMA FARMACEUTICA]])</f>
        <v>#REF!</v>
      </c>
    </row>
    <row r="230" spans="2:31" x14ac:dyDescent="0.25">
      <c r="B230" s="10">
        <v>88</v>
      </c>
      <c r="C230" s="10" t="s">
        <v>2680</v>
      </c>
      <c r="D230" s="10" t="s">
        <v>2617</v>
      </c>
      <c r="E230" s="10" t="s">
        <v>2681</v>
      </c>
      <c r="F230" s="10" t="s">
        <v>2682</v>
      </c>
      <c r="G230" s="10" t="s">
        <v>2683</v>
      </c>
      <c r="H230" s="10" t="s">
        <v>2684</v>
      </c>
      <c r="I230" s="10" t="s">
        <v>2129</v>
      </c>
      <c r="J230" s="10" t="s">
        <v>2032</v>
      </c>
      <c r="K230" s="10" t="s">
        <v>2685</v>
      </c>
      <c r="L230" s="11">
        <v>202124100281512</v>
      </c>
      <c r="M230" s="20">
        <v>44245</v>
      </c>
      <c r="N230" s="20" t="str">
        <f>UPPER(TEXT(Tabla1[[#This Row],[FECHA RADICADO ENTRADA]],"MMM"))</f>
        <v>FEB</v>
      </c>
      <c r="O230" s="11">
        <v>202124110302631</v>
      </c>
      <c r="P230" s="20">
        <v>44250</v>
      </c>
      <c r="Q230" s="20" t="str">
        <f>UPPER(TEXT(Tabla1[[#This Row],[FECHA RADICADO ENTRADA]],"MMM"))</f>
        <v>FEB</v>
      </c>
      <c r="R230" s="10">
        <f t="shared" si="3"/>
        <v>-5</v>
      </c>
      <c r="S230" s="10" t="s">
        <v>2154</v>
      </c>
      <c r="U230" s="10" t="s">
        <v>2686</v>
      </c>
      <c r="V230" s="20">
        <v>43487</v>
      </c>
      <c r="W230" s="10" t="s">
        <v>63</v>
      </c>
      <c r="X230" s="10">
        <v>200</v>
      </c>
      <c r="Y230" s="11">
        <f>IFERROR(INT(Tabla1[[#This Row],[CANTIDAD UND FARMACEUTICAS]]/(VLOOKUP(Tabla1[[#This Row],[MEDICAMENTO]],TAB_REF!$K$3:$L$27,2,0))),"")</f>
        <v>20</v>
      </c>
      <c r="Z230" s="10" t="str">
        <f>IFERROR(VLOOKUP(Tabla1[[#This Row],[MEDICAMENTO]],TAB_REF!$B$3:$F$27,2,0), "")</f>
        <v xml:space="preserve">Morfina HCl </v>
      </c>
      <c r="AA230" s="10" t="str">
        <f>IFERROR(VLOOKUP(Tabla1[[#This Row],[MEDICAMENTO]],TAB_REF!$B$3:$F$27,3,0), "")</f>
        <v xml:space="preserve">10 mg/mL </v>
      </c>
      <c r="AB230" s="10" t="str">
        <f>IFERROR(VLOOKUP(Tabla1[[#This Row],[MEDICAMENTO]],TAB_REF!$B$3:$F$27,4,0), "")</f>
        <v>Solución Inyectable</v>
      </c>
      <c r="AC230" s="10" t="str">
        <f>IFERROR(VLOOKUP(Tabla1[[#This Row],[MEDICAMENTO]],TAB_REF!$B$3:$F$27,5,0), "")</f>
        <v>Caja x 10 unidades</v>
      </c>
      <c r="AD230" s="10" t="str">
        <f>IFERROR(VLOOKUP(Tabla1[[#This Row],[CANTIDAD UND COMERCIALES]],TAB_REF!$H$3:$I$1003,2,0)&amp;" ("&amp;Tabla1[[#This Row],[CANTIDAD UND COMERCIALES]]&amp;")"&amp;"_"&amp;Tabla1[[#This Row],[CANTIDAD]],"")</f>
        <v>Veinte (20)_Caja x 10 unidades</v>
      </c>
      <c r="AE230" s="31" t="e">
        <f>CONCATENATE([1]!Tabla1[[#This Row],[NOMBRE MED.]],[1]!Tabla1[[#This Row],[CONCENTRACION]],[1]!Tabla1[[#This Row],[FORMA FARMACEUTICA]])</f>
        <v>#REF!</v>
      </c>
    </row>
    <row r="231" spans="2:31" x14ac:dyDescent="0.25">
      <c r="B231" s="10">
        <v>88</v>
      </c>
      <c r="C231" s="10" t="s">
        <v>2680</v>
      </c>
      <c r="D231" s="10" t="s">
        <v>2617</v>
      </c>
      <c r="E231" s="10" t="s">
        <v>2681</v>
      </c>
      <c r="F231" s="10" t="s">
        <v>2682</v>
      </c>
      <c r="G231" s="10" t="s">
        <v>2683</v>
      </c>
      <c r="H231" s="10" t="s">
        <v>2684</v>
      </c>
      <c r="I231" s="10" t="s">
        <v>2129</v>
      </c>
      <c r="J231" s="10" t="s">
        <v>2032</v>
      </c>
      <c r="K231" s="10" t="s">
        <v>2685</v>
      </c>
      <c r="L231" s="11">
        <v>202124100281512</v>
      </c>
      <c r="M231" s="20">
        <v>44245</v>
      </c>
      <c r="N231" s="20" t="str">
        <f>UPPER(TEXT(Tabla1[[#This Row],[FECHA RADICADO ENTRADA]],"MMM"))</f>
        <v>FEB</v>
      </c>
      <c r="O231" s="11">
        <v>202124110302631</v>
      </c>
      <c r="P231" s="20">
        <v>44250</v>
      </c>
      <c r="Q231" s="20" t="str">
        <f>UPPER(TEXT(Tabla1[[#This Row],[FECHA RADICADO ENTRADA]],"MMM"))</f>
        <v>FEB</v>
      </c>
      <c r="R231" s="10">
        <f t="shared" si="3"/>
        <v>-5</v>
      </c>
      <c r="S231" s="10" t="s">
        <v>2154</v>
      </c>
      <c r="U231" s="10" t="s">
        <v>2686</v>
      </c>
      <c r="V231" s="20">
        <v>43487</v>
      </c>
      <c r="W231" s="10" t="s">
        <v>37</v>
      </c>
      <c r="X231" s="10">
        <v>100</v>
      </c>
      <c r="Y231" s="11">
        <f>IFERROR(INT(Tabla1[[#This Row],[CANTIDAD UND FARMACEUTICAS]]/(VLOOKUP(Tabla1[[#This Row],[MEDICAMENTO]],TAB_REF!$K$3:$L$27,2,0))),"")</f>
        <v>10</v>
      </c>
      <c r="Z231" s="10" t="str">
        <f>IFERROR(VLOOKUP(Tabla1[[#This Row],[MEDICAMENTO]],TAB_REF!$B$3:$F$27,2,0), "")</f>
        <v xml:space="preserve">Hidromorfona HCl </v>
      </c>
      <c r="AA231" s="10" t="str">
        <f>IFERROR(VLOOKUP(Tabla1[[#This Row],[MEDICAMENTO]],TAB_REF!$B$3:$F$27,3,0), "")</f>
        <v xml:space="preserve">2 mg/mL </v>
      </c>
      <c r="AB231" s="10" t="str">
        <f>IFERROR(VLOOKUP(Tabla1[[#This Row],[MEDICAMENTO]],TAB_REF!$B$3:$F$27,4,0), "")</f>
        <v>Solución Inyectable</v>
      </c>
      <c r="AC231" s="10" t="str">
        <f>IFERROR(VLOOKUP(Tabla1[[#This Row],[MEDICAMENTO]],TAB_REF!$B$3:$F$27,5,0), "")</f>
        <v>Caja x 10 unidades</v>
      </c>
      <c r="AD231" s="10" t="str">
        <f>IFERROR(VLOOKUP(Tabla1[[#This Row],[CANTIDAD UND COMERCIALES]],TAB_REF!$H$3:$I$1003,2,0)&amp;" ("&amp;Tabla1[[#This Row],[CANTIDAD UND COMERCIALES]]&amp;")"&amp;"_"&amp;Tabla1[[#This Row],[CANTIDAD]],"")</f>
        <v>Diez (10)_Caja x 10 unidades</v>
      </c>
      <c r="AE231" s="31" t="e">
        <f>CONCATENATE([1]!Tabla1[[#This Row],[NOMBRE MED.]],[1]!Tabla1[[#This Row],[CONCENTRACION]],[1]!Tabla1[[#This Row],[FORMA FARMACEUTICA]])</f>
        <v>#REF!</v>
      </c>
    </row>
    <row r="232" spans="2:31" x14ac:dyDescent="0.25">
      <c r="B232" s="10">
        <v>88</v>
      </c>
      <c r="C232" s="10" t="s">
        <v>2680</v>
      </c>
      <c r="D232" s="10" t="s">
        <v>2617</v>
      </c>
      <c r="E232" s="10" t="s">
        <v>2681</v>
      </c>
      <c r="F232" s="10" t="s">
        <v>2682</v>
      </c>
      <c r="G232" s="10" t="s">
        <v>2683</v>
      </c>
      <c r="H232" s="10" t="s">
        <v>2684</v>
      </c>
      <c r="I232" s="10" t="s">
        <v>2129</v>
      </c>
      <c r="J232" s="10" t="s">
        <v>2032</v>
      </c>
      <c r="K232" s="10" t="s">
        <v>2685</v>
      </c>
      <c r="L232" s="11">
        <v>202124100281512</v>
      </c>
      <c r="M232" s="20">
        <v>44245</v>
      </c>
      <c r="N232" s="20" t="str">
        <f>UPPER(TEXT(Tabla1[[#This Row],[FECHA RADICADO ENTRADA]],"MMM"))</f>
        <v>FEB</v>
      </c>
      <c r="O232" s="11">
        <v>202124110302631</v>
      </c>
      <c r="P232" s="20">
        <v>44250</v>
      </c>
      <c r="Q232" s="20" t="str">
        <f>UPPER(TEXT(Tabla1[[#This Row],[FECHA RADICADO ENTRADA]],"MMM"))</f>
        <v>FEB</v>
      </c>
      <c r="R232" s="10">
        <f t="shared" si="3"/>
        <v>-5</v>
      </c>
      <c r="S232" s="10" t="s">
        <v>2154</v>
      </c>
      <c r="U232" s="10" t="s">
        <v>2686</v>
      </c>
      <c r="V232" s="20">
        <v>43487</v>
      </c>
      <c r="W232" s="10" t="s">
        <v>47</v>
      </c>
      <c r="X232" s="10">
        <v>30</v>
      </c>
      <c r="Y232" s="11">
        <f>IFERROR(INT(Tabla1[[#This Row],[CANTIDAD UND FARMACEUTICAS]]/(VLOOKUP(Tabla1[[#This Row],[MEDICAMENTO]],TAB_REF!$K$3:$L$27,2,0))),"")</f>
        <v>1</v>
      </c>
      <c r="Z232" s="10" t="str">
        <f>IFERROR(VLOOKUP(Tabla1[[#This Row],[MEDICAMENTO]],TAB_REF!$B$3:$F$27,2,0), "")</f>
        <v xml:space="preserve">Metadona HCl </v>
      </c>
      <c r="AA232" s="10" t="str">
        <f>IFERROR(VLOOKUP(Tabla1[[#This Row],[MEDICAMENTO]],TAB_REF!$B$3:$F$27,3,0), "")</f>
        <v xml:space="preserve">40 mg </v>
      </c>
      <c r="AB232" s="10" t="str">
        <f>IFERROR(VLOOKUP(Tabla1[[#This Row],[MEDICAMENTO]],TAB_REF!$B$3:$F$27,4,0), "")</f>
        <v>Tabletas NACIONAL</v>
      </c>
      <c r="AC232" s="10" t="str">
        <f>IFERROR(VLOOKUP(Tabla1[[#This Row],[MEDICAMENTO]],TAB_REF!$B$3:$F$27,5,0), "")</f>
        <v>Caja x 30 unidades</v>
      </c>
      <c r="AD232" s="10" t="str">
        <f>IFERROR(VLOOKUP(Tabla1[[#This Row],[CANTIDAD UND COMERCIALES]],TAB_REF!$H$3:$I$1003,2,0)&amp;" ("&amp;Tabla1[[#This Row],[CANTIDAD UND COMERCIALES]]&amp;")"&amp;"_"&amp;Tabla1[[#This Row],[CANTIDAD]],"")</f>
        <v>Uno (1)_Caja x 30 unidades</v>
      </c>
      <c r="AE232" s="31" t="e">
        <f>CONCATENATE([1]!Tabla1[[#This Row],[NOMBRE MED.]],[1]!Tabla1[[#This Row],[CONCENTRACION]],[1]!Tabla1[[#This Row],[FORMA FARMACEUTICA]])</f>
        <v>#REF!</v>
      </c>
    </row>
    <row r="233" spans="2:31" x14ac:dyDescent="0.25">
      <c r="B233" s="24">
        <v>89</v>
      </c>
      <c r="C233" s="10" t="s">
        <v>2687</v>
      </c>
      <c r="D233" s="10" t="s">
        <v>2531</v>
      </c>
      <c r="E233" s="10" t="s">
        <v>2688</v>
      </c>
      <c r="F233" s="10" t="s">
        <v>2689</v>
      </c>
      <c r="G233" s="10" t="s">
        <v>2690</v>
      </c>
      <c r="H233" s="10" t="s">
        <v>2691</v>
      </c>
      <c r="I233" s="10" t="s">
        <v>2107</v>
      </c>
      <c r="J233" s="10" t="s">
        <v>1219</v>
      </c>
      <c r="K233" s="10" t="s">
        <v>2692</v>
      </c>
      <c r="L233" s="11">
        <v>202124100282482</v>
      </c>
      <c r="M233" s="20">
        <v>44245</v>
      </c>
      <c r="N233" s="20" t="str">
        <f>UPPER(TEXT(Tabla1[[#This Row],[FECHA RADICADO ENTRADA]],"MMM"))</f>
        <v>FEB</v>
      </c>
      <c r="O233" s="11">
        <v>202124110302651</v>
      </c>
      <c r="P233" s="20">
        <v>44250</v>
      </c>
      <c r="Q233" s="20" t="str">
        <f>UPPER(TEXT(Tabla1[[#This Row],[FECHA RADICADO ENTRADA]],"MMM"))</f>
        <v>FEB</v>
      </c>
      <c r="R233" s="10">
        <f t="shared" si="3"/>
        <v>-5</v>
      </c>
      <c r="S233" s="10" t="s">
        <v>2154</v>
      </c>
      <c r="T233" s="10" t="s">
        <v>2855</v>
      </c>
      <c r="U233" s="10" t="s">
        <v>2693</v>
      </c>
      <c r="V233" s="20">
        <v>44029</v>
      </c>
      <c r="W233" s="10" t="s">
        <v>60</v>
      </c>
      <c r="X233" s="10">
        <v>12</v>
      </c>
      <c r="Y233" s="11">
        <f>IFERROR(INT(Tabla1[[#This Row],[CANTIDAD UND FARMACEUTICAS]]/(VLOOKUP(Tabla1[[#This Row],[MEDICAMENTO]],TAB_REF!$K$3:$L$27,2,0))),"")</f>
        <v>12</v>
      </c>
      <c r="Z233" s="10" t="str">
        <f>IFERROR(VLOOKUP(Tabla1[[#This Row],[MEDICAMENTO]],TAB_REF!$B$3:$F$27,2,0), "")</f>
        <v xml:space="preserve">Morfina HCl </v>
      </c>
      <c r="AA233" s="10" t="str">
        <f>IFERROR(VLOOKUP(Tabla1[[#This Row],[MEDICAMENTO]],TAB_REF!$B$3:$F$27,3,0), "")</f>
        <v xml:space="preserve">3%. </v>
      </c>
      <c r="AB233" s="10" t="str">
        <f>IFERROR(VLOOKUP(Tabla1[[#This Row],[MEDICAMENTO]],TAB_REF!$B$3:$F$27,4,0), "")</f>
        <v>Solución Oral</v>
      </c>
      <c r="AC233" s="10" t="str">
        <f>IFERROR(VLOOKUP(Tabla1[[#This Row],[MEDICAMENTO]],TAB_REF!$B$3:$F$27,5,0), "")</f>
        <v>Frasco x 30 mL</v>
      </c>
      <c r="AD233" s="10" t="str">
        <f>IFERROR(VLOOKUP(Tabla1[[#This Row],[CANTIDAD UND COMERCIALES]],TAB_REF!$H$3:$I$1003,2,0)&amp;" ("&amp;Tabla1[[#This Row],[CANTIDAD UND COMERCIALES]]&amp;")"&amp;"_"&amp;Tabla1[[#This Row],[CANTIDAD]],"")</f>
        <v>Doce (12)_Frasco x 30 mL</v>
      </c>
      <c r="AE233" s="31" t="e">
        <f>CONCATENATE([1]!Tabla1[[#This Row],[NOMBRE MED.]],[1]!Tabla1[[#This Row],[CONCENTRACION]],[1]!Tabla1[[#This Row],[FORMA FARMACEUTICA]])</f>
        <v>#REF!</v>
      </c>
    </row>
    <row r="234" spans="2:31" x14ac:dyDescent="0.25">
      <c r="B234" s="10">
        <v>90</v>
      </c>
      <c r="C234" s="10" t="s">
        <v>2694</v>
      </c>
      <c r="D234" s="10" t="s">
        <v>2695</v>
      </c>
      <c r="E234" s="10" t="s">
        <v>2696</v>
      </c>
      <c r="F234" s="10" t="s">
        <v>2697</v>
      </c>
      <c r="G234" s="10" t="s">
        <v>2698</v>
      </c>
      <c r="H234" s="10" t="s">
        <v>2699</v>
      </c>
      <c r="I234" s="10" t="s">
        <v>2122</v>
      </c>
      <c r="J234" s="10" t="s">
        <v>2122</v>
      </c>
      <c r="K234" s="10" t="s">
        <v>2700</v>
      </c>
      <c r="L234" s="11">
        <v>202124100282592</v>
      </c>
      <c r="M234" s="20">
        <v>44245</v>
      </c>
      <c r="N234" s="20" t="str">
        <f>UPPER(TEXT(Tabla1[[#This Row],[FECHA RADICADO ENTRADA]],"MMM"))</f>
        <v>FEB</v>
      </c>
      <c r="O234" s="11">
        <v>202124110302711</v>
      </c>
      <c r="P234" s="20">
        <v>44250</v>
      </c>
      <c r="Q234" s="20" t="str">
        <f>UPPER(TEXT(Tabla1[[#This Row],[FECHA RADICADO ENTRADA]],"MMM"))</f>
        <v>FEB</v>
      </c>
      <c r="R234" s="10">
        <f t="shared" si="3"/>
        <v>-5</v>
      </c>
      <c r="S234" s="10" t="s">
        <v>2145</v>
      </c>
      <c r="T234" s="10" t="s">
        <v>2701</v>
      </c>
      <c r="U234" s="10" t="s">
        <v>2164</v>
      </c>
      <c r="V234" s="10" t="s">
        <v>2164</v>
      </c>
      <c r="W234" s="10" t="s">
        <v>28</v>
      </c>
      <c r="X234" s="10">
        <v>0</v>
      </c>
      <c r="Y234" s="11">
        <f>IFERROR(INT(Tabla1[[#This Row],[CANTIDAD UND FARMACEUTICAS]]/(VLOOKUP(Tabla1[[#This Row],[MEDICAMENTO]],TAB_REF!$K$3:$L$27,2,0))),"")</f>
        <v>0</v>
      </c>
      <c r="Z234" s="10" t="str">
        <f>IFERROR(VLOOKUP(Tabla1[[#This Row],[MEDICAMENTO]],TAB_REF!$B$3:$F$27,2,0), "")</f>
        <v xml:space="preserve">Fenobarbital </v>
      </c>
      <c r="AA234" s="10" t="str">
        <f>IFERROR(VLOOKUP(Tabla1[[#This Row],[MEDICAMENTO]],TAB_REF!$B$3:$F$27,3,0), "")</f>
        <v xml:space="preserve">0,4%. </v>
      </c>
      <c r="AB234" s="10" t="str">
        <f>IFERROR(VLOOKUP(Tabla1[[#This Row],[MEDICAMENTO]],TAB_REF!$B$3:$F$27,4,0), "")</f>
        <v>Solución Oral</v>
      </c>
      <c r="AC234" s="10" t="str">
        <f>IFERROR(VLOOKUP(Tabla1[[#This Row],[MEDICAMENTO]],TAB_REF!$B$3:$F$27,5,0), "")</f>
        <v>Frasco x 120 mL</v>
      </c>
      <c r="AD234" s="10" t="str">
        <f>IFERROR(VLOOKUP(Tabla1[[#This Row],[CANTIDAD UND COMERCIALES]],TAB_REF!$H$3:$I$1003,2,0)&amp;" ("&amp;Tabla1[[#This Row],[CANTIDAD UND COMERCIALES]]&amp;")"&amp;"_"&amp;Tabla1[[#This Row],[CANTIDAD]],"")</f>
        <v/>
      </c>
      <c r="AE234" s="31" t="e">
        <f>CONCATENATE([1]!Tabla1[[#This Row],[NOMBRE MED.]],[1]!Tabla1[[#This Row],[CONCENTRACION]],[1]!Tabla1[[#This Row],[FORMA FARMACEUTICA]])</f>
        <v>#REF!</v>
      </c>
    </row>
    <row r="235" spans="2:31" x14ac:dyDescent="0.25">
      <c r="B235" s="10">
        <v>90</v>
      </c>
      <c r="C235" s="10" t="s">
        <v>2694</v>
      </c>
      <c r="D235" s="10" t="s">
        <v>2695</v>
      </c>
      <c r="E235" s="10" t="s">
        <v>2696</v>
      </c>
      <c r="F235" s="10" t="s">
        <v>2697</v>
      </c>
      <c r="G235" s="10" t="s">
        <v>2698</v>
      </c>
      <c r="H235" s="10" t="s">
        <v>2699</v>
      </c>
      <c r="I235" s="10" t="s">
        <v>2122</v>
      </c>
      <c r="J235" s="10" t="s">
        <v>2122</v>
      </c>
      <c r="K235" s="10" t="s">
        <v>2700</v>
      </c>
      <c r="L235" s="11">
        <v>202124100282592</v>
      </c>
      <c r="M235" s="20">
        <v>44245</v>
      </c>
      <c r="N235" s="20" t="str">
        <f>UPPER(TEXT(Tabla1[[#This Row],[FECHA RADICADO ENTRADA]],"MMM"))</f>
        <v>FEB</v>
      </c>
      <c r="O235" s="11">
        <v>202124110302711</v>
      </c>
      <c r="P235" s="20">
        <v>44250</v>
      </c>
      <c r="Q235" s="20" t="str">
        <f>UPPER(TEXT(Tabla1[[#This Row],[FECHA RADICADO ENTRADA]],"MMM"))</f>
        <v>FEB</v>
      </c>
      <c r="R235" s="10">
        <f t="shared" si="3"/>
        <v>-5</v>
      </c>
      <c r="S235" s="10" t="s">
        <v>2145</v>
      </c>
      <c r="T235" s="10" t="s">
        <v>2701</v>
      </c>
      <c r="U235" s="10" t="s">
        <v>2164</v>
      </c>
      <c r="V235" s="10" t="s">
        <v>2164</v>
      </c>
      <c r="W235" s="10" t="s">
        <v>32</v>
      </c>
      <c r="X235" s="10">
        <v>0</v>
      </c>
      <c r="Y235" s="11">
        <f>IFERROR(INT(Tabla1[[#This Row],[CANTIDAD UND FARMACEUTICAS]]/(VLOOKUP(Tabla1[[#This Row],[MEDICAMENTO]],TAB_REF!$K$3:$L$27,2,0))),"")</f>
        <v>0</v>
      </c>
      <c r="Z235" s="10" t="str">
        <f>IFERROR(VLOOKUP(Tabla1[[#This Row],[MEDICAMENTO]],TAB_REF!$B$3:$F$27,2,0), "")</f>
        <v xml:space="preserve">Fenobarbital </v>
      </c>
      <c r="AA235" s="10" t="str">
        <f>IFERROR(VLOOKUP(Tabla1[[#This Row],[MEDICAMENTO]],TAB_REF!$B$3:$F$27,3,0), "")</f>
        <v xml:space="preserve">100 mg </v>
      </c>
      <c r="AB235" s="10" t="str">
        <f>IFERROR(VLOOKUP(Tabla1[[#This Row],[MEDICAMENTO]],TAB_REF!$B$3:$F$27,4,0), "")</f>
        <v>Tabletas</v>
      </c>
      <c r="AC235" s="10" t="str">
        <f>IFERROR(VLOOKUP(Tabla1[[#This Row],[MEDICAMENTO]],TAB_REF!$B$3:$F$27,5,0), "")</f>
        <v>Caja x 30 unidades</v>
      </c>
      <c r="AD235" s="10" t="str">
        <f>IFERROR(VLOOKUP(Tabla1[[#This Row],[CANTIDAD UND COMERCIALES]],TAB_REF!$H$3:$I$1003,2,0)&amp;" ("&amp;Tabla1[[#This Row],[CANTIDAD UND COMERCIALES]]&amp;")"&amp;"_"&amp;Tabla1[[#This Row],[CANTIDAD]],"")</f>
        <v/>
      </c>
      <c r="AE235" s="31" t="e">
        <f>CONCATENATE([1]!Tabla1[[#This Row],[NOMBRE MED.]],[1]!Tabla1[[#This Row],[CONCENTRACION]],[1]!Tabla1[[#This Row],[FORMA FARMACEUTICA]])</f>
        <v>#REF!</v>
      </c>
    </row>
    <row r="236" spans="2:31" x14ac:dyDescent="0.25">
      <c r="B236" s="10">
        <v>90</v>
      </c>
      <c r="C236" s="10" t="s">
        <v>2694</v>
      </c>
      <c r="D236" s="10" t="s">
        <v>2695</v>
      </c>
      <c r="E236" s="10" t="s">
        <v>2696</v>
      </c>
      <c r="F236" s="10" t="s">
        <v>2697</v>
      </c>
      <c r="G236" s="10" t="s">
        <v>2698</v>
      </c>
      <c r="H236" s="10" t="s">
        <v>2699</v>
      </c>
      <c r="I236" s="10" t="s">
        <v>2122</v>
      </c>
      <c r="J236" s="10" t="s">
        <v>2122</v>
      </c>
      <c r="K236" s="10" t="s">
        <v>2700</v>
      </c>
      <c r="L236" s="11">
        <v>202124100282592</v>
      </c>
      <c r="M236" s="20">
        <v>44245</v>
      </c>
      <c r="N236" s="20" t="str">
        <f>UPPER(TEXT(Tabla1[[#This Row],[FECHA RADICADO ENTRADA]],"MMM"))</f>
        <v>FEB</v>
      </c>
      <c r="O236" s="11">
        <v>202124110302711</v>
      </c>
      <c r="P236" s="20">
        <v>44250</v>
      </c>
      <c r="Q236" s="20" t="str">
        <f>UPPER(TEXT(Tabla1[[#This Row],[FECHA RADICADO ENTRADA]],"MMM"))</f>
        <v>FEB</v>
      </c>
      <c r="R236" s="10">
        <f t="shared" si="3"/>
        <v>-5</v>
      </c>
      <c r="S236" s="10" t="s">
        <v>2145</v>
      </c>
      <c r="T236" s="10" t="s">
        <v>2701</v>
      </c>
      <c r="U236" s="10" t="s">
        <v>2164</v>
      </c>
      <c r="V236" s="10" t="s">
        <v>2164</v>
      </c>
      <c r="W236" s="10" t="s">
        <v>33</v>
      </c>
      <c r="X236" s="10">
        <v>0</v>
      </c>
      <c r="Y236" s="11">
        <f>IFERROR(INT(Tabla1[[#This Row],[CANTIDAD UND FARMACEUTICAS]]/(VLOOKUP(Tabla1[[#This Row],[MEDICAMENTO]],TAB_REF!$K$3:$L$27,2,0))),"")</f>
        <v>0</v>
      </c>
      <c r="Z236" s="10" t="str">
        <f>IFERROR(VLOOKUP(Tabla1[[#This Row],[MEDICAMENTO]],TAB_REF!$B$3:$F$27,2,0), "")</f>
        <v xml:space="preserve">Fenobarbital </v>
      </c>
      <c r="AA236" s="10" t="str">
        <f>IFERROR(VLOOKUP(Tabla1[[#This Row],[MEDICAMENTO]],TAB_REF!$B$3:$F$27,3,0), "")</f>
        <v xml:space="preserve">50 mg </v>
      </c>
      <c r="AB236" s="10" t="str">
        <f>IFERROR(VLOOKUP(Tabla1[[#This Row],[MEDICAMENTO]],TAB_REF!$B$3:$F$27,4,0), "")</f>
        <v>Tabletas</v>
      </c>
      <c r="AC236" s="10" t="str">
        <f>IFERROR(VLOOKUP(Tabla1[[#This Row],[MEDICAMENTO]],TAB_REF!$B$3:$F$27,5,0), "")</f>
        <v>Caja x 30 unidades</v>
      </c>
      <c r="AD236" s="10" t="str">
        <f>IFERROR(VLOOKUP(Tabla1[[#This Row],[CANTIDAD UND COMERCIALES]],TAB_REF!$H$3:$I$1003,2,0)&amp;" ("&amp;Tabla1[[#This Row],[CANTIDAD UND COMERCIALES]]&amp;")"&amp;"_"&amp;Tabla1[[#This Row],[CANTIDAD]],"")</f>
        <v/>
      </c>
      <c r="AE236" s="31" t="e">
        <f>CONCATENATE([1]!Tabla1[[#This Row],[NOMBRE MED.]],[1]!Tabla1[[#This Row],[CONCENTRACION]],[1]!Tabla1[[#This Row],[FORMA FARMACEUTICA]])</f>
        <v>#REF!</v>
      </c>
    </row>
    <row r="237" spans="2:31" x14ac:dyDescent="0.25">
      <c r="B237" s="10">
        <v>91</v>
      </c>
      <c r="C237" s="10" t="s">
        <v>2702</v>
      </c>
      <c r="D237" s="10" t="s">
        <v>2175</v>
      </c>
      <c r="E237" s="10" t="s">
        <v>2703</v>
      </c>
      <c r="F237" s="10" t="s">
        <v>2704</v>
      </c>
      <c r="G237" s="21" t="s">
        <v>2705</v>
      </c>
      <c r="H237" s="10" t="s">
        <v>2706</v>
      </c>
      <c r="I237" s="10" t="s">
        <v>2122</v>
      </c>
      <c r="J237" s="10" t="s">
        <v>2122</v>
      </c>
      <c r="K237" s="10" t="s">
        <v>2709</v>
      </c>
      <c r="L237" s="11">
        <v>202124100283632</v>
      </c>
      <c r="M237" s="20">
        <v>44245</v>
      </c>
      <c r="N237" s="20" t="str">
        <f>UPPER(TEXT(Tabla1[[#This Row],[FECHA RADICADO ENTRADA]],"MMM"))</f>
        <v>FEB</v>
      </c>
      <c r="O237" s="11">
        <v>202124110302761</v>
      </c>
      <c r="P237" s="20">
        <v>44250</v>
      </c>
      <c r="Q237" s="20" t="str">
        <f>UPPER(TEXT(Tabla1[[#This Row],[FECHA RADICADO ENTRADA]],"MMM"))</f>
        <v>FEB</v>
      </c>
      <c r="R237" s="10">
        <f t="shared" si="3"/>
        <v>-5</v>
      </c>
      <c r="S237" s="10" t="s">
        <v>2145</v>
      </c>
      <c r="T237" s="10" t="s">
        <v>2701</v>
      </c>
      <c r="U237" s="10" t="s">
        <v>2164</v>
      </c>
      <c r="V237" s="10" t="s">
        <v>2164</v>
      </c>
      <c r="W237" s="10" t="s">
        <v>36</v>
      </c>
      <c r="X237" s="10">
        <v>0</v>
      </c>
      <c r="Y237" s="11">
        <f>IFERROR(INT(Tabla1[[#This Row],[CANTIDAD UND FARMACEUTICAS]]/(VLOOKUP(Tabla1[[#This Row],[MEDICAMENTO]],TAB_REF!$K$3:$L$27,2,0))),"")</f>
        <v>0</v>
      </c>
      <c r="Z237" s="10" t="str">
        <f>IFERROR(VLOOKUP(Tabla1[[#This Row],[MEDICAMENTO]],TAB_REF!$B$3:$F$27,2,0), "")</f>
        <v xml:space="preserve">Fenobarbital Sódico </v>
      </c>
      <c r="AA237" s="10" t="str">
        <f>IFERROR(VLOOKUP(Tabla1[[#This Row],[MEDICAMENTO]],TAB_REF!$B$3:$F$27,3,0), "")</f>
        <v xml:space="preserve">40 mg/mL </v>
      </c>
      <c r="AB237" s="10" t="str">
        <f>IFERROR(VLOOKUP(Tabla1[[#This Row],[MEDICAMENTO]],TAB_REF!$B$3:$F$27,4,0), "")</f>
        <v>Solución Inyectable</v>
      </c>
      <c r="AC237" s="10" t="str">
        <f>IFERROR(VLOOKUP(Tabla1[[#This Row],[MEDICAMENTO]],TAB_REF!$B$3:$F$27,5,0), "")</f>
        <v>Caja x 10 unidades</v>
      </c>
      <c r="AD237" s="10" t="str">
        <f>IFERROR(VLOOKUP(Tabla1[[#This Row],[CANTIDAD UND COMERCIALES]],TAB_REF!$H$3:$I$1003,2,0)&amp;" ("&amp;Tabla1[[#This Row],[CANTIDAD UND COMERCIALES]]&amp;")"&amp;"_"&amp;Tabla1[[#This Row],[CANTIDAD]],"")</f>
        <v/>
      </c>
      <c r="AE237" s="31" t="e">
        <f>CONCATENATE([1]!Tabla1[[#This Row],[NOMBRE MED.]],[1]!Tabla1[[#This Row],[CONCENTRACION]],[1]!Tabla1[[#This Row],[FORMA FARMACEUTICA]])</f>
        <v>#REF!</v>
      </c>
    </row>
    <row r="238" spans="2:31" x14ac:dyDescent="0.25">
      <c r="B238" s="10">
        <v>91</v>
      </c>
      <c r="C238" s="10" t="s">
        <v>2702</v>
      </c>
      <c r="D238" s="10" t="s">
        <v>2175</v>
      </c>
      <c r="E238" s="10" t="s">
        <v>2703</v>
      </c>
      <c r="F238" s="10" t="s">
        <v>2704</v>
      </c>
      <c r="G238" s="10" t="s">
        <v>2705</v>
      </c>
      <c r="H238" s="10" t="s">
        <v>2707</v>
      </c>
      <c r="I238" s="10" t="s">
        <v>2122</v>
      </c>
      <c r="J238" s="10" t="s">
        <v>2122</v>
      </c>
      <c r="K238" s="10" t="s">
        <v>2709</v>
      </c>
      <c r="L238" s="11">
        <v>202124100283632</v>
      </c>
      <c r="M238" s="20">
        <v>44245</v>
      </c>
      <c r="N238" s="20" t="str">
        <f>UPPER(TEXT(Tabla1[[#This Row],[FECHA RADICADO ENTRADA]],"MMM"))</f>
        <v>FEB</v>
      </c>
      <c r="O238" s="11">
        <v>202124110302761</v>
      </c>
      <c r="P238" s="20">
        <v>44250</v>
      </c>
      <c r="Q238" s="20" t="str">
        <f>UPPER(TEXT(Tabla1[[#This Row],[FECHA RADICADO ENTRADA]],"MMM"))</f>
        <v>FEB</v>
      </c>
      <c r="R238" s="10">
        <f t="shared" si="3"/>
        <v>-5</v>
      </c>
      <c r="S238" s="10" t="s">
        <v>2145</v>
      </c>
      <c r="T238" s="10" t="s">
        <v>2701</v>
      </c>
      <c r="U238" s="10" t="s">
        <v>2164</v>
      </c>
      <c r="V238" s="10" t="s">
        <v>2164</v>
      </c>
      <c r="W238" s="10" t="s">
        <v>41</v>
      </c>
      <c r="X238" s="10">
        <v>0</v>
      </c>
      <c r="Y238" s="11">
        <f>IFERROR(INT(Tabla1[[#This Row],[CANTIDAD UND FARMACEUTICAS]]/(VLOOKUP(Tabla1[[#This Row],[MEDICAMENTO]],TAB_REF!$K$3:$L$27,2,0))),"")</f>
        <v>0</v>
      </c>
      <c r="Z238" s="10" t="str">
        <f>IFERROR(VLOOKUP(Tabla1[[#This Row],[MEDICAMENTO]],TAB_REF!$B$3:$F$27,2,0), "")</f>
        <v xml:space="preserve">Meperidina HCl </v>
      </c>
      <c r="AA238" s="10" t="str">
        <f>IFERROR(VLOOKUP(Tabla1[[#This Row],[MEDICAMENTO]],TAB_REF!$B$3:$F$27,3,0), "")</f>
        <v xml:space="preserve">100 mg/2mL </v>
      </c>
      <c r="AB238" s="10" t="str">
        <f>IFERROR(VLOOKUP(Tabla1[[#This Row],[MEDICAMENTO]],TAB_REF!$B$3:$F$27,4,0), "")</f>
        <v>Solución Inyectable</v>
      </c>
      <c r="AC238" s="10" t="str">
        <f>IFERROR(VLOOKUP(Tabla1[[#This Row],[MEDICAMENTO]],TAB_REF!$B$3:$F$27,5,0), "")</f>
        <v>Caja 10 ampollas</v>
      </c>
      <c r="AD238" s="10" t="str">
        <f>IFERROR(VLOOKUP(Tabla1[[#This Row],[CANTIDAD UND COMERCIALES]],TAB_REF!$H$3:$I$1003,2,0)&amp;" ("&amp;Tabla1[[#This Row],[CANTIDAD UND COMERCIALES]]&amp;")"&amp;"_"&amp;Tabla1[[#This Row],[CANTIDAD]],"")</f>
        <v/>
      </c>
      <c r="AE238" s="31" t="e">
        <f>CONCATENATE([1]!Tabla1[[#This Row],[NOMBRE MED.]],[1]!Tabla1[[#This Row],[CONCENTRACION]],[1]!Tabla1[[#This Row],[FORMA FARMACEUTICA]])</f>
        <v>#REF!</v>
      </c>
    </row>
    <row r="239" spans="2:31" x14ac:dyDescent="0.25">
      <c r="B239" s="10">
        <v>91</v>
      </c>
      <c r="C239" s="10" t="s">
        <v>2702</v>
      </c>
      <c r="D239" s="10" t="s">
        <v>2175</v>
      </c>
      <c r="E239" s="10" t="s">
        <v>2703</v>
      </c>
      <c r="F239" s="10" t="s">
        <v>2704</v>
      </c>
      <c r="G239" s="10" t="s">
        <v>2705</v>
      </c>
      <c r="H239" s="10" t="s">
        <v>2708</v>
      </c>
      <c r="I239" s="10" t="s">
        <v>2122</v>
      </c>
      <c r="J239" s="10" t="s">
        <v>2122</v>
      </c>
      <c r="K239" s="10" t="s">
        <v>2709</v>
      </c>
      <c r="L239" s="11">
        <v>202124100283632</v>
      </c>
      <c r="M239" s="20">
        <v>44245</v>
      </c>
      <c r="N239" s="20" t="str">
        <f>UPPER(TEXT(Tabla1[[#This Row],[FECHA RADICADO ENTRADA]],"MMM"))</f>
        <v>FEB</v>
      </c>
      <c r="O239" s="11">
        <v>202124110302761</v>
      </c>
      <c r="P239" s="20">
        <v>44250</v>
      </c>
      <c r="Q239" s="20" t="str">
        <f>UPPER(TEXT(Tabla1[[#This Row],[FECHA RADICADO ENTRADA]],"MMM"))</f>
        <v>FEB</v>
      </c>
      <c r="R239" s="10">
        <f t="shared" si="3"/>
        <v>-5</v>
      </c>
      <c r="S239" s="10" t="s">
        <v>2145</v>
      </c>
      <c r="T239" s="10" t="s">
        <v>2701</v>
      </c>
      <c r="U239" s="10" t="s">
        <v>2164</v>
      </c>
      <c r="V239" s="10" t="s">
        <v>2164</v>
      </c>
      <c r="W239" s="10" t="s">
        <v>63</v>
      </c>
      <c r="X239" s="10">
        <v>0</v>
      </c>
      <c r="Y239" s="11">
        <f>IFERROR(INT(Tabla1[[#This Row],[CANTIDAD UND FARMACEUTICAS]]/(VLOOKUP(Tabla1[[#This Row],[MEDICAMENTO]],TAB_REF!$K$3:$L$27,2,0))),"")</f>
        <v>0</v>
      </c>
      <c r="Z239" s="10" t="str">
        <f>IFERROR(VLOOKUP(Tabla1[[#This Row],[MEDICAMENTO]],TAB_REF!$B$3:$F$27,2,0), "")</f>
        <v xml:space="preserve">Morfina HCl </v>
      </c>
      <c r="AA239" s="10" t="str">
        <f>IFERROR(VLOOKUP(Tabla1[[#This Row],[MEDICAMENTO]],TAB_REF!$B$3:$F$27,3,0), "")</f>
        <v xml:space="preserve">10 mg/mL </v>
      </c>
      <c r="AB239" s="10" t="str">
        <f>IFERROR(VLOOKUP(Tabla1[[#This Row],[MEDICAMENTO]],TAB_REF!$B$3:$F$27,4,0), "")</f>
        <v>Solución Inyectable</v>
      </c>
      <c r="AC239" s="10" t="str">
        <f>IFERROR(VLOOKUP(Tabla1[[#This Row],[MEDICAMENTO]],TAB_REF!$B$3:$F$27,5,0), "")</f>
        <v>Caja x 10 unidades</v>
      </c>
      <c r="AD239" s="10" t="str">
        <f>IFERROR(VLOOKUP(Tabla1[[#This Row],[CANTIDAD UND COMERCIALES]],TAB_REF!$H$3:$I$1003,2,0)&amp;" ("&amp;Tabla1[[#This Row],[CANTIDAD UND COMERCIALES]]&amp;")"&amp;"_"&amp;Tabla1[[#This Row],[CANTIDAD]],"")</f>
        <v/>
      </c>
      <c r="AE239" s="31" t="e">
        <f>CONCATENATE([1]!Tabla1[[#This Row],[NOMBRE MED.]],[1]!Tabla1[[#This Row],[CONCENTRACION]],[1]!Tabla1[[#This Row],[FORMA FARMACEUTICA]])</f>
        <v>#REF!</v>
      </c>
    </row>
    <row r="240" spans="2:31" x14ac:dyDescent="0.25">
      <c r="B240" s="24">
        <v>92</v>
      </c>
      <c r="C240" s="10" t="s">
        <v>2710</v>
      </c>
      <c r="D240" s="10" t="s">
        <v>2175</v>
      </c>
      <c r="E240" s="10" t="s">
        <v>2711</v>
      </c>
      <c r="F240" s="10" t="s">
        <v>2417</v>
      </c>
      <c r="G240" s="10" t="s">
        <v>2712</v>
      </c>
      <c r="H240" s="10" t="s">
        <v>2419</v>
      </c>
      <c r="I240" s="10" t="s">
        <v>2128</v>
      </c>
      <c r="J240" s="10" t="s">
        <v>1942</v>
      </c>
      <c r="K240" s="10" t="s">
        <v>2713</v>
      </c>
      <c r="L240" s="11">
        <v>202124100285742</v>
      </c>
      <c r="M240" s="20">
        <v>44245</v>
      </c>
      <c r="N240" s="20" t="str">
        <f>UPPER(TEXT(Tabla1[[#This Row],[FECHA RADICADO ENTRADA]],"MMM"))</f>
        <v>FEB</v>
      </c>
      <c r="O240" s="11">
        <v>202124110302791</v>
      </c>
      <c r="P240" s="20">
        <v>44250</v>
      </c>
      <c r="Q240" s="20" t="str">
        <f>UPPER(TEXT(Tabla1[[#This Row],[FECHA RADICADO ENTRADA]],"MMM"))</f>
        <v>FEB</v>
      </c>
      <c r="R240" s="10">
        <f t="shared" si="3"/>
        <v>-5</v>
      </c>
      <c r="S240" s="10" t="s">
        <v>2154</v>
      </c>
      <c r="U240" s="10" t="s">
        <v>2435</v>
      </c>
      <c r="V240" s="20">
        <v>43381</v>
      </c>
      <c r="W240" s="10" t="s">
        <v>63</v>
      </c>
      <c r="X240" s="10">
        <v>3000</v>
      </c>
      <c r="Y240" s="11">
        <f>IFERROR(INT(Tabla1[[#This Row],[CANTIDAD UND FARMACEUTICAS]]/(VLOOKUP(Tabla1[[#This Row],[MEDICAMENTO]],TAB_REF!$K$3:$L$27,2,0))),"")</f>
        <v>300</v>
      </c>
      <c r="Z240" s="10" t="str">
        <f>IFERROR(VLOOKUP(Tabla1[[#This Row],[MEDICAMENTO]],TAB_REF!$B$3:$F$27,2,0), "")</f>
        <v xml:space="preserve">Morfina HCl </v>
      </c>
      <c r="AA240" s="10" t="str">
        <f>IFERROR(VLOOKUP(Tabla1[[#This Row],[MEDICAMENTO]],TAB_REF!$B$3:$F$27,3,0), "")</f>
        <v xml:space="preserve">10 mg/mL </v>
      </c>
      <c r="AB240" s="10" t="str">
        <f>IFERROR(VLOOKUP(Tabla1[[#This Row],[MEDICAMENTO]],TAB_REF!$B$3:$F$27,4,0), "")</f>
        <v>Solución Inyectable</v>
      </c>
      <c r="AC240" s="10" t="str">
        <f>IFERROR(VLOOKUP(Tabla1[[#This Row],[MEDICAMENTO]],TAB_REF!$B$3:$F$27,5,0), "")</f>
        <v>Caja x 10 unidades</v>
      </c>
      <c r="AD240" s="10" t="str">
        <f>IFERROR(VLOOKUP(Tabla1[[#This Row],[CANTIDAD UND COMERCIALES]],TAB_REF!$H$3:$I$1003,2,0)&amp;" ("&amp;Tabla1[[#This Row],[CANTIDAD UND COMERCIALES]]&amp;")"&amp;"_"&amp;Tabla1[[#This Row],[CANTIDAD]],"")</f>
        <v>Trescientos (300)_Caja x 10 unidades</v>
      </c>
      <c r="AE240" s="31" t="e">
        <f>CONCATENATE([1]!Tabla1[[#This Row],[NOMBRE MED.]],[1]!Tabla1[[#This Row],[CONCENTRACION]],[1]!Tabla1[[#This Row],[FORMA FARMACEUTICA]])</f>
        <v>#REF!</v>
      </c>
    </row>
    <row r="241" spans="2:31" x14ac:dyDescent="0.25">
      <c r="B241" s="10">
        <v>93</v>
      </c>
      <c r="C241" s="10" t="s">
        <v>2714</v>
      </c>
      <c r="D241" s="10" t="s">
        <v>2312</v>
      </c>
      <c r="E241" s="10" t="s">
        <v>2715</v>
      </c>
      <c r="F241" s="10" t="s">
        <v>2716</v>
      </c>
      <c r="G241" s="10" t="s">
        <v>2717</v>
      </c>
      <c r="H241" s="10" t="s">
        <v>2718</v>
      </c>
      <c r="I241" s="10" t="s">
        <v>2128</v>
      </c>
      <c r="J241" s="10" t="s">
        <v>1918</v>
      </c>
      <c r="K241" s="10" t="s">
        <v>2719</v>
      </c>
      <c r="L241" s="11">
        <v>202124100285762</v>
      </c>
      <c r="M241" s="20">
        <v>44245</v>
      </c>
      <c r="N241" s="20" t="str">
        <f>UPPER(TEXT(Tabla1[[#This Row],[FECHA RADICADO ENTRADA]],"MMM"))</f>
        <v>FEB</v>
      </c>
      <c r="O241" s="11">
        <v>202124110302901</v>
      </c>
      <c r="P241" s="20">
        <v>44250</v>
      </c>
      <c r="Q241" s="20" t="str">
        <f>UPPER(TEXT(Tabla1[[#This Row],[FECHA RADICADO ENTRADA]],"MMM"))</f>
        <v>FEB</v>
      </c>
      <c r="R241" s="10">
        <f t="shared" si="3"/>
        <v>-5</v>
      </c>
      <c r="S241" s="10" t="s">
        <v>2154</v>
      </c>
      <c r="U241" s="10" t="s">
        <v>2720</v>
      </c>
      <c r="V241" s="20">
        <v>43581</v>
      </c>
      <c r="W241" s="10" t="s">
        <v>63</v>
      </c>
      <c r="X241" s="10">
        <v>3100</v>
      </c>
      <c r="Y241" s="11">
        <f>IFERROR(INT(Tabla1[[#This Row],[CANTIDAD UND FARMACEUTICAS]]/(VLOOKUP(Tabla1[[#This Row],[MEDICAMENTO]],TAB_REF!$K$3:$L$27,2,0))),"")</f>
        <v>310</v>
      </c>
      <c r="Z241" s="10" t="str">
        <f>IFERROR(VLOOKUP(Tabla1[[#This Row],[MEDICAMENTO]],TAB_REF!$B$3:$F$27,2,0), "")</f>
        <v xml:space="preserve">Morfina HCl </v>
      </c>
      <c r="AA241" s="10" t="str">
        <f>IFERROR(VLOOKUP(Tabla1[[#This Row],[MEDICAMENTO]],TAB_REF!$B$3:$F$27,3,0), "")</f>
        <v xml:space="preserve">10 mg/mL </v>
      </c>
      <c r="AB241" s="10" t="str">
        <f>IFERROR(VLOOKUP(Tabla1[[#This Row],[MEDICAMENTO]],TAB_REF!$B$3:$F$27,4,0), "")</f>
        <v>Solución Inyectable</v>
      </c>
      <c r="AC241" s="10" t="str">
        <f>IFERROR(VLOOKUP(Tabla1[[#This Row],[MEDICAMENTO]],TAB_REF!$B$3:$F$27,5,0), "")</f>
        <v>Caja x 10 unidades</v>
      </c>
      <c r="AD241" s="10" t="str">
        <f>IFERROR(VLOOKUP(Tabla1[[#This Row],[CANTIDAD UND COMERCIALES]],TAB_REF!$H$3:$I$1003,2,0)&amp;" ("&amp;Tabla1[[#This Row],[CANTIDAD UND COMERCIALES]]&amp;")"&amp;"_"&amp;Tabla1[[#This Row],[CANTIDAD]],"")</f>
        <v>Trescientos Diez (310)_Caja x 10 unidades</v>
      </c>
      <c r="AE241" s="31" t="e">
        <f>CONCATENATE([1]!Tabla1[[#This Row],[NOMBRE MED.]],[1]!Tabla1[[#This Row],[CONCENTRACION]],[1]!Tabla1[[#This Row],[FORMA FARMACEUTICA]])</f>
        <v>#REF!</v>
      </c>
    </row>
    <row r="242" spans="2:31" x14ac:dyDescent="0.25">
      <c r="B242" s="10">
        <v>93</v>
      </c>
      <c r="C242" s="10" t="s">
        <v>2714</v>
      </c>
      <c r="D242" s="10" t="s">
        <v>2312</v>
      </c>
      <c r="E242" s="10" t="s">
        <v>2715</v>
      </c>
      <c r="F242" s="10" t="s">
        <v>2716</v>
      </c>
      <c r="G242" s="10" t="s">
        <v>2717</v>
      </c>
      <c r="H242" s="10" t="s">
        <v>2718</v>
      </c>
      <c r="I242" s="10" t="s">
        <v>2128</v>
      </c>
      <c r="J242" s="10" t="s">
        <v>1918</v>
      </c>
      <c r="K242" s="10" t="s">
        <v>2719</v>
      </c>
      <c r="L242" s="11">
        <v>202124100285762</v>
      </c>
      <c r="M242" s="20">
        <v>44245</v>
      </c>
      <c r="N242" s="20" t="str">
        <f>UPPER(TEXT(Tabla1[[#This Row],[FECHA RADICADO ENTRADA]],"MMM"))</f>
        <v>FEB</v>
      </c>
      <c r="O242" s="11">
        <v>202124110302901</v>
      </c>
      <c r="P242" s="20">
        <v>44250</v>
      </c>
      <c r="Q242" s="20" t="str">
        <f>UPPER(TEXT(Tabla1[[#This Row],[FECHA RADICADO ENTRADA]],"MMM"))</f>
        <v>FEB</v>
      </c>
      <c r="R242" s="10">
        <f t="shared" si="3"/>
        <v>-5</v>
      </c>
      <c r="S242" s="10" t="s">
        <v>2154</v>
      </c>
      <c r="U242" s="10" t="s">
        <v>2720</v>
      </c>
      <c r="V242" s="20">
        <v>43581</v>
      </c>
      <c r="W242" s="10" t="s">
        <v>37</v>
      </c>
      <c r="X242" s="10">
        <v>1300</v>
      </c>
      <c r="Y242" s="11">
        <f>IFERROR(INT(Tabla1[[#This Row],[CANTIDAD UND FARMACEUTICAS]]/(VLOOKUP(Tabla1[[#This Row],[MEDICAMENTO]],TAB_REF!$K$3:$L$27,2,0))),"")</f>
        <v>130</v>
      </c>
      <c r="Z242" s="10" t="str">
        <f>IFERROR(VLOOKUP(Tabla1[[#This Row],[MEDICAMENTO]],TAB_REF!$B$3:$F$27,2,0), "")</f>
        <v xml:space="preserve">Hidromorfona HCl </v>
      </c>
      <c r="AA242" s="10" t="str">
        <f>IFERROR(VLOOKUP(Tabla1[[#This Row],[MEDICAMENTO]],TAB_REF!$B$3:$F$27,3,0), "")</f>
        <v xml:space="preserve">2 mg/mL </v>
      </c>
      <c r="AB242" s="10" t="str">
        <f>IFERROR(VLOOKUP(Tabla1[[#This Row],[MEDICAMENTO]],TAB_REF!$B$3:$F$27,4,0), "")</f>
        <v>Solución Inyectable</v>
      </c>
      <c r="AC242" s="10" t="str">
        <f>IFERROR(VLOOKUP(Tabla1[[#This Row],[MEDICAMENTO]],TAB_REF!$B$3:$F$27,5,0), "")</f>
        <v>Caja x 10 unidades</v>
      </c>
      <c r="AD242" s="10" t="str">
        <f>IFERROR(VLOOKUP(Tabla1[[#This Row],[CANTIDAD UND COMERCIALES]],TAB_REF!$H$3:$I$1003,2,0)&amp;" ("&amp;Tabla1[[#This Row],[CANTIDAD UND COMERCIALES]]&amp;")"&amp;"_"&amp;Tabla1[[#This Row],[CANTIDAD]],"")</f>
        <v>Ciento Treinta (130)_Caja x 10 unidades</v>
      </c>
      <c r="AE242" s="31" t="e">
        <f>CONCATENATE([1]!Tabla1[[#This Row],[NOMBRE MED.]],[1]!Tabla1[[#This Row],[CONCENTRACION]],[1]!Tabla1[[#This Row],[FORMA FARMACEUTICA]])</f>
        <v>#REF!</v>
      </c>
    </row>
    <row r="243" spans="2:31" x14ac:dyDescent="0.25">
      <c r="B243" s="10">
        <v>93</v>
      </c>
      <c r="C243" s="10" t="s">
        <v>2714</v>
      </c>
      <c r="D243" s="10" t="s">
        <v>2312</v>
      </c>
      <c r="E243" s="10" t="s">
        <v>2715</v>
      </c>
      <c r="F243" s="10" t="s">
        <v>2716</v>
      </c>
      <c r="G243" s="10" t="s">
        <v>2717</v>
      </c>
      <c r="H243" s="10" t="s">
        <v>2718</v>
      </c>
      <c r="I243" s="10" t="s">
        <v>2128</v>
      </c>
      <c r="J243" s="10" t="s">
        <v>1918</v>
      </c>
      <c r="K243" s="10" t="s">
        <v>2719</v>
      </c>
      <c r="L243" s="11">
        <v>202124100285762</v>
      </c>
      <c r="M243" s="20">
        <v>44245</v>
      </c>
      <c r="N243" s="20" t="str">
        <f>UPPER(TEXT(Tabla1[[#This Row],[FECHA RADICADO ENTRADA]],"MMM"))</f>
        <v>FEB</v>
      </c>
      <c r="O243" s="11">
        <v>202124110302901</v>
      </c>
      <c r="P243" s="20">
        <v>44250</v>
      </c>
      <c r="Q243" s="20" t="str">
        <f>UPPER(TEXT(Tabla1[[#This Row],[FECHA RADICADO ENTRADA]],"MMM"))</f>
        <v>FEB</v>
      </c>
      <c r="R243" s="10">
        <f t="shared" si="3"/>
        <v>-5</v>
      </c>
      <c r="S243" s="10" t="s">
        <v>2154</v>
      </c>
      <c r="U243" s="10" t="s">
        <v>2720</v>
      </c>
      <c r="V243" s="20">
        <v>43581</v>
      </c>
      <c r="W243" s="10" t="s">
        <v>45</v>
      </c>
      <c r="X243" s="10">
        <v>720</v>
      </c>
      <c r="Y243" s="11">
        <f>IFERROR(INT(Tabla1[[#This Row],[CANTIDAD UND FARMACEUTICAS]]/(VLOOKUP(Tabla1[[#This Row],[MEDICAMENTO]],TAB_REF!$K$3:$L$27,2,0))),"")</f>
        <v>24</v>
      </c>
      <c r="Z243" s="10" t="str">
        <f>IFERROR(VLOOKUP(Tabla1[[#This Row],[MEDICAMENTO]],TAB_REF!$B$3:$F$27,2,0), "")</f>
        <v xml:space="preserve">Metadona HCl </v>
      </c>
      <c r="AA243" s="10" t="str">
        <f>IFERROR(VLOOKUP(Tabla1[[#This Row],[MEDICAMENTO]],TAB_REF!$B$3:$F$27,3,0), "")</f>
        <v xml:space="preserve">10 mg </v>
      </c>
      <c r="AB243" s="10" t="str">
        <f>IFERROR(VLOOKUP(Tabla1[[#This Row],[MEDICAMENTO]],TAB_REF!$B$3:$F$27,4,0), "")</f>
        <v>Tabletas NACIONAL</v>
      </c>
      <c r="AC243" s="10" t="str">
        <f>IFERROR(VLOOKUP(Tabla1[[#This Row],[MEDICAMENTO]],TAB_REF!$B$3:$F$27,5,0), "")</f>
        <v>Caja x 30 unidades</v>
      </c>
      <c r="AD243" s="10" t="str">
        <f>IFERROR(VLOOKUP(Tabla1[[#This Row],[CANTIDAD UND COMERCIALES]],TAB_REF!$H$3:$I$1003,2,0)&amp;" ("&amp;Tabla1[[#This Row],[CANTIDAD UND COMERCIALES]]&amp;")"&amp;"_"&amp;Tabla1[[#This Row],[CANTIDAD]],"")</f>
        <v>Veinticuatro (24)_Caja x 30 unidades</v>
      </c>
      <c r="AE243" s="31" t="e">
        <f>CONCATENATE([1]!Tabla1[[#This Row],[NOMBRE MED.]],[1]!Tabla1[[#This Row],[CONCENTRACION]],[1]!Tabla1[[#This Row],[FORMA FARMACEUTICA]])</f>
        <v>#REF!</v>
      </c>
    </row>
    <row r="244" spans="2:31" x14ac:dyDescent="0.25">
      <c r="B244" s="10">
        <v>94</v>
      </c>
      <c r="C244" s="10" t="s">
        <v>2318</v>
      </c>
      <c r="D244" s="10" t="s">
        <v>2175</v>
      </c>
      <c r="E244" s="10" t="s">
        <v>2319</v>
      </c>
      <c r="F244" s="10" t="s">
        <v>2320</v>
      </c>
      <c r="G244" s="10" t="s">
        <v>2321</v>
      </c>
      <c r="H244" s="10" t="s">
        <v>2322</v>
      </c>
      <c r="I244" s="10" t="s">
        <v>2107</v>
      </c>
      <c r="J244" s="10" t="s">
        <v>1212</v>
      </c>
      <c r="K244" s="10" t="s">
        <v>2721</v>
      </c>
      <c r="L244" s="11">
        <v>202124100287952</v>
      </c>
      <c r="M244" s="20">
        <v>44245</v>
      </c>
      <c r="N244" s="20" t="str">
        <f>UPPER(TEXT(Tabla1[[#This Row],[FECHA RADICADO ENTRADA]],"MMM"))</f>
        <v>FEB</v>
      </c>
      <c r="O244" s="11">
        <v>202124110302941</v>
      </c>
      <c r="P244" s="20">
        <v>44250</v>
      </c>
      <c r="Q244" s="20" t="str">
        <f>UPPER(TEXT(Tabla1[[#This Row],[FECHA RADICADO ENTRADA]],"MMM"))</f>
        <v>FEB</v>
      </c>
      <c r="R244" s="10">
        <f t="shared" si="3"/>
        <v>-5</v>
      </c>
      <c r="S244" s="10" t="s">
        <v>2154</v>
      </c>
      <c r="U244" s="10" t="s">
        <v>2323</v>
      </c>
      <c r="V244" s="20">
        <v>44186</v>
      </c>
      <c r="W244" s="10" t="s">
        <v>28</v>
      </c>
      <c r="X244" s="10">
        <v>18</v>
      </c>
      <c r="Y244" s="11">
        <f>IFERROR(INT(Tabla1[[#This Row],[CANTIDAD UND FARMACEUTICAS]]/(VLOOKUP(Tabla1[[#This Row],[MEDICAMENTO]],TAB_REF!$K$3:$L$27,2,0))),"")</f>
        <v>18</v>
      </c>
      <c r="Z244" s="10" t="str">
        <f>IFERROR(VLOOKUP(Tabla1[[#This Row],[MEDICAMENTO]],TAB_REF!$B$3:$F$27,2,0), "")</f>
        <v xml:space="preserve">Fenobarbital </v>
      </c>
      <c r="AA244" s="10" t="str">
        <f>IFERROR(VLOOKUP(Tabla1[[#This Row],[MEDICAMENTO]],TAB_REF!$B$3:$F$27,3,0), "")</f>
        <v xml:space="preserve">0,4%. </v>
      </c>
      <c r="AB244" s="10" t="str">
        <f>IFERROR(VLOOKUP(Tabla1[[#This Row],[MEDICAMENTO]],TAB_REF!$B$3:$F$27,4,0), "")</f>
        <v>Solución Oral</v>
      </c>
      <c r="AC244" s="10" t="str">
        <f>IFERROR(VLOOKUP(Tabla1[[#This Row],[MEDICAMENTO]],TAB_REF!$B$3:$F$27,5,0), "")</f>
        <v>Frasco x 120 mL</v>
      </c>
      <c r="AD244" s="10" t="str">
        <f>IFERROR(VLOOKUP(Tabla1[[#This Row],[CANTIDAD UND COMERCIALES]],TAB_REF!$H$3:$I$1003,2,0)&amp;" ("&amp;Tabla1[[#This Row],[CANTIDAD UND COMERCIALES]]&amp;")"&amp;"_"&amp;Tabla1[[#This Row],[CANTIDAD]],"")</f>
        <v>Dieciocho (18)_Frasco x 120 mL</v>
      </c>
      <c r="AE244" s="31" t="e">
        <f>CONCATENATE([1]!Tabla1[[#This Row],[NOMBRE MED.]],[1]!Tabla1[[#This Row],[CONCENTRACION]],[1]!Tabla1[[#This Row],[FORMA FARMACEUTICA]])</f>
        <v>#REF!</v>
      </c>
    </row>
    <row r="245" spans="2:31" x14ac:dyDescent="0.25">
      <c r="B245" s="24">
        <v>95</v>
      </c>
      <c r="C245" s="10" t="s">
        <v>2722</v>
      </c>
      <c r="D245" s="10" t="s">
        <v>2723</v>
      </c>
      <c r="E245" s="10" t="s">
        <v>2724</v>
      </c>
      <c r="F245" s="10" t="s">
        <v>2725</v>
      </c>
      <c r="G245" s="10" t="s">
        <v>2726</v>
      </c>
      <c r="H245" s="10" t="s">
        <v>2727</v>
      </c>
      <c r="I245" s="10" t="s">
        <v>2109</v>
      </c>
      <c r="J245" s="10" t="s">
        <v>1080</v>
      </c>
      <c r="K245" s="10" t="s">
        <v>2728</v>
      </c>
      <c r="L245" s="11">
        <v>202124100291412</v>
      </c>
      <c r="M245" s="20">
        <v>44246</v>
      </c>
      <c r="N245" s="20" t="str">
        <f>UPPER(TEXT(Tabla1[[#This Row],[FECHA RADICADO ENTRADA]],"MMM"))</f>
        <v>FEB</v>
      </c>
      <c r="O245" s="11">
        <v>202124110337281</v>
      </c>
      <c r="P245" s="20">
        <v>44256</v>
      </c>
      <c r="Q245" s="20" t="str">
        <f>UPPER(TEXT(Tabla1[[#This Row],[FECHA RADICADO ENTRADA]],"MMM"))</f>
        <v>FEB</v>
      </c>
      <c r="R245" s="10">
        <f t="shared" si="3"/>
        <v>-10</v>
      </c>
      <c r="S245" s="10" t="s">
        <v>2154</v>
      </c>
      <c r="U245" s="10" t="s">
        <v>2729</v>
      </c>
      <c r="V245" s="20">
        <v>43300</v>
      </c>
      <c r="W245" s="10" t="s">
        <v>37</v>
      </c>
      <c r="X245" s="10">
        <v>3000</v>
      </c>
      <c r="Y245" s="11">
        <f>IFERROR(INT(Tabla1[[#This Row],[CANTIDAD UND FARMACEUTICAS]]/(VLOOKUP(Tabla1[[#This Row],[MEDICAMENTO]],TAB_REF!$K$3:$L$27,2,0))),"")</f>
        <v>300</v>
      </c>
      <c r="Z245" s="10" t="str">
        <f>IFERROR(VLOOKUP(Tabla1[[#This Row],[MEDICAMENTO]],TAB_REF!$B$3:$F$27,2,0), "")</f>
        <v xml:space="preserve">Hidromorfona HCl </v>
      </c>
      <c r="AA245" s="10" t="str">
        <f>IFERROR(VLOOKUP(Tabla1[[#This Row],[MEDICAMENTO]],TAB_REF!$B$3:$F$27,3,0), "")</f>
        <v xml:space="preserve">2 mg/mL </v>
      </c>
      <c r="AB245" s="10" t="str">
        <f>IFERROR(VLOOKUP(Tabla1[[#This Row],[MEDICAMENTO]],TAB_REF!$B$3:$F$27,4,0), "")</f>
        <v>Solución Inyectable</v>
      </c>
      <c r="AC245" s="10" t="str">
        <f>IFERROR(VLOOKUP(Tabla1[[#This Row],[MEDICAMENTO]],TAB_REF!$B$3:$F$27,5,0), "")</f>
        <v>Caja x 10 unidades</v>
      </c>
      <c r="AD245" s="10" t="str">
        <f>IFERROR(VLOOKUP(Tabla1[[#This Row],[CANTIDAD UND COMERCIALES]],TAB_REF!$H$3:$I$1003,2,0)&amp;" ("&amp;Tabla1[[#This Row],[CANTIDAD UND COMERCIALES]]&amp;")"&amp;"_"&amp;Tabla1[[#This Row],[CANTIDAD]],"")</f>
        <v>Trescientos (300)_Caja x 10 unidades</v>
      </c>
      <c r="AE245" s="31" t="e">
        <f>CONCATENATE([1]!Tabla1[[#This Row],[NOMBRE MED.]],[1]!Tabla1[[#This Row],[CONCENTRACION]],[1]!Tabla1[[#This Row],[FORMA FARMACEUTICA]])</f>
        <v>#REF!</v>
      </c>
    </row>
    <row r="246" spans="2:31" x14ac:dyDescent="0.25">
      <c r="B246" s="24">
        <v>95</v>
      </c>
      <c r="C246" s="10" t="s">
        <v>2722</v>
      </c>
      <c r="D246" s="10" t="s">
        <v>2723</v>
      </c>
      <c r="E246" s="10" t="s">
        <v>2724</v>
      </c>
      <c r="F246" s="10" t="s">
        <v>2725</v>
      </c>
      <c r="G246" s="10" t="s">
        <v>2726</v>
      </c>
      <c r="H246" s="10" t="s">
        <v>2727</v>
      </c>
      <c r="I246" s="10" t="s">
        <v>2109</v>
      </c>
      <c r="J246" s="10" t="s">
        <v>1080</v>
      </c>
      <c r="K246" s="10" t="s">
        <v>2728</v>
      </c>
      <c r="L246" s="11">
        <v>202124100291412</v>
      </c>
      <c r="M246" s="20">
        <v>44246</v>
      </c>
      <c r="N246" s="20" t="str">
        <f>UPPER(TEXT(Tabla1[[#This Row],[FECHA RADICADO ENTRADA]],"MMM"))</f>
        <v>FEB</v>
      </c>
      <c r="O246" s="11">
        <v>202124110337281</v>
      </c>
      <c r="P246" s="20">
        <v>44256</v>
      </c>
      <c r="Q246" s="20" t="str">
        <f>UPPER(TEXT(Tabla1[[#This Row],[FECHA RADICADO ENTRADA]],"MMM"))</f>
        <v>FEB</v>
      </c>
      <c r="R246" s="10">
        <f t="shared" si="3"/>
        <v>-10</v>
      </c>
      <c r="S246" s="10" t="s">
        <v>2154</v>
      </c>
      <c r="U246" s="10" t="s">
        <v>2729</v>
      </c>
      <c r="V246" s="20">
        <v>43300</v>
      </c>
      <c r="W246" s="10" t="s">
        <v>63</v>
      </c>
      <c r="X246" s="10">
        <v>3000</v>
      </c>
      <c r="Y246" s="11">
        <f>IFERROR(INT(Tabla1[[#This Row],[CANTIDAD UND FARMACEUTICAS]]/(VLOOKUP(Tabla1[[#This Row],[MEDICAMENTO]],TAB_REF!$K$3:$L$27,2,0))),"")</f>
        <v>300</v>
      </c>
      <c r="Z246" s="10" t="str">
        <f>IFERROR(VLOOKUP(Tabla1[[#This Row],[MEDICAMENTO]],TAB_REF!$B$3:$F$27,2,0), "")</f>
        <v xml:space="preserve">Morfina HCl </v>
      </c>
      <c r="AA246" s="10" t="str">
        <f>IFERROR(VLOOKUP(Tabla1[[#This Row],[MEDICAMENTO]],TAB_REF!$B$3:$F$27,3,0), "")</f>
        <v xml:space="preserve">10 mg/mL </v>
      </c>
      <c r="AB246" s="10" t="str">
        <f>IFERROR(VLOOKUP(Tabla1[[#This Row],[MEDICAMENTO]],TAB_REF!$B$3:$F$27,4,0), "")</f>
        <v>Solución Inyectable</v>
      </c>
      <c r="AC246" s="10" t="str">
        <f>IFERROR(VLOOKUP(Tabla1[[#This Row],[MEDICAMENTO]],TAB_REF!$B$3:$F$27,5,0), "")</f>
        <v>Caja x 10 unidades</v>
      </c>
      <c r="AD246" s="10" t="str">
        <f>IFERROR(VLOOKUP(Tabla1[[#This Row],[CANTIDAD UND COMERCIALES]],TAB_REF!$H$3:$I$1003,2,0)&amp;" ("&amp;Tabla1[[#This Row],[CANTIDAD UND COMERCIALES]]&amp;")"&amp;"_"&amp;Tabla1[[#This Row],[CANTIDAD]],"")</f>
        <v>Trescientos (300)_Caja x 10 unidades</v>
      </c>
      <c r="AE246" s="31" t="e">
        <f>CONCATENATE([1]!Tabla1[[#This Row],[NOMBRE MED.]],[1]!Tabla1[[#This Row],[CONCENTRACION]],[1]!Tabla1[[#This Row],[FORMA FARMACEUTICA]])</f>
        <v>#REF!</v>
      </c>
    </row>
    <row r="247" spans="2:31" x14ac:dyDescent="0.25">
      <c r="B247" s="24">
        <v>95</v>
      </c>
      <c r="C247" s="10" t="s">
        <v>2722</v>
      </c>
      <c r="D247" s="10" t="s">
        <v>2723</v>
      </c>
      <c r="E247" s="10" t="s">
        <v>2724</v>
      </c>
      <c r="F247" s="10" t="s">
        <v>2725</v>
      </c>
      <c r="G247" s="10" t="s">
        <v>2726</v>
      </c>
      <c r="H247" s="10" t="s">
        <v>2727</v>
      </c>
      <c r="I247" s="10" t="s">
        <v>2109</v>
      </c>
      <c r="J247" s="10" t="s">
        <v>1080</v>
      </c>
      <c r="K247" s="10" t="s">
        <v>2728</v>
      </c>
      <c r="L247" s="11">
        <v>202124100291412</v>
      </c>
      <c r="M247" s="20">
        <v>44246</v>
      </c>
      <c r="N247" s="20" t="str">
        <f>UPPER(TEXT(Tabla1[[#This Row],[FECHA RADICADO ENTRADA]],"MMM"))</f>
        <v>FEB</v>
      </c>
      <c r="O247" s="11">
        <v>202124110337281</v>
      </c>
      <c r="P247" s="20">
        <v>44256</v>
      </c>
      <c r="Q247" s="20" t="str">
        <f>UPPER(TEXT(Tabla1[[#This Row],[FECHA RADICADO ENTRADA]],"MMM"))</f>
        <v>FEB</v>
      </c>
      <c r="R247" s="10">
        <f t="shared" si="3"/>
        <v>-10</v>
      </c>
      <c r="S247" s="10" t="s">
        <v>2154</v>
      </c>
      <c r="U247" s="10" t="s">
        <v>2729</v>
      </c>
      <c r="V247" s="20">
        <v>43300</v>
      </c>
      <c r="W247" s="10" t="s">
        <v>60</v>
      </c>
      <c r="X247" s="10">
        <v>180</v>
      </c>
      <c r="Y247" s="11">
        <f>IFERROR(INT(Tabla1[[#This Row],[CANTIDAD UND FARMACEUTICAS]]/(VLOOKUP(Tabla1[[#This Row],[MEDICAMENTO]],TAB_REF!$K$3:$L$27,2,0))),"")</f>
        <v>180</v>
      </c>
      <c r="Z247" s="10" t="str">
        <f>IFERROR(VLOOKUP(Tabla1[[#This Row],[MEDICAMENTO]],TAB_REF!$B$3:$F$27,2,0), "")</f>
        <v xml:space="preserve">Morfina HCl </v>
      </c>
      <c r="AA247" s="10" t="str">
        <f>IFERROR(VLOOKUP(Tabla1[[#This Row],[MEDICAMENTO]],TAB_REF!$B$3:$F$27,3,0), "")</f>
        <v xml:space="preserve">3%. </v>
      </c>
      <c r="AB247" s="10" t="str">
        <f>IFERROR(VLOOKUP(Tabla1[[#This Row],[MEDICAMENTO]],TAB_REF!$B$3:$F$27,4,0), "")</f>
        <v>Solución Oral</v>
      </c>
      <c r="AC247" s="10" t="str">
        <f>IFERROR(VLOOKUP(Tabla1[[#This Row],[MEDICAMENTO]],TAB_REF!$B$3:$F$27,5,0), "")</f>
        <v>Frasco x 30 mL</v>
      </c>
      <c r="AD247" s="10" t="str">
        <f>IFERROR(VLOOKUP(Tabla1[[#This Row],[CANTIDAD UND COMERCIALES]],TAB_REF!$H$3:$I$1003,2,0)&amp;" ("&amp;Tabla1[[#This Row],[CANTIDAD UND COMERCIALES]]&amp;")"&amp;"_"&amp;Tabla1[[#This Row],[CANTIDAD]],"")</f>
        <v>Ciento Ochenta (180)_Frasco x 30 mL</v>
      </c>
      <c r="AE247" s="31" t="e">
        <f>CONCATENATE([1]!Tabla1[[#This Row],[NOMBRE MED.]],[1]!Tabla1[[#This Row],[CONCENTRACION]],[1]!Tabla1[[#This Row],[FORMA FARMACEUTICA]])</f>
        <v>#REF!</v>
      </c>
    </row>
    <row r="248" spans="2:31" x14ac:dyDescent="0.25">
      <c r="B248" s="10">
        <v>96</v>
      </c>
      <c r="C248" s="10" t="s">
        <v>2730</v>
      </c>
      <c r="D248" s="10" t="s">
        <v>2162</v>
      </c>
      <c r="E248" s="10" t="s">
        <v>2385</v>
      </c>
      <c r="F248" s="10" t="s">
        <v>2731</v>
      </c>
      <c r="G248" s="21" t="s">
        <v>2732</v>
      </c>
      <c r="H248" s="10" t="s">
        <v>2733</v>
      </c>
      <c r="I248" s="10" t="s">
        <v>2123</v>
      </c>
      <c r="J248" s="10" t="s">
        <v>1770</v>
      </c>
      <c r="K248" s="10" t="s">
        <v>2734</v>
      </c>
      <c r="L248" s="11">
        <v>202124100292862</v>
      </c>
      <c r="M248" s="20">
        <v>44246</v>
      </c>
      <c r="N248" s="20" t="str">
        <f>UPPER(TEXT(Tabla1[[#This Row],[FECHA RADICADO ENTRADA]],"MMM"))</f>
        <v>FEB</v>
      </c>
      <c r="O248" s="11">
        <v>202124110302991</v>
      </c>
      <c r="P248" s="20">
        <v>44250</v>
      </c>
      <c r="Q248" s="20" t="str">
        <f>UPPER(TEXT(Tabla1[[#This Row],[FECHA RADICADO ENTRADA]],"MMM"))</f>
        <v>FEB</v>
      </c>
      <c r="R248" s="10">
        <f t="shared" si="3"/>
        <v>-4</v>
      </c>
      <c r="S248" s="10" t="s">
        <v>2154</v>
      </c>
      <c r="U248" s="10" t="s">
        <v>2735</v>
      </c>
      <c r="V248" s="20">
        <v>44070</v>
      </c>
      <c r="W248" s="10" t="s">
        <v>2139</v>
      </c>
      <c r="X248" s="10">
        <v>180</v>
      </c>
      <c r="Y248" s="11">
        <f>IFERROR(INT(Tabla1[[#This Row],[CANTIDAD UND FARMACEUTICAS]]/(VLOOKUP(Tabla1[[#This Row],[MEDICAMENTO]],TAB_REF!$K$3:$L$27,2,0))),"")</f>
        <v>6</v>
      </c>
      <c r="Z248" s="10" t="str">
        <f>IFERROR(VLOOKUP(Tabla1[[#This Row],[MEDICAMENTO]],TAB_REF!$B$3:$F$27,2,0), "")</f>
        <v xml:space="preserve">Primidona </v>
      </c>
      <c r="AA248" s="10" t="str">
        <f>IFERROR(VLOOKUP(Tabla1[[#This Row],[MEDICAMENTO]],TAB_REF!$B$3:$F$27,3,0), "")</f>
        <v xml:space="preserve">250 mg </v>
      </c>
      <c r="AB248" s="10" t="str">
        <f>IFERROR(VLOOKUP(Tabla1[[#This Row],[MEDICAMENTO]],TAB_REF!$B$3:$F$27,4,0), "")</f>
        <v>Tabletas</v>
      </c>
      <c r="AC248" s="10" t="str">
        <f>IFERROR(VLOOKUP(Tabla1[[#This Row],[MEDICAMENTO]],TAB_REF!$B$3:$F$27,5,0), "")</f>
        <v>Caja x 30 unidades</v>
      </c>
      <c r="AD248" s="10" t="str">
        <f>IFERROR(VLOOKUP(Tabla1[[#This Row],[CANTIDAD UND COMERCIALES]],TAB_REF!$H$3:$I$1003,2,0)&amp;" ("&amp;Tabla1[[#This Row],[CANTIDAD UND COMERCIALES]]&amp;")"&amp;"_"&amp;Tabla1[[#This Row],[CANTIDAD]],"")</f>
        <v>Seis (6)_Caja x 30 unidades</v>
      </c>
      <c r="AE248" s="31" t="e">
        <f>CONCATENATE([1]!Tabla1[[#This Row],[NOMBRE MED.]],[1]!Tabla1[[#This Row],[CONCENTRACION]],[1]!Tabla1[[#This Row],[FORMA FARMACEUTICA]])</f>
        <v>#REF!</v>
      </c>
    </row>
    <row r="249" spans="2:31" x14ac:dyDescent="0.25">
      <c r="B249" s="10">
        <v>96</v>
      </c>
      <c r="C249" s="10" t="s">
        <v>2730</v>
      </c>
      <c r="D249" s="10" t="s">
        <v>2162</v>
      </c>
      <c r="E249" s="10" t="s">
        <v>2385</v>
      </c>
      <c r="F249" s="10" t="s">
        <v>2731</v>
      </c>
      <c r="G249" s="10" t="s">
        <v>2732</v>
      </c>
      <c r="H249" s="10" t="s">
        <v>2733</v>
      </c>
      <c r="I249" s="10" t="s">
        <v>2123</v>
      </c>
      <c r="J249" s="10" t="s">
        <v>1770</v>
      </c>
      <c r="K249" s="10" t="s">
        <v>2734</v>
      </c>
      <c r="L249" s="11">
        <v>202124100292862</v>
      </c>
      <c r="M249" s="20">
        <v>44246</v>
      </c>
      <c r="N249" s="20" t="str">
        <f>UPPER(TEXT(Tabla1[[#This Row],[FECHA RADICADO ENTRADA]],"MMM"))</f>
        <v>FEB</v>
      </c>
      <c r="O249" s="11">
        <v>202124110302991</v>
      </c>
      <c r="P249" s="20">
        <v>44250</v>
      </c>
      <c r="Q249" s="20" t="str">
        <f>UPPER(TEXT(Tabla1[[#This Row],[FECHA RADICADO ENTRADA]],"MMM"))</f>
        <v>FEB</v>
      </c>
      <c r="R249" s="10">
        <f t="shared" si="3"/>
        <v>-4</v>
      </c>
      <c r="S249" s="10" t="s">
        <v>2154</v>
      </c>
      <c r="U249" s="10" t="s">
        <v>2735</v>
      </c>
      <c r="V249" s="20">
        <v>44070</v>
      </c>
      <c r="W249" s="10" t="s">
        <v>38</v>
      </c>
      <c r="X249" s="10">
        <v>800</v>
      </c>
      <c r="Y249" s="11">
        <f>IFERROR(INT(Tabla1[[#This Row],[CANTIDAD UND FARMACEUTICAS]]/(VLOOKUP(Tabla1[[#This Row],[MEDICAMENTO]],TAB_REF!$K$3:$L$27,2,0))),"")</f>
        <v>40</v>
      </c>
      <c r="Z249" s="10" t="str">
        <f>IFERROR(VLOOKUP(Tabla1[[#This Row],[MEDICAMENTO]],TAB_REF!$B$3:$F$27,2,0), "")</f>
        <v xml:space="preserve">Hidromorfona HCl </v>
      </c>
      <c r="AA249" s="10" t="str">
        <f>IFERROR(VLOOKUP(Tabla1[[#This Row],[MEDICAMENTO]],TAB_REF!$B$3:$F$27,3,0), "")</f>
        <v xml:space="preserve">2,5 mg </v>
      </c>
      <c r="AB249" s="10" t="str">
        <f>IFERROR(VLOOKUP(Tabla1[[#This Row],[MEDICAMENTO]],TAB_REF!$B$3:$F$27,4,0), "")</f>
        <v>Tabletas</v>
      </c>
      <c r="AC249" s="10" t="str">
        <f>IFERROR(VLOOKUP(Tabla1[[#This Row],[MEDICAMENTO]],TAB_REF!$B$3:$F$27,5,0), "")</f>
        <v>Caja x 20 unidades</v>
      </c>
      <c r="AD249" s="10" t="str">
        <f>IFERROR(VLOOKUP(Tabla1[[#This Row],[CANTIDAD UND COMERCIALES]],TAB_REF!$H$3:$I$1003,2,0)&amp;" ("&amp;Tabla1[[#This Row],[CANTIDAD UND COMERCIALES]]&amp;")"&amp;"_"&amp;Tabla1[[#This Row],[CANTIDAD]],"")</f>
        <v>Cuarenta (40)_Caja x 20 unidades</v>
      </c>
      <c r="AE249" s="31" t="e">
        <f>CONCATENATE([1]!Tabla1[[#This Row],[NOMBRE MED.]],[1]!Tabla1[[#This Row],[CONCENTRACION]],[1]!Tabla1[[#This Row],[FORMA FARMACEUTICA]])</f>
        <v>#REF!</v>
      </c>
    </row>
    <row r="250" spans="2:31" x14ac:dyDescent="0.25">
      <c r="B250" s="10">
        <v>96</v>
      </c>
      <c r="C250" s="10" t="s">
        <v>2730</v>
      </c>
      <c r="D250" s="10" t="s">
        <v>2162</v>
      </c>
      <c r="E250" s="10" t="s">
        <v>2385</v>
      </c>
      <c r="F250" s="10" t="s">
        <v>2731</v>
      </c>
      <c r="G250" s="10" t="s">
        <v>2732</v>
      </c>
      <c r="H250" s="10" t="s">
        <v>2733</v>
      </c>
      <c r="I250" s="10" t="s">
        <v>2123</v>
      </c>
      <c r="J250" s="10" t="s">
        <v>1770</v>
      </c>
      <c r="K250" s="10" t="s">
        <v>2734</v>
      </c>
      <c r="L250" s="11">
        <v>202124100292862</v>
      </c>
      <c r="M250" s="20">
        <v>44246</v>
      </c>
      <c r="N250" s="20" t="str">
        <f>UPPER(TEXT(Tabla1[[#This Row],[FECHA RADICADO ENTRADA]],"MMM"))</f>
        <v>FEB</v>
      </c>
      <c r="O250" s="11">
        <v>202124110302991</v>
      </c>
      <c r="P250" s="20">
        <v>44250</v>
      </c>
      <c r="Q250" s="20" t="str">
        <f>UPPER(TEXT(Tabla1[[#This Row],[FECHA RADICADO ENTRADA]],"MMM"))</f>
        <v>FEB</v>
      </c>
      <c r="R250" s="10">
        <f t="shared" si="3"/>
        <v>-4</v>
      </c>
      <c r="S250" s="10" t="s">
        <v>2154</v>
      </c>
      <c r="U250" s="10" t="s">
        <v>2735</v>
      </c>
      <c r="V250" s="20">
        <v>44070</v>
      </c>
      <c r="W250" s="10" t="s">
        <v>32</v>
      </c>
      <c r="X250" s="10">
        <v>600</v>
      </c>
      <c r="Y250" s="11">
        <f>IFERROR(INT(Tabla1[[#This Row],[CANTIDAD UND FARMACEUTICAS]]/(VLOOKUP(Tabla1[[#This Row],[MEDICAMENTO]],TAB_REF!$K$3:$L$27,2,0))),"")</f>
        <v>20</v>
      </c>
      <c r="Z250" s="10" t="str">
        <f>IFERROR(VLOOKUP(Tabla1[[#This Row],[MEDICAMENTO]],TAB_REF!$B$3:$F$27,2,0), "")</f>
        <v xml:space="preserve">Fenobarbital </v>
      </c>
      <c r="AA250" s="10" t="str">
        <f>IFERROR(VLOOKUP(Tabla1[[#This Row],[MEDICAMENTO]],TAB_REF!$B$3:$F$27,3,0), "")</f>
        <v xml:space="preserve">100 mg </v>
      </c>
      <c r="AB250" s="10" t="str">
        <f>IFERROR(VLOOKUP(Tabla1[[#This Row],[MEDICAMENTO]],TAB_REF!$B$3:$F$27,4,0), "")</f>
        <v>Tabletas</v>
      </c>
      <c r="AC250" s="10" t="str">
        <f>IFERROR(VLOOKUP(Tabla1[[#This Row],[MEDICAMENTO]],TAB_REF!$B$3:$F$27,5,0), "")</f>
        <v>Caja x 30 unidades</v>
      </c>
      <c r="AD250" s="10" t="str">
        <f>IFERROR(VLOOKUP(Tabla1[[#This Row],[CANTIDAD UND COMERCIALES]],TAB_REF!$H$3:$I$1003,2,0)&amp;" ("&amp;Tabla1[[#This Row],[CANTIDAD UND COMERCIALES]]&amp;")"&amp;"_"&amp;Tabla1[[#This Row],[CANTIDAD]],"")</f>
        <v>Veinte (20)_Caja x 30 unidades</v>
      </c>
      <c r="AE250" s="31" t="e">
        <f>CONCATENATE([1]!Tabla1[[#This Row],[NOMBRE MED.]],[1]!Tabla1[[#This Row],[CONCENTRACION]],[1]!Tabla1[[#This Row],[FORMA FARMACEUTICA]])</f>
        <v>#REF!</v>
      </c>
    </row>
    <row r="251" spans="2:31" x14ac:dyDescent="0.25">
      <c r="B251" s="10">
        <v>96</v>
      </c>
      <c r="C251" s="10" t="s">
        <v>2730</v>
      </c>
      <c r="D251" s="10" t="s">
        <v>2162</v>
      </c>
      <c r="E251" s="10" t="s">
        <v>2385</v>
      </c>
      <c r="F251" s="10" t="s">
        <v>2731</v>
      </c>
      <c r="G251" s="10" t="s">
        <v>2732</v>
      </c>
      <c r="H251" s="10" t="s">
        <v>2733</v>
      </c>
      <c r="I251" s="10" t="s">
        <v>2123</v>
      </c>
      <c r="J251" s="10" t="s">
        <v>1770</v>
      </c>
      <c r="K251" s="10" t="s">
        <v>2734</v>
      </c>
      <c r="L251" s="11">
        <v>202124100292862</v>
      </c>
      <c r="M251" s="20">
        <v>44246</v>
      </c>
      <c r="N251" s="20" t="str">
        <f>UPPER(TEXT(Tabla1[[#This Row],[FECHA RADICADO ENTRADA]],"MMM"))</f>
        <v>FEB</v>
      </c>
      <c r="O251" s="11">
        <v>202124110302991</v>
      </c>
      <c r="P251" s="20">
        <v>44250</v>
      </c>
      <c r="Q251" s="20" t="str">
        <f>UPPER(TEXT(Tabla1[[#This Row],[FECHA RADICADO ENTRADA]],"MMM"))</f>
        <v>FEB</v>
      </c>
      <c r="R251" s="10">
        <f t="shared" si="3"/>
        <v>-4</v>
      </c>
      <c r="S251" s="10" t="s">
        <v>2154</v>
      </c>
      <c r="U251" s="10" t="s">
        <v>2735</v>
      </c>
      <c r="V251" s="20">
        <v>44070</v>
      </c>
      <c r="W251" s="10" t="s">
        <v>60</v>
      </c>
      <c r="X251" s="10">
        <v>12</v>
      </c>
      <c r="Y251" s="11">
        <f>IFERROR(INT(Tabla1[[#This Row],[CANTIDAD UND FARMACEUTICAS]]/(VLOOKUP(Tabla1[[#This Row],[MEDICAMENTO]],TAB_REF!$K$3:$L$27,2,0))),"")</f>
        <v>12</v>
      </c>
      <c r="Z251" s="10" t="str">
        <f>IFERROR(VLOOKUP(Tabla1[[#This Row],[MEDICAMENTO]],TAB_REF!$B$3:$F$27,2,0), "")</f>
        <v xml:space="preserve">Morfina HCl </v>
      </c>
      <c r="AA251" s="10" t="str">
        <f>IFERROR(VLOOKUP(Tabla1[[#This Row],[MEDICAMENTO]],TAB_REF!$B$3:$F$27,3,0), "")</f>
        <v xml:space="preserve">3%. </v>
      </c>
      <c r="AB251" s="10" t="str">
        <f>IFERROR(VLOOKUP(Tabla1[[#This Row],[MEDICAMENTO]],TAB_REF!$B$3:$F$27,4,0), "")</f>
        <v>Solución Oral</v>
      </c>
      <c r="AC251" s="10" t="str">
        <f>IFERROR(VLOOKUP(Tabla1[[#This Row],[MEDICAMENTO]],TAB_REF!$B$3:$F$27,5,0), "")</f>
        <v>Frasco x 30 mL</v>
      </c>
      <c r="AD251" s="10" t="str">
        <f>IFERROR(VLOOKUP(Tabla1[[#This Row],[CANTIDAD UND COMERCIALES]],TAB_REF!$H$3:$I$1003,2,0)&amp;" ("&amp;Tabla1[[#This Row],[CANTIDAD UND COMERCIALES]]&amp;")"&amp;"_"&amp;Tabla1[[#This Row],[CANTIDAD]],"")</f>
        <v>Doce (12)_Frasco x 30 mL</v>
      </c>
      <c r="AE251" s="31" t="e">
        <f>CONCATENATE([1]!Tabla1[[#This Row],[NOMBRE MED.]],[1]!Tabla1[[#This Row],[CONCENTRACION]],[1]!Tabla1[[#This Row],[FORMA FARMACEUTICA]])</f>
        <v>#REF!</v>
      </c>
    </row>
    <row r="252" spans="2:31" x14ac:dyDescent="0.25">
      <c r="B252" s="10">
        <v>96</v>
      </c>
      <c r="C252" s="10" t="s">
        <v>2730</v>
      </c>
      <c r="D252" s="10" t="s">
        <v>2162</v>
      </c>
      <c r="E252" s="10" t="s">
        <v>2385</v>
      </c>
      <c r="F252" s="10" t="s">
        <v>2731</v>
      </c>
      <c r="G252" s="10" t="s">
        <v>2732</v>
      </c>
      <c r="H252" s="10" t="s">
        <v>2733</v>
      </c>
      <c r="I252" s="10" t="s">
        <v>2123</v>
      </c>
      <c r="J252" s="10" t="s">
        <v>1770</v>
      </c>
      <c r="K252" s="10" t="s">
        <v>2734</v>
      </c>
      <c r="L252" s="11">
        <v>202124100292862</v>
      </c>
      <c r="M252" s="20">
        <v>44246</v>
      </c>
      <c r="N252" s="20" t="str">
        <f>UPPER(TEXT(Tabla1[[#This Row],[FECHA RADICADO ENTRADA]],"MMM"))</f>
        <v>FEB</v>
      </c>
      <c r="O252" s="11">
        <v>202124110302991</v>
      </c>
      <c r="P252" s="20">
        <v>44250</v>
      </c>
      <c r="Q252" s="20" t="str">
        <f>UPPER(TEXT(Tabla1[[#This Row],[FECHA RADICADO ENTRADA]],"MMM"))</f>
        <v>FEB</v>
      </c>
      <c r="R252" s="10">
        <f t="shared" si="3"/>
        <v>-4</v>
      </c>
      <c r="S252" s="10" t="s">
        <v>2154</v>
      </c>
      <c r="U252" s="10" t="s">
        <v>2735</v>
      </c>
      <c r="V252" s="20">
        <v>44070</v>
      </c>
      <c r="W252" s="10" t="s">
        <v>45</v>
      </c>
      <c r="X252" s="10">
        <v>240</v>
      </c>
      <c r="Y252" s="11">
        <f>IFERROR(INT(Tabla1[[#This Row],[CANTIDAD UND FARMACEUTICAS]]/(VLOOKUP(Tabla1[[#This Row],[MEDICAMENTO]],TAB_REF!$K$3:$L$27,2,0))),"")</f>
        <v>8</v>
      </c>
      <c r="Z252" s="10" t="str">
        <f>IFERROR(VLOOKUP(Tabla1[[#This Row],[MEDICAMENTO]],TAB_REF!$B$3:$F$27,2,0), "")</f>
        <v xml:space="preserve">Metadona HCl </v>
      </c>
      <c r="AA252" s="10" t="str">
        <f>IFERROR(VLOOKUP(Tabla1[[#This Row],[MEDICAMENTO]],TAB_REF!$B$3:$F$27,3,0), "")</f>
        <v xml:space="preserve">10 mg </v>
      </c>
      <c r="AB252" s="10" t="str">
        <f>IFERROR(VLOOKUP(Tabla1[[#This Row],[MEDICAMENTO]],TAB_REF!$B$3:$F$27,4,0), "")</f>
        <v>Tabletas NACIONAL</v>
      </c>
      <c r="AC252" s="10" t="str">
        <f>IFERROR(VLOOKUP(Tabla1[[#This Row],[MEDICAMENTO]],TAB_REF!$B$3:$F$27,5,0), "")</f>
        <v>Caja x 30 unidades</v>
      </c>
      <c r="AD252" s="10" t="str">
        <f>IFERROR(VLOOKUP(Tabla1[[#This Row],[CANTIDAD UND COMERCIALES]],TAB_REF!$H$3:$I$1003,2,0)&amp;" ("&amp;Tabla1[[#This Row],[CANTIDAD UND COMERCIALES]]&amp;")"&amp;"_"&amp;Tabla1[[#This Row],[CANTIDAD]],"")</f>
        <v>Ocho (8)_Caja x 30 unidades</v>
      </c>
      <c r="AE252" s="31" t="e">
        <f>CONCATENATE([1]!Tabla1[[#This Row],[NOMBRE MED.]],[1]!Tabla1[[#This Row],[CONCENTRACION]],[1]!Tabla1[[#This Row],[FORMA FARMACEUTICA]])</f>
        <v>#REF!</v>
      </c>
    </row>
    <row r="253" spans="2:31" x14ac:dyDescent="0.25">
      <c r="B253" s="10">
        <v>97</v>
      </c>
      <c r="C253" s="10" t="s">
        <v>2736</v>
      </c>
      <c r="D253" s="10" t="s">
        <v>2162</v>
      </c>
      <c r="E253" s="10" t="s">
        <v>2532</v>
      </c>
      <c r="F253" s="10" t="s">
        <v>2533</v>
      </c>
      <c r="G253" s="10" t="s">
        <v>2737</v>
      </c>
      <c r="H253" s="10" t="s">
        <v>2738</v>
      </c>
      <c r="I253" s="10" t="s">
        <v>2113</v>
      </c>
      <c r="J253" s="10" t="s">
        <v>1442</v>
      </c>
      <c r="K253" s="10" t="s">
        <v>2739</v>
      </c>
      <c r="L253" s="11">
        <v>202124100293612</v>
      </c>
      <c r="M253" s="20">
        <v>44246</v>
      </c>
      <c r="N253" s="20" t="str">
        <f>UPPER(TEXT(Tabla1[[#This Row],[FECHA RADICADO ENTRADA]],"MMM"))</f>
        <v>FEB</v>
      </c>
      <c r="O253" s="11">
        <v>202124110303001</v>
      </c>
      <c r="P253" s="20">
        <v>44250</v>
      </c>
      <c r="Q253" s="20" t="str">
        <f>UPPER(TEXT(Tabla1[[#This Row],[FECHA RADICADO ENTRADA]],"MMM"))</f>
        <v>FEB</v>
      </c>
      <c r="R253" s="10">
        <f t="shared" si="3"/>
        <v>-4</v>
      </c>
      <c r="S253" s="10" t="s">
        <v>2154</v>
      </c>
      <c r="U253" s="10" t="s">
        <v>2740</v>
      </c>
      <c r="V253" s="20">
        <v>44223</v>
      </c>
      <c r="W253" s="10" t="s">
        <v>28</v>
      </c>
      <c r="X253" s="10">
        <v>10</v>
      </c>
      <c r="Y253" s="11">
        <f>IFERROR(INT(Tabla1[[#This Row],[CANTIDAD UND FARMACEUTICAS]]/(VLOOKUP(Tabla1[[#This Row],[MEDICAMENTO]],TAB_REF!$K$3:$L$27,2,0))),"")</f>
        <v>10</v>
      </c>
      <c r="Z253" s="10" t="str">
        <f>IFERROR(VLOOKUP(Tabla1[[#This Row],[MEDICAMENTO]],TAB_REF!$B$3:$F$27,2,0), "")</f>
        <v xml:space="preserve">Fenobarbital </v>
      </c>
      <c r="AA253" s="10" t="str">
        <f>IFERROR(VLOOKUP(Tabla1[[#This Row],[MEDICAMENTO]],TAB_REF!$B$3:$F$27,3,0), "")</f>
        <v xml:space="preserve">0,4%. </v>
      </c>
      <c r="AB253" s="10" t="str">
        <f>IFERROR(VLOOKUP(Tabla1[[#This Row],[MEDICAMENTO]],TAB_REF!$B$3:$F$27,4,0), "")</f>
        <v>Solución Oral</v>
      </c>
      <c r="AC253" s="10" t="str">
        <f>IFERROR(VLOOKUP(Tabla1[[#This Row],[MEDICAMENTO]],TAB_REF!$B$3:$F$27,5,0), "")</f>
        <v>Frasco x 120 mL</v>
      </c>
      <c r="AD253" s="10" t="str">
        <f>IFERROR(VLOOKUP(Tabla1[[#This Row],[CANTIDAD UND COMERCIALES]],TAB_REF!$H$3:$I$1003,2,0)&amp;" ("&amp;Tabla1[[#This Row],[CANTIDAD UND COMERCIALES]]&amp;")"&amp;"_"&amp;Tabla1[[#This Row],[CANTIDAD]],"")</f>
        <v>Diez (10)_Frasco x 120 mL</v>
      </c>
      <c r="AE253" s="31" t="e">
        <f>CONCATENATE([1]!Tabla1[[#This Row],[NOMBRE MED.]],[1]!Tabla1[[#This Row],[CONCENTRACION]],[1]!Tabla1[[#This Row],[FORMA FARMACEUTICA]])</f>
        <v>#REF!</v>
      </c>
    </row>
    <row r="254" spans="2:31" x14ac:dyDescent="0.25">
      <c r="B254" s="10">
        <v>97</v>
      </c>
      <c r="C254" s="10" t="s">
        <v>2736</v>
      </c>
      <c r="D254" s="10" t="s">
        <v>2162</v>
      </c>
      <c r="E254" s="10" t="s">
        <v>2532</v>
      </c>
      <c r="F254" s="10" t="s">
        <v>2533</v>
      </c>
      <c r="G254" s="21" t="s">
        <v>2737</v>
      </c>
      <c r="H254" s="10" t="s">
        <v>2738</v>
      </c>
      <c r="I254" s="10" t="s">
        <v>2113</v>
      </c>
      <c r="J254" s="10" t="s">
        <v>1442</v>
      </c>
      <c r="K254" s="10" t="s">
        <v>2739</v>
      </c>
      <c r="L254" s="11">
        <v>202124100293612</v>
      </c>
      <c r="M254" s="20">
        <v>44246</v>
      </c>
      <c r="N254" s="20" t="str">
        <f>UPPER(TEXT(Tabla1[[#This Row],[FECHA RADICADO ENTRADA]],"MMM"))</f>
        <v>FEB</v>
      </c>
      <c r="O254" s="11">
        <v>202124110303001</v>
      </c>
      <c r="P254" s="20">
        <v>44250</v>
      </c>
      <c r="Q254" s="20" t="str">
        <f>UPPER(TEXT(Tabla1[[#This Row],[FECHA RADICADO ENTRADA]],"MMM"))</f>
        <v>FEB</v>
      </c>
      <c r="R254" s="10">
        <f t="shared" si="3"/>
        <v>-4</v>
      </c>
      <c r="S254" s="10" t="s">
        <v>2145</v>
      </c>
      <c r="T254" s="10" t="s">
        <v>2537</v>
      </c>
      <c r="U254" s="10" t="s">
        <v>2740</v>
      </c>
      <c r="V254" s="20">
        <v>44223</v>
      </c>
      <c r="W254" s="10" t="s">
        <v>34</v>
      </c>
      <c r="X254" s="10">
        <v>0</v>
      </c>
      <c r="Y254" s="11">
        <f>IFERROR(INT(Tabla1[[#This Row],[CANTIDAD UND FARMACEUTICAS]]/(VLOOKUP(Tabla1[[#This Row],[MEDICAMENTO]],TAB_REF!$K$3:$L$27,2,0))),"")</f>
        <v>0</v>
      </c>
      <c r="Z254" s="10" t="str">
        <f>IFERROR(VLOOKUP(Tabla1[[#This Row],[MEDICAMENTO]],TAB_REF!$B$3:$F$27,2,0), "")</f>
        <v xml:space="preserve">Fenobarbital Sódico </v>
      </c>
      <c r="AA254" s="10" t="str">
        <f>IFERROR(VLOOKUP(Tabla1[[#This Row],[MEDICAMENTO]],TAB_REF!$B$3:$F$27,3,0), "")</f>
        <v xml:space="preserve">200 mg/Ml </v>
      </c>
      <c r="AB254" s="10" t="str">
        <f>IFERROR(VLOOKUP(Tabla1[[#This Row],[MEDICAMENTO]],TAB_REF!$B$3:$F$27,4,0), "")</f>
        <v>Solución Inyectable</v>
      </c>
      <c r="AC254" s="10" t="str">
        <f>IFERROR(VLOOKUP(Tabla1[[#This Row],[MEDICAMENTO]],TAB_REF!$B$3:$F$27,5,0), "")</f>
        <v>Caja x 10 unidades</v>
      </c>
      <c r="AD254" s="10" t="str">
        <f>IFERROR(VLOOKUP(Tabla1[[#This Row],[CANTIDAD UND COMERCIALES]],TAB_REF!$H$3:$I$1003,2,0)&amp;" ("&amp;Tabla1[[#This Row],[CANTIDAD UND COMERCIALES]]&amp;")"&amp;"_"&amp;Tabla1[[#This Row],[CANTIDAD]],"")</f>
        <v/>
      </c>
      <c r="AE254" s="31" t="e">
        <f>CONCATENATE([1]!Tabla1[[#This Row],[NOMBRE MED.]],[1]!Tabla1[[#This Row],[CONCENTRACION]],[1]!Tabla1[[#This Row],[FORMA FARMACEUTICA]])</f>
        <v>#REF!</v>
      </c>
    </row>
    <row r="255" spans="2:31" x14ac:dyDescent="0.25">
      <c r="B255" s="10">
        <v>97</v>
      </c>
      <c r="C255" s="10" t="s">
        <v>2736</v>
      </c>
      <c r="D255" s="10" t="s">
        <v>2162</v>
      </c>
      <c r="E255" s="10" t="s">
        <v>2532</v>
      </c>
      <c r="F255" s="10" t="s">
        <v>2533</v>
      </c>
      <c r="G255" s="10" t="s">
        <v>2737</v>
      </c>
      <c r="H255" s="10" t="s">
        <v>2738</v>
      </c>
      <c r="I255" s="10" t="s">
        <v>2113</v>
      </c>
      <c r="J255" s="10" t="s">
        <v>1442</v>
      </c>
      <c r="K255" s="10" t="s">
        <v>2739</v>
      </c>
      <c r="L255" s="11">
        <v>202124100293612</v>
      </c>
      <c r="M255" s="20">
        <v>44246</v>
      </c>
      <c r="N255" s="20" t="str">
        <f>UPPER(TEXT(Tabla1[[#This Row],[FECHA RADICADO ENTRADA]],"MMM"))</f>
        <v>FEB</v>
      </c>
      <c r="O255" s="11">
        <v>202124110303001</v>
      </c>
      <c r="P255" s="20">
        <v>44250</v>
      </c>
      <c r="Q255" s="20" t="str">
        <f>UPPER(TEXT(Tabla1[[#This Row],[FECHA RADICADO ENTRADA]],"MMM"))</f>
        <v>FEB</v>
      </c>
      <c r="R255" s="10">
        <f t="shared" si="3"/>
        <v>-4</v>
      </c>
      <c r="S255" s="10" t="s">
        <v>2154</v>
      </c>
      <c r="U255" s="10" t="s">
        <v>2740</v>
      </c>
      <c r="V255" s="20">
        <v>44223</v>
      </c>
      <c r="W255" s="10" t="s">
        <v>37</v>
      </c>
      <c r="X255" s="10">
        <v>800</v>
      </c>
      <c r="Y255" s="11">
        <f>IFERROR(INT(Tabla1[[#This Row],[CANTIDAD UND FARMACEUTICAS]]/(VLOOKUP(Tabla1[[#This Row],[MEDICAMENTO]],TAB_REF!$K$3:$L$27,2,0))),"")</f>
        <v>80</v>
      </c>
      <c r="Z255" s="10" t="str">
        <f>IFERROR(VLOOKUP(Tabla1[[#This Row],[MEDICAMENTO]],TAB_REF!$B$3:$F$27,2,0), "")</f>
        <v xml:space="preserve">Hidromorfona HCl </v>
      </c>
      <c r="AA255" s="10" t="str">
        <f>IFERROR(VLOOKUP(Tabla1[[#This Row],[MEDICAMENTO]],TAB_REF!$B$3:$F$27,3,0), "")</f>
        <v xml:space="preserve">2 mg/mL </v>
      </c>
      <c r="AB255" s="10" t="str">
        <f>IFERROR(VLOOKUP(Tabla1[[#This Row],[MEDICAMENTO]],TAB_REF!$B$3:$F$27,4,0), "")</f>
        <v>Solución Inyectable</v>
      </c>
      <c r="AC255" s="10" t="str">
        <f>IFERROR(VLOOKUP(Tabla1[[#This Row],[MEDICAMENTO]],TAB_REF!$B$3:$F$27,5,0), "")</f>
        <v>Caja x 10 unidades</v>
      </c>
      <c r="AD255" s="10" t="str">
        <f>IFERROR(VLOOKUP(Tabla1[[#This Row],[CANTIDAD UND COMERCIALES]],TAB_REF!$H$3:$I$1003,2,0)&amp;" ("&amp;Tabla1[[#This Row],[CANTIDAD UND COMERCIALES]]&amp;")"&amp;"_"&amp;Tabla1[[#This Row],[CANTIDAD]],"")</f>
        <v>Ochenta (80)_Caja x 10 unidades</v>
      </c>
      <c r="AE255" s="31" t="e">
        <f>CONCATENATE([1]!Tabla1[[#This Row],[NOMBRE MED.]],[1]!Tabla1[[#This Row],[CONCENTRACION]],[1]!Tabla1[[#This Row],[FORMA FARMACEUTICA]])</f>
        <v>#REF!</v>
      </c>
    </row>
    <row r="256" spans="2:31" x14ac:dyDescent="0.25">
      <c r="B256" s="10">
        <v>97</v>
      </c>
      <c r="C256" s="10" t="s">
        <v>2736</v>
      </c>
      <c r="D256" s="10" t="s">
        <v>2162</v>
      </c>
      <c r="E256" s="10" t="s">
        <v>2532</v>
      </c>
      <c r="F256" s="10" t="s">
        <v>2533</v>
      </c>
      <c r="G256" s="10" t="s">
        <v>2737</v>
      </c>
      <c r="H256" s="10" t="s">
        <v>2738</v>
      </c>
      <c r="I256" s="10" t="s">
        <v>2113</v>
      </c>
      <c r="J256" s="10" t="s">
        <v>1442</v>
      </c>
      <c r="K256" s="10" t="s">
        <v>2739</v>
      </c>
      <c r="L256" s="11">
        <v>202124100293612</v>
      </c>
      <c r="M256" s="20">
        <v>44246</v>
      </c>
      <c r="N256" s="20" t="str">
        <f>UPPER(TEXT(Tabla1[[#This Row],[FECHA RADICADO ENTRADA]],"MMM"))</f>
        <v>FEB</v>
      </c>
      <c r="O256" s="11">
        <v>202124110303001</v>
      </c>
      <c r="P256" s="20">
        <v>44250</v>
      </c>
      <c r="Q256" s="20" t="str">
        <f>UPPER(TEXT(Tabla1[[#This Row],[FECHA RADICADO ENTRADA]],"MMM"))</f>
        <v>FEB</v>
      </c>
      <c r="R256" s="10">
        <f t="shared" si="3"/>
        <v>-4</v>
      </c>
      <c r="S256" s="10" t="s">
        <v>2154</v>
      </c>
      <c r="U256" s="10" t="s">
        <v>2740</v>
      </c>
      <c r="V256" s="20">
        <v>44223</v>
      </c>
      <c r="W256" s="10" t="s">
        <v>60</v>
      </c>
      <c r="X256" s="10">
        <v>25</v>
      </c>
      <c r="Y256" s="11">
        <f>IFERROR(INT(Tabla1[[#This Row],[CANTIDAD UND FARMACEUTICAS]]/(VLOOKUP(Tabla1[[#This Row],[MEDICAMENTO]],TAB_REF!$K$3:$L$27,2,0))),"")</f>
        <v>25</v>
      </c>
      <c r="Z256" s="10" t="str">
        <f>IFERROR(VLOOKUP(Tabla1[[#This Row],[MEDICAMENTO]],TAB_REF!$B$3:$F$27,2,0), "")</f>
        <v xml:space="preserve">Morfina HCl </v>
      </c>
      <c r="AA256" s="10" t="str">
        <f>IFERROR(VLOOKUP(Tabla1[[#This Row],[MEDICAMENTO]],TAB_REF!$B$3:$F$27,3,0), "")</f>
        <v xml:space="preserve">3%. </v>
      </c>
      <c r="AB256" s="10" t="str">
        <f>IFERROR(VLOOKUP(Tabla1[[#This Row],[MEDICAMENTO]],TAB_REF!$B$3:$F$27,4,0), "")</f>
        <v>Solución Oral</v>
      </c>
      <c r="AC256" s="10" t="str">
        <f>IFERROR(VLOOKUP(Tabla1[[#This Row],[MEDICAMENTO]],TAB_REF!$B$3:$F$27,5,0), "")</f>
        <v>Frasco x 30 mL</v>
      </c>
      <c r="AD256" s="10" t="str">
        <f>IFERROR(VLOOKUP(Tabla1[[#This Row],[CANTIDAD UND COMERCIALES]],TAB_REF!$H$3:$I$1003,2,0)&amp;" ("&amp;Tabla1[[#This Row],[CANTIDAD UND COMERCIALES]]&amp;")"&amp;"_"&amp;Tabla1[[#This Row],[CANTIDAD]],"")</f>
        <v>Veinticinco (25)_Frasco x 30 mL</v>
      </c>
      <c r="AE256" s="31" t="e">
        <f>CONCATENATE([1]!Tabla1[[#This Row],[NOMBRE MED.]],[1]!Tabla1[[#This Row],[CONCENTRACION]],[1]!Tabla1[[#This Row],[FORMA FARMACEUTICA]])</f>
        <v>#REF!</v>
      </c>
    </row>
    <row r="257" spans="2:31" x14ac:dyDescent="0.25">
      <c r="B257" s="10">
        <v>97</v>
      </c>
      <c r="C257" s="10" t="s">
        <v>2736</v>
      </c>
      <c r="D257" s="10" t="s">
        <v>2162</v>
      </c>
      <c r="E257" s="10" t="s">
        <v>2532</v>
      </c>
      <c r="F257" s="10" t="s">
        <v>2533</v>
      </c>
      <c r="G257" s="10" t="s">
        <v>2737</v>
      </c>
      <c r="H257" s="10" t="s">
        <v>2738</v>
      </c>
      <c r="I257" s="10" t="s">
        <v>2113</v>
      </c>
      <c r="J257" s="10" t="s">
        <v>1442</v>
      </c>
      <c r="K257" s="10" t="s">
        <v>2739</v>
      </c>
      <c r="L257" s="11">
        <v>202124100293612</v>
      </c>
      <c r="M257" s="20">
        <v>44246</v>
      </c>
      <c r="N257" s="20" t="str">
        <f>UPPER(TEXT(Tabla1[[#This Row],[FECHA RADICADO ENTRADA]],"MMM"))</f>
        <v>FEB</v>
      </c>
      <c r="O257" s="11">
        <v>202124110303001</v>
      </c>
      <c r="P257" s="20">
        <v>44250</v>
      </c>
      <c r="Q257" s="20" t="str">
        <f>UPPER(TEXT(Tabla1[[#This Row],[FECHA RADICADO ENTRADA]],"MMM"))</f>
        <v>FEB</v>
      </c>
      <c r="R257" s="10">
        <f t="shared" si="3"/>
        <v>-4</v>
      </c>
      <c r="S257" s="10" t="s">
        <v>2154</v>
      </c>
      <c r="U257" s="10" t="s">
        <v>2740</v>
      </c>
      <c r="V257" s="20">
        <v>44223</v>
      </c>
      <c r="W257" s="10" t="s">
        <v>63</v>
      </c>
      <c r="X257" s="10">
        <v>2000</v>
      </c>
      <c r="Y257" s="11">
        <f>IFERROR(INT(Tabla1[[#This Row],[CANTIDAD UND FARMACEUTICAS]]/(VLOOKUP(Tabla1[[#This Row],[MEDICAMENTO]],TAB_REF!$K$3:$L$27,2,0))),"")</f>
        <v>200</v>
      </c>
      <c r="Z257" s="10" t="str">
        <f>IFERROR(VLOOKUP(Tabla1[[#This Row],[MEDICAMENTO]],TAB_REF!$B$3:$F$27,2,0), "")</f>
        <v xml:space="preserve">Morfina HCl </v>
      </c>
      <c r="AA257" s="10" t="str">
        <f>IFERROR(VLOOKUP(Tabla1[[#This Row],[MEDICAMENTO]],TAB_REF!$B$3:$F$27,3,0), "")</f>
        <v xml:space="preserve">10 mg/mL </v>
      </c>
      <c r="AB257" s="10" t="str">
        <f>IFERROR(VLOOKUP(Tabla1[[#This Row],[MEDICAMENTO]],TAB_REF!$B$3:$F$27,4,0), "")</f>
        <v>Solución Inyectable</v>
      </c>
      <c r="AC257" s="10" t="str">
        <f>IFERROR(VLOOKUP(Tabla1[[#This Row],[MEDICAMENTO]],TAB_REF!$B$3:$F$27,5,0), "")</f>
        <v>Caja x 10 unidades</v>
      </c>
      <c r="AD257" s="10" t="str">
        <f>IFERROR(VLOOKUP(Tabla1[[#This Row],[CANTIDAD UND COMERCIALES]],TAB_REF!$H$3:$I$1003,2,0)&amp;" ("&amp;Tabla1[[#This Row],[CANTIDAD UND COMERCIALES]]&amp;")"&amp;"_"&amp;Tabla1[[#This Row],[CANTIDAD]],"")</f>
        <v>Doscientos (200)_Caja x 10 unidades</v>
      </c>
      <c r="AE257" s="31" t="e">
        <f>CONCATENATE([1]!Tabla1[[#This Row],[NOMBRE MED.]],[1]!Tabla1[[#This Row],[CONCENTRACION]],[1]!Tabla1[[#This Row],[FORMA FARMACEUTICA]])</f>
        <v>#REF!</v>
      </c>
    </row>
    <row r="258" spans="2:31" x14ac:dyDescent="0.25">
      <c r="B258" s="10">
        <v>98</v>
      </c>
      <c r="C258" s="10" t="s">
        <v>2742</v>
      </c>
      <c r="D258" s="10" t="s">
        <v>2162</v>
      </c>
      <c r="E258" s="10" t="s">
        <v>2743</v>
      </c>
      <c r="F258" s="10" t="s">
        <v>2744</v>
      </c>
      <c r="G258" s="21" t="s">
        <v>2745</v>
      </c>
      <c r="H258" s="10" t="s">
        <v>2691</v>
      </c>
      <c r="I258" s="10" t="s">
        <v>2107</v>
      </c>
      <c r="J258" s="10" t="s">
        <v>1219</v>
      </c>
      <c r="K258" s="10" t="s">
        <v>2746</v>
      </c>
      <c r="L258" s="11">
        <v>202124100254852</v>
      </c>
      <c r="M258" s="20">
        <v>44242</v>
      </c>
      <c r="N258" s="20" t="str">
        <f>UPPER(TEXT(Tabla1[[#This Row],[FECHA RADICADO ENTRADA]],"MMM"))</f>
        <v>FEB</v>
      </c>
      <c r="O258" s="11">
        <v>202124110337351</v>
      </c>
      <c r="P258" s="20">
        <v>44256</v>
      </c>
      <c r="Q258" s="20" t="str">
        <f>UPPER(TEXT(Tabla1[[#This Row],[FECHA RADICADO ENTRADA]],"MMM"))</f>
        <v>FEB</v>
      </c>
      <c r="R258" s="10">
        <f t="shared" ref="R258:R321" si="4">_xlfn.DAYS(M258,P258)</f>
        <v>-14</v>
      </c>
      <c r="S258" s="10" t="s">
        <v>2154</v>
      </c>
      <c r="U258" s="10" t="s">
        <v>2747</v>
      </c>
      <c r="V258" s="20">
        <v>44029</v>
      </c>
      <c r="W258" s="10" t="s">
        <v>48</v>
      </c>
      <c r="X258" s="10">
        <v>600</v>
      </c>
      <c r="Y258" s="11">
        <f>IFERROR(INT(Tabla1[[#This Row],[CANTIDAD UND FARMACEUTICAS]]/(VLOOKUP(Tabla1[[#This Row],[MEDICAMENTO]],TAB_REF!$K$3:$L$27,2,0))),"")</f>
        <v>20</v>
      </c>
      <c r="Z258" s="10" t="str">
        <f>IFERROR(VLOOKUP(Tabla1[[#This Row],[MEDICAMENTO]],TAB_REF!$B$3:$F$27,2,0), "")</f>
        <v xml:space="preserve">Metilfenidato HCl </v>
      </c>
      <c r="AA258" s="10" t="str">
        <f>IFERROR(VLOOKUP(Tabla1[[#This Row],[MEDICAMENTO]],TAB_REF!$B$3:$F$27,3,0), "")</f>
        <v xml:space="preserve">10 mg </v>
      </c>
      <c r="AB258" s="10" t="str">
        <f>IFERROR(VLOOKUP(Tabla1[[#This Row],[MEDICAMENTO]],TAB_REF!$B$3:$F$27,4,0), "")</f>
        <v>Comprimidos</v>
      </c>
      <c r="AC258" s="10" t="str">
        <f>IFERROR(VLOOKUP(Tabla1[[#This Row],[MEDICAMENTO]],TAB_REF!$B$3:$F$27,5,0), "")</f>
        <v>Caja x 30 unidades</v>
      </c>
      <c r="AD258" s="10" t="str">
        <f>IFERROR(VLOOKUP(Tabla1[[#This Row],[CANTIDAD UND COMERCIALES]],TAB_REF!$H$3:$I$1003,2,0)&amp;" ("&amp;Tabla1[[#This Row],[CANTIDAD UND COMERCIALES]]&amp;")"&amp;"_"&amp;Tabla1[[#This Row],[CANTIDAD]],"")</f>
        <v>Veinte (20)_Caja x 30 unidades</v>
      </c>
      <c r="AE258" s="31" t="e">
        <f>CONCATENATE([1]!Tabla1[[#This Row],[NOMBRE MED.]],[1]!Tabla1[[#This Row],[CONCENTRACION]],[1]!Tabla1[[#This Row],[FORMA FARMACEUTICA]])</f>
        <v>#REF!</v>
      </c>
    </row>
    <row r="259" spans="2:31" x14ac:dyDescent="0.25">
      <c r="B259" s="10">
        <v>99</v>
      </c>
      <c r="C259" s="10" t="s">
        <v>2748</v>
      </c>
      <c r="D259" s="10" t="s">
        <v>2175</v>
      </c>
      <c r="E259" s="10" t="s">
        <v>2749</v>
      </c>
      <c r="F259" s="10" t="s">
        <v>2751</v>
      </c>
      <c r="G259" s="10" t="s">
        <v>2752</v>
      </c>
      <c r="H259" s="10" t="s">
        <v>2750</v>
      </c>
      <c r="I259" s="10" t="s">
        <v>2113</v>
      </c>
      <c r="J259" s="10" t="s">
        <v>1442</v>
      </c>
      <c r="K259" s="10" t="s">
        <v>2685</v>
      </c>
      <c r="L259" s="11">
        <v>202124100306592</v>
      </c>
      <c r="M259" s="20">
        <v>44249</v>
      </c>
      <c r="N259" s="20" t="str">
        <f>UPPER(TEXT(Tabla1[[#This Row],[FECHA RADICADO ENTRADA]],"MMM"))</f>
        <v>FEB</v>
      </c>
      <c r="O259" s="11">
        <v>202124110337391</v>
      </c>
      <c r="P259" s="20">
        <v>44256</v>
      </c>
      <c r="Q259" s="20" t="str">
        <f>UPPER(TEXT(Tabla1[[#This Row],[FECHA RADICADO ENTRADA]],"MMM"))</f>
        <v>FEB</v>
      </c>
      <c r="R259" s="10">
        <f t="shared" si="4"/>
        <v>-7</v>
      </c>
      <c r="S259" s="10" t="s">
        <v>2154</v>
      </c>
      <c r="T259" s="10" t="s">
        <v>2829</v>
      </c>
      <c r="U259" s="10" t="s">
        <v>2753</v>
      </c>
      <c r="V259" s="20">
        <v>44223</v>
      </c>
      <c r="W259" s="10" t="s">
        <v>38</v>
      </c>
      <c r="X259" s="10">
        <v>200</v>
      </c>
      <c r="Y259" s="11">
        <f>IFERROR(INT(Tabla1[[#This Row],[CANTIDAD UND FARMACEUTICAS]]/(VLOOKUP(Tabla1[[#This Row],[MEDICAMENTO]],TAB_REF!$K$3:$L$27,2,0))),"")</f>
        <v>10</v>
      </c>
      <c r="Z259" s="10" t="str">
        <f>IFERROR(VLOOKUP(Tabla1[[#This Row],[MEDICAMENTO]],TAB_REF!$B$3:$F$27,2,0), "")</f>
        <v xml:space="preserve">Hidromorfona HCl </v>
      </c>
      <c r="AA259" s="10" t="str">
        <f>IFERROR(VLOOKUP(Tabla1[[#This Row],[MEDICAMENTO]],TAB_REF!$B$3:$F$27,3,0), "")</f>
        <v xml:space="preserve">2,5 mg </v>
      </c>
      <c r="AB259" s="10" t="str">
        <f>IFERROR(VLOOKUP(Tabla1[[#This Row],[MEDICAMENTO]],TAB_REF!$B$3:$F$27,4,0), "")</f>
        <v>Tabletas</v>
      </c>
      <c r="AC259" s="10" t="str">
        <f>IFERROR(VLOOKUP(Tabla1[[#This Row],[MEDICAMENTO]],TAB_REF!$B$3:$F$27,5,0), "")</f>
        <v>Caja x 20 unidades</v>
      </c>
      <c r="AD259" s="10" t="str">
        <f>IFERROR(VLOOKUP(Tabla1[[#This Row],[CANTIDAD UND COMERCIALES]],TAB_REF!$H$3:$I$1003,2,0)&amp;" ("&amp;Tabla1[[#This Row],[CANTIDAD UND COMERCIALES]]&amp;")"&amp;"_"&amp;Tabla1[[#This Row],[CANTIDAD]],"")</f>
        <v>Diez (10)_Caja x 20 unidades</v>
      </c>
      <c r="AE259" s="31" t="e">
        <f>CONCATENATE([1]!Tabla1[[#This Row],[NOMBRE MED.]],[1]!Tabla1[[#This Row],[CONCENTRACION]],[1]!Tabla1[[#This Row],[FORMA FARMACEUTICA]])</f>
        <v>#REF!</v>
      </c>
    </row>
    <row r="260" spans="2:31" x14ac:dyDescent="0.25">
      <c r="B260" s="10">
        <v>99</v>
      </c>
      <c r="C260" s="10" t="s">
        <v>2748</v>
      </c>
      <c r="D260" s="10" t="s">
        <v>2175</v>
      </c>
      <c r="E260" s="10" t="s">
        <v>2749</v>
      </c>
      <c r="F260" s="10" t="s">
        <v>2751</v>
      </c>
      <c r="G260" s="10" t="s">
        <v>2752</v>
      </c>
      <c r="H260" s="10" t="s">
        <v>2750</v>
      </c>
      <c r="I260" s="10" t="s">
        <v>2113</v>
      </c>
      <c r="J260" s="10" t="s">
        <v>1442</v>
      </c>
      <c r="K260" s="10" t="s">
        <v>2685</v>
      </c>
      <c r="L260" s="11">
        <v>202124100306592</v>
      </c>
      <c r="M260" s="20">
        <v>44249</v>
      </c>
      <c r="N260" s="20" t="str">
        <f>UPPER(TEXT(Tabla1[[#This Row],[FECHA RADICADO ENTRADA]],"MMM"))</f>
        <v>FEB</v>
      </c>
      <c r="O260" s="11">
        <v>202124110337391</v>
      </c>
      <c r="P260" s="20">
        <v>44256</v>
      </c>
      <c r="Q260" s="20" t="str">
        <f>UPPER(TEXT(Tabla1[[#This Row],[FECHA RADICADO ENTRADA]],"MMM"))</f>
        <v>FEB</v>
      </c>
      <c r="R260" s="10">
        <f t="shared" si="4"/>
        <v>-7</v>
      </c>
      <c r="S260" s="10" t="s">
        <v>2154</v>
      </c>
      <c r="T260" s="10" t="s">
        <v>2829</v>
      </c>
      <c r="U260" s="10" t="s">
        <v>2753</v>
      </c>
      <c r="V260" s="20">
        <v>44223</v>
      </c>
      <c r="W260" s="10" t="s">
        <v>60</v>
      </c>
      <c r="X260" s="10">
        <v>50</v>
      </c>
      <c r="Y260" s="11">
        <f>IFERROR(INT(Tabla1[[#This Row],[CANTIDAD UND FARMACEUTICAS]]/(VLOOKUP(Tabla1[[#This Row],[MEDICAMENTO]],TAB_REF!$K$3:$L$27,2,0))),"")</f>
        <v>50</v>
      </c>
      <c r="Z260" s="10" t="str">
        <f>IFERROR(VLOOKUP(Tabla1[[#This Row],[MEDICAMENTO]],TAB_REF!$B$3:$F$27,2,0), "")</f>
        <v xml:space="preserve">Morfina HCl </v>
      </c>
      <c r="AA260" s="10" t="str">
        <f>IFERROR(VLOOKUP(Tabla1[[#This Row],[MEDICAMENTO]],TAB_REF!$B$3:$F$27,3,0), "")</f>
        <v xml:space="preserve">3%. </v>
      </c>
      <c r="AB260" s="10" t="str">
        <f>IFERROR(VLOOKUP(Tabla1[[#This Row],[MEDICAMENTO]],TAB_REF!$B$3:$F$27,4,0), "")</f>
        <v>Solución Oral</v>
      </c>
      <c r="AC260" s="10" t="str">
        <f>IFERROR(VLOOKUP(Tabla1[[#This Row],[MEDICAMENTO]],TAB_REF!$B$3:$F$27,5,0), "")</f>
        <v>Frasco x 30 mL</v>
      </c>
      <c r="AD260" s="10" t="str">
        <f>IFERROR(VLOOKUP(Tabla1[[#This Row],[CANTIDAD UND COMERCIALES]],TAB_REF!$H$3:$I$1003,2,0)&amp;" ("&amp;Tabla1[[#This Row],[CANTIDAD UND COMERCIALES]]&amp;")"&amp;"_"&amp;Tabla1[[#This Row],[CANTIDAD]],"")</f>
        <v>Cincuenta (50)_Frasco x 30 mL</v>
      </c>
      <c r="AE260" s="31" t="e">
        <f>CONCATENATE([1]!Tabla1[[#This Row],[NOMBRE MED.]],[1]!Tabla1[[#This Row],[CONCENTRACION]],[1]!Tabla1[[#This Row],[FORMA FARMACEUTICA]])</f>
        <v>#REF!</v>
      </c>
    </row>
    <row r="261" spans="2:31" x14ac:dyDescent="0.25">
      <c r="B261" s="10">
        <v>99</v>
      </c>
      <c r="C261" s="10" t="s">
        <v>2748</v>
      </c>
      <c r="D261" s="10" t="s">
        <v>2175</v>
      </c>
      <c r="E261" s="10" t="s">
        <v>2749</v>
      </c>
      <c r="F261" s="10" t="s">
        <v>2751</v>
      </c>
      <c r="G261" s="10" t="s">
        <v>2752</v>
      </c>
      <c r="H261" s="10" t="s">
        <v>2750</v>
      </c>
      <c r="I261" s="10" t="s">
        <v>2113</v>
      </c>
      <c r="J261" s="10" t="s">
        <v>1442</v>
      </c>
      <c r="K261" s="10" t="s">
        <v>2685</v>
      </c>
      <c r="L261" s="11">
        <v>202124100306592</v>
      </c>
      <c r="M261" s="20">
        <v>44249</v>
      </c>
      <c r="N261" s="20" t="str">
        <f>UPPER(TEXT(Tabla1[[#This Row],[FECHA RADICADO ENTRADA]],"MMM"))</f>
        <v>FEB</v>
      </c>
      <c r="O261" s="11">
        <v>202124110337391</v>
      </c>
      <c r="P261" s="20">
        <v>44256</v>
      </c>
      <c r="Q261" s="20" t="str">
        <f>UPPER(TEXT(Tabla1[[#This Row],[FECHA RADICADO ENTRADA]],"MMM"))</f>
        <v>FEB</v>
      </c>
      <c r="R261" s="10">
        <f t="shared" si="4"/>
        <v>-7</v>
      </c>
      <c r="S261" s="10" t="s">
        <v>2154</v>
      </c>
      <c r="T261" s="10" t="s">
        <v>2829</v>
      </c>
      <c r="U261" s="10" t="s">
        <v>2753</v>
      </c>
      <c r="V261" s="20">
        <v>44223</v>
      </c>
      <c r="W261" s="10" t="s">
        <v>28</v>
      </c>
      <c r="X261" s="10">
        <v>15</v>
      </c>
      <c r="Y261" s="11">
        <f>IFERROR(INT(Tabla1[[#This Row],[CANTIDAD UND FARMACEUTICAS]]/(VLOOKUP(Tabla1[[#This Row],[MEDICAMENTO]],TAB_REF!$K$3:$L$27,2,0))),"")</f>
        <v>15</v>
      </c>
      <c r="Z261" s="10" t="str">
        <f>IFERROR(VLOOKUP(Tabla1[[#This Row],[MEDICAMENTO]],TAB_REF!$B$3:$F$27,2,0), "")</f>
        <v xml:space="preserve">Fenobarbital </v>
      </c>
      <c r="AA261" s="10" t="str">
        <f>IFERROR(VLOOKUP(Tabla1[[#This Row],[MEDICAMENTO]],TAB_REF!$B$3:$F$27,3,0), "")</f>
        <v xml:space="preserve">0,4%. </v>
      </c>
      <c r="AB261" s="10" t="str">
        <f>IFERROR(VLOOKUP(Tabla1[[#This Row],[MEDICAMENTO]],TAB_REF!$B$3:$F$27,4,0), "")</f>
        <v>Solución Oral</v>
      </c>
      <c r="AC261" s="10" t="str">
        <f>IFERROR(VLOOKUP(Tabla1[[#This Row],[MEDICAMENTO]],TAB_REF!$B$3:$F$27,5,0), "")</f>
        <v>Frasco x 120 mL</v>
      </c>
      <c r="AD261" s="10" t="str">
        <f>IFERROR(VLOOKUP(Tabla1[[#This Row],[CANTIDAD UND COMERCIALES]],TAB_REF!$H$3:$I$1003,2,0)&amp;" ("&amp;Tabla1[[#This Row],[CANTIDAD UND COMERCIALES]]&amp;")"&amp;"_"&amp;Tabla1[[#This Row],[CANTIDAD]],"")</f>
        <v>Quince (15)_Frasco x 120 mL</v>
      </c>
      <c r="AE261" s="31" t="e">
        <f>CONCATENATE([1]!Tabla1[[#This Row],[NOMBRE MED.]],[1]!Tabla1[[#This Row],[CONCENTRACION]],[1]!Tabla1[[#This Row],[FORMA FARMACEUTICA]])</f>
        <v>#REF!</v>
      </c>
    </row>
    <row r="262" spans="2:31" x14ac:dyDescent="0.25">
      <c r="B262" s="10">
        <v>99</v>
      </c>
      <c r="C262" s="10" t="s">
        <v>2748</v>
      </c>
      <c r="D262" s="10" t="s">
        <v>2175</v>
      </c>
      <c r="E262" s="10" t="s">
        <v>2749</v>
      </c>
      <c r="F262" s="10" t="s">
        <v>2751</v>
      </c>
      <c r="G262" s="10" t="s">
        <v>2752</v>
      </c>
      <c r="H262" s="10" t="s">
        <v>2750</v>
      </c>
      <c r="I262" s="10" t="s">
        <v>2113</v>
      </c>
      <c r="J262" s="10" t="s">
        <v>1442</v>
      </c>
      <c r="K262" s="10" t="s">
        <v>2685</v>
      </c>
      <c r="L262" s="11">
        <v>202124100306592</v>
      </c>
      <c r="M262" s="20">
        <v>44249</v>
      </c>
      <c r="N262" s="20" t="str">
        <f>UPPER(TEXT(Tabla1[[#This Row],[FECHA RADICADO ENTRADA]],"MMM"))</f>
        <v>FEB</v>
      </c>
      <c r="O262" s="11">
        <v>202124110337391</v>
      </c>
      <c r="P262" s="20">
        <v>44256</v>
      </c>
      <c r="Q262" s="20" t="str">
        <f>UPPER(TEXT(Tabla1[[#This Row],[FECHA RADICADO ENTRADA]],"MMM"))</f>
        <v>FEB</v>
      </c>
      <c r="R262" s="10">
        <f t="shared" si="4"/>
        <v>-7</v>
      </c>
      <c r="S262" s="10" t="s">
        <v>2154</v>
      </c>
      <c r="T262" s="10" t="s">
        <v>2829</v>
      </c>
      <c r="U262" s="10" t="s">
        <v>2753</v>
      </c>
      <c r="V262" s="20">
        <v>44223</v>
      </c>
      <c r="W262" s="10" t="s">
        <v>33</v>
      </c>
      <c r="X262" s="10">
        <v>480</v>
      </c>
      <c r="Y262" s="11">
        <f>IFERROR(INT(Tabla1[[#This Row],[CANTIDAD UND FARMACEUTICAS]]/(VLOOKUP(Tabla1[[#This Row],[MEDICAMENTO]],TAB_REF!$K$3:$L$27,2,0))),"")</f>
        <v>16</v>
      </c>
      <c r="Z262" s="10" t="str">
        <f>IFERROR(VLOOKUP(Tabla1[[#This Row],[MEDICAMENTO]],TAB_REF!$B$3:$F$27,2,0), "")</f>
        <v xml:space="preserve">Fenobarbital </v>
      </c>
      <c r="AA262" s="10" t="str">
        <f>IFERROR(VLOOKUP(Tabla1[[#This Row],[MEDICAMENTO]],TAB_REF!$B$3:$F$27,3,0), "")</f>
        <v xml:space="preserve">50 mg </v>
      </c>
      <c r="AB262" s="10" t="str">
        <f>IFERROR(VLOOKUP(Tabla1[[#This Row],[MEDICAMENTO]],TAB_REF!$B$3:$F$27,4,0), "")</f>
        <v>Tabletas</v>
      </c>
      <c r="AC262" s="10" t="str">
        <f>IFERROR(VLOOKUP(Tabla1[[#This Row],[MEDICAMENTO]],TAB_REF!$B$3:$F$27,5,0), "")</f>
        <v>Caja x 30 unidades</v>
      </c>
      <c r="AD262" s="10" t="str">
        <f>IFERROR(VLOOKUP(Tabla1[[#This Row],[CANTIDAD UND COMERCIALES]],TAB_REF!$H$3:$I$1003,2,0)&amp;" ("&amp;Tabla1[[#This Row],[CANTIDAD UND COMERCIALES]]&amp;")"&amp;"_"&amp;Tabla1[[#This Row],[CANTIDAD]],"")</f>
        <v>Dieciseis (16)_Caja x 30 unidades</v>
      </c>
      <c r="AE262" s="31" t="e">
        <f>CONCATENATE([1]!Tabla1[[#This Row],[NOMBRE MED.]],[1]!Tabla1[[#This Row],[CONCENTRACION]],[1]!Tabla1[[#This Row],[FORMA FARMACEUTICA]])</f>
        <v>#REF!</v>
      </c>
    </row>
    <row r="263" spans="2:31" x14ac:dyDescent="0.25">
      <c r="B263" s="10">
        <v>99</v>
      </c>
      <c r="C263" s="10" t="s">
        <v>2748</v>
      </c>
      <c r="D263" s="10" t="s">
        <v>2175</v>
      </c>
      <c r="E263" s="10" t="s">
        <v>2749</v>
      </c>
      <c r="F263" s="10" t="s">
        <v>2751</v>
      </c>
      <c r="G263" s="10" t="s">
        <v>2752</v>
      </c>
      <c r="H263" s="10" t="s">
        <v>2750</v>
      </c>
      <c r="I263" s="10" t="s">
        <v>2113</v>
      </c>
      <c r="J263" s="10" t="s">
        <v>1442</v>
      </c>
      <c r="K263" s="10" t="s">
        <v>2685</v>
      </c>
      <c r="L263" s="11">
        <v>202124100306592</v>
      </c>
      <c r="M263" s="20">
        <v>44249</v>
      </c>
      <c r="N263" s="20" t="str">
        <f>UPPER(TEXT(Tabla1[[#This Row],[FECHA RADICADO ENTRADA]],"MMM"))</f>
        <v>FEB</v>
      </c>
      <c r="O263" s="11">
        <v>202124110337391</v>
      </c>
      <c r="P263" s="20">
        <v>44256</v>
      </c>
      <c r="Q263" s="20" t="str">
        <f>UPPER(TEXT(Tabla1[[#This Row],[FECHA RADICADO ENTRADA]],"MMM"))</f>
        <v>FEB</v>
      </c>
      <c r="R263" s="10">
        <f t="shared" si="4"/>
        <v>-7</v>
      </c>
      <c r="S263" s="10" t="s">
        <v>2154</v>
      </c>
      <c r="T263" s="10" t="s">
        <v>2829</v>
      </c>
      <c r="U263" s="10" t="s">
        <v>2753</v>
      </c>
      <c r="V263" s="20">
        <v>44223</v>
      </c>
      <c r="W263" s="10" t="s">
        <v>48</v>
      </c>
      <c r="X263" s="10">
        <v>30</v>
      </c>
      <c r="Y263" s="11">
        <f>IFERROR(INT(Tabla1[[#This Row],[CANTIDAD UND FARMACEUTICAS]]/(VLOOKUP(Tabla1[[#This Row],[MEDICAMENTO]],TAB_REF!$K$3:$L$27,2,0))),"")</f>
        <v>1</v>
      </c>
      <c r="Z263" s="10" t="str">
        <f>IFERROR(VLOOKUP(Tabla1[[#This Row],[MEDICAMENTO]],TAB_REF!$B$3:$F$27,2,0), "")</f>
        <v xml:space="preserve">Metilfenidato HCl </v>
      </c>
      <c r="AA263" s="10" t="str">
        <f>IFERROR(VLOOKUP(Tabla1[[#This Row],[MEDICAMENTO]],TAB_REF!$B$3:$F$27,3,0), "")</f>
        <v xml:space="preserve">10 mg </v>
      </c>
      <c r="AB263" s="10" t="str">
        <f>IFERROR(VLOOKUP(Tabla1[[#This Row],[MEDICAMENTO]],TAB_REF!$B$3:$F$27,4,0), "")</f>
        <v>Comprimidos</v>
      </c>
      <c r="AC263" s="10" t="str">
        <f>IFERROR(VLOOKUP(Tabla1[[#This Row],[MEDICAMENTO]],TAB_REF!$B$3:$F$27,5,0), "")</f>
        <v>Caja x 30 unidades</v>
      </c>
      <c r="AD263" s="10" t="str">
        <f>IFERROR(VLOOKUP(Tabla1[[#This Row],[CANTIDAD UND COMERCIALES]],TAB_REF!$H$3:$I$1003,2,0)&amp;" ("&amp;Tabla1[[#This Row],[CANTIDAD UND COMERCIALES]]&amp;")"&amp;"_"&amp;Tabla1[[#This Row],[CANTIDAD]],"")</f>
        <v>Uno (1)_Caja x 30 unidades</v>
      </c>
      <c r="AE263" s="31" t="e">
        <f>CONCATENATE([1]!Tabla1[[#This Row],[NOMBRE MED.]],[1]!Tabla1[[#This Row],[CONCENTRACION]],[1]!Tabla1[[#This Row],[FORMA FARMACEUTICA]])</f>
        <v>#REF!</v>
      </c>
    </row>
    <row r="264" spans="2:31" x14ac:dyDescent="0.25">
      <c r="B264" s="10">
        <v>99</v>
      </c>
      <c r="C264" s="10" t="s">
        <v>2748</v>
      </c>
      <c r="D264" s="10" t="s">
        <v>2175</v>
      </c>
      <c r="E264" s="10" t="s">
        <v>2749</v>
      </c>
      <c r="F264" s="10" t="s">
        <v>2751</v>
      </c>
      <c r="G264" s="10" t="s">
        <v>2752</v>
      </c>
      <c r="H264" s="10" t="s">
        <v>2750</v>
      </c>
      <c r="I264" s="10" t="s">
        <v>2113</v>
      </c>
      <c r="J264" s="10" t="s">
        <v>1442</v>
      </c>
      <c r="K264" s="10" t="s">
        <v>2685</v>
      </c>
      <c r="L264" s="11">
        <v>202124100306592</v>
      </c>
      <c r="M264" s="20">
        <v>44249</v>
      </c>
      <c r="N264" s="20" t="str">
        <f>UPPER(TEXT(Tabla1[[#This Row],[FECHA RADICADO ENTRADA]],"MMM"))</f>
        <v>FEB</v>
      </c>
      <c r="O264" s="11">
        <v>202124110337391</v>
      </c>
      <c r="P264" s="20">
        <v>44256</v>
      </c>
      <c r="Q264" s="20" t="str">
        <f>UPPER(TEXT(Tabla1[[#This Row],[FECHA RADICADO ENTRADA]],"MMM"))</f>
        <v>FEB</v>
      </c>
      <c r="R264" s="10">
        <f t="shared" si="4"/>
        <v>-7</v>
      </c>
      <c r="S264" s="10" t="s">
        <v>2154</v>
      </c>
      <c r="T264" s="10" t="s">
        <v>2829</v>
      </c>
      <c r="U264" s="10" t="s">
        <v>2753</v>
      </c>
      <c r="V264" s="20">
        <v>44223</v>
      </c>
      <c r="W264" s="10" t="s">
        <v>45</v>
      </c>
      <c r="X264" s="10">
        <v>60</v>
      </c>
      <c r="Y264" s="11">
        <f>IFERROR(INT(Tabla1[[#This Row],[CANTIDAD UND FARMACEUTICAS]]/(VLOOKUP(Tabla1[[#This Row],[MEDICAMENTO]],TAB_REF!$K$3:$L$27,2,0))),"")</f>
        <v>2</v>
      </c>
      <c r="Z264" s="10" t="str">
        <f>IFERROR(VLOOKUP(Tabla1[[#This Row],[MEDICAMENTO]],TAB_REF!$B$3:$F$27,2,0), "")</f>
        <v xml:space="preserve">Metadona HCl </v>
      </c>
      <c r="AA264" s="10" t="str">
        <f>IFERROR(VLOOKUP(Tabla1[[#This Row],[MEDICAMENTO]],TAB_REF!$B$3:$F$27,3,0), "")</f>
        <v xml:space="preserve">10 mg </v>
      </c>
      <c r="AB264" s="10" t="str">
        <f>IFERROR(VLOOKUP(Tabla1[[#This Row],[MEDICAMENTO]],TAB_REF!$B$3:$F$27,4,0), "")</f>
        <v>Tabletas NACIONAL</v>
      </c>
      <c r="AC264" s="10" t="str">
        <f>IFERROR(VLOOKUP(Tabla1[[#This Row],[MEDICAMENTO]],TAB_REF!$B$3:$F$27,5,0), "")</f>
        <v>Caja x 30 unidades</v>
      </c>
      <c r="AD264" s="10" t="str">
        <f>IFERROR(VLOOKUP(Tabla1[[#This Row],[CANTIDAD UND COMERCIALES]],TAB_REF!$H$3:$I$1003,2,0)&amp;" ("&amp;Tabla1[[#This Row],[CANTIDAD UND COMERCIALES]]&amp;")"&amp;"_"&amp;Tabla1[[#This Row],[CANTIDAD]],"")</f>
        <v>Dos (2)_Caja x 30 unidades</v>
      </c>
      <c r="AE264" s="31" t="e">
        <f>CONCATENATE([1]!Tabla1[[#This Row],[NOMBRE MED.]],[1]!Tabla1[[#This Row],[CONCENTRACION]],[1]!Tabla1[[#This Row],[FORMA FARMACEUTICA]])</f>
        <v>#REF!</v>
      </c>
    </row>
    <row r="265" spans="2:31" x14ac:dyDescent="0.25">
      <c r="B265" s="10">
        <v>100</v>
      </c>
      <c r="C265" s="10" t="s">
        <v>2754</v>
      </c>
      <c r="D265" s="10" t="s">
        <v>2755</v>
      </c>
      <c r="E265" s="10" t="s">
        <v>2756</v>
      </c>
      <c r="F265" s="10" t="s">
        <v>2757</v>
      </c>
      <c r="G265" s="10" t="s">
        <v>2758</v>
      </c>
      <c r="H265" s="10" t="s">
        <v>2759</v>
      </c>
      <c r="I265" s="10" t="s">
        <v>2122</v>
      </c>
      <c r="J265" s="10" t="s">
        <v>1742</v>
      </c>
      <c r="K265" s="10" t="s">
        <v>2685</v>
      </c>
      <c r="L265" s="11">
        <v>202124100306882</v>
      </c>
      <c r="M265" s="20">
        <v>44249</v>
      </c>
      <c r="N265" s="20" t="str">
        <f>UPPER(TEXT(Tabla1[[#This Row],[FECHA RADICADO ENTRADA]],"MMM"))</f>
        <v>FEB</v>
      </c>
      <c r="O265" s="11">
        <v>202124110337501</v>
      </c>
      <c r="P265" s="20">
        <v>44256</v>
      </c>
      <c r="Q265" s="20" t="str">
        <f>UPPER(TEXT(Tabla1[[#This Row],[FECHA RADICADO ENTRADA]],"MMM"))</f>
        <v>FEB</v>
      </c>
      <c r="R265" s="10">
        <f t="shared" si="4"/>
        <v>-7</v>
      </c>
      <c r="S265" s="10" t="s">
        <v>2154</v>
      </c>
      <c r="U265" s="10" t="s">
        <v>2760</v>
      </c>
      <c r="V265" s="20">
        <v>44174</v>
      </c>
      <c r="W265" s="10" t="s">
        <v>41</v>
      </c>
      <c r="X265" s="10">
        <v>50</v>
      </c>
      <c r="Y265" s="11">
        <f>IFERROR(INT(Tabla1[[#This Row],[CANTIDAD UND FARMACEUTICAS]]/(VLOOKUP(Tabla1[[#This Row],[MEDICAMENTO]],TAB_REF!$K$3:$L$27,2,0))),"")</f>
        <v>5</v>
      </c>
      <c r="Z265" s="10" t="str">
        <f>IFERROR(VLOOKUP(Tabla1[[#This Row],[MEDICAMENTO]],TAB_REF!$B$3:$F$27,2,0), "")</f>
        <v xml:space="preserve">Meperidina HCl </v>
      </c>
      <c r="AA265" s="10" t="str">
        <f>IFERROR(VLOOKUP(Tabla1[[#This Row],[MEDICAMENTO]],TAB_REF!$B$3:$F$27,3,0), "")</f>
        <v xml:space="preserve">100 mg/2mL </v>
      </c>
      <c r="AB265" s="10" t="str">
        <f>IFERROR(VLOOKUP(Tabla1[[#This Row],[MEDICAMENTO]],TAB_REF!$B$3:$F$27,4,0), "")</f>
        <v>Solución Inyectable</v>
      </c>
      <c r="AC265" s="10" t="str">
        <f>IFERROR(VLOOKUP(Tabla1[[#This Row],[MEDICAMENTO]],TAB_REF!$B$3:$F$27,5,0), "")</f>
        <v>Caja 10 ampollas</v>
      </c>
      <c r="AD265" s="10" t="str">
        <f>IFERROR(VLOOKUP(Tabla1[[#This Row],[CANTIDAD UND COMERCIALES]],TAB_REF!$H$3:$I$1003,2,0)&amp;" ("&amp;Tabla1[[#This Row],[CANTIDAD UND COMERCIALES]]&amp;")"&amp;"_"&amp;Tabla1[[#This Row],[CANTIDAD]],"")</f>
        <v>Cinco (5)_Caja 10 ampollas</v>
      </c>
      <c r="AE265" s="31" t="e">
        <f>CONCATENATE([1]!Tabla1[[#This Row],[NOMBRE MED.]],[1]!Tabla1[[#This Row],[CONCENTRACION]],[1]!Tabla1[[#This Row],[FORMA FARMACEUTICA]])</f>
        <v>#REF!</v>
      </c>
    </row>
    <row r="266" spans="2:31" x14ac:dyDescent="0.25">
      <c r="B266" s="10">
        <v>100</v>
      </c>
      <c r="C266" s="10" t="s">
        <v>2754</v>
      </c>
      <c r="D266" s="10" t="s">
        <v>2755</v>
      </c>
      <c r="E266" s="10" t="s">
        <v>2756</v>
      </c>
      <c r="F266" s="10" t="s">
        <v>2757</v>
      </c>
      <c r="G266" s="10" t="s">
        <v>2758</v>
      </c>
      <c r="H266" s="10" t="s">
        <v>2759</v>
      </c>
      <c r="I266" s="10" t="s">
        <v>2122</v>
      </c>
      <c r="J266" s="10" t="s">
        <v>1742</v>
      </c>
      <c r="K266" s="10" t="s">
        <v>2685</v>
      </c>
      <c r="L266" s="11">
        <v>202124100306882</v>
      </c>
      <c r="M266" s="20">
        <v>44249</v>
      </c>
      <c r="N266" s="20" t="str">
        <f>UPPER(TEXT(Tabla1[[#This Row],[FECHA RADICADO ENTRADA]],"MMM"))</f>
        <v>FEB</v>
      </c>
      <c r="O266" s="11">
        <v>202124110337501</v>
      </c>
      <c r="P266" s="20">
        <v>44256</v>
      </c>
      <c r="Q266" s="20" t="str">
        <f>UPPER(TEXT(Tabla1[[#This Row],[FECHA RADICADO ENTRADA]],"MMM"))</f>
        <v>FEB</v>
      </c>
      <c r="R266" s="10">
        <f t="shared" si="4"/>
        <v>-7</v>
      </c>
      <c r="S266" s="10" t="s">
        <v>2154</v>
      </c>
      <c r="U266" s="10" t="s">
        <v>2760</v>
      </c>
      <c r="V266" s="20">
        <v>44174</v>
      </c>
      <c r="W266" s="10" t="s">
        <v>63</v>
      </c>
      <c r="X266" s="10">
        <v>500</v>
      </c>
      <c r="Y266" s="11">
        <f>IFERROR(INT(Tabla1[[#This Row],[CANTIDAD UND FARMACEUTICAS]]/(VLOOKUP(Tabla1[[#This Row],[MEDICAMENTO]],TAB_REF!$K$3:$L$27,2,0))),"")</f>
        <v>50</v>
      </c>
      <c r="Z266" s="10" t="str">
        <f>IFERROR(VLOOKUP(Tabla1[[#This Row],[MEDICAMENTO]],TAB_REF!$B$3:$F$27,2,0), "")</f>
        <v xml:space="preserve">Morfina HCl </v>
      </c>
      <c r="AA266" s="10" t="str">
        <f>IFERROR(VLOOKUP(Tabla1[[#This Row],[MEDICAMENTO]],TAB_REF!$B$3:$F$27,3,0), "")</f>
        <v xml:space="preserve">10 mg/mL </v>
      </c>
      <c r="AB266" s="10" t="str">
        <f>IFERROR(VLOOKUP(Tabla1[[#This Row],[MEDICAMENTO]],TAB_REF!$B$3:$F$27,4,0), "")</f>
        <v>Solución Inyectable</v>
      </c>
      <c r="AC266" s="10" t="str">
        <f>IFERROR(VLOOKUP(Tabla1[[#This Row],[MEDICAMENTO]],TAB_REF!$B$3:$F$27,5,0), "")</f>
        <v>Caja x 10 unidades</v>
      </c>
      <c r="AD266" s="10" t="str">
        <f>IFERROR(VLOOKUP(Tabla1[[#This Row],[CANTIDAD UND COMERCIALES]],TAB_REF!$H$3:$I$1003,2,0)&amp;" ("&amp;Tabla1[[#This Row],[CANTIDAD UND COMERCIALES]]&amp;")"&amp;"_"&amp;Tabla1[[#This Row],[CANTIDAD]],"")</f>
        <v>Cincuenta (50)_Caja x 10 unidades</v>
      </c>
      <c r="AE266" s="31" t="e">
        <f>CONCATENATE([1]!Tabla1[[#This Row],[NOMBRE MED.]],[1]!Tabla1[[#This Row],[CONCENTRACION]],[1]!Tabla1[[#This Row],[FORMA FARMACEUTICA]])</f>
        <v>#REF!</v>
      </c>
    </row>
    <row r="267" spans="2:31" x14ac:dyDescent="0.25">
      <c r="B267" s="10">
        <v>100</v>
      </c>
      <c r="C267" s="10" t="s">
        <v>2754</v>
      </c>
      <c r="D267" s="10" t="s">
        <v>2755</v>
      </c>
      <c r="E267" s="10" t="s">
        <v>2756</v>
      </c>
      <c r="F267" s="10" t="s">
        <v>2757</v>
      </c>
      <c r="G267" s="10" t="s">
        <v>2758</v>
      </c>
      <c r="H267" s="10" t="s">
        <v>2759</v>
      </c>
      <c r="I267" s="10" t="s">
        <v>2122</v>
      </c>
      <c r="J267" s="10" t="s">
        <v>1742</v>
      </c>
      <c r="K267" s="10" t="s">
        <v>2685</v>
      </c>
      <c r="L267" s="11">
        <v>202124100306882</v>
      </c>
      <c r="M267" s="20">
        <v>44249</v>
      </c>
      <c r="N267" s="20" t="str">
        <f>UPPER(TEXT(Tabla1[[#This Row],[FECHA RADICADO ENTRADA]],"MMM"))</f>
        <v>FEB</v>
      </c>
      <c r="O267" s="11">
        <v>202124110337501</v>
      </c>
      <c r="P267" s="20">
        <v>44256</v>
      </c>
      <c r="Q267" s="20" t="str">
        <f>UPPER(TEXT(Tabla1[[#This Row],[FECHA RADICADO ENTRADA]],"MMM"))</f>
        <v>FEB</v>
      </c>
      <c r="R267" s="10">
        <f t="shared" si="4"/>
        <v>-7</v>
      </c>
      <c r="S267" s="10" t="s">
        <v>2154</v>
      </c>
      <c r="U267" s="10" t="s">
        <v>2760</v>
      </c>
      <c r="V267" s="20">
        <v>44174</v>
      </c>
      <c r="W267" s="10" t="s">
        <v>36</v>
      </c>
      <c r="X267" s="10">
        <v>300</v>
      </c>
      <c r="Y267" s="11">
        <f>IFERROR(INT(Tabla1[[#This Row],[CANTIDAD UND FARMACEUTICAS]]/(VLOOKUP(Tabla1[[#This Row],[MEDICAMENTO]],TAB_REF!$K$3:$L$27,2,0))),"")</f>
        <v>30</v>
      </c>
      <c r="Z267" s="10" t="str">
        <f>IFERROR(VLOOKUP(Tabla1[[#This Row],[MEDICAMENTO]],TAB_REF!$B$3:$F$27,2,0), "")</f>
        <v xml:space="preserve">Fenobarbital Sódico </v>
      </c>
      <c r="AA267" s="10" t="str">
        <f>IFERROR(VLOOKUP(Tabla1[[#This Row],[MEDICAMENTO]],TAB_REF!$B$3:$F$27,3,0), "")</f>
        <v xml:space="preserve">40 mg/mL </v>
      </c>
      <c r="AB267" s="10" t="str">
        <f>IFERROR(VLOOKUP(Tabla1[[#This Row],[MEDICAMENTO]],TAB_REF!$B$3:$F$27,4,0), "")</f>
        <v>Solución Inyectable</v>
      </c>
      <c r="AC267" s="10" t="str">
        <f>IFERROR(VLOOKUP(Tabla1[[#This Row],[MEDICAMENTO]],TAB_REF!$B$3:$F$27,5,0), "")</f>
        <v>Caja x 10 unidades</v>
      </c>
      <c r="AD267" s="10" t="str">
        <f>IFERROR(VLOOKUP(Tabla1[[#This Row],[CANTIDAD UND COMERCIALES]],TAB_REF!$H$3:$I$1003,2,0)&amp;" ("&amp;Tabla1[[#This Row],[CANTIDAD UND COMERCIALES]]&amp;")"&amp;"_"&amp;Tabla1[[#This Row],[CANTIDAD]],"")</f>
        <v>Treinta (30)_Caja x 10 unidades</v>
      </c>
      <c r="AE267" s="31" t="e">
        <f>CONCATENATE([1]!Tabla1[[#This Row],[NOMBRE MED.]],[1]!Tabla1[[#This Row],[CONCENTRACION]],[1]!Tabla1[[#This Row],[FORMA FARMACEUTICA]])</f>
        <v>#REF!</v>
      </c>
    </row>
    <row r="268" spans="2:31" x14ac:dyDescent="0.25">
      <c r="B268" s="10">
        <v>100</v>
      </c>
      <c r="C268" s="10" t="s">
        <v>2754</v>
      </c>
      <c r="D268" s="10" t="s">
        <v>2755</v>
      </c>
      <c r="E268" s="10" t="s">
        <v>2756</v>
      </c>
      <c r="F268" s="10" t="s">
        <v>2757</v>
      </c>
      <c r="G268" s="21" t="s">
        <v>2758</v>
      </c>
      <c r="H268" s="10" t="s">
        <v>2759</v>
      </c>
      <c r="I268" s="10" t="s">
        <v>2122</v>
      </c>
      <c r="J268" s="10" t="s">
        <v>1742</v>
      </c>
      <c r="K268" s="10" t="s">
        <v>2685</v>
      </c>
      <c r="L268" s="11">
        <v>202124100306882</v>
      </c>
      <c r="M268" s="20">
        <v>44249</v>
      </c>
      <c r="N268" s="20" t="str">
        <f>UPPER(TEXT(Tabla1[[#This Row],[FECHA RADICADO ENTRADA]],"MMM"))</f>
        <v>FEB</v>
      </c>
      <c r="O268" s="11">
        <v>202124110337501</v>
      </c>
      <c r="P268" s="20">
        <v>44256</v>
      </c>
      <c r="Q268" s="20" t="str">
        <f>UPPER(TEXT(Tabla1[[#This Row],[FECHA RADICADO ENTRADA]],"MMM"))</f>
        <v>FEB</v>
      </c>
      <c r="R268" s="10">
        <f t="shared" si="4"/>
        <v>-7</v>
      </c>
      <c r="S268" s="10" t="s">
        <v>2145</v>
      </c>
      <c r="T268" s="10" t="s">
        <v>2537</v>
      </c>
      <c r="U268" s="10" t="s">
        <v>2760</v>
      </c>
      <c r="V268" s="20">
        <v>44174</v>
      </c>
      <c r="W268" s="10" t="s">
        <v>34</v>
      </c>
      <c r="X268" s="10">
        <v>0</v>
      </c>
      <c r="Y268" s="11">
        <f>IFERROR(INT(Tabla1[[#This Row],[CANTIDAD UND FARMACEUTICAS]]/(VLOOKUP(Tabla1[[#This Row],[MEDICAMENTO]],TAB_REF!$K$3:$L$27,2,0))),"")</f>
        <v>0</v>
      </c>
      <c r="Z268" s="10" t="str">
        <f>IFERROR(VLOOKUP(Tabla1[[#This Row],[MEDICAMENTO]],TAB_REF!$B$3:$F$27,2,0), "")</f>
        <v xml:space="preserve">Fenobarbital Sódico </v>
      </c>
      <c r="AA268" s="10" t="str">
        <f>IFERROR(VLOOKUP(Tabla1[[#This Row],[MEDICAMENTO]],TAB_REF!$B$3:$F$27,3,0), "")</f>
        <v xml:space="preserve">200 mg/Ml </v>
      </c>
      <c r="AB268" s="10" t="str">
        <f>IFERROR(VLOOKUP(Tabla1[[#This Row],[MEDICAMENTO]],TAB_REF!$B$3:$F$27,4,0), "")</f>
        <v>Solución Inyectable</v>
      </c>
      <c r="AC268" s="10" t="str">
        <f>IFERROR(VLOOKUP(Tabla1[[#This Row],[MEDICAMENTO]],TAB_REF!$B$3:$F$27,5,0), "")</f>
        <v>Caja x 10 unidades</v>
      </c>
      <c r="AD268" s="10" t="str">
        <f>IFERROR(VLOOKUP(Tabla1[[#This Row],[CANTIDAD UND COMERCIALES]],TAB_REF!$H$3:$I$1003,2,0)&amp;" ("&amp;Tabla1[[#This Row],[CANTIDAD UND COMERCIALES]]&amp;")"&amp;"_"&amp;Tabla1[[#This Row],[CANTIDAD]],"")</f>
        <v/>
      </c>
      <c r="AE268" s="31" t="e">
        <f>CONCATENATE([1]!Tabla1[[#This Row],[NOMBRE MED.]],[1]!Tabla1[[#This Row],[CONCENTRACION]],[1]!Tabla1[[#This Row],[FORMA FARMACEUTICA]])</f>
        <v>#REF!</v>
      </c>
    </row>
    <row r="269" spans="2:31" x14ac:dyDescent="0.25">
      <c r="B269" s="10">
        <v>100</v>
      </c>
      <c r="C269" s="10" t="s">
        <v>2754</v>
      </c>
      <c r="D269" s="10" t="s">
        <v>2755</v>
      </c>
      <c r="E269" s="10" t="s">
        <v>2756</v>
      </c>
      <c r="F269" s="10" t="s">
        <v>2757</v>
      </c>
      <c r="G269" s="10" t="s">
        <v>2758</v>
      </c>
      <c r="H269" s="10" t="s">
        <v>2759</v>
      </c>
      <c r="I269" s="10" t="s">
        <v>2122</v>
      </c>
      <c r="J269" s="10" t="s">
        <v>1742</v>
      </c>
      <c r="K269" s="10" t="s">
        <v>2685</v>
      </c>
      <c r="L269" s="11">
        <v>202124100306882</v>
      </c>
      <c r="M269" s="20">
        <v>44249</v>
      </c>
      <c r="N269" s="20" t="str">
        <f>UPPER(TEXT(Tabla1[[#This Row],[FECHA RADICADO ENTRADA]],"MMM"))</f>
        <v>FEB</v>
      </c>
      <c r="O269" s="11">
        <v>202124110337501</v>
      </c>
      <c r="P269" s="20">
        <v>44256</v>
      </c>
      <c r="Q269" s="20" t="str">
        <f>UPPER(TEXT(Tabla1[[#This Row],[FECHA RADICADO ENTRADA]],"MMM"))</f>
        <v>FEB</v>
      </c>
      <c r="R269" s="10">
        <f t="shared" si="4"/>
        <v>-7</v>
      </c>
      <c r="S269" s="10" t="s">
        <v>2154</v>
      </c>
      <c r="U269" s="10" t="s">
        <v>2760</v>
      </c>
      <c r="V269" s="20">
        <v>44174</v>
      </c>
      <c r="W269" s="10" t="s">
        <v>32</v>
      </c>
      <c r="X269" s="10">
        <v>180</v>
      </c>
      <c r="Y269" s="11">
        <f>IFERROR(INT(Tabla1[[#This Row],[CANTIDAD UND FARMACEUTICAS]]/(VLOOKUP(Tabla1[[#This Row],[MEDICAMENTO]],TAB_REF!$K$3:$L$27,2,0))),"")</f>
        <v>6</v>
      </c>
      <c r="Z269" s="10" t="str">
        <f>IFERROR(VLOOKUP(Tabla1[[#This Row],[MEDICAMENTO]],TAB_REF!$B$3:$F$27,2,0), "")</f>
        <v xml:space="preserve">Fenobarbital </v>
      </c>
      <c r="AA269" s="10" t="str">
        <f>IFERROR(VLOOKUP(Tabla1[[#This Row],[MEDICAMENTO]],TAB_REF!$B$3:$F$27,3,0), "")</f>
        <v xml:space="preserve">100 mg </v>
      </c>
      <c r="AB269" s="10" t="str">
        <f>IFERROR(VLOOKUP(Tabla1[[#This Row],[MEDICAMENTO]],TAB_REF!$B$3:$F$27,4,0), "")</f>
        <v>Tabletas</v>
      </c>
      <c r="AC269" s="10" t="str">
        <f>IFERROR(VLOOKUP(Tabla1[[#This Row],[MEDICAMENTO]],TAB_REF!$B$3:$F$27,5,0), "")</f>
        <v>Caja x 30 unidades</v>
      </c>
      <c r="AD269" s="10" t="str">
        <f>IFERROR(VLOOKUP(Tabla1[[#This Row],[CANTIDAD UND COMERCIALES]],TAB_REF!$H$3:$I$1003,2,0)&amp;" ("&amp;Tabla1[[#This Row],[CANTIDAD UND COMERCIALES]]&amp;")"&amp;"_"&amp;Tabla1[[#This Row],[CANTIDAD]],"")</f>
        <v>Seis (6)_Caja x 30 unidades</v>
      </c>
      <c r="AE269" s="31" t="e">
        <f>CONCATENATE([1]!Tabla1[[#This Row],[NOMBRE MED.]],[1]!Tabla1[[#This Row],[CONCENTRACION]],[1]!Tabla1[[#This Row],[FORMA FARMACEUTICA]])</f>
        <v>#REF!</v>
      </c>
    </row>
    <row r="270" spans="2:31" x14ac:dyDescent="0.25">
      <c r="B270" s="10">
        <v>101</v>
      </c>
      <c r="C270" s="10" t="s">
        <v>2714</v>
      </c>
      <c r="D270" s="10" t="s">
        <v>2312</v>
      </c>
      <c r="E270" s="10" t="s">
        <v>2715</v>
      </c>
      <c r="F270" s="10" t="s">
        <v>2761</v>
      </c>
      <c r="G270" s="10" t="s">
        <v>2717</v>
      </c>
      <c r="H270" s="10" t="s">
        <v>2718</v>
      </c>
      <c r="I270" s="10" t="s">
        <v>2128</v>
      </c>
      <c r="J270" s="10" t="s">
        <v>1918</v>
      </c>
      <c r="K270" s="10" t="s">
        <v>2685</v>
      </c>
      <c r="L270" s="11">
        <v>202124100309912</v>
      </c>
      <c r="M270" s="20">
        <v>44250</v>
      </c>
      <c r="N270" s="20" t="str">
        <f>UPPER(TEXT(Tabla1[[#This Row],[FECHA RADICADO ENTRADA]],"MMM"))</f>
        <v>FEB</v>
      </c>
      <c r="O270" s="11">
        <v>202124110337601</v>
      </c>
      <c r="P270" s="20">
        <v>44256</v>
      </c>
      <c r="Q270" s="20" t="str">
        <f>UPPER(TEXT(Tabla1[[#This Row],[FECHA RADICADO ENTRADA]],"MMM"))</f>
        <v>FEB</v>
      </c>
      <c r="R270" s="10">
        <f t="shared" si="4"/>
        <v>-6</v>
      </c>
      <c r="S270" s="10" t="s">
        <v>2145</v>
      </c>
      <c r="T270" s="10" t="s">
        <v>2762</v>
      </c>
      <c r="U270" s="10" t="s">
        <v>2720</v>
      </c>
      <c r="V270" s="20">
        <v>43581</v>
      </c>
      <c r="W270" s="10" t="s">
        <v>63</v>
      </c>
      <c r="X270" s="10">
        <v>0</v>
      </c>
      <c r="Y270" s="11">
        <f>IFERROR(INT(Tabla1[[#This Row],[CANTIDAD UND FARMACEUTICAS]]/(VLOOKUP(Tabla1[[#This Row],[MEDICAMENTO]],TAB_REF!$K$3:$L$27,2,0))),"")</f>
        <v>0</v>
      </c>
      <c r="Z270" s="10" t="str">
        <f>IFERROR(VLOOKUP(Tabla1[[#This Row],[MEDICAMENTO]],TAB_REF!$B$3:$F$27,2,0), "")</f>
        <v xml:space="preserve">Morfina HCl </v>
      </c>
      <c r="AA270" s="10" t="str">
        <f>IFERROR(VLOOKUP(Tabla1[[#This Row],[MEDICAMENTO]],TAB_REF!$B$3:$F$27,3,0), "")</f>
        <v xml:space="preserve">10 mg/mL </v>
      </c>
      <c r="AB270" s="10" t="str">
        <f>IFERROR(VLOOKUP(Tabla1[[#This Row],[MEDICAMENTO]],TAB_REF!$B$3:$F$27,4,0), "")</f>
        <v>Solución Inyectable</v>
      </c>
      <c r="AC270" s="10" t="str">
        <f>IFERROR(VLOOKUP(Tabla1[[#This Row],[MEDICAMENTO]],TAB_REF!$B$3:$F$27,5,0), "")</f>
        <v>Caja x 10 unidades</v>
      </c>
      <c r="AD270" s="10" t="str">
        <f>IFERROR(VLOOKUP(Tabla1[[#This Row],[CANTIDAD UND COMERCIALES]],TAB_REF!$H$3:$I$1003,2,0)&amp;" ("&amp;Tabla1[[#This Row],[CANTIDAD UND COMERCIALES]]&amp;")"&amp;"_"&amp;Tabla1[[#This Row],[CANTIDAD]],"")</f>
        <v/>
      </c>
      <c r="AE270" s="31" t="e">
        <f>CONCATENATE([1]!Tabla1[[#This Row],[NOMBRE MED.]],[1]!Tabla1[[#This Row],[CONCENTRACION]],[1]!Tabla1[[#This Row],[FORMA FARMACEUTICA]])</f>
        <v>#REF!</v>
      </c>
    </row>
    <row r="271" spans="2:31" x14ac:dyDescent="0.25">
      <c r="B271" s="10">
        <v>101</v>
      </c>
      <c r="C271" s="10" t="s">
        <v>2714</v>
      </c>
      <c r="D271" s="10" t="s">
        <v>2312</v>
      </c>
      <c r="E271" s="10" t="s">
        <v>2715</v>
      </c>
      <c r="F271" s="10" t="s">
        <v>2761</v>
      </c>
      <c r="G271" s="10" t="s">
        <v>2717</v>
      </c>
      <c r="H271" s="10" t="s">
        <v>2718</v>
      </c>
      <c r="I271" s="10" t="s">
        <v>2128</v>
      </c>
      <c r="J271" s="10" t="s">
        <v>1918</v>
      </c>
      <c r="K271" s="10" t="s">
        <v>2685</v>
      </c>
      <c r="L271" s="11">
        <v>202124100309912</v>
      </c>
      <c r="M271" s="20">
        <v>44250</v>
      </c>
      <c r="N271" s="20" t="str">
        <f>UPPER(TEXT(Tabla1[[#This Row],[FECHA RADICADO ENTRADA]],"MMM"))</f>
        <v>FEB</v>
      </c>
      <c r="O271" s="11">
        <v>202124110337601</v>
      </c>
      <c r="P271" s="20">
        <v>44256</v>
      </c>
      <c r="Q271" s="20" t="str">
        <f>UPPER(TEXT(Tabla1[[#This Row],[FECHA RADICADO ENTRADA]],"MMM"))</f>
        <v>FEB</v>
      </c>
      <c r="R271" s="10">
        <f t="shared" si="4"/>
        <v>-6</v>
      </c>
      <c r="S271" s="10" t="s">
        <v>2154</v>
      </c>
      <c r="U271" s="10" t="s">
        <v>2720</v>
      </c>
      <c r="V271" s="20">
        <v>43581</v>
      </c>
      <c r="W271" s="10" t="s">
        <v>37</v>
      </c>
      <c r="X271" s="10">
        <v>1300</v>
      </c>
      <c r="Y271" s="11">
        <f>IFERROR(INT(Tabla1[[#This Row],[CANTIDAD UND FARMACEUTICAS]]/(VLOOKUP(Tabla1[[#This Row],[MEDICAMENTO]],TAB_REF!$K$3:$L$27,2,0))),"")</f>
        <v>130</v>
      </c>
      <c r="Z271" s="10" t="str">
        <f>IFERROR(VLOOKUP(Tabla1[[#This Row],[MEDICAMENTO]],TAB_REF!$B$3:$F$27,2,0), "")</f>
        <v xml:space="preserve">Hidromorfona HCl </v>
      </c>
      <c r="AA271" s="10" t="str">
        <f>IFERROR(VLOOKUP(Tabla1[[#This Row],[MEDICAMENTO]],TAB_REF!$B$3:$F$27,3,0), "")</f>
        <v xml:space="preserve">2 mg/mL </v>
      </c>
      <c r="AB271" s="10" t="str">
        <f>IFERROR(VLOOKUP(Tabla1[[#This Row],[MEDICAMENTO]],TAB_REF!$B$3:$F$27,4,0), "")</f>
        <v>Solución Inyectable</v>
      </c>
      <c r="AC271" s="10" t="str">
        <f>IFERROR(VLOOKUP(Tabla1[[#This Row],[MEDICAMENTO]],TAB_REF!$B$3:$F$27,5,0), "")</f>
        <v>Caja x 10 unidades</v>
      </c>
      <c r="AD271" s="10" t="str">
        <f>IFERROR(VLOOKUP(Tabla1[[#This Row],[CANTIDAD UND COMERCIALES]],TAB_REF!$H$3:$I$1003,2,0)&amp;" ("&amp;Tabla1[[#This Row],[CANTIDAD UND COMERCIALES]]&amp;")"&amp;"_"&amp;Tabla1[[#This Row],[CANTIDAD]],"")</f>
        <v>Ciento Treinta (130)_Caja x 10 unidades</v>
      </c>
      <c r="AE271" s="31" t="e">
        <f>CONCATENATE([1]!Tabla1[[#This Row],[NOMBRE MED.]],[1]!Tabla1[[#This Row],[CONCENTRACION]],[1]!Tabla1[[#This Row],[FORMA FARMACEUTICA]])</f>
        <v>#REF!</v>
      </c>
    </row>
    <row r="272" spans="2:31" x14ac:dyDescent="0.25">
      <c r="B272" s="10">
        <v>101</v>
      </c>
      <c r="C272" s="10" t="s">
        <v>2714</v>
      </c>
      <c r="D272" s="10" t="s">
        <v>2312</v>
      </c>
      <c r="E272" s="10" t="s">
        <v>2715</v>
      </c>
      <c r="F272" s="10" t="s">
        <v>2761</v>
      </c>
      <c r="G272" s="10" t="s">
        <v>2717</v>
      </c>
      <c r="H272" s="10" t="s">
        <v>2718</v>
      </c>
      <c r="I272" s="10" t="s">
        <v>2128</v>
      </c>
      <c r="J272" s="10" t="s">
        <v>1918</v>
      </c>
      <c r="K272" s="10" t="s">
        <v>2685</v>
      </c>
      <c r="L272" s="11">
        <v>202124100309912</v>
      </c>
      <c r="M272" s="20">
        <v>44250</v>
      </c>
      <c r="N272" s="20" t="str">
        <f>UPPER(TEXT(Tabla1[[#This Row],[FECHA RADICADO ENTRADA]],"MMM"))</f>
        <v>FEB</v>
      </c>
      <c r="O272" s="11">
        <v>202124110337601</v>
      </c>
      <c r="P272" s="20">
        <v>44256</v>
      </c>
      <c r="Q272" s="20" t="str">
        <f>UPPER(TEXT(Tabla1[[#This Row],[FECHA RADICADO ENTRADA]],"MMM"))</f>
        <v>FEB</v>
      </c>
      <c r="R272" s="10">
        <f t="shared" si="4"/>
        <v>-6</v>
      </c>
      <c r="S272" s="10" t="s">
        <v>2145</v>
      </c>
      <c r="T272" s="10" t="s">
        <v>2763</v>
      </c>
      <c r="U272" s="10" t="s">
        <v>2720</v>
      </c>
      <c r="V272" s="20">
        <v>43581</v>
      </c>
      <c r="W272" s="10" t="s">
        <v>45</v>
      </c>
      <c r="X272" s="10">
        <v>0</v>
      </c>
      <c r="Y272" s="11">
        <f>IFERROR(INT(Tabla1[[#This Row],[CANTIDAD UND FARMACEUTICAS]]/(VLOOKUP(Tabla1[[#This Row],[MEDICAMENTO]],TAB_REF!$K$3:$L$27,2,0))),"")</f>
        <v>0</v>
      </c>
      <c r="Z272" s="10" t="str">
        <f>IFERROR(VLOOKUP(Tabla1[[#This Row],[MEDICAMENTO]],TAB_REF!$B$3:$F$27,2,0), "")</f>
        <v xml:space="preserve">Metadona HCl </v>
      </c>
      <c r="AA272" s="10" t="str">
        <f>IFERROR(VLOOKUP(Tabla1[[#This Row],[MEDICAMENTO]],TAB_REF!$B$3:$F$27,3,0), "")</f>
        <v xml:space="preserve">10 mg </v>
      </c>
      <c r="AB272" s="10" t="str">
        <f>IFERROR(VLOOKUP(Tabla1[[#This Row],[MEDICAMENTO]],TAB_REF!$B$3:$F$27,4,0), "")</f>
        <v>Tabletas NACIONAL</v>
      </c>
      <c r="AC272" s="10" t="str">
        <f>IFERROR(VLOOKUP(Tabla1[[#This Row],[MEDICAMENTO]],TAB_REF!$B$3:$F$27,5,0), "")</f>
        <v>Caja x 30 unidades</v>
      </c>
      <c r="AD272" s="10" t="str">
        <f>IFERROR(VLOOKUP(Tabla1[[#This Row],[CANTIDAD UND COMERCIALES]],TAB_REF!$H$3:$I$1003,2,0)&amp;" ("&amp;Tabla1[[#This Row],[CANTIDAD UND COMERCIALES]]&amp;")"&amp;"_"&amp;Tabla1[[#This Row],[CANTIDAD]],"")</f>
        <v/>
      </c>
      <c r="AE272" s="31" t="e">
        <f>CONCATENATE([1]!Tabla1[[#This Row],[NOMBRE MED.]],[1]!Tabla1[[#This Row],[CONCENTRACION]],[1]!Tabla1[[#This Row],[FORMA FARMACEUTICA]])</f>
        <v>#REF!</v>
      </c>
    </row>
    <row r="273" spans="2:31" x14ac:dyDescent="0.25">
      <c r="B273" s="10">
        <v>102</v>
      </c>
      <c r="C273" s="10" t="s">
        <v>2764</v>
      </c>
      <c r="D273" s="10" t="s">
        <v>2175</v>
      </c>
      <c r="E273" s="10" t="s">
        <v>2765</v>
      </c>
      <c r="F273" s="10" t="s">
        <v>2766</v>
      </c>
      <c r="G273" s="10" t="s">
        <v>2737</v>
      </c>
      <c r="H273" s="10" t="s">
        <v>2738</v>
      </c>
      <c r="I273" s="10" t="s">
        <v>2113</v>
      </c>
      <c r="J273" s="10" t="s">
        <v>1442</v>
      </c>
      <c r="K273" s="10" t="s">
        <v>2685</v>
      </c>
      <c r="L273" s="11">
        <v>202124100310202</v>
      </c>
      <c r="M273" s="20">
        <v>44250</v>
      </c>
      <c r="N273" s="20" t="str">
        <f>UPPER(TEXT(Tabla1[[#This Row],[FECHA RADICADO ENTRADA]],"MMM"))</f>
        <v>FEB</v>
      </c>
      <c r="O273" s="11">
        <v>202124110337791</v>
      </c>
      <c r="P273" s="20">
        <v>44256</v>
      </c>
      <c r="Q273" s="20" t="str">
        <f>UPPER(TEXT(Tabla1[[#This Row],[FECHA RADICADO ENTRADA]],"MMM"))</f>
        <v>FEB</v>
      </c>
      <c r="R273" s="10">
        <f t="shared" si="4"/>
        <v>-6</v>
      </c>
      <c r="S273" s="10" t="s">
        <v>2154</v>
      </c>
      <c r="U273" s="10" t="s">
        <v>2767</v>
      </c>
      <c r="V273" s="20">
        <v>44223</v>
      </c>
      <c r="W273" s="10" t="s">
        <v>28</v>
      </c>
      <c r="X273" s="10">
        <v>10</v>
      </c>
      <c r="Y273" s="11">
        <f>IFERROR(INT(Tabla1[[#This Row],[CANTIDAD UND FARMACEUTICAS]]/(VLOOKUP(Tabla1[[#This Row],[MEDICAMENTO]],TAB_REF!$K$3:$L$27,2,0))),"")</f>
        <v>10</v>
      </c>
      <c r="Z273" s="10" t="str">
        <f>IFERROR(VLOOKUP(Tabla1[[#This Row],[MEDICAMENTO]],TAB_REF!$B$3:$F$27,2,0), "")</f>
        <v xml:space="preserve">Fenobarbital </v>
      </c>
      <c r="AA273" s="10" t="str">
        <f>IFERROR(VLOOKUP(Tabla1[[#This Row],[MEDICAMENTO]],TAB_REF!$B$3:$F$27,3,0), "")</f>
        <v xml:space="preserve">0,4%. </v>
      </c>
      <c r="AB273" s="10" t="str">
        <f>IFERROR(VLOOKUP(Tabla1[[#This Row],[MEDICAMENTO]],TAB_REF!$B$3:$F$27,4,0), "")</f>
        <v>Solución Oral</v>
      </c>
      <c r="AC273" s="10" t="str">
        <f>IFERROR(VLOOKUP(Tabla1[[#This Row],[MEDICAMENTO]],TAB_REF!$B$3:$F$27,5,0), "")</f>
        <v>Frasco x 120 mL</v>
      </c>
      <c r="AD273" s="10" t="str">
        <f>IFERROR(VLOOKUP(Tabla1[[#This Row],[CANTIDAD UND COMERCIALES]],TAB_REF!$H$3:$I$1003,2,0)&amp;" ("&amp;Tabla1[[#This Row],[CANTIDAD UND COMERCIALES]]&amp;")"&amp;"_"&amp;Tabla1[[#This Row],[CANTIDAD]],"")</f>
        <v>Diez (10)_Frasco x 120 mL</v>
      </c>
      <c r="AE273" s="31" t="e">
        <f>CONCATENATE([1]!Tabla1[[#This Row],[NOMBRE MED.]],[1]!Tabla1[[#This Row],[CONCENTRACION]],[1]!Tabla1[[#This Row],[FORMA FARMACEUTICA]])</f>
        <v>#REF!</v>
      </c>
    </row>
    <row r="274" spans="2:31" x14ac:dyDescent="0.25">
      <c r="B274" s="10">
        <v>102</v>
      </c>
      <c r="C274" s="10" t="s">
        <v>2764</v>
      </c>
      <c r="D274" s="10" t="s">
        <v>2175</v>
      </c>
      <c r="E274" s="10" t="s">
        <v>2765</v>
      </c>
      <c r="F274" s="10" t="s">
        <v>2766</v>
      </c>
      <c r="G274" s="10" t="s">
        <v>2737</v>
      </c>
      <c r="H274" s="10" t="s">
        <v>2738</v>
      </c>
      <c r="I274" s="10" t="s">
        <v>2113</v>
      </c>
      <c r="J274" s="10" t="s">
        <v>1442</v>
      </c>
      <c r="K274" s="10" t="s">
        <v>2685</v>
      </c>
      <c r="L274" s="11">
        <v>202124100310202</v>
      </c>
      <c r="M274" s="20">
        <v>44250</v>
      </c>
      <c r="N274" s="20" t="str">
        <f>UPPER(TEXT(Tabla1[[#This Row],[FECHA RADICADO ENTRADA]],"MMM"))</f>
        <v>FEB</v>
      </c>
      <c r="O274" s="11">
        <v>202124110337791</v>
      </c>
      <c r="P274" s="20">
        <v>44256</v>
      </c>
      <c r="Q274" s="20" t="str">
        <f>UPPER(TEXT(Tabla1[[#This Row],[FECHA RADICADO ENTRADA]],"MMM"))</f>
        <v>FEB</v>
      </c>
      <c r="R274" s="10">
        <f t="shared" si="4"/>
        <v>-6</v>
      </c>
      <c r="S274" s="10" t="s">
        <v>2145</v>
      </c>
      <c r="T274" s="10" t="s">
        <v>2537</v>
      </c>
      <c r="U274" s="10" t="s">
        <v>2767</v>
      </c>
      <c r="V274" s="20">
        <v>44223</v>
      </c>
      <c r="W274" s="10" t="s">
        <v>34</v>
      </c>
      <c r="X274" s="10">
        <v>0</v>
      </c>
      <c r="Y274" s="11">
        <f>IFERROR(INT(Tabla1[[#This Row],[CANTIDAD UND FARMACEUTICAS]]/(VLOOKUP(Tabla1[[#This Row],[MEDICAMENTO]],TAB_REF!$K$3:$L$27,2,0))),"")</f>
        <v>0</v>
      </c>
      <c r="Z274" s="10" t="str">
        <f>IFERROR(VLOOKUP(Tabla1[[#This Row],[MEDICAMENTO]],TAB_REF!$B$3:$F$27,2,0), "")</f>
        <v xml:space="preserve">Fenobarbital Sódico </v>
      </c>
      <c r="AA274" s="10" t="str">
        <f>IFERROR(VLOOKUP(Tabla1[[#This Row],[MEDICAMENTO]],TAB_REF!$B$3:$F$27,3,0), "")</f>
        <v xml:space="preserve">200 mg/Ml </v>
      </c>
      <c r="AB274" s="10" t="str">
        <f>IFERROR(VLOOKUP(Tabla1[[#This Row],[MEDICAMENTO]],TAB_REF!$B$3:$F$27,4,0), "")</f>
        <v>Solución Inyectable</v>
      </c>
      <c r="AC274" s="10" t="str">
        <f>IFERROR(VLOOKUP(Tabla1[[#This Row],[MEDICAMENTO]],TAB_REF!$B$3:$F$27,5,0), "")</f>
        <v>Caja x 10 unidades</v>
      </c>
      <c r="AD274" s="10" t="str">
        <f>IFERROR(VLOOKUP(Tabla1[[#This Row],[CANTIDAD UND COMERCIALES]],TAB_REF!$H$3:$I$1003,2,0)&amp;" ("&amp;Tabla1[[#This Row],[CANTIDAD UND COMERCIALES]]&amp;")"&amp;"_"&amp;Tabla1[[#This Row],[CANTIDAD]],"")</f>
        <v/>
      </c>
      <c r="AE274" s="31" t="e">
        <f>CONCATENATE([1]!Tabla1[[#This Row],[NOMBRE MED.]],[1]!Tabla1[[#This Row],[CONCENTRACION]],[1]!Tabla1[[#This Row],[FORMA FARMACEUTICA]])</f>
        <v>#REF!</v>
      </c>
    </row>
    <row r="275" spans="2:31" x14ac:dyDescent="0.25">
      <c r="B275" s="10">
        <v>102</v>
      </c>
      <c r="C275" s="10" t="s">
        <v>2764</v>
      </c>
      <c r="D275" s="10" t="s">
        <v>2175</v>
      </c>
      <c r="E275" s="10" t="s">
        <v>2765</v>
      </c>
      <c r="F275" s="10" t="s">
        <v>2766</v>
      </c>
      <c r="G275" s="10" t="s">
        <v>2737</v>
      </c>
      <c r="H275" s="10" t="s">
        <v>2738</v>
      </c>
      <c r="I275" s="10" t="s">
        <v>2113</v>
      </c>
      <c r="J275" s="10" t="s">
        <v>1442</v>
      </c>
      <c r="K275" s="10" t="s">
        <v>2685</v>
      </c>
      <c r="L275" s="11">
        <v>202124100310202</v>
      </c>
      <c r="M275" s="20">
        <v>44250</v>
      </c>
      <c r="N275" s="20" t="str">
        <f>UPPER(TEXT(Tabla1[[#This Row],[FECHA RADICADO ENTRADA]],"MMM"))</f>
        <v>FEB</v>
      </c>
      <c r="O275" s="11">
        <v>202124110337791</v>
      </c>
      <c r="P275" s="20">
        <v>44256</v>
      </c>
      <c r="Q275" s="20" t="str">
        <f>UPPER(TEXT(Tabla1[[#This Row],[FECHA RADICADO ENTRADA]],"MMM"))</f>
        <v>FEB</v>
      </c>
      <c r="R275" s="10">
        <f t="shared" si="4"/>
        <v>-6</v>
      </c>
      <c r="S275" s="10" t="s">
        <v>2154</v>
      </c>
      <c r="U275" s="10" t="s">
        <v>2767</v>
      </c>
      <c r="V275" s="20">
        <v>44223</v>
      </c>
      <c r="W275" s="10" t="s">
        <v>37</v>
      </c>
      <c r="X275" s="10">
        <v>800</v>
      </c>
      <c r="Y275" s="11">
        <f>IFERROR(INT(Tabla1[[#This Row],[CANTIDAD UND FARMACEUTICAS]]/(VLOOKUP(Tabla1[[#This Row],[MEDICAMENTO]],TAB_REF!$K$3:$L$27,2,0))),"")</f>
        <v>80</v>
      </c>
      <c r="Z275" s="10" t="str">
        <f>IFERROR(VLOOKUP(Tabla1[[#This Row],[MEDICAMENTO]],TAB_REF!$B$3:$F$27,2,0), "")</f>
        <v xml:space="preserve">Hidromorfona HCl </v>
      </c>
      <c r="AA275" s="10" t="str">
        <f>IFERROR(VLOOKUP(Tabla1[[#This Row],[MEDICAMENTO]],TAB_REF!$B$3:$F$27,3,0), "")</f>
        <v xml:space="preserve">2 mg/mL </v>
      </c>
      <c r="AB275" s="10" t="str">
        <f>IFERROR(VLOOKUP(Tabla1[[#This Row],[MEDICAMENTO]],TAB_REF!$B$3:$F$27,4,0), "")</f>
        <v>Solución Inyectable</v>
      </c>
      <c r="AC275" s="10" t="str">
        <f>IFERROR(VLOOKUP(Tabla1[[#This Row],[MEDICAMENTO]],TAB_REF!$B$3:$F$27,5,0), "")</f>
        <v>Caja x 10 unidades</v>
      </c>
      <c r="AD275" s="10" t="str">
        <f>IFERROR(VLOOKUP(Tabla1[[#This Row],[CANTIDAD UND COMERCIALES]],TAB_REF!$H$3:$I$1003,2,0)&amp;" ("&amp;Tabla1[[#This Row],[CANTIDAD UND COMERCIALES]]&amp;")"&amp;"_"&amp;Tabla1[[#This Row],[CANTIDAD]],"")</f>
        <v>Ochenta (80)_Caja x 10 unidades</v>
      </c>
      <c r="AE275" s="31" t="e">
        <f>CONCATENATE([1]!Tabla1[[#This Row],[NOMBRE MED.]],[1]!Tabla1[[#This Row],[CONCENTRACION]],[1]!Tabla1[[#This Row],[FORMA FARMACEUTICA]])</f>
        <v>#REF!</v>
      </c>
    </row>
    <row r="276" spans="2:31" x14ac:dyDescent="0.25">
      <c r="B276" s="10">
        <v>102</v>
      </c>
      <c r="C276" s="10" t="s">
        <v>2764</v>
      </c>
      <c r="D276" s="10" t="s">
        <v>2175</v>
      </c>
      <c r="E276" s="10" t="s">
        <v>2765</v>
      </c>
      <c r="F276" s="10" t="s">
        <v>2766</v>
      </c>
      <c r="G276" s="10" t="s">
        <v>2737</v>
      </c>
      <c r="H276" s="10" t="s">
        <v>2738</v>
      </c>
      <c r="I276" s="10" t="s">
        <v>2113</v>
      </c>
      <c r="J276" s="10" t="s">
        <v>1442</v>
      </c>
      <c r="K276" s="10" t="s">
        <v>2685</v>
      </c>
      <c r="L276" s="11">
        <v>202124100310202</v>
      </c>
      <c r="M276" s="20">
        <v>44250</v>
      </c>
      <c r="N276" s="20" t="str">
        <f>UPPER(TEXT(Tabla1[[#This Row],[FECHA RADICADO ENTRADA]],"MMM"))</f>
        <v>FEB</v>
      </c>
      <c r="O276" s="11">
        <v>202124110337791</v>
      </c>
      <c r="P276" s="20">
        <v>44256</v>
      </c>
      <c r="Q276" s="20" t="str">
        <f>UPPER(TEXT(Tabla1[[#This Row],[FECHA RADICADO ENTRADA]],"MMM"))</f>
        <v>FEB</v>
      </c>
      <c r="R276" s="10">
        <f t="shared" si="4"/>
        <v>-6</v>
      </c>
      <c r="S276" s="10" t="s">
        <v>2154</v>
      </c>
      <c r="U276" s="10" t="s">
        <v>2767</v>
      </c>
      <c r="V276" s="20">
        <v>44223</v>
      </c>
      <c r="W276" s="10" t="s">
        <v>60</v>
      </c>
      <c r="X276" s="10">
        <v>25</v>
      </c>
      <c r="Y276" s="11">
        <f>IFERROR(INT(Tabla1[[#This Row],[CANTIDAD UND FARMACEUTICAS]]/(VLOOKUP(Tabla1[[#This Row],[MEDICAMENTO]],TAB_REF!$K$3:$L$27,2,0))),"")</f>
        <v>25</v>
      </c>
      <c r="Z276" s="10" t="str">
        <f>IFERROR(VLOOKUP(Tabla1[[#This Row],[MEDICAMENTO]],TAB_REF!$B$3:$F$27,2,0), "")</f>
        <v xml:space="preserve">Morfina HCl </v>
      </c>
      <c r="AA276" s="10" t="str">
        <f>IFERROR(VLOOKUP(Tabla1[[#This Row],[MEDICAMENTO]],TAB_REF!$B$3:$F$27,3,0), "")</f>
        <v xml:space="preserve">3%. </v>
      </c>
      <c r="AB276" s="10" t="str">
        <f>IFERROR(VLOOKUP(Tabla1[[#This Row],[MEDICAMENTO]],TAB_REF!$B$3:$F$27,4,0), "")</f>
        <v>Solución Oral</v>
      </c>
      <c r="AC276" s="10" t="str">
        <f>IFERROR(VLOOKUP(Tabla1[[#This Row],[MEDICAMENTO]],TAB_REF!$B$3:$F$27,5,0), "")</f>
        <v>Frasco x 30 mL</v>
      </c>
      <c r="AD276" s="10" t="str">
        <f>IFERROR(VLOOKUP(Tabla1[[#This Row],[CANTIDAD UND COMERCIALES]],TAB_REF!$H$3:$I$1003,2,0)&amp;" ("&amp;Tabla1[[#This Row],[CANTIDAD UND COMERCIALES]]&amp;")"&amp;"_"&amp;Tabla1[[#This Row],[CANTIDAD]],"")</f>
        <v>Veinticinco (25)_Frasco x 30 mL</v>
      </c>
      <c r="AE276" s="31" t="e">
        <f>CONCATENATE([1]!Tabla1[[#This Row],[NOMBRE MED.]],[1]!Tabla1[[#This Row],[CONCENTRACION]],[1]!Tabla1[[#This Row],[FORMA FARMACEUTICA]])</f>
        <v>#REF!</v>
      </c>
    </row>
    <row r="277" spans="2:31" x14ac:dyDescent="0.25">
      <c r="B277" s="10">
        <v>102</v>
      </c>
      <c r="C277" s="10" t="s">
        <v>2764</v>
      </c>
      <c r="D277" s="10" t="s">
        <v>2175</v>
      </c>
      <c r="E277" s="10" t="s">
        <v>2765</v>
      </c>
      <c r="F277" s="10" t="s">
        <v>2766</v>
      </c>
      <c r="G277" s="10" t="s">
        <v>2737</v>
      </c>
      <c r="H277" s="10" t="s">
        <v>2738</v>
      </c>
      <c r="I277" s="10" t="s">
        <v>2113</v>
      </c>
      <c r="J277" s="10" t="s">
        <v>1442</v>
      </c>
      <c r="K277" s="10" t="s">
        <v>2685</v>
      </c>
      <c r="L277" s="11">
        <v>202124100310202</v>
      </c>
      <c r="M277" s="20">
        <v>44250</v>
      </c>
      <c r="N277" s="20" t="str">
        <f>UPPER(TEXT(Tabla1[[#This Row],[FECHA RADICADO ENTRADA]],"MMM"))</f>
        <v>FEB</v>
      </c>
      <c r="O277" s="11">
        <v>202124110337791</v>
      </c>
      <c r="P277" s="20">
        <v>44256</v>
      </c>
      <c r="Q277" s="20" t="str">
        <f>UPPER(TEXT(Tabla1[[#This Row],[FECHA RADICADO ENTRADA]],"MMM"))</f>
        <v>FEB</v>
      </c>
      <c r="R277" s="10">
        <f t="shared" si="4"/>
        <v>-6</v>
      </c>
      <c r="S277" s="10" t="s">
        <v>2154</v>
      </c>
      <c r="U277" s="10" t="s">
        <v>2767</v>
      </c>
      <c r="V277" s="20">
        <v>44223</v>
      </c>
      <c r="W277" s="10" t="s">
        <v>63</v>
      </c>
      <c r="X277" s="10">
        <v>2000</v>
      </c>
      <c r="Y277" s="11">
        <f>IFERROR(INT(Tabla1[[#This Row],[CANTIDAD UND FARMACEUTICAS]]/(VLOOKUP(Tabla1[[#This Row],[MEDICAMENTO]],TAB_REF!$K$3:$L$27,2,0))),"")</f>
        <v>200</v>
      </c>
      <c r="Z277" s="10" t="str">
        <f>IFERROR(VLOOKUP(Tabla1[[#This Row],[MEDICAMENTO]],TAB_REF!$B$3:$F$27,2,0), "")</f>
        <v xml:space="preserve">Morfina HCl </v>
      </c>
      <c r="AA277" s="10" t="str">
        <f>IFERROR(VLOOKUP(Tabla1[[#This Row],[MEDICAMENTO]],TAB_REF!$B$3:$F$27,3,0), "")</f>
        <v xml:space="preserve">10 mg/mL </v>
      </c>
      <c r="AB277" s="10" t="str">
        <f>IFERROR(VLOOKUP(Tabla1[[#This Row],[MEDICAMENTO]],TAB_REF!$B$3:$F$27,4,0), "")</f>
        <v>Solución Inyectable</v>
      </c>
      <c r="AC277" s="10" t="str">
        <f>IFERROR(VLOOKUP(Tabla1[[#This Row],[MEDICAMENTO]],TAB_REF!$B$3:$F$27,5,0), "")</f>
        <v>Caja x 10 unidades</v>
      </c>
      <c r="AD277" s="10" t="str">
        <f>IFERROR(VLOOKUP(Tabla1[[#This Row],[CANTIDAD UND COMERCIALES]],TAB_REF!$H$3:$I$1003,2,0)&amp;" ("&amp;Tabla1[[#This Row],[CANTIDAD UND COMERCIALES]]&amp;")"&amp;"_"&amp;Tabla1[[#This Row],[CANTIDAD]],"")</f>
        <v>Doscientos (200)_Caja x 10 unidades</v>
      </c>
      <c r="AE277" s="31" t="e">
        <f>CONCATENATE([1]!Tabla1[[#This Row],[NOMBRE MED.]],[1]!Tabla1[[#This Row],[CONCENTRACION]],[1]!Tabla1[[#This Row],[FORMA FARMACEUTICA]])</f>
        <v>#REF!</v>
      </c>
    </row>
    <row r="278" spans="2:31" x14ac:dyDescent="0.25">
      <c r="B278" s="10">
        <v>103</v>
      </c>
      <c r="C278" s="10" t="s">
        <v>2768</v>
      </c>
      <c r="D278" s="10" t="s">
        <v>2175</v>
      </c>
      <c r="E278" s="10" t="s">
        <v>2769</v>
      </c>
      <c r="F278" s="10" t="s">
        <v>2770</v>
      </c>
      <c r="G278" s="21" t="s">
        <v>2771</v>
      </c>
      <c r="H278" s="10" t="s">
        <v>2772</v>
      </c>
      <c r="I278" s="10" t="s">
        <v>2122</v>
      </c>
      <c r="J278" s="10" t="s">
        <v>1749</v>
      </c>
      <c r="K278" s="10" t="s">
        <v>2685</v>
      </c>
      <c r="L278" s="11">
        <v>202124100310702</v>
      </c>
      <c r="M278" s="20">
        <v>44250</v>
      </c>
      <c r="N278" s="20" t="str">
        <f>UPPER(TEXT(Tabla1[[#This Row],[FECHA RADICADO ENTRADA]],"MMM"))</f>
        <v>FEB</v>
      </c>
      <c r="O278" s="11">
        <v>202124110337861</v>
      </c>
      <c r="P278" s="20">
        <v>44256</v>
      </c>
      <c r="Q278" s="20" t="str">
        <f>UPPER(TEXT(Tabla1[[#This Row],[FECHA RADICADO ENTRADA]],"MMM"))</f>
        <v>FEB</v>
      </c>
      <c r="R278" s="10">
        <f t="shared" si="4"/>
        <v>-6</v>
      </c>
      <c r="S278" s="10" t="s">
        <v>2145</v>
      </c>
      <c r="T278" s="10" t="s">
        <v>2537</v>
      </c>
      <c r="U278" s="10" t="s">
        <v>2773</v>
      </c>
      <c r="V278" s="20">
        <v>44001</v>
      </c>
      <c r="W278" s="10" t="s">
        <v>34</v>
      </c>
      <c r="X278" s="10">
        <v>0</v>
      </c>
      <c r="Y278" s="11">
        <f>IFERROR(INT(Tabla1[[#This Row],[CANTIDAD UND FARMACEUTICAS]]/(VLOOKUP(Tabla1[[#This Row],[MEDICAMENTO]],TAB_REF!$K$3:$L$27,2,0))),"")</f>
        <v>0</v>
      </c>
      <c r="Z278" s="10" t="str">
        <f>IFERROR(VLOOKUP(Tabla1[[#This Row],[MEDICAMENTO]],TAB_REF!$B$3:$F$27,2,0), "")</f>
        <v xml:space="preserve">Fenobarbital Sódico </v>
      </c>
      <c r="AA278" s="10" t="str">
        <f>IFERROR(VLOOKUP(Tabla1[[#This Row],[MEDICAMENTO]],TAB_REF!$B$3:$F$27,3,0), "")</f>
        <v xml:space="preserve">200 mg/Ml </v>
      </c>
      <c r="AB278" s="10" t="str">
        <f>IFERROR(VLOOKUP(Tabla1[[#This Row],[MEDICAMENTO]],TAB_REF!$B$3:$F$27,4,0), "")</f>
        <v>Solución Inyectable</v>
      </c>
      <c r="AC278" s="10" t="str">
        <f>IFERROR(VLOOKUP(Tabla1[[#This Row],[MEDICAMENTO]],TAB_REF!$B$3:$F$27,5,0), "")</f>
        <v>Caja x 10 unidades</v>
      </c>
      <c r="AD278" s="10" t="str">
        <f>IFERROR(VLOOKUP(Tabla1[[#This Row],[CANTIDAD UND COMERCIALES]],TAB_REF!$H$3:$I$1003,2,0)&amp;" ("&amp;Tabla1[[#This Row],[CANTIDAD UND COMERCIALES]]&amp;")"&amp;"_"&amp;Tabla1[[#This Row],[CANTIDAD]],"")</f>
        <v/>
      </c>
      <c r="AE278" s="31" t="e">
        <f>CONCATENATE([1]!Tabla1[[#This Row],[NOMBRE MED.]],[1]!Tabla1[[#This Row],[CONCENTRACION]],[1]!Tabla1[[#This Row],[FORMA FARMACEUTICA]])</f>
        <v>#REF!</v>
      </c>
    </row>
    <row r="279" spans="2:31" x14ac:dyDescent="0.25">
      <c r="B279" s="10">
        <v>103</v>
      </c>
      <c r="C279" s="10" t="s">
        <v>2768</v>
      </c>
      <c r="D279" s="10" t="s">
        <v>2175</v>
      </c>
      <c r="E279" s="10" t="s">
        <v>2769</v>
      </c>
      <c r="F279" s="10" t="s">
        <v>2770</v>
      </c>
      <c r="G279" s="10" t="s">
        <v>2771</v>
      </c>
      <c r="H279" s="10" t="s">
        <v>2772</v>
      </c>
      <c r="I279" s="10" t="s">
        <v>2122</v>
      </c>
      <c r="J279" s="10" t="s">
        <v>1749</v>
      </c>
      <c r="K279" s="10" t="s">
        <v>2685</v>
      </c>
      <c r="L279" s="11">
        <v>202124100310702</v>
      </c>
      <c r="M279" s="20">
        <v>44250</v>
      </c>
      <c r="N279" s="20" t="str">
        <f>UPPER(TEXT(Tabla1[[#This Row],[FECHA RADICADO ENTRADA]],"MMM"))</f>
        <v>FEB</v>
      </c>
      <c r="O279" s="11">
        <v>202124110337861</v>
      </c>
      <c r="P279" s="20">
        <v>44256</v>
      </c>
      <c r="Q279" s="20" t="str">
        <f>UPPER(TEXT(Tabla1[[#This Row],[FECHA RADICADO ENTRADA]],"MMM"))</f>
        <v>FEB</v>
      </c>
      <c r="R279" s="10">
        <f t="shared" si="4"/>
        <v>-6</v>
      </c>
      <c r="S279" s="10" t="s">
        <v>2154</v>
      </c>
      <c r="U279" s="10" t="s">
        <v>2773</v>
      </c>
      <c r="V279" s="20">
        <v>44001</v>
      </c>
      <c r="W279" s="10" t="s">
        <v>63</v>
      </c>
      <c r="X279" s="10">
        <v>500</v>
      </c>
      <c r="Y279" s="11">
        <f>IFERROR(INT(Tabla1[[#This Row],[CANTIDAD UND FARMACEUTICAS]]/(VLOOKUP(Tabla1[[#This Row],[MEDICAMENTO]],TAB_REF!$K$3:$L$27,2,0))),"")</f>
        <v>50</v>
      </c>
      <c r="Z279" s="10" t="str">
        <f>IFERROR(VLOOKUP(Tabla1[[#This Row],[MEDICAMENTO]],TAB_REF!$B$3:$F$27,2,0), "")</f>
        <v xml:space="preserve">Morfina HCl </v>
      </c>
      <c r="AA279" s="10" t="str">
        <f>IFERROR(VLOOKUP(Tabla1[[#This Row],[MEDICAMENTO]],TAB_REF!$B$3:$F$27,3,0), "")</f>
        <v xml:space="preserve">10 mg/mL </v>
      </c>
      <c r="AB279" s="10" t="str">
        <f>IFERROR(VLOOKUP(Tabla1[[#This Row],[MEDICAMENTO]],TAB_REF!$B$3:$F$27,4,0), "")</f>
        <v>Solución Inyectable</v>
      </c>
      <c r="AC279" s="10" t="str">
        <f>IFERROR(VLOOKUP(Tabla1[[#This Row],[MEDICAMENTO]],TAB_REF!$B$3:$F$27,5,0), "")</f>
        <v>Caja x 10 unidades</v>
      </c>
      <c r="AD279" s="10" t="str">
        <f>IFERROR(VLOOKUP(Tabla1[[#This Row],[CANTIDAD UND COMERCIALES]],TAB_REF!$H$3:$I$1003,2,0)&amp;" ("&amp;Tabla1[[#This Row],[CANTIDAD UND COMERCIALES]]&amp;")"&amp;"_"&amp;Tabla1[[#This Row],[CANTIDAD]],"")</f>
        <v>Cincuenta (50)_Caja x 10 unidades</v>
      </c>
      <c r="AE279" s="31" t="e">
        <f>CONCATENATE([1]!Tabla1[[#This Row],[NOMBRE MED.]],[1]!Tabla1[[#This Row],[CONCENTRACION]],[1]!Tabla1[[#This Row],[FORMA FARMACEUTICA]])</f>
        <v>#REF!</v>
      </c>
    </row>
    <row r="280" spans="2:31" x14ac:dyDescent="0.25">
      <c r="B280" s="10">
        <v>103</v>
      </c>
      <c r="C280" s="10" t="s">
        <v>2768</v>
      </c>
      <c r="D280" s="10" t="s">
        <v>2175</v>
      </c>
      <c r="E280" s="10" t="s">
        <v>2769</v>
      </c>
      <c r="F280" s="10" t="s">
        <v>2770</v>
      </c>
      <c r="G280" s="10" t="s">
        <v>2771</v>
      </c>
      <c r="H280" s="10" t="s">
        <v>2772</v>
      </c>
      <c r="I280" s="10" t="s">
        <v>2122</v>
      </c>
      <c r="J280" s="10" t="s">
        <v>1749</v>
      </c>
      <c r="K280" s="10" t="s">
        <v>2685</v>
      </c>
      <c r="L280" s="11">
        <v>202124100310702</v>
      </c>
      <c r="M280" s="20">
        <v>44250</v>
      </c>
      <c r="N280" s="20" t="str">
        <f>UPPER(TEXT(Tabla1[[#This Row],[FECHA RADICADO ENTRADA]],"MMM"))</f>
        <v>FEB</v>
      </c>
      <c r="O280" s="11">
        <v>202124110337861</v>
      </c>
      <c r="P280" s="20">
        <v>44256</v>
      </c>
      <c r="Q280" s="20" t="str">
        <f>UPPER(TEXT(Tabla1[[#This Row],[FECHA RADICADO ENTRADA]],"MMM"))</f>
        <v>FEB</v>
      </c>
      <c r="R280" s="10">
        <f t="shared" si="4"/>
        <v>-6</v>
      </c>
      <c r="S280" s="10" t="s">
        <v>2154</v>
      </c>
      <c r="U280" s="10" t="s">
        <v>2773</v>
      </c>
      <c r="V280" s="20">
        <v>44001</v>
      </c>
      <c r="W280" s="10" t="s">
        <v>36</v>
      </c>
      <c r="X280" s="10">
        <v>500</v>
      </c>
      <c r="Y280" s="11">
        <f>IFERROR(INT(Tabla1[[#This Row],[CANTIDAD UND FARMACEUTICAS]]/(VLOOKUP(Tabla1[[#This Row],[MEDICAMENTO]],TAB_REF!$K$3:$L$27,2,0))),"")</f>
        <v>50</v>
      </c>
      <c r="Z280" s="10" t="str">
        <f>IFERROR(VLOOKUP(Tabla1[[#This Row],[MEDICAMENTO]],TAB_REF!$B$3:$F$27,2,0), "")</f>
        <v xml:space="preserve">Fenobarbital Sódico </v>
      </c>
      <c r="AA280" s="10" t="str">
        <f>IFERROR(VLOOKUP(Tabla1[[#This Row],[MEDICAMENTO]],TAB_REF!$B$3:$F$27,3,0), "")</f>
        <v xml:space="preserve">40 mg/mL </v>
      </c>
      <c r="AB280" s="10" t="str">
        <f>IFERROR(VLOOKUP(Tabla1[[#This Row],[MEDICAMENTO]],TAB_REF!$B$3:$F$27,4,0), "")</f>
        <v>Solución Inyectable</v>
      </c>
      <c r="AC280" s="10" t="str">
        <f>IFERROR(VLOOKUP(Tabla1[[#This Row],[MEDICAMENTO]],TAB_REF!$B$3:$F$27,5,0), "")</f>
        <v>Caja x 10 unidades</v>
      </c>
      <c r="AD280" s="10" t="str">
        <f>IFERROR(VLOOKUP(Tabla1[[#This Row],[CANTIDAD UND COMERCIALES]],TAB_REF!$H$3:$I$1003,2,0)&amp;" ("&amp;Tabla1[[#This Row],[CANTIDAD UND COMERCIALES]]&amp;")"&amp;"_"&amp;Tabla1[[#This Row],[CANTIDAD]],"")</f>
        <v>Cincuenta (50)_Caja x 10 unidades</v>
      </c>
      <c r="AE280" s="31" t="e">
        <f>CONCATENATE([1]!Tabla1[[#This Row],[NOMBRE MED.]],[1]!Tabla1[[#This Row],[CONCENTRACION]],[1]!Tabla1[[#This Row],[FORMA FARMACEUTICA]])</f>
        <v>#REF!</v>
      </c>
    </row>
    <row r="281" spans="2:31" x14ac:dyDescent="0.25">
      <c r="B281" s="10">
        <v>103</v>
      </c>
      <c r="C281" s="10" t="s">
        <v>2768</v>
      </c>
      <c r="D281" s="10" t="s">
        <v>2175</v>
      </c>
      <c r="E281" s="10" t="s">
        <v>2769</v>
      </c>
      <c r="F281" s="10" t="s">
        <v>2770</v>
      </c>
      <c r="G281" s="10" t="s">
        <v>2771</v>
      </c>
      <c r="H281" s="10" t="s">
        <v>2772</v>
      </c>
      <c r="I281" s="10" t="s">
        <v>2122</v>
      </c>
      <c r="J281" s="10" t="s">
        <v>1749</v>
      </c>
      <c r="K281" s="10" t="s">
        <v>2685</v>
      </c>
      <c r="L281" s="11">
        <v>202124100310702</v>
      </c>
      <c r="M281" s="20">
        <v>44250</v>
      </c>
      <c r="N281" s="20" t="str">
        <f>UPPER(TEXT(Tabla1[[#This Row],[FECHA RADICADO ENTRADA]],"MMM"))</f>
        <v>FEB</v>
      </c>
      <c r="O281" s="11">
        <v>202124110337861</v>
      </c>
      <c r="P281" s="20">
        <v>44256</v>
      </c>
      <c r="Q281" s="20" t="str">
        <f>UPPER(TEXT(Tabla1[[#This Row],[FECHA RADICADO ENTRADA]],"MMM"))</f>
        <v>FEB</v>
      </c>
      <c r="R281" s="10">
        <f t="shared" si="4"/>
        <v>-6</v>
      </c>
      <c r="S281" s="10" t="s">
        <v>2154</v>
      </c>
      <c r="U281" s="10" t="s">
        <v>2773</v>
      </c>
      <c r="V281" s="20">
        <v>44001</v>
      </c>
      <c r="W281" s="10" t="s">
        <v>41</v>
      </c>
      <c r="X281" s="10">
        <v>500</v>
      </c>
      <c r="Y281" s="11">
        <f>IFERROR(INT(Tabla1[[#This Row],[CANTIDAD UND FARMACEUTICAS]]/(VLOOKUP(Tabla1[[#This Row],[MEDICAMENTO]],TAB_REF!$K$3:$L$27,2,0))),"")</f>
        <v>50</v>
      </c>
      <c r="Z281" s="10" t="str">
        <f>IFERROR(VLOOKUP(Tabla1[[#This Row],[MEDICAMENTO]],TAB_REF!$B$3:$F$27,2,0), "")</f>
        <v xml:space="preserve">Meperidina HCl </v>
      </c>
      <c r="AA281" s="10" t="str">
        <f>IFERROR(VLOOKUP(Tabla1[[#This Row],[MEDICAMENTO]],TAB_REF!$B$3:$F$27,3,0), "")</f>
        <v xml:space="preserve">100 mg/2mL </v>
      </c>
      <c r="AB281" s="10" t="str">
        <f>IFERROR(VLOOKUP(Tabla1[[#This Row],[MEDICAMENTO]],TAB_REF!$B$3:$F$27,4,0), "")</f>
        <v>Solución Inyectable</v>
      </c>
      <c r="AC281" s="10" t="str">
        <f>IFERROR(VLOOKUP(Tabla1[[#This Row],[MEDICAMENTO]],TAB_REF!$B$3:$F$27,5,0), "")</f>
        <v>Caja 10 ampollas</v>
      </c>
      <c r="AD281" s="10" t="str">
        <f>IFERROR(VLOOKUP(Tabla1[[#This Row],[CANTIDAD UND COMERCIALES]],TAB_REF!$H$3:$I$1003,2,0)&amp;" ("&amp;Tabla1[[#This Row],[CANTIDAD UND COMERCIALES]]&amp;")"&amp;"_"&amp;Tabla1[[#This Row],[CANTIDAD]],"")</f>
        <v>Cincuenta (50)_Caja 10 ampollas</v>
      </c>
      <c r="AE281" s="31" t="e">
        <f>CONCATENATE([1]!Tabla1[[#This Row],[NOMBRE MED.]],[1]!Tabla1[[#This Row],[CONCENTRACION]],[1]!Tabla1[[#This Row],[FORMA FARMACEUTICA]])</f>
        <v>#REF!</v>
      </c>
    </row>
    <row r="282" spans="2:31" x14ac:dyDescent="0.25">
      <c r="B282" s="10">
        <v>104</v>
      </c>
      <c r="C282" s="10" t="s">
        <v>2774</v>
      </c>
      <c r="D282" s="10" t="s">
        <v>2175</v>
      </c>
      <c r="E282" s="10" t="s">
        <v>2775</v>
      </c>
      <c r="F282" s="10" t="s">
        <v>2776</v>
      </c>
      <c r="G282" s="21" t="s">
        <v>2777</v>
      </c>
      <c r="H282" s="10" t="s">
        <v>2778</v>
      </c>
      <c r="I282" s="10" t="s">
        <v>2107</v>
      </c>
      <c r="J282" s="10" t="s">
        <v>1212</v>
      </c>
      <c r="K282" s="10" t="s">
        <v>2779</v>
      </c>
      <c r="L282" s="11">
        <v>202124100311802</v>
      </c>
      <c r="M282" s="20">
        <v>44250</v>
      </c>
      <c r="N282" s="20" t="str">
        <f>UPPER(TEXT(Tabla1[[#This Row],[FECHA RADICADO ENTRADA]],"MMM"))</f>
        <v>FEB</v>
      </c>
      <c r="O282" s="11">
        <v>202124110391621</v>
      </c>
      <c r="P282" s="20">
        <v>44264</v>
      </c>
      <c r="Q282" s="20" t="str">
        <f>UPPER(TEXT(Tabla1[[#This Row],[FECHA RADICADO ENTRADA]],"MMM"))</f>
        <v>FEB</v>
      </c>
      <c r="R282" s="10">
        <f t="shared" si="4"/>
        <v>-14</v>
      </c>
      <c r="S282" s="10" t="s">
        <v>2154</v>
      </c>
      <c r="U282" s="10" t="s">
        <v>2780</v>
      </c>
      <c r="V282" s="20">
        <v>43613</v>
      </c>
      <c r="W282" s="10" t="s">
        <v>45</v>
      </c>
      <c r="X282" s="10">
        <v>600</v>
      </c>
      <c r="Y282" s="11">
        <f>IFERROR(INT(Tabla1[[#This Row],[CANTIDAD UND FARMACEUTICAS]]/(VLOOKUP(Tabla1[[#This Row],[MEDICAMENTO]],TAB_REF!$K$3:$L$27,2,0))),"")</f>
        <v>20</v>
      </c>
      <c r="Z282" s="10" t="str">
        <f>IFERROR(VLOOKUP(Tabla1[[#This Row],[MEDICAMENTO]],TAB_REF!$B$3:$F$27,2,0), "")</f>
        <v xml:space="preserve">Metadona HCl </v>
      </c>
      <c r="AA282" s="10" t="str">
        <f>IFERROR(VLOOKUP(Tabla1[[#This Row],[MEDICAMENTO]],TAB_REF!$B$3:$F$27,3,0), "")</f>
        <v xml:space="preserve">10 mg </v>
      </c>
      <c r="AB282" s="10" t="str">
        <f>IFERROR(VLOOKUP(Tabla1[[#This Row],[MEDICAMENTO]],TAB_REF!$B$3:$F$27,4,0), "")</f>
        <v>Tabletas NACIONAL</v>
      </c>
      <c r="AC282" s="10" t="str">
        <f>IFERROR(VLOOKUP(Tabla1[[#This Row],[MEDICAMENTO]],TAB_REF!$B$3:$F$27,5,0), "")</f>
        <v>Caja x 30 unidades</v>
      </c>
      <c r="AD282" s="10" t="str">
        <f>IFERROR(VLOOKUP(Tabla1[[#This Row],[CANTIDAD UND COMERCIALES]],TAB_REF!$H$3:$I$1003,2,0)&amp;" ("&amp;Tabla1[[#This Row],[CANTIDAD UND COMERCIALES]]&amp;")"&amp;"_"&amp;Tabla1[[#This Row],[CANTIDAD]],"")</f>
        <v>Veinte (20)_Caja x 30 unidades</v>
      </c>
      <c r="AE282" s="31" t="e">
        <f>CONCATENATE([1]!Tabla1[[#This Row],[NOMBRE MED.]],[1]!Tabla1[[#This Row],[CONCENTRACION]],[1]!Tabla1[[#This Row],[FORMA FARMACEUTICA]])</f>
        <v>#REF!</v>
      </c>
    </row>
    <row r="283" spans="2:31" x14ac:dyDescent="0.25">
      <c r="B283" s="10">
        <v>105</v>
      </c>
      <c r="C283" s="10" t="s">
        <v>2781</v>
      </c>
      <c r="D283" s="10" t="s">
        <v>2782</v>
      </c>
      <c r="E283" s="10" t="s">
        <v>2783</v>
      </c>
      <c r="F283" s="10" t="s">
        <v>2164</v>
      </c>
      <c r="G283" s="21" t="s">
        <v>2784</v>
      </c>
      <c r="H283" s="10" t="s">
        <v>2785</v>
      </c>
      <c r="I283" s="10" t="s">
        <v>2129</v>
      </c>
      <c r="J283" s="10" t="s">
        <v>2011</v>
      </c>
      <c r="K283" s="10" t="s">
        <v>2786</v>
      </c>
      <c r="L283" s="11">
        <v>202124100317322</v>
      </c>
      <c r="M283" s="20">
        <v>44251</v>
      </c>
      <c r="N283" s="20" t="str">
        <f>UPPER(TEXT(Tabla1[[#This Row],[FECHA RADICADO ENTRADA]],"MMM"))</f>
        <v>FEB</v>
      </c>
      <c r="O283" s="11">
        <v>202124110391641</v>
      </c>
      <c r="P283" s="20">
        <v>44264</v>
      </c>
      <c r="Q283" s="20" t="str">
        <f>UPPER(TEXT(Tabla1[[#This Row],[FECHA RADICADO ENTRADA]],"MMM"))</f>
        <v>FEB</v>
      </c>
      <c r="R283" s="10">
        <f t="shared" si="4"/>
        <v>-13</v>
      </c>
      <c r="S283" s="10" t="s">
        <v>2145</v>
      </c>
      <c r="T283" s="10" t="s">
        <v>2808</v>
      </c>
      <c r="U283" s="10" t="s">
        <v>2164</v>
      </c>
      <c r="V283" s="10" t="s">
        <v>2164</v>
      </c>
      <c r="W283" s="10" t="s">
        <v>32</v>
      </c>
      <c r="X283" s="10">
        <v>0</v>
      </c>
      <c r="Y283" s="11">
        <f>IFERROR(INT(Tabla1[[#This Row],[CANTIDAD UND FARMACEUTICAS]]/(VLOOKUP(Tabla1[[#This Row],[MEDICAMENTO]],TAB_REF!$K$3:$L$27,2,0))),"")</f>
        <v>0</v>
      </c>
      <c r="Z283" s="10" t="str">
        <f>IFERROR(VLOOKUP(Tabla1[[#This Row],[MEDICAMENTO]],TAB_REF!$B$3:$F$27,2,0), "")</f>
        <v xml:space="preserve">Fenobarbital </v>
      </c>
      <c r="AA283" s="10" t="str">
        <f>IFERROR(VLOOKUP(Tabla1[[#This Row],[MEDICAMENTO]],TAB_REF!$B$3:$F$27,3,0), "")</f>
        <v xml:space="preserve">100 mg </v>
      </c>
      <c r="AB283" s="10" t="str">
        <f>IFERROR(VLOOKUP(Tabla1[[#This Row],[MEDICAMENTO]],TAB_REF!$B$3:$F$27,4,0), "")</f>
        <v>Tabletas</v>
      </c>
      <c r="AC283" s="10" t="str">
        <f>IFERROR(VLOOKUP(Tabla1[[#This Row],[MEDICAMENTO]],TAB_REF!$B$3:$F$27,5,0), "")</f>
        <v>Caja x 30 unidades</v>
      </c>
      <c r="AD283" s="10" t="str">
        <f>IFERROR(VLOOKUP(Tabla1[[#This Row],[CANTIDAD UND COMERCIALES]],TAB_REF!$H$3:$I$1003,2,0)&amp;" ("&amp;Tabla1[[#This Row],[CANTIDAD UND COMERCIALES]]&amp;")"&amp;"_"&amp;Tabla1[[#This Row],[CANTIDAD]],"")</f>
        <v/>
      </c>
      <c r="AE283" s="31" t="e">
        <f>CONCATENATE([1]!Tabla1[[#This Row],[NOMBRE MED.]],[1]!Tabla1[[#This Row],[CONCENTRACION]],[1]!Tabla1[[#This Row],[FORMA FARMACEUTICA]])</f>
        <v>#REF!</v>
      </c>
    </row>
    <row r="284" spans="2:31" x14ac:dyDescent="0.25">
      <c r="B284" s="10">
        <v>105</v>
      </c>
      <c r="C284" s="10" t="s">
        <v>2781</v>
      </c>
      <c r="D284" s="10" t="s">
        <v>2782</v>
      </c>
      <c r="E284" s="10" t="s">
        <v>2783</v>
      </c>
      <c r="F284" s="10" t="s">
        <v>2164</v>
      </c>
      <c r="G284" s="10" t="s">
        <v>2784</v>
      </c>
      <c r="H284" s="10" t="s">
        <v>2785</v>
      </c>
      <c r="I284" s="10" t="s">
        <v>2129</v>
      </c>
      <c r="J284" s="10" t="s">
        <v>2011</v>
      </c>
      <c r="K284" s="10" t="s">
        <v>2786</v>
      </c>
      <c r="L284" s="11">
        <v>202124100317322</v>
      </c>
      <c r="M284" s="20">
        <v>44251</v>
      </c>
      <c r="N284" s="20" t="str">
        <f>UPPER(TEXT(Tabla1[[#This Row],[FECHA RADICADO ENTRADA]],"MMM"))</f>
        <v>FEB</v>
      </c>
      <c r="O284" s="11">
        <v>202124110391641</v>
      </c>
      <c r="P284" s="20">
        <v>44264</v>
      </c>
      <c r="Q284" s="20" t="str">
        <f>UPPER(TEXT(Tabla1[[#This Row],[FECHA RADICADO ENTRADA]],"MMM"))</f>
        <v>FEB</v>
      </c>
      <c r="R284" s="10">
        <f t="shared" si="4"/>
        <v>-13</v>
      </c>
      <c r="S284" s="10" t="s">
        <v>2145</v>
      </c>
      <c r="T284" s="10" t="s">
        <v>2808</v>
      </c>
      <c r="U284" s="10" t="s">
        <v>2164</v>
      </c>
      <c r="V284" s="10" t="s">
        <v>2164</v>
      </c>
      <c r="W284" s="10" t="s">
        <v>41</v>
      </c>
      <c r="X284" s="10">
        <v>0</v>
      </c>
      <c r="Y284" s="11">
        <f>IFERROR(INT(Tabla1[[#This Row],[CANTIDAD UND FARMACEUTICAS]]/(VLOOKUP(Tabla1[[#This Row],[MEDICAMENTO]],TAB_REF!$K$3:$L$27,2,0))),"")</f>
        <v>0</v>
      </c>
      <c r="Z284" s="10" t="str">
        <f>IFERROR(VLOOKUP(Tabla1[[#This Row],[MEDICAMENTO]],TAB_REF!$B$3:$F$27,2,0), "")</f>
        <v xml:space="preserve">Meperidina HCl </v>
      </c>
      <c r="AA284" s="10" t="str">
        <f>IFERROR(VLOOKUP(Tabla1[[#This Row],[MEDICAMENTO]],TAB_REF!$B$3:$F$27,3,0), "")</f>
        <v xml:space="preserve">100 mg/2mL </v>
      </c>
      <c r="AB284" s="10" t="str">
        <f>IFERROR(VLOOKUP(Tabla1[[#This Row],[MEDICAMENTO]],TAB_REF!$B$3:$F$27,4,0), "")</f>
        <v>Solución Inyectable</v>
      </c>
      <c r="AC284" s="10" t="str">
        <f>IFERROR(VLOOKUP(Tabla1[[#This Row],[MEDICAMENTO]],TAB_REF!$B$3:$F$27,5,0), "")</f>
        <v>Caja 10 ampollas</v>
      </c>
      <c r="AD284" s="10" t="str">
        <f>IFERROR(VLOOKUP(Tabla1[[#This Row],[CANTIDAD UND COMERCIALES]],TAB_REF!$H$3:$I$1003,2,0)&amp;" ("&amp;Tabla1[[#This Row],[CANTIDAD UND COMERCIALES]]&amp;")"&amp;"_"&amp;Tabla1[[#This Row],[CANTIDAD]],"")</f>
        <v/>
      </c>
      <c r="AE284" s="31" t="e">
        <f>CONCATENATE([1]!Tabla1[[#This Row],[NOMBRE MED.]],[1]!Tabla1[[#This Row],[CONCENTRACION]],[1]!Tabla1[[#This Row],[FORMA FARMACEUTICA]])</f>
        <v>#REF!</v>
      </c>
    </row>
    <row r="285" spans="2:31" x14ac:dyDescent="0.25">
      <c r="B285" s="10">
        <v>105</v>
      </c>
      <c r="C285" s="10" t="s">
        <v>2781</v>
      </c>
      <c r="D285" s="10" t="s">
        <v>2782</v>
      </c>
      <c r="E285" s="10" t="s">
        <v>2783</v>
      </c>
      <c r="F285" s="10" t="s">
        <v>2164</v>
      </c>
      <c r="G285" s="10" t="s">
        <v>2784</v>
      </c>
      <c r="H285" s="10" t="s">
        <v>2785</v>
      </c>
      <c r="I285" s="10" t="s">
        <v>2129</v>
      </c>
      <c r="J285" s="10" t="s">
        <v>2011</v>
      </c>
      <c r="K285" s="10" t="s">
        <v>2786</v>
      </c>
      <c r="L285" s="11">
        <v>202124100317322</v>
      </c>
      <c r="M285" s="20">
        <v>44251</v>
      </c>
      <c r="N285" s="20" t="str">
        <f>UPPER(TEXT(Tabla1[[#This Row],[FECHA RADICADO ENTRADA]],"MMM"))</f>
        <v>FEB</v>
      </c>
      <c r="O285" s="11">
        <v>202124110391641</v>
      </c>
      <c r="P285" s="20">
        <v>44264</v>
      </c>
      <c r="Q285" s="20" t="str">
        <f>UPPER(TEXT(Tabla1[[#This Row],[FECHA RADICADO ENTRADA]],"MMM"))</f>
        <v>FEB</v>
      </c>
      <c r="R285" s="10">
        <f t="shared" si="4"/>
        <v>-13</v>
      </c>
      <c r="S285" s="10" t="s">
        <v>2145</v>
      </c>
      <c r="T285" s="10" t="s">
        <v>2808</v>
      </c>
      <c r="U285" s="10" t="s">
        <v>2164</v>
      </c>
      <c r="V285" s="10" t="s">
        <v>2164</v>
      </c>
      <c r="W285" s="10" t="s">
        <v>63</v>
      </c>
      <c r="X285" s="10">
        <v>0</v>
      </c>
      <c r="Y285" s="11">
        <f>IFERROR(INT(Tabla1[[#This Row],[CANTIDAD UND FARMACEUTICAS]]/(VLOOKUP(Tabla1[[#This Row],[MEDICAMENTO]],TAB_REF!$K$3:$L$27,2,0))),"")</f>
        <v>0</v>
      </c>
      <c r="Z285" s="10" t="str">
        <f>IFERROR(VLOOKUP(Tabla1[[#This Row],[MEDICAMENTO]],TAB_REF!$B$3:$F$27,2,0), "")</f>
        <v xml:space="preserve">Morfina HCl </v>
      </c>
      <c r="AA285" s="10" t="str">
        <f>IFERROR(VLOOKUP(Tabla1[[#This Row],[MEDICAMENTO]],TAB_REF!$B$3:$F$27,3,0), "")</f>
        <v xml:space="preserve">10 mg/mL </v>
      </c>
      <c r="AB285" s="10" t="str">
        <f>IFERROR(VLOOKUP(Tabla1[[#This Row],[MEDICAMENTO]],TAB_REF!$B$3:$F$27,4,0), "")</f>
        <v>Solución Inyectable</v>
      </c>
      <c r="AC285" s="10" t="str">
        <f>IFERROR(VLOOKUP(Tabla1[[#This Row],[MEDICAMENTO]],TAB_REF!$B$3:$F$27,5,0), "")</f>
        <v>Caja x 10 unidades</v>
      </c>
      <c r="AD285" s="10" t="str">
        <f>IFERROR(VLOOKUP(Tabla1[[#This Row],[CANTIDAD UND COMERCIALES]],TAB_REF!$H$3:$I$1003,2,0)&amp;" ("&amp;Tabla1[[#This Row],[CANTIDAD UND COMERCIALES]]&amp;")"&amp;"_"&amp;Tabla1[[#This Row],[CANTIDAD]],"")</f>
        <v/>
      </c>
      <c r="AE285" s="31" t="e">
        <f>CONCATENATE([1]!Tabla1[[#This Row],[NOMBRE MED.]],[1]!Tabla1[[#This Row],[CONCENTRACION]],[1]!Tabla1[[#This Row],[FORMA FARMACEUTICA]])</f>
        <v>#REF!</v>
      </c>
    </row>
    <row r="286" spans="2:31" x14ac:dyDescent="0.25">
      <c r="B286" s="10">
        <v>105</v>
      </c>
      <c r="C286" s="10" t="s">
        <v>2781</v>
      </c>
      <c r="D286" s="10" t="s">
        <v>2782</v>
      </c>
      <c r="E286" s="10" t="s">
        <v>2783</v>
      </c>
      <c r="F286" s="10" t="s">
        <v>2164</v>
      </c>
      <c r="G286" s="10" t="s">
        <v>2784</v>
      </c>
      <c r="H286" s="10" t="s">
        <v>2785</v>
      </c>
      <c r="I286" s="10" t="s">
        <v>2129</v>
      </c>
      <c r="J286" s="10" t="s">
        <v>2011</v>
      </c>
      <c r="K286" s="10" t="s">
        <v>2786</v>
      </c>
      <c r="L286" s="11">
        <v>202124100317322</v>
      </c>
      <c r="M286" s="20">
        <v>44251</v>
      </c>
      <c r="N286" s="20" t="str">
        <f>UPPER(TEXT(Tabla1[[#This Row],[FECHA RADICADO ENTRADA]],"MMM"))</f>
        <v>FEB</v>
      </c>
      <c r="O286" s="11">
        <v>202124110391641</v>
      </c>
      <c r="P286" s="20">
        <v>44264</v>
      </c>
      <c r="Q286" s="20" t="str">
        <f>UPPER(TEXT(Tabla1[[#This Row],[FECHA RADICADO ENTRADA]],"MMM"))</f>
        <v>FEB</v>
      </c>
      <c r="R286" s="10">
        <f t="shared" si="4"/>
        <v>-13</v>
      </c>
      <c r="S286" s="10" t="s">
        <v>2145</v>
      </c>
      <c r="T286" s="10" t="s">
        <v>2808</v>
      </c>
      <c r="U286" s="10" t="s">
        <v>2164</v>
      </c>
      <c r="V286" s="10" t="s">
        <v>2164</v>
      </c>
      <c r="W286" s="10" t="s">
        <v>37</v>
      </c>
      <c r="X286" s="10">
        <v>0</v>
      </c>
      <c r="Y286" s="11">
        <f>IFERROR(INT(Tabla1[[#This Row],[CANTIDAD UND FARMACEUTICAS]]/(VLOOKUP(Tabla1[[#This Row],[MEDICAMENTO]],TAB_REF!$K$3:$L$27,2,0))),"")</f>
        <v>0</v>
      </c>
      <c r="Z286" s="10" t="str">
        <f>IFERROR(VLOOKUP(Tabla1[[#This Row],[MEDICAMENTO]],TAB_REF!$B$3:$F$27,2,0), "")</f>
        <v xml:space="preserve">Hidromorfona HCl </v>
      </c>
      <c r="AA286" s="10" t="str">
        <f>IFERROR(VLOOKUP(Tabla1[[#This Row],[MEDICAMENTO]],TAB_REF!$B$3:$F$27,3,0), "")</f>
        <v xml:space="preserve">2 mg/mL </v>
      </c>
      <c r="AB286" s="10" t="str">
        <f>IFERROR(VLOOKUP(Tabla1[[#This Row],[MEDICAMENTO]],TAB_REF!$B$3:$F$27,4,0), "")</f>
        <v>Solución Inyectable</v>
      </c>
      <c r="AC286" s="10" t="str">
        <f>IFERROR(VLOOKUP(Tabla1[[#This Row],[MEDICAMENTO]],TAB_REF!$B$3:$F$27,5,0), "")</f>
        <v>Caja x 10 unidades</v>
      </c>
      <c r="AD286" s="10" t="str">
        <f>IFERROR(VLOOKUP(Tabla1[[#This Row],[CANTIDAD UND COMERCIALES]],TAB_REF!$H$3:$I$1003,2,0)&amp;" ("&amp;Tabla1[[#This Row],[CANTIDAD UND COMERCIALES]]&amp;")"&amp;"_"&amp;Tabla1[[#This Row],[CANTIDAD]],"")</f>
        <v/>
      </c>
      <c r="AE286" s="31" t="e">
        <f>CONCATENATE([1]!Tabla1[[#This Row],[NOMBRE MED.]],[1]!Tabla1[[#This Row],[CONCENTRACION]],[1]!Tabla1[[#This Row],[FORMA FARMACEUTICA]])</f>
        <v>#REF!</v>
      </c>
    </row>
    <row r="287" spans="2:31" x14ac:dyDescent="0.25">
      <c r="B287" s="10">
        <v>106</v>
      </c>
      <c r="C287" s="10" t="s">
        <v>2444</v>
      </c>
      <c r="D287" s="10" t="s">
        <v>2182</v>
      </c>
      <c r="E287" s="10" t="s">
        <v>2445</v>
      </c>
      <c r="F287" s="10" t="s">
        <v>2446</v>
      </c>
      <c r="G287" s="10" t="s">
        <v>2447</v>
      </c>
      <c r="H287" s="10" t="s">
        <v>2448</v>
      </c>
      <c r="I287" s="10" t="s">
        <v>2129</v>
      </c>
      <c r="J287" s="10" t="s">
        <v>2011</v>
      </c>
      <c r="K287" s="10" t="s">
        <v>2449</v>
      </c>
      <c r="L287" s="11">
        <v>202124100318322</v>
      </c>
      <c r="M287" s="20">
        <v>44251</v>
      </c>
      <c r="N287" s="20" t="str">
        <f>UPPER(TEXT(Tabla1[[#This Row],[FECHA RADICADO ENTRADA]],"MMM"))</f>
        <v>FEB</v>
      </c>
      <c r="O287" s="11">
        <v>202124110391661</v>
      </c>
      <c r="P287" s="20">
        <v>44264</v>
      </c>
      <c r="Q287" s="20" t="str">
        <f>UPPER(TEXT(Tabla1[[#This Row],[FECHA RADICADO ENTRADA]],"MMM"))</f>
        <v>FEB</v>
      </c>
      <c r="R287" s="10">
        <f t="shared" si="4"/>
        <v>-13</v>
      </c>
      <c r="S287" s="10" t="s">
        <v>2154</v>
      </c>
      <c r="U287" s="10" t="s">
        <v>2450</v>
      </c>
      <c r="V287" s="20">
        <v>44186</v>
      </c>
      <c r="W287" s="10" t="s">
        <v>32</v>
      </c>
      <c r="X287" s="10">
        <v>150</v>
      </c>
      <c r="Y287" s="11">
        <f>IFERROR(INT(Tabla1[[#This Row],[CANTIDAD UND FARMACEUTICAS]]/(VLOOKUP(Tabla1[[#This Row],[MEDICAMENTO]],TAB_REF!$K$3:$L$27,2,0))),"")</f>
        <v>5</v>
      </c>
      <c r="Z287" s="10" t="str">
        <f>IFERROR(VLOOKUP(Tabla1[[#This Row],[MEDICAMENTO]],TAB_REF!$B$3:$F$27,2,0), "")</f>
        <v xml:space="preserve">Fenobarbital </v>
      </c>
      <c r="AA287" s="10" t="str">
        <f>IFERROR(VLOOKUP(Tabla1[[#This Row],[MEDICAMENTO]],TAB_REF!$B$3:$F$27,3,0), "")</f>
        <v xml:space="preserve">100 mg </v>
      </c>
      <c r="AB287" s="10" t="str">
        <f>IFERROR(VLOOKUP(Tabla1[[#This Row],[MEDICAMENTO]],TAB_REF!$B$3:$F$27,4,0), "")</f>
        <v>Tabletas</v>
      </c>
      <c r="AC287" s="10" t="str">
        <f>IFERROR(VLOOKUP(Tabla1[[#This Row],[MEDICAMENTO]],TAB_REF!$B$3:$F$27,5,0), "")</f>
        <v>Caja x 30 unidades</v>
      </c>
      <c r="AD287" s="10" t="str">
        <f>IFERROR(VLOOKUP(Tabla1[[#This Row],[CANTIDAD UND COMERCIALES]],TAB_REF!$H$3:$I$1003,2,0)&amp;" ("&amp;Tabla1[[#This Row],[CANTIDAD UND COMERCIALES]]&amp;")"&amp;"_"&amp;Tabla1[[#This Row],[CANTIDAD]],"")</f>
        <v>Cinco (5)_Caja x 30 unidades</v>
      </c>
      <c r="AE287" s="31" t="e">
        <f>CONCATENATE([1]!Tabla1[[#This Row],[NOMBRE MED.]],[1]!Tabla1[[#This Row],[CONCENTRACION]],[1]!Tabla1[[#This Row],[FORMA FARMACEUTICA]])</f>
        <v>#REF!</v>
      </c>
    </row>
    <row r="288" spans="2:31" x14ac:dyDescent="0.25">
      <c r="B288" s="10">
        <v>106</v>
      </c>
      <c r="C288" s="10" t="s">
        <v>2444</v>
      </c>
      <c r="D288" s="10" t="s">
        <v>2182</v>
      </c>
      <c r="E288" s="10" t="s">
        <v>2445</v>
      </c>
      <c r="F288" s="10" t="s">
        <v>2446</v>
      </c>
      <c r="G288" s="10" t="s">
        <v>2447</v>
      </c>
      <c r="H288" s="10" t="s">
        <v>2448</v>
      </c>
      <c r="I288" s="10" t="s">
        <v>2129</v>
      </c>
      <c r="J288" s="10" t="s">
        <v>2011</v>
      </c>
      <c r="K288" s="10" t="s">
        <v>2449</v>
      </c>
      <c r="L288" s="11">
        <v>202124100318322</v>
      </c>
      <c r="M288" s="20">
        <v>44251</v>
      </c>
      <c r="N288" s="20" t="str">
        <f>UPPER(TEXT(Tabla1[[#This Row],[FECHA RADICADO ENTRADA]],"MMM"))</f>
        <v>FEB</v>
      </c>
      <c r="O288" s="11">
        <v>202124110391661</v>
      </c>
      <c r="P288" s="20">
        <v>44264</v>
      </c>
      <c r="Q288" s="20" t="str">
        <f>UPPER(TEXT(Tabla1[[#This Row],[FECHA RADICADO ENTRADA]],"MMM"))</f>
        <v>FEB</v>
      </c>
      <c r="R288" s="10">
        <f t="shared" si="4"/>
        <v>-13</v>
      </c>
      <c r="S288" s="10" t="s">
        <v>2154</v>
      </c>
      <c r="U288" s="10" t="s">
        <v>2450</v>
      </c>
      <c r="V288" s="20">
        <v>44186</v>
      </c>
      <c r="W288" s="10" t="s">
        <v>38</v>
      </c>
      <c r="X288" s="10">
        <v>180</v>
      </c>
      <c r="Y288" s="11">
        <f>IFERROR(INT(Tabla1[[#This Row],[CANTIDAD UND FARMACEUTICAS]]/(VLOOKUP(Tabla1[[#This Row],[MEDICAMENTO]],TAB_REF!$K$3:$L$27,2,0))),"")</f>
        <v>9</v>
      </c>
      <c r="Z288" s="10" t="str">
        <f>IFERROR(VLOOKUP(Tabla1[[#This Row],[MEDICAMENTO]],TAB_REF!$B$3:$F$27,2,0), "")</f>
        <v xml:space="preserve">Hidromorfona HCl </v>
      </c>
      <c r="AA288" s="10" t="str">
        <f>IFERROR(VLOOKUP(Tabla1[[#This Row],[MEDICAMENTO]],TAB_REF!$B$3:$F$27,3,0), "")</f>
        <v xml:space="preserve">2,5 mg </v>
      </c>
      <c r="AB288" s="10" t="str">
        <f>IFERROR(VLOOKUP(Tabla1[[#This Row],[MEDICAMENTO]],TAB_REF!$B$3:$F$27,4,0), "")</f>
        <v>Tabletas</v>
      </c>
      <c r="AC288" s="10" t="str">
        <f>IFERROR(VLOOKUP(Tabla1[[#This Row],[MEDICAMENTO]],TAB_REF!$B$3:$F$27,5,0), "")</f>
        <v>Caja x 20 unidades</v>
      </c>
      <c r="AD288" s="10" t="str">
        <f>IFERROR(VLOOKUP(Tabla1[[#This Row],[CANTIDAD UND COMERCIALES]],TAB_REF!$H$3:$I$1003,2,0)&amp;" ("&amp;Tabla1[[#This Row],[CANTIDAD UND COMERCIALES]]&amp;")"&amp;"_"&amp;Tabla1[[#This Row],[CANTIDAD]],"")</f>
        <v>Nueve (9)_Caja x 20 unidades</v>
      </c>
      <c r="AE288" s="31" t="e">
        <f>CONCATENATE([1]!Tabla1[[#This Row],[NOMBRE MED.]],[1]!Tabla1[[#This Row],[CONCENTRACION]],[1]!Tabla1[[#This Row],[FORMA FARMACEUTICA]])</f>
        <v>#REF!</v>
      </c>
    </row>
    <row r="289" spans="2:31" x14ac:dyDescent="0.25">
      <c r="B289" s="10">
        <v>107</v>
      </c>
      <c r="C289" s="10" t="s">
        <v>2787</v>
      </c>
      <c r="D289" s="10" t="s">
        <v>2175</v>
      </c>
      <c r="E289" s="10" t="s">
        <v>2788</v>
      </c>
      <c r="F289" s="10" t="s">
        <v>2789</v>
      </c>
      <c r="G289" s="10" t="s">
        <v>2790</v>
      </c>
      <c r="H289" s="10" t="s">
        <v>2791</v>
      </c>
      <c r="I289" s="10" t="s">
        <v>2123</v>
      </c>
      <c r="J289" s="10" t="s">
        <v>1770</v>
      </c>
      <c r="K289" s="10" t="s">
        <v>2792</v>
      </c>
      <c r="L289" s="11">
        <v>202124100328272</v>
      </c>
      <c r="M289" s="20">
        <v>44252</v>
      </c>
      <c r="N289" s="20" t="str">
        <f>UPPER(TEXT(Tabla1[[#This Row],[FECHA RADICADO ENTRADA]],"MMM"))</f>
        <v>FEB</v>
      </c>
      <c r="O289" s="11">
        <v>202124110394121</v>
      </c>
      <c r="P289" s="20">
        <v>44265</v>
      </c>
      <c r="Q289" s="20" t="str">
        <f>UPPER(TEXT(Tabla1[[#This Row],[FECHA RADICADO ENTRADA]],"MMM"))</f>
        <v>FEB</v>
      </c>
      <c r="R289" s="10">
        <f t="shared" si="4"/>
        <v>-13</v>
      </c>
      <c r="S289" s="10" t="s">
        <v>2154</v>
      </c>
      <c r="U289" s="10" t="s">
        <v>2793</v>
      </c>
      <c r="V289" s="20">
        <v>42677</v>
      </c>
      <c r="W289" s="10" t="s">
        <v>32</v>
      </c>
      <c r="X289" s="10">
        <v>2100</v>
      </c>
      <c r="Y289" s="11">
        <f>IFERROR(INT(Tabla1[[#This Row],[CANTIDAD UND FARMACEUTICAS]]/(VLOOKUP(Tabla1[[#This Row],[MEDICAMENTO]],TAB_REF!$K$3:$L$27,2,0))),"")</f>
        <v>70</v>
      </c>
      <c r="Z289" s="10" t="str">
        <f>IFERROR(VLOOKUP(Tabla1[[#This Row],[MEDICAMENTO]],TAB_REF!$B$3:$F$27,2,0), "")</f>
        <v xml:space="preserve">Fenobarbital </v>
      </c>
      <c r="AA289" s="10" t="str">
        <f>IFERROR(VLOOKUP(Tabla1[[#This Row],[MEDICAMENTO]],TAB_REF!$B$3:$F$27,3,0), "")</f>
        <v xml:space="preserve">100 mg </v>
      </c>
      <c r="AB289" s="10" t="str">
        <f>IFERROR(VLOOKUP(Tabla1[[#This Row],[MEDICAMENTO]],TAB_REF!$B$3:$F$27,4,0), "")</f>
        <v>Tabletas</v>
      </c>
      <c r="AC289" s="10" t="str">
        <f>IFERROR(VLOOKUP(Tabla1[[#This Row],[MEDICAMENTO]],TAB_REF!$B$3:$F$27,5,0), "")</f>
        <v>Caja x 30 unidades</v>
      </c>
      <c r="AD289" s="10" t="str">
        <f>IFERROR(VLOOKUP(Tabla1[[#This Row],[CANTIDAD UND COMERCIALES]],TAB_REF!$H$3:$I$1003,2,0)&amp;" ("&amp;Tabla1[[#This Row],[CANTIDAD UND COMERCIALES]]&amp;")"&amp;"_"&amp;Tabla1[[#This Row],[CANTIDAD]],"")</f>
        <v>Setenta (70)_Caja x 30 unidades</v>
      </c>
      <c r="AE289" s="31" t="e">
        <f>CONCATENATE([1]!Tabla1[[#This Row],[NOMBRE MED.]],[1]!Tabla1[[#This Row],[CONCENTRACION]],[1]!Tabla1[[#This Row],[FORMA FARMACEUTICA]])</f>
        <v>#REF!</v>
      </c>
    </row>
    <row r="290" spans="2:31" x14ac:dyDescent="0.25">
      <c r="B290" s="10">
        <v>107</v>
      </c>
      <c r="C290" s="10" t="s">
        <v>2787</v>
      </c>
      <c r="D290" s="10" t="s">
        <v>2175</v>
      </c>
      <c r="E290" s="10" t="s">
        <v>2788</v>
      </c>
      <c r="F290" s="10" t="s">
        <v>2789</v>
      </c>
      <c r="G290" s="10" t="s">
        <v>2790</v>
      </c>
      <c r="H290" s="10" t="s">
        <v>2791</v>
      </c>
      <c r="I290" s="10" t="s">
        <v>2123</v>
      </c>
      <c r="J290" s="10" t="s">
        <v>1770</v>
      </c>
      <c r="K290" s="10" t="s">
        <v>2792</v>
      </c>
      <c r="L290" s="11">
        <v>202124100328272</v>
      </c>
      <c r="M290" s="20">
        <v>44252</v>
      </c>
      <c r="N290" s="20" t="str">
        <f>UPPER(TEXT(Tabla1[[#This Row],[FECHA RADICADO ENTRADA]],"MMM"))</f>
        <v>FEB</v>
      </c>
      <c r="O290" s="11">
        <v>202124110394121</v>
      </c>
      <c r="P290" s="20">
        <v>44265</v>
      </c>
      <c r="Q290" s="20" t="str">
        <f>UPPER(TEXT(Tabla1[[#This Row],[FECHA RADICADO ENTRADA]],"MMM"))</f>
        <v>FEB</v>
      </c>
      <c r="R290" s="10">
        <f t="shared" si="4"/>
        <v>-13</v>
      </c>
      <c r="S290" s="10" t="s">
        <v>2154</v>
      </c>
      <c r="U290" s="10" t="s">
        <v>2793</v>
      </c>
      <c r="V290" s="20">
        <v>42677</v>
      </c>
      <c r="W290" s="10" t="s">
        <v>36</v>
      </c>
      <c r="X290" s="10">
        <v>800</v>
      </c>
      <c r="Y290" s="11">
        <f>IFERROR(INT(Tabla1[[#This Row],[CANTIDAD UND FARMACEUTICAS]]/(VLOOKUP(Tabla1[[#This Row],[MEDICAMENTO]],TAB_REF!$K$3:$L$27,2,0))),"")</f>
        <v>80</v>
      </c>
      <c r="Z290" s="10" t="str">
        <f>IFERROR(VLOOKUP(Tabla1[[#This Row],[MEDICAMENTO]],TAB_REF!$B$3:$F$27,2,0), "")</f>
        <v xml:space="preserve">Fenobarbital Sódico </v>
      </c>
      <c r="AA290" s="10" t="str">
        <f>IFERROR(VLOOKUP(Tabla1[[#This Row],[MEDICAMENTO]],TAB_REF!$B$3:$F$27,3,0), "")</f>
        <v xml:space="preserve">40 mg/mL </v>
      </c>
      <c r="AB290" s="10" t="str">
        <f>IFERROR(VLOOKUP(Tabla1[[#This Row],[MEDICAMENTO]],TAB_REF!$B$3:$F$27,4,0), "")</f>
        <v>Solución Inyectable</v>
      </c>
      <c r="AC290" s="10" t="str">
        <f>IFERROR(VLOOKUP(Tabla1[[#This Row],[MEDICAMENTO]],TAB_REF!$B$3:$F$27,5,0), "")</f>
        <v>Caja x 10 unidades</v>
      </c>
      <c r="AD290" s="10" t="str">
        <f>IFERROR(VLOOKUP(Tabla1[[#This Row],[CANTIDAD UND COMERCIALES]],TAB_REF!$H$3:$I$1003,2,0)&amp;" ("&amp;Tabla1[[#This Row],[CANTIDAD UND COMERCIALES]]&amp;")"&amp;"_"&amp;Tabla1[[#This Row],[CANTIDAD]],"")</f>
        <v>Ochenta (80)_Caja x 10 unidades</v>
      </c>
      <c r="AE290" s="31" t="e">
        <f>CONCATENATE([1]!Tabla1[[#This Row],[NOMBRE MED.]],[1]!Tabla1[[#This Row],[CONCENTRACION]],[1]!Tabla1[[#This Row],[FORMA FARMACEUTICA]])</f>
        <v>#REF!</v>
      </c>
    </row>
    <row r="291" spans="2:31" x14ac:dyDescent="0.25">
      <c r="B291" s="10">
        <v>107</v>
      </c>
      <c r="C291" s="10" t="s">
        <v>2787</v>
      </c>
      <c r="D291" s="10" t="s">
        <v>2175</v>
      </c>
      <c r="E291" s="10" t="s">
        <v>2788</v>
      </c>
      <c r="F291" s="10" t="s">
        <v>2789</v>
      </c>
      <c r="G291" s="21" t="s">
        <v>2790</v>
      </c>
      <c r="H291" s="10" t="s">
        <v>2791</v>
      </c>
      <c r="I291" s="10" t="s">
        <v>2123</v>
      </c>
      <c r="J291" s="10" t="s">
        <v>1770</v>
      </c>
      <c r="K291" s="10" t="s">
        <v>2792</v>
      </c>
      <c r="L291" s="11">
        <v>202124100328272</v>
      </c>
      <c r="M291" s="20">
        <v>44252</v>
      </c>
      <c r="N291" s="20" t="str">
        <f>UPPER(TEXT(Tabla1[[#This Row],[FECHA RADICADO ENTRADA]],"MMM"))</f>
        <v>FEB</v>
      </c>
      <c r="O291" s="11">
        <v>202124110394121</v>
      </c>
      <c r="P291" s="20">
        <v>44265</v>
      </c>
      <c r="Q291" s="20" t="str">
        <f>UPPER(TEXT(Tabla1[[#This Row],[FECHA RADICADO ENTRADA]],"MMM"))</f>
        <v>FEB</v>
      </c>
      <c r="R291" s="10">
        <f t="shared" si="4"/>
        <v>-13</v>
      </c>
      <c r="S291" s="10" t="s">
        <v>2145</v>
      </c>
      <c r="T291" s="10" t="s">
        <v>2537</v>
      </c>
      <c r="U291" s="10" t="s">
        <v>2793</v>
      </c>
      <c r="V291" s="20">
        <v>42677</v>
      </c>
      <c r="W291" s="10" t="s">
        <v>34</v>
      </c>
      <c r="X291" s="10">
        <v>0</v>
      </c>
      <c r="Y291" s="11">
        <f>IFERROR(INT(Tabla1[[#This Row],[CANTIDAD UND FARMACEUTICAS]]/(VLOOKUP(Tabla1[[#This Row],[MEDICAMENTO]],TAB_REF!$K$3:$L$27,2,0))),"")</f>
        <v>0</v>
      </c>
      <c r="Z291" s="10" t="str">
        <f>IFERROR(VLOOKUP(Tabla1[[#This Row],[MEDICAMENTO]],TAB_REF!$B$3:$F$27,2,0), "")</f>
        <v xml:space="preserve">Fenobarbital Sódico </v>
      </c>
      <c r="AA291" s="10" t="str">
        <f>IFERROR(VLOOKUP(Tabla1[[#This Row],[MEDICAMENTO]],TAB_REF!$B$3:$F$27,3,0), "")</f>
        <v xml:space="preserve">200 mg/Ml </v>
      </c>
      <c r="AB291" s="10" t="str">
        <f>IFERROR(VLOOKUP(Tabla1[[#This Row],[MEDICAMENTO]],TAB_REF!$B$3:$F$27,4,0), "")</f>
        <v>Solución Inyectable</v>
      </c>
      <c r="AC291" s="10" t="str">
        <f>IFERROR(VLOOKUP(Tabla1[[#This Row],[MEDICAMENTO]],TAB_REF!$B$3:$F$27,5,0), "")</f>
        <v>Caja x 10 unidades</v>
      </c>
      <c r="AD291" s="10" t="str">
        <f>IFERROR(VLOOKUP(Tabla1[[#This Row],[CANTIDAD UND COMERCIALES]],TAB_REF!$H$3:$I$1003,2,0)&amp;" ("&amp;Tabla1[[#This Row],[CANTIDAD UND COMERCIALES]]&amp;")"&amp;"_"&amp;Tabla1[[#This Row],[CANTIDAD]],"")</f>
        <v/>
      </c>
      <c r="AE291" s="31" t="e">
        <f>CONCATENATE([1]!Tabla1[[#This Row],[NOMBRE MED.]],[1]!Tabla1[[#This Row],[CONCENTRACION]],[1]!Tabla1[[#This Row],[FORMA FARMACEUTICA]])</f>
        <v>#REF!</v>
      </c>
    </row>
    <row r="292" spans="2:31" x14ac:dyDescent="0.25">
      <c r="B292" s="10">
        <v>107</v>
      </c>
      <c r="C292" s="10" t="s">
        <v>2787</v>
      </c>
      <c r="D292" s="10" t="s">
        <v>2175</v>
      </c>
      <c r="E292" s="10" t="s">
        <v>2788</v>
      </c>
      <c r="F292" s="10" t="s">
        <v>2789</v>
      </c>
      <c r="G292" s="10" t="s">
        <v>2790</v>
      </c>
      <c r="H292" s="10" t="s">
        <v>2791</v>
      </c>
      <c r="I292" s="10" t="s">
        <v>2123</v>
      </c>
      <c r="J292" s="10" t="s">
        <v>1770</v>
      </c>
      <c r="K292" s="10" t="s">
        <v>2792</v>
      </c>
      <c r="L292" s="11">
        <v>202124100328272</v>
      </c>
      <c r="M292" s="20">
        <v>44252</v>
      </c>
      <c r="N292" s="20" t="str">
        <f>UPPER(TEXT(Tabla1[[#This Row],[FECHA RADICADO ENTRADA]],"MMM"))</f>
        <v>FEB</v>
      </c>
      <c r="O292" s="11">
        <v>202124110394121</v>
      </c>
      <c r="P292" s="20">
        <v>44265</v>
      </c>
      <c r="Q292" s="20" t="str">
        <f>UPPER(TEXT(Tabla1[[#This Row],[FECHA RADICADO ENTRADA]],"MMM"))</f>
        <v>FEB</v>
      </c>
      <c r="R292" s="10">
        <f t="shared" si="4"/>
        <v>-13</v>
      </c>
      <c r="S292" s="10" t="s">
        <v>2154</v>
      </c>
      <c r="U292" s="10" t="s">
        <v>2793</v>
      </c>
      <c r="V292" s="20">
        <v>42677</v>
      </c>
      <c r="W292" s="10" t="s">
        <v>28</v>
      </c>
      <c r="X292" s="10">
        <v>80</v>
      </c>
      <c r="Y292" s="11">
        <f>IFERROR(INT(Tabla1[[#This Row],[CANTIDAD UND FARMACEUTICAS]]/(VLOOKUP(Tabla1[[#This Row],[MEDICAMENTO]],TAB_REF!$K$3:$L$27,2,0))),"")</f>
        <v>80</v>
      </c>
      <c r="Z292" s="10" t="str">
        <f>IFERROR(VLOOKUP(Tabla1[[#This Row],[MEDICAMENTO]],TAB_REF!$B$3:$F$27,2,0), "")</f>
        <v xml:space="preserve">Fenobarbital </v>
      </c>
      <c r="AA292" s="10" t="str">
        <f>IFERROR(VLOOKUP(Tabla1[[#This Row],[MEDICAMENTO]],TAB_REF!$B$3:$F$27,3,0), "")</f>
        <v xml:space="preserve">0,4%. </v>
      </c>
      <c r="AB292" s="10" t="str">
        <f>IFERROR(VLOOKUP(Tabla1[[#This Row],[MEDICAMENTO]],TAB_REF!$B$3:$F$27,4,0), "")</f>
        <v>Solución Oral</v>
      </c>
      <c r="AC292" s="10" t="str">
        <f>IFERROR(VLOOKUP(Tabla1[[#This Row],[MEDICAMENTO]],TAB_REF!$B$3:$F$27,5,0), "")</f>
        <v>Frasco x 120 mL</v>
      </c>
      <c r="AD292" s="10" t="str">
        <f>IFERROR(VLOOKUP(Tabla1[[#This Row],[CANTIDAD UND COMERCIALES]],TAB_REF!$H$3:$I$1003,2,0)&amp;" ("&amp;Tabla1[[#This Row],[CANTIDAD UND COMERCIALES]]&amp;")"&amp;"_"&amp;Tabla1[[#This Row],[CANTIDAD]],"")</f>
        <v>Ochenta (80)_Frasco x 120 mL</v>
      </c>
      <c r="AE292" s="31" t="e">
        <f>CONCATENATE([1]!Tabla1[[#This Row],[NOMBRE MED.]],[1]!Tabla1[[#This Row],[CONCENTRACION]],[1]!Tabla1[[#This Row],[FORMA FARMACEUTICA]])</f>
        <v>#REF!</v>
      </c>
    </row>
    <row r="293" spans="2:31" x14ac:dyDescent="0.25">
      <c r="B293" s="10">
        <v>107</v>
      </c>
      <c r="C293" s="10" t="s">
        <v>2787</v>
      </c>
      <c r="D293" s="10" t="s">
        <v>2175</v>
      </c>
      <c r="E293" s="10" t="s">
        <v>2788</v>
      </c>
      <c r="F293" s="10" t="s">
        <v>2789</v>
      </c>
      <c r="G293" s="10" t="s">
        <v>2790</v>
      </c>
      <c r="H293" s="10" t="s">
        <v>2791</v>
      </c>
      <c r="I293" s="10" t="s">
        <v>2123</v>
      </c>
      <c r="J293" s="10" t="s">
        <v>1770</v>
      </c>
      <c r="K293" s="10" t="s">
        <v>2792</v>
      </c>
      <c r="L293" s="11">
        <v>202124100328272</v>
      </c>
      <c r="M293" s="20">
        <v>44252</v>
      </c>
      <c r="N293" s="20" t="str">
        <f>UPPER(TEXT(Tabla1[[#This Row],[FECHA RADICADO ENTRADA]],"MMM"))</f>
        <v>FEB</v>
      </c>
      <c r="O293" s="11">
        <v>202124110394121</v>
      </c>
      <c r="P293" s="20">
        <v>44265</v>
      </c>
      <c r="Q293" s="20" t="str">
        <f>UPPER(TEXT(Tabla1[[#This Row],[FECHA RADICADO ENTRADA]],"MMM"))</f>
        <v>FEB</v>
      </c>
      <c r="R293" s="10">
        <f t="shared" si="4"/>
        <v>-13</v>
      </c>
      <c r="S293" s="10" t="s">
        <v>2154</v>
      </c>
      <c r="U293" s="10" t="s">
        <v>2793</v>
      </c>
      <c r="V293" s="20">
        <v>42677</v>
      </c>
      <c r="W293" s="10" t="s">
        <v>41</v>
      </c>
      <c r="X293" s="10">
        <v>1200</v>
      </c>
      <c r="Y293" s="11">
        <f>IFERROR(INT(Tabla1[[#This Row],[CANTIDAD UND FARMACEUTICAS]]/(VLOOKUP(Tabla1[[#This Row],[MEDICAMENTO]],TAB_REF!$K$3:$L$27,2,0))),"")</f>
        <v>120</v>
      </c>
      <c r="Z293" s="10" t="str">
        <f>IFERROR(VLOOKUP(Tabla1[[#This Row],[MEDICAMENTO]],TAB_REF!$B$3:$F$27,2,0), "")</f>
        <v xml:space="preserve">Meperidina HCl </v>
      </c>
      <c r="AA293" s="10" t="str">
        <f>IFERROR(VLOOKUP(Tabla1[[#This Row],[MEDICAMENTO]],TAB_REF!$B$3:$F$27,3,0), "")</f>
        <v xml:space="preserve">100 mg/2mL </v>
      </c>
      <c r="AB293" s="10" t="str">
        <f>IFERROR(VLOOKUP(Tabla1[[#This Row],[MEDICAMENTO]],TAB_REF!$B$3:$F$27,4,0), "")</f>
        <v>Solución Inyectable</v>
      </c>
      <c r="AC293" s="10" t="str">
        <f>IFERROR(VLOOKUP(Tabla1[[#This Row],[MEDICAMENTO]],TAB_REF!$B$3:$F$27,5,0), "")</f>
        <v>Caja 10 ampollas</v>
      </c>
      <c r="AD293" s="10" t="str">
        <f>IFERROR(VLOOKUP(Tabla1[[#This Row],[CANTIDAD UND COMERCIALES]],TAB_REF!$H$3:$I$1003,2,0)&amp;" ("&amp;Tabla1[[#This Row],[CANTIDAD UND COMERCIALES]]&amp;")"&amp;"_"&amp;Tabla1[[#This Row],[CANTIDAD]],"")</f>
        <v>Ciento Veinte (120)_Caja 10 ampollas</v>
      </c>
      <c r="AE293" s="31" t="e">
        <f>CONCATENATE([1]!Tabla1[[#This Row],[NOMBRE MED.]],[1]!Tabla1[[#This Row],[CONCENTRACION]],[1]!Tabla1[[#This Row],[FORMA FARMACEUTICA]])</f>
        <v>#REF!</v>
      </c>
    </row>
    <row r="294" spans="2:31" x14ac:dyDescent="0.25">
      <c r="B294" s="10">
        <v>107</v>
      </c>
      <c r="C294" s="10" t="s">
        <v>2787</v>
      </c>
      <c r="D294" s="10" t="s">
        <v>2175</v>
      </c>
      <c r="E294" s="10" t="s">
        <v>2788</v>
      </c>
      <c r="F294" s="10" t="s">
        <v>2789</v>
      </c>
      <c r="G294" s="10" t="s">
        <v>2790</v>
      </c>
      <c r="H294" s="10" t="s">
        <v>2791</v>
      </c>
      <c r="I294" s="10" t="s">
        <v>2123</v>
      </c>
      <c r="J294" s="10" t="s">
        <v>1770</v>
      </c>
      <c r="K294" s="10" t="s">
        <v>2792</v>
      </c>
      <c r="L294" s="11">
        <v>202124100328272</v>
      </c>
      <c r="M294" s="20">
        <v>44252</v>
      </c>
      <c r="N294" s="20" t="str">
        <f>UPPER(TEXT(Tabla1[[#This Row],[FECHA RADICADO ENTRADA]],"MMM"))</f>
        <v>FEB</v>
      </c>
      <c r="O294" s="11">
        <v>202124110394121</v>
      </c>
      <c r="P294" s="20">
        <v>44265</v>
      </c>
      <c r="Q294" s="20" t="str">
        <f>UPPER(TEXT(Tabla1[[#This Row],[FECHA RADICADO ENTRADA]],"MMM"))</f>
        <v>FEB</v>
      </c>
      <c r="R294" s="10">
        <f t="shared" si="4"/>
        <v>-13</v>
      </c>
      <c r="S294" s="10" t="s">
        <v>2154</v>
      </c>
      <c r="U294" s="10" t="s">
        <v>2793</v>
      </c>
      <c r="V294" s="20">
        <v>42677</v>
      </c>
      <c r="W294" s="10" t="s">
        <v>63</v>
      </c>
      <c r="X294" s="10">
        <v>3000</v>
      </c>
      <c r="Y294" s="11">
        <f>IFERROR(INT(Tabla1[[#This Row],[CANTIDAD UND FARMACEUTICAS]]/(VLOOKUP(Tabla1[[#This Row],[MEDICAMENTO]],TAB_REF!$K$3:$L$27,2,0))),"")</f>
        <v>300</v>
      </c>
      <c r="Z294" s="10" t="str">
        <f>IFERROR(VLOOKUP(Tabla1[[#This Row],[MEDICAMENTO]],TAB_REF!$B$3:$F$27,2,0), "")</f>
        <v xml:space="preserve">Morfina HCl </v>
      </c>
      <c r="AA294" s="10" t="str">
        <f>IFERROR(VLOOKUP(Tabla1[[#This Row],[MEDICAMENTO]],TAB_REF!$B$3:$F$27,3,0), "")</f>
        <v xml:space="preserve">10 mg/mL </v>
      </c>
      <c r="AB294" s="10" t="str">
        <f>IFERROR(VLOOKUP(Tabla1[[#This Row],[MEDICAMENTO]],TAB_REF!$B$3:$F$27,4,0), "")</f>
        <v>Solución Inyectable</v>
      </c>
      <c r="AC294" s="10" t="str">
        <f>IFERROR(VLOOKUP(Tabla1[[#This Row],[MEDICAMENTO]],TAB_REF!$B$3:$F$27,5,0), "")</f>
        <v>Caja x 10 unidades</v>
      </c>
      <c r="AD294" s="10" t="str">
        <f>IFERROR(VLOOKUP(Tabla1[[#This Row],[CANTIDAD UND COMERCIALES]],TAB_REF!$H$3:$I$1003,2,0)&amp;" ("&amp;Tabla1[[#This Row],[CANTIDAD UND COMERCIALES]]&amp;")"&amp;"_"&amp;Tabla1[[#This Row],[CANTIDAD]],"")</f>
        <v>Trescientos (300)_Caja x 10 unidades</v>
      </c>
      <c r="AE294" s="31" t="e">
        <f>CONCATENATE([1]!Tabla1[[#This Row],[NOMBRE MED.]],[1]!Tabla1[[#This Row],[CONCENTRACION]],[1]!Tabla1[[#This Row],[FORMA FARMACEUTICA]])</f>
        <v>#REF!</v>
      </c>
    </row>
    <row r="295" spans="2:31" x14ac:dyDescent="0.25">
      <c r="B295" s="10">
        <v>107</v>
      </c>
      <c r="C295" s="10" t="s">
        <v>2787</v>
      </c>
      <c r="D295" s="10" t="s">
        <v>2175</v>
      </c>
      <c r="E295" s="10" t="s">
        <v>2788</v>
      </c>
      <c r="F295" s="10" t="s">
        <v>2789</v>
      </c>
      <c r="G295" s="10" t="s">
        <v>2790</v>
      </c>
      <c r="H295" s="10" t="s">
        <v>2791</v>
      </c>
      <c r="I295" s="10" t="s">
        <v>2123</v>
      </c>
      <c r="J295" s="10" t="s">
        <v>1770</v>
      </c>
      <c r="K295" s="10" t="s">
        <v>2792</v>
      </c>
      <c r="L295" s="11">
        <v>202124100328272</v>
      </c>
      <c r="M295" s="20">
        <v>44252</v>
      </c>
      <c r="N295" s="20" t="str">
        <f>UPPER(TEXT(Tabla1[[#This Row],[FECHA RADICADO ENTRADA]],"MMM"))</f>
        <v>FEB</v>
      </c>
      <c r="O295" s="11">
        <v>202124110394121</v>
      </c>
      <c r="P295" s="20">
        <v>44265</v>
      </c>
      <c r="Q295" s="20" t="str">
        <f>UPPER(TEXT(Tabla1[[#This Row],[FECHA RADICADO ENTRADA]],"MMM"))</f>
        <v>FEB</v>
      </c>
      <c r="R295" s="10">
        <f t="shared" si="4"/>
        <v>-13</v>
      </c>
      <c r="S295" s="10" t="s">
        <v>2154</v>
      </c>
      <c r="U295" s="10" t="s">
        <v>2793</v>
      </c>
      <c r="V295" s="20">
        <v>42677</v>
      </c>
      <c r="W295" s="10" t="s">
        <v>60</v>
      </c>
      <c r="X295" s="10">
        <v>10</v>
      </c>
      <c r="Y295" s="11">
        <f>IFERROR(INT(Tabla1[[#This Row],[CANTIDAD UND FARMACEUTICAS]]/(VLOOKUP(Tabla1[[#This Row],[MEDICAMENTO]],TAB_REF!$K$3:$L$27,2,0))),"")</f>
        <v>10</v>
      </c>
      <c r="Z295" s="10" t="str">
        <f>IFERROR(VLOOKUP(Tabla1[[#This Row],[MEDICAMENTO]],TAB_REF!$B$3:$F$27,2,0), "")</f>
        <v xml:space="preserve">Morfina HCl </v>
      </c>
      <c r="AA295" s="10" t="str">
        <f>IFERROR(VLOOKUP(Tabla1[[#This Row],[MEDICAMENTO]],TAB_REF!$B$3:$F$27,3,0), "")</f>
        <v xml:space="preserve">3%. </v>
      </c>
      <c r="AB295" s="10" t="str">
        <f>IFERROR(VLOOKUP(Tabla1[[#This Row],[MEDICAMENTO]],TAB_REF!$B$3:$F$27,4,0), "")</f>
        <v>Solución Oral</v>
      </c>
      <c r="AC295" s="10" t="str">
        <f>IFERROR(VLOOKUP(Tabla1[[#This Row],[MEDICAMENTO]],TAB_REF!$B$3:$F$27,5,0), "")</f>
        <v>Frasco x 30 mL</v>
      </c>
      <c r="AD295" s="10" t="str">
        <f>IFERROR(VLOOKUP(Tabla1[[#This Row],[CANTIDAD UND COMERCIALES]],TAB_REF!$H$3:$I$1003,2,0)&amp;" ("&amp;Tabla1[[#This Row],[CANTIDAD UND COMERCIALES]]&amp;")"&amp;"_"&amp;Tabla1[[#This Row],[CANTIDAD]],"")</f>
        <v>Diez (10)_Frasco x 30 mL</v>
      </c>
      <c r="AE295" s="31" t="e">
        <f>CONCATENATE([1]!Tabla1[[#This Row],[NOMBRE MED.]],[1]!Tabla1[[#This Row],[CONCENTRACION]],[1]!Tabla1[[#This Row],[FORMA FARMACEUTICA]])</f>
        <v>#REF!</v>
      </c>
    </row>
    <row r="296" spans="2:31" x14ac:dyDescent="0.25">
      <c r="B296" s="10">
        <v>108</v>
      </c>
      <c r="C296" s="10" t="s">
        <v>2730</v>
      </c>
      <c r="D296" s="10" t="s">
        <v>2162</v>
      </c>
      <c r="E296" s="10" t="s">
        <v>2794</v>
      </c>
      <c r="F296" s="10" t="s">
        <v>2689</v>
      </c>
      <c r="G296" s="10" t="s">
        <v>2732</v>
      </c>
      <c r="H296" s="10" t="s">
        <v>2795</v>
      </c>
      <c r="I296" s="10" t="s">
        <v>2123</v>
      </c>
      <c r="J296" s="10" t="s">
        <v>1770</v>
      </c>
      <c r="K296" s="10" t="s">
        <v>2734</v>
      </c>
      <c r="L296" s="11">
        <v>202124100343592</v>
      </c>
      <c r="M296" s="20">
        <v>44253</v>
      </c>
      <c r="N296" s="20" t="str">
        <f>UPPER(TEXT(Tabla1[[#This Row],[FECHA RADICADO ENTRADA]],"MMM"))</f>
        <v>FEB</v>
      </c>
      <c r="O296" s="11">
        <v>202124110394131</v>
      </c>
      <c r="P296" s="20">
        <v>44265</v>
      </c>
      <c r="Q296" s="20" t="str">
        <f>UPPER(TEXT(Tabla1[[#This Row],[FECHA RADICADO ENTRADA]],"MMM"))</f>
        <v>FEB</v>
      </c>
      <c r="R296" s="10">
        <f t="shared" si="4"/>
        <v>-12</v>
      </c>
      <c r="S296" s="10" t="s">
        <v>2145</v>
      </c>
      <c r="T296" s="10" t="s">
        <v>2796</v>
      </c>
      <c r="U296" s="10" t="s">
        <v>2735</v>
      </c>
      <c r="V296" s="20">
        <v>44070</v>
      </c>
      <c r="W296" s="10" t="s">
        <v>2362</v>
      </c>
      <c r="X296" s="10">
        <v>0</v>
      </c>
      <c r="Y296" s="11">
        <f>IFERROR(INT(Tabla1[[#This Row],[CANTIDAD UND FARMACEUTICAS]]/(VLOOKUP(Tabla1[[#This Row],[MEDICAMENTO]],TAB_REF!$K$3:$L$27,2,0))),"")</f>
        <v>0</v>
      </c>
      <c r="Z296" s="10" t="str">
        <f>IFERROR(VLOOKUP(Tabla1[[#This Row],[MEDICAMENTO]],TAB_REF!$B$3:$F$27,2,0), "")</f>
        <v xml:space="preserve">Hidromorfona HCl </v>
      </c>
      <c r="AA296" s="10" t="str">
        <f>IFERROR(VLOOKUP(Tabla1[[#This Row],[MEDICAMENTO]],TAB_REF!$B$3:$F$27,3,0), "")</f>
        <v xml:space="preserve">5 mg </v>
      </c>
      <c r="AB296" s="10" t="str">
        <f>IFERROR(VLOOKUP(Tabla1[[#This Row],[MEDICAMENTO]],TAB_REF!$B$3:$F$27,4,0), "")</f>
        <v>Tableta</v>
      </c>
      <c r="AC296" s="10" t="str">
        <f>IFERROR(VLOOKUP(Tabla1[[#This Row],[MEDICAMENTO]],TAB_REF!$B$3:$F$27,5,0), "")</f>
        <v>Caja X 20 unidades c/u</v>
      </c>
      <c r="AD296" s="10" t="str">
        <f>IFERROR(VLOOKUP(Tabla1[[#This Row],[CANTIDAD UND COMERCIALES]],TAB_REF!$H$3:$I$1003,2,0)&amp;" ("&amp;Tabla1[[#This Row],[CANTIDAD UND COMERCIALES]]&amp;")"&amp;"_"&amp;Tabla1[[#This Row],[CANTIDAD]],"")</f>
        <v/>
      </c>
      <c r="AE296" s="31" t="e">
        <f>CONCATENATE([1]!Tabla1[[#This Row],[NOMBRE MED.]],[1]!Tabla1[[#This Row],[CONCENTRACION]],[1]!Tabla1[[#This Row],[FORMA FARMACEUTICA]])</f>
        <v>#REF!</v>
      </c>
    </row>
    <row r="297" spans="2:31" x14ac:dyDescent="0.25">
      <c r="B297" s="10">
        <v>109</v>
      </c>
      <c r="C297" s="10" t="s">
        <v>2797</v>
      </c>
      <c r="D297" s="10" t="s">
        <v>2798</v>
      </c>
      <c r="E297" s="10" t="s">
        <v>2799</v>
      </c>
      <c r="F297" s="10" t="s">
        <v>2697</v>
      </c>
      <c r="G297" s="10" t="s">
        <v>2800</v>
      </c>
      <c r="H297" s="10" t="s">
        <v>2801</v>
      </c>
      <c r="I297" s="10" t="s">
        <v>2116</v>
      </c>
      <c r="J297" s="10" t="s">
        <v>1550</v>
      </c>
      <c r="K297" s="10" t="s">
        <v>2802</v>
      </c>
      <c r="L297" s="11">
        <v>202124100343802</v>
      </c>
      <c r="M297" s="20">
        <v>44253</v>
      </c>
      <c r="N297" s="20" t="str">
        <f>UPPER(TEXT(Tabla1[[#This Row],[FECHA RADICADO ENTRADA]],"MMM"))</f>
        <v>FEB</v>
      </c>
      <c r="O297" s="11">
        <v>202124110394141</v>
      </c>
      <c r="P297" s="20">
        <v>44265</v>
      </c>
      <c r="Q297" s="20" t="str">
        <f>UPPER(TEXT(Tabla1[[#This Row],[FECHA RADICADO ENTRADA]],"MMM"))</f>
        <v>FEB</v>
      </c>
      <c r="R297" s="10">
        <f t="shared" si="4"/>
        <v>-12</v>
      </c>
      <c r="S297" s="10" t="s">
        <v>2154</v>
      </c>
      <c r="U297" s="10" t="s">
        <v>2803</v>
      </c>
      <c r="V297" s="20">
        <v>44075</v>
      </c>
      <c r="W297" s="10" t="s">
        <v>60</v>
      </c>
      <c r="X297" s="10">
        <v>15</v>
      </c>
      <c r="Y297" s="11">
        <f>IFERROR(INT(Tabla1[[#This Row],[CANTIDAD UND FARMACEUTICAS]]/(VLOOKUP(Tabla1[[#This Row],[MEDICAMENTO]],TAB_REF!$K$3:$L$27,2,0))),"")</f>
        <v>15</v>
      </c>
      <c r="Z297" s="10" t="str">
        <f>IFERROR(VLOOKUP(Tabla1[[#This Row],[MEDICAMENTO]],TAB_REF!$B$3:$F$27,2,0), "")</f>
        <v xml:space="preserve">Morfina HCl </v>
      </c>
      <c r="AA297" s="10" t="str">
        <f>IFERROR(VLOOKUP(Tabla1[[#This Row],[MEDICAMENTO]],TAB_REF!$B$3:$F$27,3,0), "")</f>
        <v xml:space="preserve">3%. </v>
      </c>
      <c r="AB297" s="10" t="str">
        <f>IFERROR(VLOOKUP(Tabla1[[#This Row],[MEDICAMENTO]],TAB_REF!$B$3:$F$27,4,0), "")</f>
        <v>Solución Oral</v>
      </c>
      <c r="AC297" s="10" t="str">
        <f>IFERROR(VLOOKUP(Tabla1[[#This Row],[MEDICAMENTO]],TAB_REF!$B$3:$F$27,5,0), "")</f>
        <v>Frasco x 30 mL</v>
      </c>
      <c r="AD297" s="10" t="str">
        <f>IFERROR(VLOOKUP(Tabla1[[#This Row],[CANTIDAD UND COMERCIALES]],TAB_REF!$H$3:$I$1003,2,0)&amp;" ("&amp;Tabla1[[#This Row],[CANTIDAD UND COMERCIALES]]&amp;")"&amp;"_"&amp;Tabla1[[#This Row],[CANTIDAD]],"")</f>
        <v>Quince (15)_Frasco x 30 mL</v>
      </c>
      <c r="AE297" s="31" t="e">
        <f>CONCATENATE([1]!Tabla1[[#This Row],[NOMBRE MED.]],[1]!Tabla1[[#This Row],[CONCENTRACION]],[1]!Tabla1[[#This Row],[FORMA FARMACEUTICA]])</f>
        <v>#REF!</v>
      </c>
    </row>
    <row r="298" spans="2:31" x14ac:dyDescent="0.25">
      <c r="B298" s="10">
        <v>109</v>
      </c>
      <c r="C298" s="10" t="s">
        <v>2797</v>
      </c>
      <c r="D298" s="10" t="s">
        <v>2798</v>
      </c>
      <c r="E298" s="10" t="s">
        <v>2799</v>
      </c>
      <c r="F298" s="10" t="s">
        <v>2697</v>
      </c>
      <c r="G298" s="10" t="s">
        <v>2800</v>
      </c>
      <c r="H298" s="10" t="s">
        <v>2801</v>
      </c>
      <c r="I298" s="10" t="s">
        <v>2116</v>
      </c>
      <c r="J298" s="10" t="s">
        <v>1550</v>
      </c>
      <c r="K298" s="10" t="s">
        <v>2802</v>
      </c>
      <c r="L298" s="11">
        <v>202124100343802</v>
      </c>
      <c r="M298" s="20">
        <v>44253</v>
      </c>
      <c r="N298" s="20" t="str">
        <f>UPPER(TEXT(Tabla1[[#This Row],[FECHA RADICADO ENTRADA]],"MMM"))</f>
        <v>FEB</v>
      </c>
      <c r="O298" s="11">
        <v>202124110394141</v>
      </c>
      <c r="P298" s="20">
        <v>44265</v>
      </c>
      <c r="Q298" s="20" t="str">
        <f>UPPER(TEXT(Tabla1[[#This Row],[FECHA RADICADO ENTRADA]],"MMM"))</f>
        <v>FEB</v>
      </c>
      <c r="R298" s="10">
        <f t="shared" si="4"/>
        <v>-12</v>
      </c>
      <c r="S298" s="10" t="s">
        <v>2154</v>
      </c>
      <c r="U298" s="10" t="s">
        <v>2804</v>
      </c>
      <c r="V298" s="20">
        <v>44075</v>
      </c>
      <c r="W298" s="10" t="s">
        <v>28</v>
      </c>
      <c r="X298" s="10">
        <v>5</v>
      </c>
      <c r="Y298" s="11">
        <f>IFERROR(INT(Tabla1[[#This Row],[CANTIDAD UND FARMACEUTICAS]]/(VLOOKUP(Tabla1[[#This Row],[MEDICAMENTO]],TAB_REF!$K$3:$L$27,2,0))),"")</f>
        <v>5</v>
      </c>
      <c r="Z298" s="10" t="str">
        <f>IFERROR(VLOOKUP(Tabla1[[#This Row],[MEDICAMENTO]],TAB_REF!$B$3:$F$27,2,0), "")</f>
        <v xml:space="preserve">Fenobarbital </v>
      </c>
      <c r="AA298" s="10" t="str">
        <f>IFERROR(VLOOKUP(Tabla1[[#This Row],[MEDICAMENTO]],TAB_REF!$B$3:$F$27,3,0), "")</f>
        <v xml:space="preserve">0,4%. </v>
      </c>
      <c r="AB298" s="10" t="str">
        <f>IFERROR(VLOOKUP(Tabla1[[#This Row],[MEDICAMENTO]],TAB_REF!$B$3:$F$27,4,0), "")</f>
        <v>Solución Oral</v>
      </c>
      <c r="AC298" s="10" t="str">
        <f>IFERROR(VLOOKUP(Tabla1[[#This Row],[MEDICAMENTO]],TAB_REF!$B$3:$F$27,5,0), "")</f>
        <v>Frasco x 120 mL</v>
      </c>
      <c r="AD298" s="10" t="str">
        <f>IFERROR(VLOOKUP(Tabla1[[#This Row],[CANTIDAD UND COMERCIALES]],TAB_REF!$H$3:$I$1003,2,0)&amp;" ("&amp;Tabla1[[#This Row],[CANTIDAD UND COMERCIALES]]&amp;")"&amp;"_"&amp;Tabla1[[#This Row],[CANTIDAD]],"")</f>
        <v>Cinco (5)_Frasco x 120 mL</v>
      </c>
      <c r="AE298" s="31" t="e">
        <f>CONCATENATE([1]!Tabla1[[#This Row],[NOMBRE MED.]],[1]!Tabla1[[#This Row],[CONCENTRACION]],[1]!Tabla1[[#This Row],[FORMA FARMACEUTICA]])</f>
        <v>#REF!</v>
      </c>
    </row>
    <row r="299" spans="2:31" x14ac:dyDescent="0.25">
      <c r="B299" s="10">
        <v>109</v>
      </c>
      <c r="C299" s="10" t="s">
        <v>2797</v>
      </c>
      <c r="D299" s="10" t="s">
        <v>2798</v>
      </c>
      <c r="E299" s="10" t="s">
        <v>2799</v>
      </c>
      <c r="F299" s="10" t="s">
        <v>2697</v>
      </c>
      <c r="G299" s="10" t="s">
        <v>2800</v>
      </c>
      <c r="H299" s="10" t="s">
        <v>2801</v>
      </c>
      <c r="I299" s="10" t="s">
        <v>2116</v>
      </c>
      <c r="J299" s="10" t="s">
        <v>1550</v>
      </c>
      <c r="K299" s="10" t="s">
        <v>2802</v>
      </c>
      <c r="L299" s="11">
        <v>202124100343802</v>
      </c>
      <c r="M299" s="20">
        <v>44253</v>
      </c>
      <c r="N299" s="20" t="str">
        <f>UPPER(TEXT(Tabla1[[#This Row],[FECHA RADICADO ENTRADA]],"MMM"))</f>
        <v>FEB</v>
      </c>
      <c r="O299" s="11">
        <v>202124110394141</v>
      </c>
      <c r="P299" s="20">
        <v>44265</v>
      </c>
      <c r="Q299" s="20" t="str">
        <f>UPPER(TEXT(Tabla1[[#This Row],[FECHA RADICADO ENTRADA]],"MMM"))</f>
        <v>FEB</v>
      </c>
      <c r="R299" s="10">
        <f t="shared" si="4"/>
        <v>-12</v>
      </c>
      <c r="S299" s="10" t="s">
        <v>2154</v>
      </c>
      <c r="U299" s="10" t="s">
        <v>2805</v>
      </c>
      <c r="V299" s="20">
        <v>44075</v>
      </c>
      <c r="W299" s="10" t="s">
        <v>48</v>
      </c>
      <c r="X299" s="10">
        <v>60</v>
      </c>
      <c r="Y299" s="11">
        <f>IFERROR(INT(Tabla1[[#This Row],[CANTIDAD UND FARMACEUTICAS]]/(VLOOKUP(Tabla1[[#This Row],[MEDICAMENTO]],TAB_REF!$K$3:$L$27,2,0))),"")</f>
        <v>2</v>
      </c>
      <c r="Z299" s="10" t="str">
        <f>IFERROR(VLOOKUP(Tabla1[[#This Row],[MEDICAMENTO]],TAB_REF!$B$3:$F$27,2,0), "")</f>
        <v xml:space="preserve">Metilfenidato HCl </v>
      </c>
      <c r="AA299" s="10" t="str">
        <f>IFERROR(VLOOKUP(Tabla1[[#This Row],[MEDICAMENTO]],TAB_REF!$B$3:$F$27,3,0), "")</f>
        <v xml:space="preserve">10 mg </v>
      </c>
      <c r="AB299" s="10" t="str">
        <f>IFERROR(VLOOKUP(Tabla1[[#This Row],[MEDICAMENTO]],TAB_REF!$B$3:$F$27,4,0), "")</f>
        <v>Comprimidos</v>
      </c>
      <c r="AC299" s="10" t="str">
        <f>IFERROR(VLOOKUP(Tabla1[[#This Row],[MEDICAMENTO]],TAB_REF!$B$3:$F$27,5,0), "")</f>
        <v>Caja x 30 unidades</v>
      </c>
      <c r="AD299" s="10" t="str">
        <f>IFERROR(VLOOKUP(Tabla1[[#This Row],[CANTIDAD UND COMERCIALES]],TAB_REF!$H$3:$I$1003,2,0)&amp;" ("&amp;Tabla1[[#This Row],[CANTIDAD UND COMERCIALES]]&amp;")"&amp;"_"&amp;Tabla1[[#This Row],[CANTIDAD]],"")</f>
        <v>Dos (2)_Caja x 30 unidades</v>
      </c>
      <c r="AE299" s="31" t="e">
        <f>CONCATENATE([1]!Tabla1[[#This Row],[NOMBRE MED.]],[1]!Tabla1[[#This Row],[CONCENTRACION]],[1]!Tabla1[[#This Row],[FORMA FARMACEUTICA]])</f>
        <v>#REF!</v>
      </c>
    </row>
    <row r="300" spans="2:31" x14ac:dyDescent="0.25">
      <c r="B300" s="10">
        <v>110</v>
      </c>
      <c r="C300" s="10" t="s">
        <v>2806</v>
      </c>
      <c r="D300" s="10" t="s">
        <v>2164</v>
      </c>
      <c r="E300" s="10" t="s">
        <v>2806</v>
      </c>
      <c r="F300" s="10" t="s">
        <v>2582</v>
      </c>
      <c r="G300" s="10" t="s">
        <v>2583</v>
      </c>
      <c r="H300" s="10" t="s">
        <v>2164</v>
      </c>
      <c r="I300" s="10" t="s">
        <v>2107</v>
      </c>
      <c r="J300" s="10" t="s">
        <v>1212</v>
      </c>
      <c r="K300" s="10" t="s">
        <v>2807</v>
      </c>
      <c r="L300" s="11">
        <v>202124100344352</v>
      </c>
      <c r="M300" s="20">
        <v>44253</v>
      </c>
      <c r="N300" s="20" t="str">
        <f>UPPER(TEXT(Tabla1[[#This Row],[FECHA RADICADO ENTRADA]],"MMM"))</f>
        <v>FEB</v>
      </c>
      <c r="O300" s="11">
        <v>202124110394151</v>
      </c>
      <c r="P300" s="20">
        <v>44265</v>
      </c>
      <c r="Q300" s="20" t="str">
        <f>UPPER(TEXT(Tabla1[[#This Row],[FECHA RADICADO ENTRADA]],"MMM"))</f>
        <v>FEB</v>
      </c>
      <c r="R300" s="10">
        <f t="shared" si="4"/>
        <v>-12</v>
      </c>
      <c r="S300" s="10" t="s">
        <v>2145</v>
      </c>
      <c r="T300" s="10" t="s">
        <v>2808</v>
      </c>
      <c r="U300" s="10" t="s">
        <v>2164</v>
      </c>
      <c r="V300" s="10" t="s">
        <v>2164</v>
      </c>
      <c r="W300" s="10" t="s">
        <v>32</v>
      </c>
      <c r="X300" s="10">
        <v>0</v>
      </c>
      <c r="Y300" s="11">
        <f>IFERROR(INT(Tabla1[[#This Row],[CANTIDAD UND FARMACEUTICAS]]/(VLOOKUP(Tabla1[[#This Row],[MEDICAMENTO]],TAB_REF!$K$3:$L$27,2,0))),"")</f>
        <v>0</v>
      </c>
      <c r="Z300" s="10" t="str">
        <f>IFERROR(VLOOKUP(Tabla1[[#This Row],[MEDICAMENTO]],TAB_REF!$B$3:$F$27,2,0), "")</f>
        <v xml:space="preserve">Fenobarbital </v>
      </c>
      <c r="AA300" s="10" t="str">
        <f>IFERROR(VLOOKUP(Tabla1[[#This Row],[MEDICAMENTO]],TAB_REF!$B$3:$F$27,3,0), "")</f>
        <v xml:space="preserve">100 mg </v>
      </c>
      <c r="AB300" s="10" t="str">
        <f>IFERROR(VLOOKUP(Tabla1[[#This Row],[MEDICAMENTO]],TAB_REF!$B$3:$F$27,4,0), "")</f>
        <v>Tabletas</v>
      </c>
      <c r="AC300" s="10" t="str">
        <f>IFERROR(VLOOKUP(Tabla1[[#This Row],[MEDICAMENTO]],TAB_REF!$B$3:$F$27,5,0), "")</f>
        <v>Caja x 30 unidades</v>
      </c>
      <c r="AD300" s="10" t="str">
        <f>IFERROR(VLOOKUP(Tabla1[[#This Row],[CANTIDAD UND COMERCIALES]],TAB_REF!$H$3:$I$1003,2,0)&amp;" ("&amp;Tabla1[[#This Row],[CANTIDAD UND COMERCIALES]]&amp;")"&amp;"_"&amp;Tabla1[[#This Row],[CANTIDAD]],"")</f>
        <v/>
      </c>
      <c r="AE300" s="31" t="e">
        <f>CONCATENATE([1]!Tabla1[[#This Row],[NOMBRE MED.]],[1]!Tabla1[[#This Row],[CONCENTRACION]],[1]!Tabla1[[#This Row],[FORMA FARMACEUTICA]])</f>
        <v>#REF!</v>
      </c>
    </row>
    <row r="301" spans="2:31" x14ac:dyDescent="0.25">
      <c r="B301" s="10">
        <v>110</v>
      </c>
      <c r="C301" s="10" t="s">
        <v>2806</v>
      </c>
      <c r="D301" s="10" t="s">
        <v>2164</v>
      </c>
      <c r="E301" s="10" t="s">
        <v>2806</v>
      </c>
      <c r="F301" s="10" t="s">
        <v>2582</v>
      </c>
      <c r="G301" s="10" t="s">
        <v>2583</v>
      </c>
      <c r="H301" s="10" t="s">
        <v>2164</v>
      </c>
      <c r="I301" s="10" t="s">
        <v>2107</v>
      </c>
      <c r="J301" s="10" t="s">
        <v>1212</v>
      </c>
      <c r="K301" s="10" t="s">
        <v>2807</v>
      </c>
      <c r="L301" s="11">
        <v>202124100344352</v>
      </c>
      <c r="M301" s="20">
        <v>44253</v>
      </c>
      <c r="N301" s="20" t="str">
        <f>UPPER(TEXT(Tabla1[[#This Row],[FECHA RADICADO ENTRADA]],"MMM"))</f>
        <v>FEB</v>
      </c>
      <c r="O301" s="11">
        <v>202124110394151</v>
      </c>
      <c r="P301" s="20">
        <v>44265</v>
      </c>
      <c r="Q301" s="20" t="str">
        <f>UPPER(TEXT(Tabla1[[#This Row],[FECHA RADICADO ENTRADA]],"MMM"))</f>
        <v>FEB</v>
      </c>
      <c r="R301" s="10">
        <f t="shared" si="4"/>
        <v>-12</v>
      </c>
      <c r="S301" s="10" t="s">
        <v>2145</v>
      </c>
      <c r="T301" s="10" t="s">
        <v>2808</v>
      </c>
      <c r="U301" s="10" t="s">
        <v>2164</v>
      </c>
      <c r="V301" s="10" t="s">
        <v>2164</v>
      </c>
      <c r="W301" s="10" t="s">
        <v>38</v>
      </c>
      <c r="X301" s="10">
        <v>0</v>
      </c>
      <c r="Y301" s="11">
        <f>IFERROR(INT(Tabla1[[#This Row],[CANTIDAD UND FARMACEUTICAS]]/(VLOOKUP(Tabla1[[#This Row],[MEDICAMENTO]],TAB_REF!$K$3:$L$27,2,0))),"")</f>
        <v>0</v>
      </c>
      <c r="Z301" s="10" t="str">
        <f>IFERROR(VLOOKUP(Tabla1[[#This Row],[MEDICAMENTO]],TAB_REF!$B$3:$F$27,2,0), "")</f>
        <v xml:space="preserve">Hidromorfona HCl </v>
      </c>
      <c r="AA301" s="10" t="str">
        <f>IFERROR(VLOOKUP(Tabla1[[#This Row],[MEDICAMENTO]],TAB_REF!$B$3:$F$27,3,0), "")</f>
        <v xml:space="preserve">2,5 mg </v>
      </c>
      <c r="AB301" s="10" t="str">
        <f>IFERROR(VLOOKUP(Tabla1[[#This Row],[MEDICAMENTO]],TAB_REF!$B$3:$F$27,4,0), "")</f>
        <v>Tabletas</v>
      </c>
      <c r="AC301" s="10" t="str">
        <f>IFERROR(VLOOKUP(Tabla1[[#This Row],[MEDICAMENTO]],TAB_REF!$B$3:$F$27,5,0), "")</f>
        <v>Caja x 20 unidades</v>
      </c>
      <c r="AD301" s="10" t="str">
        <f>IFERROR(VLOOKUP(Tabla1[[#This Row],[CANTIDAD UND COMERCIALES]],TAB_REF!$H$3:$I$1003,2,0)&amp;" ("&amp;Tabla1[[#This Row],[CANTIDAD UND COMERCIALES]]&amp;")"&amp;"_"&amp;Tabla1[[#This Row],[CANTIDAD]],"")</f>
        <v/>
      </c>
      <c r="AE301" s="31" t="e">
        <f>CONCATENATE([1]!Tabla1[[#This Row],[NOMBRE MED.]],[1]!Tabla1[[#This Row],[CONCENTRACION]],[1]!Tabla1[[#This Row],[FORMA FARMACEUTICA]])</f>
        <v>#REF!</v>
      </c>
    </row>
    <row r="302" spans="2:31" x14ac:dyDescent="0.25">
      <c r="B302" s="10">
        <v>110</v>
      </c>
      <c r="C302" s="10" t="s">
        <v>2806</v>
      </c>
      <c r="D302" s="10" t="s">
        <v>2164</v>
      </c>
      <c r="E302" s="10" t="s">
        <v>2806</v>
      </c>
      <c r="F302" s="10" t="s">
        <v>2582</v>
      </c>
      <c r="G302" s="10" t="s">
        <v>2583</v>
      </c>
      <c r="H302" s="10" t="s">
        <v>2164</v>
      </c>
      <c r="I302" s="10" t="s">
        <v>2107</v>
      </c>
      <c r="J302" s="10" t="s">
        <v>1212</v>
      </c>
      <c r="K302" s="10" t="s">
        <v>2807</v>
      </c>
      <c r="L302" s="11">
        <v>202124100344352</v>
      </c>
      <c r="M302" s="20">
        <v>44253</v>
      </c>
      <c r="N302" s="20" t="str">
        <f>UPPER(TEXT(Tabla1[[#This Row],[FECHA RADICADO ENTRADA]],"MMM"))</f>
        <v>FEB</v>
      </c>
      <c r="O302" s="11">
        <v>202124110394151</v>
      </c>
      <c r="P302" s="20">
        <v>44265</v>
      </c>
      <c r="Q302" s="20" t="str">
        <f>UPPER(TEXT(Tabla1[[#This Row],[FECHA RADICADO ENTRADA]],"MMM"))</f>
        <v>FEB</v>
      </c>
      <c r="R302" s="10">
        <f t="shared" si="4"/>
        <v>-12</v>
      </c>
      <c r="S302" s="10" t="s">
        <v>2145</v>
      </c>
      <c r="T302" s="10" t="s">
        <v>2808</v>
      </c>
      <c r="U302" s="10" t="s">
        <v>2164</v>
      </c>
      <c r="V302" s="10" t="s">
        <v>2164</v>
      </c>
      <c r="W302" s="10" t="s">
        <v>60</v>
      </c>
      <c r="X302" s="10">
        <v>0</v>
      </c>
      <c r="Y302" s="11">
        <f>IFERROR(INT(Tabla1[[#This Row],[CANTIDAD UND FARMACEUTICAS]]/(VLOOKUP(Tabla1[[#This Row],[MEDICAMENTO]],TAB_REF!$K$3:$L$27,2,0))),"")</f>
        <v>0</v>
      </c>
      <c r="Z302" s="10" t="str">
        <f>IFERROR(VLOOKUP(Tabla1[[#This Row],[MEDICAMENTO]],TAB_REF!$B$3:$F$27,2,0), "")</f>
        <v xml:space="preserve">Morfina HCl </v>
      </c>
      <c r="AA302" s="10" t="str">
        <f>IFERROR(VLOOKUP(Tabla1[[#This Row],[MEDICAMENTO]],TAB_REF!$B$3:$F$27,3,0), "")</f>
        <v xml:space="preserve">3%. </v>
      </c>
      <c r="AB302" s="10" t="str">
        <f>IFERROR(VLOOKUP(Tabla1[[#This Row],[MEDICAMENTO]],TAB_REF!$B$3:$F$27,4,0), "")</f>
        <v>Solución Oral</v>
      </c>
      <c r="AC302" s="10" t="str">
        <f>IFERROR(VLOOKUP(Tabla1[[#This Row],[MEDICAMENTO]],TAB_REF!$B$3:$F$27,5,0), "")</f>
        <v>Frasco x 30 mL</v>
      </c>
      <c r="AD302" s="10" t="str">
        <f>IFERROR(VLOOKUP(Tabla1[[#This Row],[CANTIDAD UND COMERCIALES]],TAB_REF!$H$3:$I$1003,2,0)&amp;" ("&amp;Tabla1[[#This Row],[CANTIDAD UND COMERCIALES]]&amp;")"&amp;"_"&amp;Tabla1[[#This Row],[CANTIDAD]],"")</f>
        <v/>
      </c>
      <c r="AE302" s="31" t="e">
        <f>CONCATENATE([1]!Tabla1[[#This Row],[NOMBRE MED.]],[1]!Tabla1[[#This Row],[CONCENTRACION]],[1]!Tabla1[[#This Row],[FORMA FARMACEUTICA]])</f>
        <v>#REF!</v>
      </c>
    </row>
    <row r="303" spans="2:31" x14ac:dyDescent="0.25">
      <c r="B303" s="10">
        <v>111</v>
      </c>
      <c r="C303" s="10" t="s">
        <v>2174</v>
      </c>
      <c r="D303" s="10" t="s">
        <v>2175</v>
      </c>
      <c r="E303" s="10" t="s">
        <v>2176</v>
      </c>
      <c r="F303" s="10" t="s">
        <v>2177</v>
      </c>
      <c r="G303" s="23" t="s">
        <v>2178</v>
      </c>
      <c r="H303" s="10" t="s">
        <v>2179</v>
      </c>
      <c r="I303" s="10" t="s">
        <v>2129</v>
      </c>
      <c r="J303" s="10" t="s">
        <v>2011</v>
      </c>
      <c r="K303" s="10" t="s">
        <v>2809</v>
      </c>
      <c r="L303" s="11">
        <v>202124100349452</v>
      </c>
      <c r="M303" s="20">
        <v>44256</v>
      </c>
      <c r="N303" s="20" t="str">
        <f>UPPER(TEXT(Tabla1[[#This Row],[FECHA RADICADO ENTRADA]],"MMM"))</f>
        <v>MAR</v>
      </c>
      <c r="O303" s="11">
        <v>202124110394161</v>
      </c>
      <c r="P303" s="20">
        <v>44265</v>
      </c>
      <c r="Q303" s="20" t="str">
        <f>UPPER(TEXT(Tabla1[[#This Row],[FECHA RADICADO ENTRADA]],"MMM"))</f>
        <v>MAR</v>
      </c>
      <c r="R303" s="10">
        <f t="shared" si="4"/>
        <v>-9</v>
      </c>
      <c r="S303" s="10" t="s">
        <v>2154</v>
      </c>
      <c r="U303" s="10" t="s">
        <v>2180</v>
      </c>
      <c r="V303" s="20">
        <v>43206</v>
      </c>
      <c r="W303" s="10" t="s">
        <v>32</v>
      </c>
      <c r="X303" s="10">
        <v>9000</v>
      </c>
      <c r="Y303" s="11">
        <f>IFERROR(INT(Tabla1[[#This Row],[CANTIDAD UND FARMACEUTICAS]]/(VLOOKUP(Tabla1[[#This Row],[MEDICAMENTO]],TAB_REF!$K$3:$L$27,2,0))),"")</f>
        <v>300</v>
      </c>
      <c r="Z303" s="10" t="str">
        <f>IFERROR(VLOOKUP(Tabla1[[#This Row],[MEDICAMENTO]],TAB_REF!$B$3:$F$27,2,0), "")</f>
        <v xml:space="preserve">Fenobarbital </v>
      </c>
      <c r="AA303" s="10" t="str">
        <f>IFERROR(VLOOKUP(Tabla1[[#This Row],[MEDICAMENTO]],TAB_REF!$B$3:$F$27,3,0), "")</f>
        <v xml:space="preserve">100 mg </v>
      </c>
      <c r="AB303" s="10" t="str">
        <f>IFERROR(VLOOKUP(Tabla1[[#This Row],[MEDICAMENTO]],TAB_REF!$B$3:$F$27,4,0), "")</f>
        <v>Tabletas</v>
      </c>
      <c r="AC303" s="10" t="str">
        <f>IFERROR(VLOOKUP(Tabla1[[#This Row],[MEDICAMENTO]],TAB_REF!$B$3:$F$27,5,0), "")</f>
        <v>Caja x 30 unidades</v>
      </c>
      <c r="AD303" s="10" t="str">
        <f>IFERROR(VLOOKUP(Tabla1[[#This Row],[CANTIDAD UND COMERCIALES]],TAB_REF!$H$3:$I$1003,2,0)&amp;" ("&amp;Tabla1[[#This Row],[CANTIDAD UND COMERCIALES]]&amp;")"&amp;"_"&amp;Tabla1[[#This Row],[CANTIDAD]],"")</f>
        <v>Trescientos (300)_Caja x 30 unidades</v>
      </c>
      <c r="AE303" s="31" t="e">
        <f>CONCATENATE([1]!Tabla1[[#This Row],[NOMBRE MED.]],[1]!Tabla1[[#This Row],[CONCENTRACION]],[1]!Tabla1[[#This Row],[FORMA FARMACEUTICA]])</f>
        <v>#REF!</v>
      </c>
    </row>
    <row r="304" spans="2:31" x14ac:dyDescent="0.25">
      <c r="B304" s="10">
        <v>111</v>
      </c>
      <c r="C304" s="10" t="s">
        <v>2174</v>
      </c>
      <c r="D304" s="10" t="s">
        <v>2175</v>
      </c>
      <c r="E304" s="10" t="s">
        <v>2176</v>
      </c>
      <c r="F304" s="10" t="s">
        <v>2177</v>
      </c>
      <c r="G304" s="23" t="s">
        <v>2178</v>
      </c>
      <c r="H304" s="10" t="s">
        <v>2179</v>
      </c>
      <c r="I304" s="10" t="s">
        <v>2129</v>
      </c>
      <c r="J304" s="10" t="s">
        <v>2011</v>
      </c>
      <c r="K304" s="10" t="s">
        <v>2809</v>
      </c>
      <c r="L304" s="11">
        <v>202124100349452</v>
      </c>
      <c r="M304" s="20">
        <v>44256</v>
      </c>
      <c r="N304" s="20" t="str">
        <f>UPPER(TEXT(Tabla1[[#This Row],[FECHA RADICADO ENTRADA]],"MMM"))</f>
        <v>MAR</v>
      </c>
      <c r="O304" s="11">
        <v>202124110394161</v>
      </c>
      <c r="P304" s="20">
        <v>44265</v>
      </c>
      <c r="Q304" s="20" t="str">
        <f>UPPER(TEXT(Tabla1[[#This Row],[FECHA RADICADO ENTRADA]],"MMM"))</f>
        <v>MAR</v>
      </c>
      <c r="R304" s="10">
        <f t="shared" si="4"/>
        <v>-9</v>
      </c>
      <c r="S304" s="10" t="s">
        <v>2154</v>
      </c>
      <c r="U304" s="10" t="s">
        <v>2180</v>
      </c>
      <c r="V304" s="20">
        <v>43206</v>
      </c>
      <c r="W304" s="10" t="s">
        <v>41</v>
      </c>
      <c r="X304" s="10">
        <v>500</v>
      </c>
      <c r="Y304" s="11">
        <f>IFERROR(INT(Tabla1[[#This Row],[CANTIDAD UND FARMACEUTICAS]]/(VLOOKUP(Tabla1[[#This Row],[MEDICAMENTO]],TAB_REF!$K$3:$L$27,2,0))),"")</f>
        <v>50</v>
      </c>
      <c r="Z304" s="10" t="str">
        <f>IFERROR(VLOOKUP(Tabla1[[#This Row],[MEDICAMENTO]],TAB_REF!$B$3:$F$27,2,0), "")</f>
        <v xml:space="preserve">Meperidina HCl </v>
      </c>
      <c r="AA304" s="10" t="str">
        <f>IFERROR(VLOOKUP(Tabla1[[#This Row],[MEDICAMENTO]],TAB_REF!$B$3:$F$27,3,0), "")</f>
        <v xml:space="preserve">100 mg/2mL </v>
      </c>
      <c r="AB304" s="10" t="str">
        <f>IFERROR(VLOOKUP(Tabla1[[#This Row],[MEDICAMENTO]],TAB_REF!$B$3:$F$27,4,0), "")</f>
        <v>Solución Inyectable</v>
      </c>
      <c r="AC304" s="10" t="str">
        <f>IFERROR(VLOOKUP(Tabla1[[#This Row],[MEDICAMENTO]],TAB_REF!$B$3:$F$27,5,0), "")</f>
        <v>Caja 10 ampollas</v>
      </c>
      <c r="AD304" s="10" t="str">
        <f>IFERROR(VLOOKUP(Tabla1[[#This Row],[CANTIDAD UND COMERCIALES]],TAB_REF!$H$3:$I$1003,2,0)&amp;" ("&amp;Tabla1[[#This Row],[CANTIDAD UND COMERCIALES]]&amp;")"&amp;"_"&amp;Tabla1[[#This Row],[CANTIDAD]],"")</f>
        <v>Cincuenta (50)_Caja 10 ampollas</v>
      </c>
      <c r="AE304" s="31" t="e">
        <f>CONCATENATE([1]!Tabla1[[#This Row],[NOMBRE MED.]],[1]!Tabla1[[#This Row],[CONCENTRACION]],[1]!Tabla1[[#This Row],[FORMA FARMACEUTICA]])</f>
        <v>#REF!</v>
      </c>
    </row>
    <row r="305" spans="2:31" x14ac:dyDescent="0.25">
      <c r="B305" s="10">
        <v>111</v>
      </c>
      <c r="C305" s="10" t="s">
        <v>2174</v>
      </c>
      <c r="D305" s="10" t="s">
        <v>2175</v>
      </c>
      <c r="E305" s="10" t="s">
        <v>2176</v>
      </c>
      <c r="F305" s="10" t="s">
        <v>2177</v>
      </c>
      <c r="G305" s="23" t="s">
        <v>2178</v>
      </c>
      <c r="H305" s="10" t="s">
        <v>2179</v>
      </c>
      <c r="I305" s="10" t="s">
        <v>2129</v>
      </c>
      <c r="J305" s="10" t="s">
        <v>2011</v>
      </c>
      <c r="K305" s="10" t="s">
        <v>2809</v>
      </c>
      <c r="L305" s="11">
        <v>202124100349452</v>
      </c>
      <c r="M305" s="20">
        <v>44256</v>
      </c>
      <c r="N305" s="20" t="str">
        <f>UPPER(TEXT(Tabla1[[#This Row],[FECHA RADICADO ENTRADA]],"MMM"))</f>
        <v>MAR</v>
      </c>
      <c r="O305" s="11">
        <v>202124110394161</v>
      </c>
      <c r="P305" s="20">
        <v>44265</v>
      </c>
      <c r="Q305" s="20" t="str">
        <f>UPPER(TEXT(Tabla1[[#This Row],[FECHA RADICADO ENTRADA]],"MMM"))</f>
        <v>MAR</v>
      </c>
      <c r="R305" s="10">
        <f t="shared" si="4"/>
        <v>-9</v>
      </c>
      <c r="S305" s="10" t="s">
        <v>2145</v>
      </c>
      <c r="T305" s="10" t="s">
        <v>2537</v>
      </c>
      <c r="U305" s="10" t="s">
        <v>2180</v>
      </c>
      <c r="V305" s="20">
        <v>43206</v>
      </c>
      <c r="W305" s="10" t="s">
        <v>34</v>
      </c>
      <c r="X305" s="10">
        <v>0</v>
      </c>
      <c r="Y305" s="11">
        <f>IFERROR(INT(Tabla1[[#This Row],[CANTIDAD UND FARMACEUTICAS]]/(VLOOKUP(Tabla1[[#This Row],[MEDICAMENTO]],TAB_REF!$K$3:$L$27,2,0))),"")</f>
        <v>0</v>
      </c>
      <c r="Z305" s="10" t="str">
        <f>IFERROR(VLOOKUP(Tabla1[[#This Row],[MEDICAMENTO]],TAB_REF!$B$3:$F$27,2,0), "")</f>
        <v xml:space="preserve">Fenobarbital Sódico </v>
      </c>
      <c r="AA305" s="10" t="str">
        <f>IFERROR(VLOOKUP(Tabla1[[#This Row],[MEDICAMENTO]],TAB_REF!$B$3:$F$27,3,0), "")</f>
        <v xml:space="preserve">200 mg/Ml </v>
      </c>
      <c r="AB305" s="10" t="str">
        <f>IFERROR(VLOOKUP(Tabla1[[#This Row],[MEDICAMENTO]],TAB_REF!$B$3:$F$27,4,0), "")</f>
        <v>Solución Inyectable</v>
      </c>
      <c r="AC305" s="10" t="str">
        <f>IFERROR(VLOOKUP(Tabla1[[#This Row],[MEDICAMENTO]],TAB_REF!$B$3:$F$27,5,0), "")</f>
        <v>Caja x 10 unidades</v>
      </c>
      <c r="AD305" s="10" t="str">
        <f>IFERROR(VLOOKUP(Tabla1[[#This Row],[CANTIDAD UND COMERCIALES]],TAB_REF!$H$3:$I$1003,2,0)&amp;" ("&amp;Tabla1[[#This Row],[CANTIDAD UND COMERCIALES]]&amp;")"&amp;"_"&amp;Tabla1[[#This Row],[CANTIDAD]],"")</f>
        <v/>
      </c>
      <c r="AE305" s="31" t="e">
        <f>CONCATENATE([1]!Tabla1[[#This Row],[NOMBRE MED.]],[1]!Tabla1[[#This Row],[CONCENTRACION]],[1]!Tabla1[[#This Row],[FORMA FARMACEUTICA]])</f>
        <v>#REF!</v>
      </c>
    </row>
    <row r="306" spans="2:31" x14ac:dyDescent="0.25">
      <c r="B306" s="10">
        <v>111</v>
      </c>
      <c r="C306" s="10" t="s">
        <v>2174</v>
      </c>
      <c r="D306" s="10" t="s">
        <v>2175</v>
      </c>
      <c r="E306" s="10" t="s">
        <v>2176</v>
      </c>
      <c r="F306" s="10" t="s">
        <v>2177</v>
      </c>
      <c r="G306" s="23" t="s">
        <v>2178</v>
      </c>
      <c r="H306" s="10" t="s">
        <v>2179</v>
      </c>
      <c r="I306" s="10" t="s">
        <v>2129</v>
      </c>
      <c r="J306" s="10" t="s">
        <v>2011</v>
      </c>
      <c r="K306" s="10" t="s">
        <v>2809</v>
      </c>
      <c r="L306" s="11">
        <v>202124100349452</v>
      </c>
      <c r="M306" s="20">
        <v>44256</v>
      </c>
      <c r="N306" s="20" t="str">
        <f>UPPER(TEXT(Tabla1[[#This Row],[FECHA RADICADO ENTRADA]],"MMM"))</f>
        <v>MAR</v>
      </c>
      <c r="O306" s="11">
        <v>202124110394161</v>
      </c>
      <c r="P306" s="20">
        <v>44265</v>
      </c>
      <c r="Q306" s="20" t="str">
        <f>UPPER(TEXT(Tabla1[[#This Row],[FECHA RADICADO ENTRADA]],"MMM"))</f>
        <v>MAR</v>
      </c>
      <c r="R306" s="10">
        <f t="shared" si="4"/>
        <v>-9</v>
      </c>
      <c r="S306" s="10" t="s">
        <v>2154</v>
      </c>
      <c r="U306" s="10" t="s">
        <v>2180</v>
      </c>
      <c r="V306" s="20">
        <v>43206</v>
      </c>
      <c r="W306" s="10" t="s">
        <v>63</v>
      </c>
      <c r="X306" s="10">
        <v>700</v>
      </c>
      <c r="Y306" s="11">
        <f>IFERROR(INT(Tabla1[[#This Row],[CANTIDAD UND FARMACEUTICAS]]/(VLOOKUP(Tabla1[[#This Row],[MEDICAMENTO]],TAB_REF!$K$3:$L$27,2,0))),"")</f>
        <v>70</v>
      </c>
      <c r="Z306" s="10" t="str">
        <f>IFERROR(VLOOKUP(Tabla1[[#This Row],[MEDICAMENTO]],TAB_REF!$B$3:$F$27,2,0), "")</f>
        <v xml:space="preserve">Morfina HCl </v>
      </c>
      <c r="AA306" s="10" t="str">
        <f>IFERROR(VLOOKUP(Tabla1[[#This Row],[MEDICAMENTO]],TAB_REF!$B$3:$F$27,3,0), "")</f>
        <v xml:space="preserve">10 mg/mL </v>
      </c>
      <c r="AB306" s="10" t="str">
        <f>IFERROR(VLOOKUP(Tabla1[[#This Row],[MEDICAMENTO]],TAB_REF!$B$3:$F$27,4,0), "")</f>
        <v>Solución Inyectable</v>
      </c>
      <c r="AC306" s="10" t="str">
        <f>IFERROR(VLOOKUP(Tabla1[[#This Row],[MEDICAMENTO]],TAB_REF!$B$3:$F$27,5,0), "")</f>
        <v>Caja x 10 unidades</v>
      </c>
      <c r="AD306" s="10" t="str">
        <f>IFERROR(VLOOKUP(Tabla1[[#This Row],[CANTIDAD UND COMERCIALES]],TAB_REF!$H$3:$I$1003,2,0)&amp;" ("&amp;Tabla1[[#This Row],[CANTIDAD UND COMERCIALES]]&amp;")"&amp;"_"&amp;Tabla1[[#This Row],[CANTIDAD]],"")</f>
        <v>Setenta (70)_Caja x 10 unidades</v>
      </c>
      <c r="AE306" s="31" t="e">
        <f>CONCATENATE([1]!Tabla1[[#This Row],[NOMBRE MED.]],[1]!Tabla1[[#This Row],[CONCENTRACION]],[1]!Tabla1[[#This Row],[FORMA FARMACEUTICA]])</f>
        <v>#REF!</v>
      </c>
    </row>
    <row r="307" spans="2:31" x14ac:dyDescent="0.25">
      <c r="B307" s="10">
        <v>111</v>
      </c>
      <c r="C307" s="10" t="s">
        <v>2174</v>
      </c>
      <c r="D307" s="10" t="s">
        <v>2175</v>
      </c>
      <c r="E307" s="10" t="s">
        <v>2176</v>
      </c>
      <c r="F307" s="10" t="s">
        <v>2177</v>
      </c>
      <c r="G307" s="23" t="s">
        <v>2178</v>
      </c>
      <c r="H307" s="10" t="s">
        <v>2179</v>
      </c>
      <c r="I307" s="10" t="s">
        <v>2129</v>
      </c>
      <c r="J307" s="10" t="s">
        <v>2011</v>
      </c>
      <c r="K307" s="10" t="s">
        <v>2809</v>
      </c>
      <c r="L307" s="11">
        <v>202124100349452</v>
      </c>
      <c r="M307" s="20">
        <v>44256</v>
      </c>
      <c r="N307" s="20" t="str">
        <f>UPPER(TEXT(Tabla1[[#This Row],[FECHA RADICADO ENTRADA]],"MMM"))</f>
        <v>MAR</v>
      </c>
      <c r="O307" s="11">
        <v>202124110394161</v>
      </c>
      <c r="P307" s="20">
        <v>44265</v>
      </c>
      <c r="Q307" s="20" t="str">
        <f>UPPER(TEXT(Tabla1[[#This Row],[FECHA RADICADO ENTRADA]],"MMM"))</f>
        <v>MAR</v>
      </c>
      <c r="R307" s="10">
        <f t="shared" si="4"/>
        <v>-9</v>
      </c>
      <c r="S307" s="10" t="s">
        <v>2154</v>
      </c>
      <c r="U307" s="10" t="s">
        <v>2180</v>
      </c>
      <c r="V307" s="20">
        <v>43206</v>
      </c>
      <c r="W307" s="10" t="s">
        <v>60</v>
      </c>
      <c r="X307" s="10">
        <v>5</v>
      </c>
      <c r="Y307" s="11">
        <f>IFERROR(INT(Tabla1[[#This Row],[CANTIDAD UND FARMACEUTICAS]]/(VLOOKUP(Tabla1[[#This Row],[MEDICAMENTO]],TAB_REF!$K$3:$L$27,2,0))),"")</f>
        <v>5</v>
      </c>
      <c r="Z307" s="10" t="str">
        <f>IFERROR(VLOOKUP(Tabla1[[#This Row],[MEDICAMENTO]],TAB_REF!$B$3:$F$27,2,0), "")</f>
        <v xml:space="preserve">Morfina HCl </v>
      </c>
      <c r="AA307" s="10" t="str">
        <f>IFERROR(VLOOKUP(Tabla1[[#This Row],[MEDICAMENTO]],TAB_REF!$B$3:$F$27,3,0), "")</f>
        <v xml:space="preserve">3%. </v>
      </c>
      <c r="AB307" s="10" t="str">
        <f>IFERROR(VLOOKUP(Tabla1[[#This Row],[MEDICAMENTO]],TAB_REF!$B$3:$F$27,4,0), "")</f>
        <v>Solución Oral</v>
      </c>
      <c r="AC307" s="10" t="str">
        <f>IFERROR(VLOOKUP(Tabla1[[#This Row],[MEDICAMENTO]],TAB_REF!$B$3:$F$27,5,0), "")</f>
        <v>Frasco x 30 mL</v>
      </c>
      <c r="AD307" s="10" t="str">
        <f>IFERROR(VLOOKUP(Tabla1[[#This Row],[CANTIDAD UND COMERCIALES]],TAB_REF!$H$3:$I$1003,2,0)&amp;" ("&amp;Tabla1[[#This Row],[CANTIDAD UND COMERCIALES]]&amp;")"&amp;"_"&amp;Tabla1[[#This Row],[CANTIDAD]],"")</f>
        <v>Cinco (5)_Frasco x 30 mL</v>
      </c>
      <c r="AE307" s="31" t="e">
        <f>CONCATENATE([1]!Tabla1[[#This Row],[NOMBRE MED.]],[1]!Tabla1[[#This Row],[CONCENTRACION]],[1]!Tabla1[[#This Row],[FORMA FARMACEUTICA]])</f>
        <v>#REF!</v>
      </c>
    </row>
    <row r="308" spans="2:31" x14ac:dyDescent="0.25">
      <c r="B308" s="10">
        <v>112</v>
      </c>
      <c r="C308" s="10" t="s">
        <v>2384</v>
      </c>
      <c r="D308" s="10" t="s">
        <v>2182</v>
      </c>
      <c r="E308" s="10" t="s">
        <v>2385</v>
      </c>
      <c r="F308" s="10" t="s">
        <v>2386</v>
      </c>
      <c r="G308" s="10" t="s">
        <v>2810</v>
      </c>
      <c r="H308" s="10" t="s">
        <v>2811</v>
      </c>
      <c r="I308" s="10" t="s">
        <v>2122</v>
      </c>
      <c r="J308" s="10" t="s">
        <v>1742</v>
      </c>
      <c r="K308" s="10" t="s">
        <v>2812</v>
      </c>
      <c r="L308" s="11">
        <v>202124100350272</v>
      </c>
      <c r="M308" s="20">
        <v>44256</v>
      </c>
      <c r="N308" s="20" t="str">
        <f>UPPER(TEXT(Tabla1[[#This Row],[FECHA RADICADO ENTRADA]],"MMM"))</f>
        <v>MAR</v>
      </c>
      <c r="O308" s="11">
        <v>202124110394171</v>
      </c>
      <c r="P308" s="20">
        <v>44265</v>
      </c>
      <c r="Q308" s="20" t="str">
        <f>UPPER(TEXT(Tabla1[[#This Row],[FECHA RADICADO ENTRADA]],"MMM"))</f>
        <v>MAR</v>
      </c>
      <c r="R308" s="10">
        <f t="shared" si="4"/>
        <v>-9</v>
      </c>
      <c r="S308" s="10" t="s">
        <v>2154</v>
      </c>
      <c r="U308" s="10" t="s">
        <v>2813</v>
      </c>
      <c r="V308" s="20">
        <v>43167</v>
      </c>
      <c r="W308" s="10" t="s">
        <v>32</v>
      </c>
      <c r="X308" s="10">
        <v>1500</v>
      </c>
      <c r="Y308" s="11">
        <f>IFERROR(INT(Tabla1[[#This Row],[CANTIDAD UND FARMACEUTICAS]]/(VLOOKUP(Tabla1[[#This Row],[MEDICAMENTO]],TAB_REF!$K$3:$L$27,2,0))),"")</f>
        <v>50</v>
      </c>
      <c r="Z308" s="10" t="str">
        <f>IFERROR(VLOOKUP(Tabla1[[#This Row],[MEDICAMENTO]],TAB_REF!$B$3:$F$27,2,0), "")</f>
        <v xml:space="preserve">Fenobarbital </v>
      </c>
      <c r="AA308" s="10" t="str">
        <f>IFERROR(VLOOKUP(Tabla1[[#This Row],[MEDICAMENTO]],TAB_REF!$B$3:$F$27,3,0), "")</f>
        <v xml:space="preserve">100 mg </v>
      </c>
      <c r="AB308" s="10" t="str">
        <f>IFERROR(VLOOKUP(Tabla1[[#This Row],[MEDICAMENTO]],TAB_REF!$B$3:$F$27,4,0), "")</f>
        <v>Tabletas</v>
      </c>
      <c r="AC308" s="10" t="str">
        <f>IFERROR(VLOOKUP(Tabla1[[#This Row],[MEDICAMENTO]],TAB_REF!$B$3:$F$27,5,0), "")</f>
        <v>Caja x 30 unidades</v>
      </c>
      <c r="AD308" s="10" t="str">
        <f>IFERROR(VLOOKUP(Tabla1[[#This Row],[CANTIDAD UND COMERCIALES]],TAB_REF!$H$3:$I$1003,2,0)&amp;" ("&amp;Tabla1[[#This Row],[CANTIDAD UND COMERCIALES]]&amp;")"&amp;"_"&amp;Tabla1[[#This Row],[CANTIDAD]],"")</f>
        <v>Cincuenta (50)_Caja x 30 unidades</v>
      </c>
      <c r="AE308" s="31" t="e">
        <f>CONCATENATE([1]!Tabla1[[#This Row],[NOMBRE MED.]],[1]!Tabla1[[#This Row],[CONCENTRACION]],[1]!Tabla1[[#This Row],[FORMA FARMACEUTICA]])</f>
        <v>#REF!</v>
      </c>
    </row>
    <row r="309" spans="2:31" x14ac:dyDescent="0.25">
      <c r="B309" s="10">
        <v>112</v>
      </c>
      <c r="C309" s="10" t="s">
        <v>2384</v>
      </c>
      <c r="D309" s="10" t="s">
        <v>2182</v>
      </c>
      <c r="E309" s="10" t="s">
        <v>2385</v>
      </c>
      <c r="F309" s="10" t="s">
        <v>2386</v>
      </c>
      <c r="G309" s="10" t="s">
        <v>2810</v>
      </c>
      <c r="H309" s="10" t="s">
        <v>2811</v>
      </c>
      <c r="I309" s="10" t="s">
        <v>2122</v>
      </c>
      <c r="J309" s="10" t="s">
        <v>1742</v>
      </c>
      <c r="K309" s="10" t="s">
        <v>2812</v>
      </c>
      <c r="L309" s="11">
        <v>202124100350272</v>
      </c>
      <c r="M309" s="20">
        <v>44256</v>
      </c>
      <c r="N309" s="20" t="str">
        <f>UPPER(TEXT(Tabla1[[#This Row],[FECHA RADICADO ENTRADA]],"MMM"))</f>
        <v>MAR</v>
      </c>
      <c r="O309" s="11">
        <v>202124110394171</v>
      </c>
      <c r="P309" s="20">
        <v>44265</v>
      </c>
      <c r="Q309" s="20" t="str">
        <f>UPPER(TEXT(Tabla1[[#This Row],[FECHA RADICADO ENTRADA]],"MMM"))</f>
        <v>MAR</v>
      </c>
      <c r="R309" s="10">
        <f t="shared" si="4"/>
        <v>-9</v>
      </c>
      <c r="S309" s="10" t="s">
        <v>2154</v>
      </c>
      <c r="U309" s="10" t="s">
        <v>2813</v>
      </c>
      <c r="V309" s="20">
        <v>43167</v>
      </c>
      <c r="W309" s="10" t="s">
        <v>38</v>
      </c>
      <c r="X309" s="10">
        <v>400</v>
      </c>
      <c r="Y309" s="11">
        <f>IFERROR(INT(Tabla1[[#This Row],[CANTIDAD UND FARMACEUTICAS]]/(VLOOKUP(Tabla1[[#This Row],[MEDICAMENTO]],TAB_REF!$K$3:$L$27,2,0))),"")</f>
        <v>20</v>
      </c>
      <c r="Z309" s="10" t="str">
        <f>IFERROR(VLOOKUP(Tabla1[[#This Row],[MEDICAMENTO]],TAB_REF!$B$3:$F$27,2,0), "")</f>
        <v xml:space="preserve">Hidromorfona HCl </v>
      </c>
      <c r="AA309" s="10" t="str">
        <f>IFERROR(VLOOKUP(Tabla1[[#This Row],[MEDICAMENTO]],TAB_REF!$B$3:$F$27,3,0), "")</f>
        <v xml:space="preserve">2,5 mg </v>
      </c>
      <c r="AB309" s="10" t="str">
        <f>IFERROR(VLOOKUP(Tabla1[[#This Row],[MEDICAMENTO]],TAB_REF!$B$3:$F$27,4,0), "")</f>
        <v>Tabletas</v>
      </c>
      <c r="AC309" s="10" t="str">
        <f>IFERROR(VLOOKUP(Tabla1[[#This Row],[MEDICAMENTO]],TAB_REF!$B$3:$F$27,5,0), "")</f>
        <v>Caja x 20 unidades</v>
      </c>
      <c r="AD309" s="10" t="str">
        <f>IFERROR(VLOOKUP(Tabla1[[#This Row],[CANTIDAD UND COMERCIALES]],TAB_REF!$H$3:$I$1003,2,0)&amp;" ("&amp;Tabla1[[#This Row],[CANTIDAD UND COMERCIALES]]&amp;")"&amp;"_"&amp;Tabla1[[#This Row],[CANTIDAD]],"")</f>
        <v>Veinte (20)_Caja x 20 unidades</v>
      </c>
      <c r="AE309" s="31" t="e">
        <f>CONCATENATE([1]!Tabla1[[#This Row],[NOMBRE MED.]],[1]!Tabla1[[#This Row],[CONCENTRACION]],[1]!Tabla1[[#This Row],[FORMA FARMACEUTICA]])</f>
        <v>#REF!</v>
      </c>
    </row>
    <row r="310" spans="2:31" x14ac:dyDescent="0.25">
      <c r="B310" s="10">
        <v>112</v>
      </c>
      <c r="C310" s="10" t="s">
        <v>2384</v>
      </c>
      <c r="D310" s="10" t="s">
        <v>2182</v>
      </c>
      <c r="E310" s="10" t="s">
        <v>2385</v>
      </c>
      <c r="F310" s="10" t="s">
        <v>2386</v>
      </c>
      <c r="G310" s="10" t="s">
        <v>2810</v>
      </c>
      <c r="H310" s="10" t="s">
        <v>2811</v>
      </c>
      <c r="I310" s="10" t="s">
        <v>2122</v>
      </c>
      <c r="J310" s="10" t="s">
        <v>1742</v>
      </c>
      <c r="K310" s="10" t="s">
        <v>2812</v>
      </c>
      <c r="L310" s="11">
        <v>202124100350272</v>
      </c>
      <c r="M310" s="20">
        <v>44256</v>
      </c>
      <c r="N310" s="20" t="str">
        <f>UPPER(TEXT(Tabla1[[#This Row],[FECHA RADICADO ENTRADA]],"MMM"))</f>
        <v>MAR</v>
      </c>
      <c r="O310" s="11">
        <v>202124110394171</v>
      </c>
      <c r="P310" s="20">
        <v>44265</v>
      </c>
      <c r="Q310" s="20" t="str">
        <f>UPPER(TEXT(Tabla1[[#This Row],[FECHA RADICADO ENTRADA]],"MMM"))</f>
        <v>MAR</v>
      </c>
      <c r="R310" s="10">
        <f t="shared" si="4"/>
        <v>-9</v>
      </c>
      <c r="S310" s="10" t="s">
        <v>2154</v>
      </c>
      <c r="U310" s="10" t="s">
        <v>2813</v>
      </c>
      <c r="V310" s="20">
        <v>43167</v>
      </c>
      <c r="W310" s="10" t="s">
        <v>60</v>
      </c>
      <c r="X310" s="10">
        <v>8</v>
      </c>
      <c r="Y310" s="11">
        <f>IFERROR(INT(Tabla1[[#This Row],[CANTIDAD UND FARMACEUTICAS]]/(VLOOKUP(Tabla1[[#This Row],[MEDICAMENTO]],TAB_REF!$K$3:$L$27,2,0))),"")</f>
        <v>8</v>
      </c>
      <c r="Z310" s="10" t="str">
        <f>IFERROR(VLOOKUP(Tabla1[[#This Row],[MEDICAMENTO]],TAB_REF!$B$3:$F$27,2,0), "")</f>
        <v xml:space="preserve">Morfina HCl </v>
      </c>
      <c r="AA310" s="10" t="str">
        <f>IFERROR(VLOOKUP(Tabla1[[#This Row],[MEDICAMENTO]],TAB_REF!$B$3:$F$27,3,0), "")</f>
        <v xml:space="preserve">3%. </v>
      </c>
      <c r="AB310" s="10" t="str">
        <f>IFERROR(VLOOKUP(Tabla1[[#This Row],[MEDICAMENTO]],TAB_REF!$B$3:$F$27,4,0), "")</f>
        <v>Solución Oral</v>
      </c>
      <c r="AC310" s="10" t="str">
        <f>IFERROR(VLOOKUP(Tabla1[[#This Row],[MEDICAMENTO]],TAB_REF!$B$3:$F$27,5,0), "")</f>
        <v>Frasco x 30 mL</v>
      </c>
      <c r="AD310" s="10" t="str">
        <f>IFERROR(VLOOKUP(Tabla1[[#This Row],[CANTIDAD UND COMERCIALES]],TAB_REF!$H$3:$I$1003,2,0)&amp;" ("&amp;Tabla1[[#This Row],[CANTIDAD UND COMERCIALES]]&amp;")"&amp;"_"&amp;Tabla1[[#This Row],[CANTIDAD]],"")</f>
        <v>Ocho (8)_Frasco x 30 mL</v>
      </c>
      <c r="AE310" s="31" t="e">
        <f>CONCATENATE([1]!Tabla1[[#This Row],[NOMBRE MED.]],[1]!Tabla1[[#This Row],[CONCENTRACION]],[1]!Tabla1[[#This Row],[FORMA FARMACEUTICA]])</f>
        <v>#REF!</v>
      </c>
    </row>
    <row r="311" spans="2:31" x14ac:dyDescent="0.25">
      <c r="B311" s="10">
        <v>113</v>
      </c>
      <c r="C311" s="10" t="s">
        <v>2814</v>
      </c>
      <c r="D311" s="10" t="s">
        <v>2162</v>
      </c>
      <c r="E311" s="10" t="s">
        <v>2385</v>
      </c>
      <c r="F311" s="10" t="s">
        <v>2815</v>
      </c>
      <c r="G311" s="10" t="s">
        <v>2816</v>
      </c>
      <c r="H311" s="10" t="s">
        <v>2817</v>
      </c>
      <c r="I311" s="10" t="s">
        <v>2110</v>
      </c>
      <c r="J311" s="10" t="s">
        <v>1235</v>
      </c>
      <c r="K311" s="10" t="s">
        <v>2818</v>
      </c>
      <c r="L311" s="11">
        <v>202124100350832</v>
      </c>
      <c r="M311" s="20">
        <v>44256</v>
      </c>
      <c r="N311" s="20" t="str">
        <f>UPPER(TEXT(Tabla1[[#This Row],[FECHA RADICADO ENTRADA]],"MMM"))</f>
        <v>MAR</v>
      </c>
      <c r="O311" s="11">
        <v>202124110394191</v>
      </c>
      <c r="P311" s="20">
        <v>44265</v>
      </c>
      <c r="Q311" s="20" t="str">
        <f>UPPER(TEXT(Tabla1[[#This Row],[FECHA RADICADO ENTRADA]],"MMM"))</f>
        <v>MAR</v>
      </c>
      <c r="R311" s="10">
        <f t="shared" si="4"/>
        <v>-9</v>
      </c>
      <c r="S311" s="10" t="s">
        <v>2145</v>
      </c>
      <c r="T311" s="10" t="s">
        <v>2830</v>
      </c>
      <c r="U311" s="10" t="s">
        <v>2819</v>
      </c>
      <c r="V311" s="20">
        <v>43557</v>
      </c>
      <c r="W311" s="10" t="s">
        <v>32</v>
      </c>
      <c r="X311" s="10">
        <v>0</v>
      </c>
      <c r="Y311" s="11">
        <f>IFERROR(INT(Tabla1[[#This Row],[CANTIDAD UND FARMACEUTICAS]]/(VLOOKUP(Tabla1[[#This Row],[MEDICAMENTO]],TAB_REF!$K$3:$L$27,2,0))),"")</f>
        <v>0</v>
      </c>
      <c r="Z311" s="10" t="str">
        <f>IFERROR(VLOOKUP(Tabla1[[#This Row],[MEDICAMENTO]],TAB_REF!$B$3:$F$27,2,0), "")</f>
        <v xml:space="preserve">Fenobarbital </v>
      </c>
      <c r="AA311" s="10" t="str">
        <f>IFERROR(VLOOKUP(Tabla1[[#This Row],[MEDICAMENTO]],TAB_REF!$B$3:$F$27,3,0), "")</f>
        <v xml:space="preserve">100 mg </v>
      </c>
      <c r="AB311" s="10" t="str">
        <f>IFERROR(VLOOKUP(Tabla1[[#This Row],[MEDICAMENTO]],TAB_REF!$B$3:$F$27,4,0), "")</f>
        <v>Tabletas</v>
      </c>
      <c r="AC311" s="10" t="str">
        <f>IFERROR(VLOOKUP(Tabla1[[#This Row],[MEDICAMENTO]],TAB_REF!$B$3:$F$27,5,0), "")</f>
        <v>Caja x 30 unidades</v>
      </c>
      <c r="AD311" s="10" t="str">
        <f>IFERROR(VLOOKUP(Tabla1[[#This Row],[CANTIDAD UND COMERCIALES]],TAB_REF!$H$3:$I$1003,2,0)&amp;" ("&amp;Tabla1[[#This Row],[CANTIDAD UND COMERCIALES]]&amp;")"&amp;"_"&amp;Tabla1[[#This Row],[CANTIDAD]],"")</f>
        <v/>
      </c>
      <c r="AE311" s="31" t="e">
        <f>CONCATENATE([1]!Tabla1[[#This Row],[NOMBRE MED.]],[1]!Tabla1[[#This Row],[CONCENTRACION]],[1]!Tabla1[[#This Row],[FORMA FARMACEUTICA]])</f>
        <v>#REF!</v>
      </c>
    </row>
    <row r="312" spans="2:31" x14ac:dyDescent="0.25">
      <c r="B312" s="10">
        <v>113</v>
      </c>
      <c r="C312" s="10" t="s">
        <v>2814</v>
      </c>
      <c r="D312" s="10" t="s">
        <v>2162</v>
      </c>
      <c r="E312" s="10" t="s">
        <v>2385</v>
      </c>
      <c r="F312" s="10" t="s">
        <v>2815</v>
      </c>
      <c r="G312" s="10" t="s">
        <v>2816</v>
      </c>
      <c r="H312" s="10" t="s">
        <v>2817</v>
      </c>
      <c r="I312" s="10" t="s">
        <v>2110</v>
      </c>
      <c r="J312" s="10" t="s">
        <v>1235</v>
      </c>
      <c r="K312" s="10" t="s">
        <v>2818</v>
      </c>
      <c r="L312" s="11">
        <v>202124100350832</v>
      </c>
      <c r="M312" s="20">
        <v>44256</v>
      </c>
      <c r="N312" s="20" t="str">
        <f>UPPER(TEXT(Tabla1[[#This Row],[FECHA RADICADO ENTRADA]],"MMM"))</f>
        <v>MAR</v>
      </c>
      <c r="O312" s="11">
        <v>202124110394191</v>
      </c>
      <c r="P312" s="20">
        <v>44265</v>
      </c>
      <c r="Q312" s="20" t="str">
        <f>UPPER(TEXT(Tabla1[[#This Row],[FECHA RADICADO ENTRADA]],"MMM"))</f>
        <v>MAR</v>
      </c>
      <c r="R312" s="10">
        <f t="shared" si="4"/>
        <v>-9</v>
      </c>
      <c r="S312" s="10" t="s">
        <v>2145</v>
      </c>
      <c r="T312" s="10" t="s">
        <v>2830</v>
      </c>
      <c r="U312" s="10" t="s">
        <v>2819</v>
      </c>
      <c r="V312" s="20">
        <v>43557</v>
      </c>
      <c r="W312" s="10" t="s">
        <v>48</v>
      </c>
      <c r="X312" s="10">
        <v>0</v>
      </c>
      <c r="Y312" s="11">
        <f>IFERROR(INT(Tabla1[[#This Row],[CANTIDAD UND FARMACEUTICAS]]/(VLOOKUP(Tabla1[[#This Row],[MEDICAMENTO]],TAB_REF!$K$3:$L$27,2,0))),"")</f>
        <v>0</v>
      </c>
      <c r="Z312" s="10" t="str">
        <f>IFERROR(VLOOKUP(Tabla1[[#This Row],[MEDICAMENTO]],TAB_REF!$B$3:$F$27,2,0), "")</f>
        <v xml:space="preserve">Metilfenidato HCl </v>
      </c>
      <c r="AA312" s="10" t="str">
        <f>IFERROR(VLOOKUP(Tabla1[[#This Row],[MEDICAMENTO]],TAB_REF!$B$3:$F$27,3,0), "")</f>
        <v xml:space="preserve">10 mg </v>
      </c>
      <c r="AB312" s="10" t="str">
        <f>IFERROR(VLOOKUP(Tabla1[[#This Row],[MEDICAMENTO]],TAB_REF!$B$3:$F$27,4,0), "")</f>
        <v>Comprimidos</v>
      </c>
      <c r="AC312" s="10" t="str">
        <f>IFERROR(VLOOKUP(Tabla1[[#This Row],[MEDICAMENTO]],TAB_REF!$B$3:$F$27,5,0), "")</f>
        <v>Caja x 30 unidades</v>
      </c>
      <c r="AD312" s="10" t="str">
        <f>IFERROR(VLOOKUP(Tabla1[[#This Row],[CANTIDAD UND COMERCIALES]],TAB_REF!$H$3:$I$1003,2,0)&amp;" ("&amp;Tabla1[[#This Row],[CANTIDAD UND COMERCIALES]]&amp;")"&amp;"_"&amp;Tabla1[[#This Row],[CANTIDAD]],"")</f>
        <v/>
      </c>
      <c r="AE312" s="31" t="e">
        <f>CONCATENATE([1]!Tabla1[[#This Row],[NOMBRE MED.]],[1]!Tabla1[[#This Row],[CONCENTRACION]],[1]!Tabla1[[#This Row],[FORMA FARMACEUTICA]])</f>
        <v>#REF!</v>
      </c>
    </row>
    <row r="313" spans="2:31" x14ac:dyDescent="0.25">
      <c r="B313" s="10">
        <v>114</v>
      </c>
      <c r="C313" s="10" t="s">
        <v>2820</v>
      </c>
      <c r="D313" s="10" t="s">
        <v>2175</v>
      </c>
      <c r="E313" s="10" t="s">
        <v>2821</v>
      </c>
      <c r="F313" s="10" t="s">
        <v>2189</v>
      </c>
      <c r="G313" s="10" t="s">
        <v>2822</v>
      </c>
      <c r="H313" s="10" t="s">
        <v>2823</v>
      </c>
      <c r="I313" s="10" t="s">
        <v>2114</v>
      </c>
      <c r="J313" s="10" t="s">
        <v>1459</v>
      </c>
      <c r="K313" s="10" t="s">
        <v>2824</v>
      </c>
      <c r="L313" s="11">
        <v>202124100354652</v>
      </c>
      <c r="M313" s="20">
        <v>44256</v>
      </c>
      <c r="N313" s="20" t="str">
        <f>UPPER(TEXT(Tabla1[[#This Row],[FECHA RADICADO ENTRADA]],"MMM"))</f>
        <v>MAR</v>
      </c>
      <c r="O313" s="11">
        <v>202124110394201</v>
      </c>
      <c r="P313" s="20">
        <v>44265</v>
      </c>
      <c r="Q313" s="20" t="str">
        <f>UPPER(TEXT(Tabla1[[#This Row],[FECHA RADICADO ENTRADA]],"MMM"))</f>
        <v>MAR</v>
      </c>
      <c r="R313" s="10">
        <f t="shared" si="4"/>
        <v>-9</v>
      </c>
      <c r="S313" s="10" t="s">
        <v>2154</v>
      </c>
      <c r="U313" s="10" t="s">
        <v>2825</v>
      </c>
      <c r="V313" s="20">
        <v>43690</v>
      </c>
      <c r="W313" s="10" t="s">
        <v>63</v>
      </c>
      <c r="X313" s="10">
        <v>500</v>
      </c>
      <c r="Y313" s="11">
        <f>IFERROR(INT(Tabla1[[#This Row],[CANTIDAD UND FARMACEUTICAS]]/(VLOOKUP(Tabla1[[#This Row],[MEDICAMENTO]],TAB_REF!$K$3:$L$27,2,0))),"")</f>
        <v>50</v>
      </c>
      <c r="Z313" s="10" t="str">
        <f>IFERROR(VLOOKUP(Tabla1[[#This Row],[MEDICAMENTO]],TAB_REF!$B$3:$F$27,2,0), "")</f>
        <v xml:space="preserve">Morfina HCl </v>
      </c>
      <c r="AA313" s="10" t="str">
        <f>IFERROR(VLOOKUP(Tabla1[[#This Row],[MEDICAMENTO]],TAB_REF!$B$3:$F$27,3,0), "")</f>
        <v xml:space="preserve">10 mg/mL </v>
      </c>
      <c r="AB313" s="10" t="str">
        <f>IFERROR(VLOOKUP(Tabla1[[#This Row],[MEDICAMENTO]],TAB_REF!$B$3:$F$27,4,0), "")</f>
        <v>Solución Inyectable</v>
      </c>
      <c r="AC313" s="10" t="str">
        <f>IFERROR(VLOOKUP(Tabla1[[#This Row],[MEDICAMENTO]],TAB_REF!$B$3:$F$27,5,0), "")</f>
        <v>Caja x 10 unidades</v>
      </c>
      <c r="AD313" s="10" t="str">
        <f>IFERROR(VLOOKUP(Tabla1[[#This Row],[CANTIDAD UND COMERCIALES]],TAB_REF!$H$3:$I$1003,2,0)&amp;" ("&amp;Tabla1[[#This Row],[CANTIDAD UND COMERCIALES]]&amp;")"&amp;"_"&amp;Tabla1[[#This Row],[CANTIDAD]],"")</f>
        <v>Cincuenta (50)_Caja x 10 unidades</v>
      </c>
      <c r="AE313" s="31" t="e">
        <f>CONCATENATE([1]!Tabla1[[#This Row],[NOMBRE MED.]],[1]!Tabla1[[#This Row],[CONCENTRACION]],[1]!Tabla1[[#This Row],[FORMA FARMACEUTICA]])</f>
        <v>#REF!</v>
      </c>
    </row>
    <row r="314" spans="2:31" x14ac:dyDescent="0.25">
      <c r="B314" s="10">
        <v>114</v>
      </c>
      <c r="C314" s="10" t="s">
        <v>2820</v>
      </c>
      <c r="D314" s="10" t="s">
        <v>2175</v>
      </c>
      <c r="E314" s="10" t="s">
        <v>2821</v>
      </c>
      <c r="F314" s="10" t="s">
        <v>2189</v>
      </c>
      <c r="G314" s="10" t="s">
        <v>2822</v>
      </c>
      <c r="H314" s="10" t="s">
        <v>2823</v>
      </c>
      <c r="I314" s="10" t="s">
        <v>2114</v>
      </c>
      <c r="J314" s="10" t="s">
        <v>1459</v>
      </c>
      <c r="K314" s="10" t="s">
        <v>2824</v>
      </c>
      <c r="L314" s="11">
        <v>202124100354652</v>
      </c>
      <c r="M314" s="20">
        <v>44256</v>
      </c>
      <c r="N314" s="20" t="str">
        <f>UPPER(TEXT(Tabla1[[#This Row],[FECHA RADICADO ENTRADA]],"MMM"))</f>
        <v>MAR</v>
      </c>
      <c r="O314" s="11">
        <v>202124110394201</v>
      </c>
      <c r="P314" s="20">
        <v>44265</v>
      </c>
      <c r="Q314" s="20" t="str">
        <f>UPPER(TEXT(Tabla1[[#This Row],[FECHA RADICADO ENTRADA]],"MMM"))</f>
        <v>MAR</v>
      </c>
      <c r="R314" s="10">
        <f t="shared" si="4"/>
        <v>-9</v>
      </c>
      <c r="S314" s="10" t="s">
        <v>2154</v>
      </c>
      <c r="U314" s="10" t="s">
        <v>2825</v>
      </c>
      <c r="V314" s="20">
        <v>43690</v>
      </c>
      <c r="W314" s="10" t="s">
        <v>41</v>
      </c>
      <c r="X314" s="10">
        <v>100</v>
      </c>
      <c r="Y314" s="11">
        <f>IFERROR(INT(Tabla1[[#This Row],[CANTIDAD UND FARMACEUTICAS]]/(VLOOKUP(Tabla1[[#This Row],[MEDICAMENTO]],TAB_REF!$K$3:$L$27,2,0))),"")</f>
        <v>10</v>
      </c>
      <c r="Z314" s="10" t="str">
        <f>IFERROR(VLOOKUP(Tabla1[[#This Row],[MEDICAMENTO]],TAB_REF!$B$3:$F$27,2,0), "")</f>
        <v xml:space="preserve">Meperidina HCl </v>
      </c>
      <c r="AA314" s="10" t="str">
        <f>IFERROR(VLOOKUP(Tabla1[[#This Row],[MEDICAMENTO]],TAB_REF!$B$3:$F$27,3,0), "")</f>
        <v xml:space="preserve">100 mg/2mL </v>
      </c>
      <c r="AB314" s="10" t="str">
        <f>IFERROR(VLOOKUP(Tabla1[[#This Row],[MEDICAMENTO]],TAB_REF!$B$3:$F$27,4,0), "")</f>
        <v>Solución Inyectable</v>
      </c>
      <c r="AC314" s="10" t="str">
        <f>IFERROR(VLOOKUP(Tabla1[[#This Row],[MEDICAMENTO]],TAB_REF!$B$3:$F$27,5,0), "")</f>
        <v>Caja 10 ampollas</v>
      </c>
      <c r="AD314" s="10" t="str">
        <f>IFERROR(VLOOKUP(Tabla1[[#This Row],[CANTIDAD UND COMERCIALES]],TAB_REF!$H$3:$I$1003,2,0)&amp;" ("&amp;Tabla1[[#This Row],[CANTIDAD UND COMERCIALES]]&amp;")"&amp;"_"&amp;Tabla1[[#This Row],[CANTIDAD]],"")</f>
        <v>Diez (10)_Caja 10 ampollas</v>
      </c>
      <c r="AE314" s="31" t="e">
        <f>CONCATENATE([1]!Tabla1[[#This Row],[NOMBRE MED.]],[1]!Tabla1[[#This Row],[CONCENTRACION]],[1]!Tabla1[[#This Row],[FORMA FARMACEUTICA]])</f>
        <v>#REF!</v>
      </c>
    </row>
    <row r="315" spans="2:31" x14ac:dyDescent="0.25">
      <c r="B315" s="10">
        <v>115</v>
      </c>
      <c r="C315" s="10" t="s">
        <v>2149</v>
      </c>
      <c r="D315" s="10" t="s">
        <v>2162</v>
      </c>
      <c r="E315" s="10" t="s">
        <v>2150</v>
      </c>
      <c r="F315" s="10" t="s">
        <v>2192</v>
      </c>
      <c r="G315" s="21" t="s">
        <v>2152</v>
      </c>
      <c r="H315" s="10" t="s">
        <v>2826</v>
      </c>
      <c r="I315" s="10" t="s">
        <v>2116</v>
      </c>
      <c r="J315" s="10" t="s">
        <v>1550</v>
      </c>
      <c r="K315" s="10" t="s">
        <v>2827</v>
      </c>
      <c r="L315" s="11">
        <v>202124100355182</v>
      </c>
      <c r="M315" s="20">
        <v>44256</v>
      </c>
      <c r="N315" s="20" t="str">
        <f>UPPER(TEXT(Tabla1[[#This Row],[FECHA RADICADO ENTRADA]],"MMM"))</f>
        <v>MAR</v>
      </c>
      <c r="O315" s="11">
        <v>202124110394221</v>
      </c>
      <c r="P315" s="20">
        <v>44265</v>
      </c>
      <c r="Q315" s="20" t="str">
        <f>UPPER(TEXT(Tabla1[[#This Row],[FECHA RADICADO ENTRADA]],"MMM"))</f>
        <v>MAR</v>
      </c>
      <c r="R315" s="10">
        <f t="shared" si="4"/>
        <v>-9</v>
      </c>
      <c r="S315" s="10" t="s">
        <v>2154</v>
      </c>
      <c r="U315" s="10" t="s">
        <v>2153</v>
      </c>
      <c r="V315" s="20">
        <v>43829</v>
      </c>
      <c r="W315" s="10" t="s">
        <v>63</v>
      </c>
      <c r="X315" s="10">
        <v>1500</v>
      </c>
      <c r="Y315" s="11">
        <f>IFERROR(INT(Tabla1[[#This Row],[CANTIDAD UND FARMACEUTICAS]]/(VLOOKUP(Tabla1[[#This Row],[MEDICAMENTO]],TAB_REF!$K$3:$L$27,2,0))),"")</f>
        <v>150</v>
      </c>
      <c r="Z315" s="10" t="str">
        <f>IFERROR(VLOOKUP(Tabla1[[#This Row],[MEDICAMENTO]],TAB_REF!$B$3:$F$27,2,0), "")</f>
        <v xml:space="preserve">Morfina HCl </v>
      </c>
      <c r="AA315" s="10" t="str">
        <f>IFERROR(VLOOKUP(Tabla1[[#This Row],[MEDICAMENTO]],TAB_REF!$B$3:$F$27,3,0), "")</f>
        <v xml:space="preserve">10 mg/mL </v>
      </c>
      <c r="AB315" s="10" t="str">
        <f>IFERROR(VLOOKUP(Tabla1[[#This Row],[MEDICAMENTO]],TAB_REF!$B$3:$F$27,4,0), "")</f>
        <v>Solución Inyectable</v>
      </c>
      <c r="AC315" s="10" t="str">
        <f>IFERROR(VLOOKUP(Tabla1[[#This Row],[MEDICAMENTO]],TAB_REF!$B$3:$F$27,5,0), "")</f>
        <v>Caja x 10 unidades</v>
      </c>
      <c r="AD315" s="10" t="str">
        <f>IFERROR(VLOOKUP(Tabla1[[#This Row],[CANTIDAD UND COMERCIALES]],TAB_REF!$H$3:$I$1003,2,0)&amp;" ("&amp;Tabla1[[#This Row],[CANTIDAD UND COMERCIALES]]&amp;")"&amp;"_"&amp;Tabla1[[#This Row],[CANTIDAD]],"")</f>
        <v>Ciento Cincuenta (150)_Caja x 10 unidades</v>
      </c>
      <c r="AE315" s="31" t="e">
        <f>CONCATENATE([1]!Tabla1[[#This Row],[NOMBRE MED.]],[1]!Tabla1[[#This Row],[CONCENTRACION]],[1]!Tabla1[[#This Row],[FORMA FARMACEUTICA]])</f>
        <v>#REF!</v>
      </c>
    </row>
    <row r="316" spans="2:31" x14ac:dyDescent="0.25">
      <c r="B316" s="10">
        <v>115</v>
      </c>
      <c r="C316" s="10" t="s">
        <v>2149</v>
      </c>
      <c r="D316" s="10" t="s">
        <v>2162</v>
      </c>
      <c r="E316" s="10" t="s">
        <v>2150</v>
      </c>
      <c r="F316" s="10" t="s">
        <v>2192</v>
      </c>
      <c r="G316" s="21" t="s">
        <v>2152</v>
      </c>
      <c r="H316" s="10" t="s">
        <v>2826</v>
      </c>
      <c r="I316" s="10" t="s">
        <v>2116</v>
      </c>
      <c r="J316" s="10" t="s">
        <v>1550</v>
      </c>
      <c r="K316" s="10" t="s">
        <v>2827</v>
      </c>
      <c r="L316" s="11">
        <v>202124100355182</v>
      </c>
      <c r="M316" s="20">
        <v>44256</v>
      </c>
      <c r="N316" s="20" t="str">
        <f>UPPER(TEXT(Tabla1[[#This Row],[FECHA RADICADO ENTRADA]],"MMM"))</f>
        <v>MAR</v>
      </c>
      <c r="O316" s="11">
        <v>202124110394221</v>
      </c>
      <c r="P316" s="20">
        <v>44265</v>
      </c>
      <c r="Q316" s="20" t="str">
        <f>UPPER(TEXT(Tabla1[[#This Row],[FECHA RADICADO ENTRADA]],"MMM"))</f>
        <v>MAR</v>
      </c>
      <c r="R316" s="10">
        <f t="shared" si="4"/>
        <v>-9</v>
      </c>
      <c r="S316" s="10" t="s">
        <v>2145</v>
      </c>
      <c r="T316" s="10" t="s">
        <v>2828</v>
      </c>
      <c r="U316" s="10" t="s">
        <v>2153</v>
      </c>
      <c r="V316" s="20">
        <v>43829</v>
      </c>
      <c r="W316" s="10" t="s">
        <v>37</v>
      </c>
      <c r="X316" s="10">
        <v>0</v>
      </c>
      <c r="Y316" s="11">
        <f>IFERROR(INT(Tabla1[[#This Row],[CANTIDAD UND FARMACEUTICAS]]/(VLOOKUP(Tabla1[[#This Row],[MEDICAMENTO]],TAB_REF!$K$3:$L$27,2,0))),"")</f>
        <v>0</v>
      </c>
      <c r="Z316" s="10" t="str">
        <f>IFERROR(VLOOKUP(Tabla1[[#This Row],[MEDICAMENTO]],TAB_REF!$B$3:$F$27,2,0), "")</f>
        <v xml:space="preserve">Hidromorfona HCl </v>
      </c>
      <c r="AA316" s="10" t="str">
        <f>IFERROR(VLOOKUP(Tabla1[[#This Row],[MEDICAMENTO]],TAB_REF!$B$3:$F$27,3,0), "")</f>
        <v xml:space="preserve">2 mg/mL </v>
      </c>
      <c r="AB316" s="10" t="str">
        <f>IFERROR(VLOOKUP(Tabla1[[#This Row],[MEDICAMENTO]],TAB_REF!$B$3:$F$27,4,0), "")</f>
        <v>Solución Inyectable</v>
      </c>
      <c r="AC316" s="10" t="str">
        <f>IFERROR(VLOOKUP(Tabla1[[#This Row],[MEDICAMENTO]],TAB_REF!$B$3:$F$27,5,0), "")</f>
        <v>Caja x 10 unidades</v>
      </c>
      <c r="AD316" s="10" t="str">
        <f>IFERROR(VLOOKUP(Tabla1[[#This Row],[CANTIDAD UND COMERCIALES]],TAB_REF!$H$3:$I$1003,2,0)&amp;" ("&amp;Tabla1[[#This Row],[CANTIDAD UND COMERCIALES]]&amp;")"&amp;"_"&amp;Tabla1[[#This Row],[CANTIDAD]],"")</f>
        <v/>
      </c>
      <c r="AE316" s="31" t="e">
        <f>CONCATENATE([1]!Tabla1[[#This Row],[NOMBRE MED.]],[1]!Tabla1[[#This Row],[CONCENTRACION]],[1]!Tabla1[[#This Row],[FORMA FARMACEUTICA]])</f>
        <v>#REF!</v>
      </c>
    </row>
    <row r="317" spans="2:31" x14ac:dyDescent="0.25">
      <c r="B317" s="10">
        <v>116</v>
      </c>
      <c r="C317" s="10" t="s">
        <v>2831</v>
      </c>
      <c r="D317" s="10" t="s">
        <v>2164</v>
      </c>
      <c r="E317" s="10" t="s">
        <v>2831</v>
      </c>
      <c r="F317" s="10" t="s">
        <v>2164</v>
      </c>
      <c r="G317" s="10" t="s">
        <v>2832</v>
      </c>
      <c r="H317" s="10" t="s">
        <v>2832</v>
      </c>
      <c r="I317" s="10" t="s">
        <v>2130</v>
      </c>
      <c r="K317" s="10" t="s">
        <v>2833</v>
      </c>
      <c r="L317" s="11">
        <v>202124100317152</v>
      </c>
      <c r="M317" s="20">
        <v>44251</v>
      </c>
      <c r="N317" s="20" t="str">
        <f>UPPER(TEXT(Tabla1[[#This Row],[FECHA RADICADO ENTRADA]],"MMM"))</f>
        <v>FEB</v>
      </c>
      <c r="O317" s="11">
        <v>202124110431771</v>
      </c>
      <c r="P317" s="20">
        <v>44265</v>
      </c>
      <c r="Q317" s="20" t="str">
        <f>UPPER(TEXT(Tabla1[[#This Row],[FECHA RADICADO ENTRADA]],"MMM"))</f>
        <v>FEB</v>
      </c>
      <c r="R317" s="10">
        <f t="shared" si="4"/>
        <v>-14</v>
      </c>
      <c r="S317" s="10" t="s">
        <v>2145</v>
      </c>
      <c r="T317" s="10" t="s">
        <v>2834</v>
      </c>
      <c r="U317" s="10" t="s">
        <v>2835</v>
      </c>
      <c r="V317" s="20">
        <v>43571</v>
      </c>
      <c r="W317" s="10" t="s">
        <v>63</v>
      </c>
      <c r="X317" s="10">
        <v>0</v>
      </c>
      <c r="Y317" s="11">
        <f>IFERROR(INT(Tabla1[[#This Row],[CANTIDAD UND FARMACEUTICAS]]/(VLOOKUP(Tabla1[[#This Row],[MEDICAMENTO]],TAB_REF!$K$3:$L$27,2,0))),"")</f>
        <v>0</v>
      </c>
      <c r="Z317" s="10" t="str">
        <f>IFERROR(VLOOKUP(Tabla1[[#This Row],[MEDICAMENTO]],TAB_REF!$B$3:$F$27,2,0), "")</f>
        <v xml:space="preserve">Morfina HCl </v>
      </c>
      <c r="AA317" s="10" t="str">
        <f>IFERROR(VLOOKUP(Tabla1[[#This Row],[MEDICAMENTO]],TAB_REF!$B$3:$F$27,3,0), "")</f>
        <v xml:space="preserve">10 mg/mL </v>
      </c>
      <c r="AB317" s="10" t="str">
        <f>IFERROR(VLOOKUP(Tabla1[[#This Row],[MEDICAMENTO]],TAB_REF!$B$3:$F$27,4,0), "")</f>
        <v>Solución Inyectable</v>
      </c>
      <c r="AC317" s="10" t="str">
        <f>IFERROR(VLOOKUP(Tabla1[[#This Row],[MEDICAMENTO]],TAB_REF!$B$3:$F$27,5,0), "")</f>
        <v>Caja x 10 unidades</v>
      </c>
      <c r="AD317" s="10" t="str">
        <f>IFERROR(VLOOKUP(Tabla1[[#This Row],[CANTIDAD UND COMERCIALES]],TAB_REF!$H$3:$I$1003,2,0)&amp;" ("&amp;Tabla1[[#This Row],[CANTIDAD UND COMERCIALES]]&amp;")"&amp;"_"&amp;Tabla1[[#This Row],[CANTIDAD]],"")</f>
        <v/>
      </c>
      <c r="AE317" s="31" t="e">
        <f>CONCATENATE([1]!Tabla1[[#This Row],[NOMBRE MED.]],[1]!Tabla1[[#This Row],[CONCENTRACION]],[1]!Tabla1[[#This Row],[FORMA FARMACEUTICA]])</f>
        <v>#REF!</v>
      </c>
    </row>
    <row r="318" spans="2:31" x14ac:dyDescent="0.25">
      <c r="B318" s="10">
        <v>117</v>
      </c>
      <c r="C318" s="10" t="s">
        <v>2836</v>
      </c>
      <c r="D318" s="10" t="s">
        <v>2312</v>
      </c>
      <c r="E318" s="10" t="s">
        <v>2837</v>
      </c>
      <c r="F318" s="3" t="s">
        <v>2838</v>
      </c>
      <c r="G318" s="10" t="s">
        <v>2839</v>
      </c>
      <c r="H318" s="10" t="s">
        <v>2840</v>
      </c>
      <c r="I318" s="10" t="s">
        <v>2120</v>
      </c>
      <c r="J318" s="10" t="s">
        <v>1696</v>
      </c>
      <c r="K318" s="10" t="s">
        <v>2841</v>
      </c>
      <c r="L318" s="11">
        <v>202124100376362</v>
      </c>
      <c r="M318" s="20">
        <v>44259</v>
      </c>
      <c r="N318" s="20" t="str">
        <f>UPPER(TEXT(Tabla1[[#This Row],[FECHA RADICADO ENTRADA]],"MMM"))</f>
        <v>MAR</v>
      </c>
      <c r="O318" s="11">
        <v>202124110431751</v>
      </c>
      <c r="P318" s="20">
        <v>44271</v>
      </c>
      <c r="Q318" s="20" t="str">
        <f>UPPER(TEXT(Tabla1[[#This Row],[FECHA RADICADO ENTRADA]],"MMM"))</f>
        <v>MAR</v>
      </c>
      <c r="R318" s="10">
        <f t="shared" si="4"/>
        <v>-12</v>
      </c>
      <c r="S318" s="10" t="s">
        <v>2154</v>
      </c>
      <c r="U318" s="10" t="s">
        <v>2842</v>
      </c>
      <c r="V318" s="20">
        <v>42958</v>
      </c>
      <c r="W318" s="10" t="s">
        <v>28</v>
      </c>
      <c r="X318" s="10">
        <v>2</v>
      </c>
      <c r="Y318" s="11">
        <f>IFERROR(INT(Tabla1[[#This Row],[CANTIDAD UND FARMACEUTICAS]]/(VLOOKUP(Tabla1[[#This Row],[MEDICAMENTO]],TAB_REF!$K$3:$L$27,2,0))),"")</f>
        <v>2</v>
      </c>
      <c r="Z318" s="10" t="str">
        <f>IFERROR(VLOOKUP(Tabla1[[#This Row],[MEDICAMENTO]],TAB_REF!$B$3:$F$27,2,0), "")</f>
        <v xml:space="preserve">Fenobarbital </v>
      </c>
      <c r="AA318" s="10" t="str">
        <f>IFERROR(VLOOKUP(Tabla1[[#This Row],[MEDICAMENTO]],TAB_REF!$B$3:$F$27,3,0), "")</f>
        <v xml:space="preserve">0,4%. </v>
      </c>
      <c r="AB318" s="10" t="str">
        <f>IFERROR(VLOOKUP(Tabla1[[#This Row],[MEDICAMENTO]],TAB_REF!$B$3:$F$27,4,0), "")</f>
        <v>Solución Oral</v>
      </c>
      <c r="AC318" s="10" t="str">
        <f>IFERROR(VLOOKUP(Tabla1[[#This Row],[MEDICAMENTO]],TAB_REF!$B$3:$F$27,5,0), "")</f>
        <v>Frasco x 120 mL</v>
      </c>
      <c r="AD318" s="10" t="str">
        <f>IFERROR(VLOOKUP(Tabla1[[#This Row],[CANTIDAD UND COMERCIALES]],TAB_REF!$H$3:$I$1003,2,0)&amp;" ("&amp;Tabla1[[#This Row],[CANTIDAD UND COMERCIALES]]&amp;")"&amp;"_"&amp;Tabla1[[#This Row],[CANTIDAD]],"")</f>
        <v>Dos (2)_Frasco x 120 mL</v>
      </c>
      <c r="AE318" s="31" t="e">
        <f>CONCATENATE([1]!Tabla1[[#This Row],[NOMBRE MED.]],[1]!Tabla1[[#This Row],[CONCENTRACION]],[1]!Tabla1[[#This Row],[FORMA FARMACEUTICA]])</f>
        <v>#REF!</v>
      </c>
    </row>
    <row r="319" spans="2:31" x14ac:dyDescent="0.25">
      <c r="B319" s="10">
        <v>117</v>
      </c>
      <c r="C319" s="10" t="s">
        <v>2836</v>
      </c>
      <c r="D319" s="10" t="s">
        <v>2312</v>
      </c>
      <c r="E319" s="10" t="s">
        <v>2837</v>
      </c>
      <c r="F319" s="3" t="s">
        <v>2838</v>
      </c>
      <c r="G319" s="10" t="s">
        <v>2839</v>
      </c>
      <c r="H319" s="10" t="s">
        <v>2840</v>
      </c>
      <c r="I319" s="10" t="s">
        <v>2120</v>
      </c>
      <c r="J319" s="10" t="s">
        <v>1696</v>
      </c>
      <c r="K319" s="10" t="s">
        <v>2841</v>
      </c>
      <c r="L319" s="11">
        <v>202124100376362</v>
      </c>
      <c r="M319" s="20">
        <v>44259</v>
      </c>
      <c r="N319" s="20" t="str">
        <f>UPPER(TEXT(Tabla1[[#This Row],[FECHA RADICADO ENTRADA]],"MMM"))</f>
        <v>MAR</v>
      </c>
      <c r="O319" s="11">
        <v>202124110431751</v>
      </c>
      <c r="P319" s="20">
        <v>44271</v>
      </c>
      <c r="Q319" s="20" t="str">
        <f>UPPER(TEXT(Tabla1[[#This Row],[FECHA RADICADO ENTRADA]],"MMM"))</f>
        <v>MAR</v>
      </c>
      <c r="R319" s="10">
        <f t="shared" si="4"/>
        <v>-12</v>
      </c>
      <c r="S319" s="10" t="s">
        <v>2154</v>
      </c>
      <c r="U319" s="10" t="s">
        <v>2842</v>
      </c>
      <c r="V319" s="20">
        <v>42958</v>
      </c>
      <c r="W319" s="10" t="s">
        <v>32</v>
      </c>
      <c r="X319" s="10">
        <v>900</v>
      </c>
      <c r="Y319" s="11">
        <f>IFERROR(INT(Tabla1[[#This Row],[CANTIDAD UND FARMACEUTICAS]]/(VLOOKUP(Tabla1[[#This Row],[MEDICAMENTO]],TAB_REF!$K$3:$L$27,2,0))),"")</f>
        <v>30</v>
      </c>
      <c r="Z319" s="10" t="str">
        <f>IFERROR(VLOOKUP(Tabla1[[#This Row],[MEDICAMENTO]],TAB_REF!$B$3:$F$27,2,0), "")</f>
        <v xml:space="preserve">Fenobarbital </v>
      </c>
      <c r="AA319" s="10" t="str">
        <f>IFERROR(VLOOKUP(Tabla1[[#This Row],[MEDICAMENTO]],TAB_REF!$B$3:$F$27,3,0), "")</f>
        <v xml:space="preserve">100 mg </v>
      </c>
      <c r="AB319" s="10" t="str">
        <f>IFERROR(VLOOKUP(Tabla1[[#This Row],[MEDICAMENTO]],TAB_REF!$B$3:$F$27,4,0), "")</f>
        <v>Tabletas</v>
      </c>
      <c r="AC319" s="10" t="str">
        <f>IFERROR(VLOOKUP(Tabla1[[#This Row],[MEDICAMENTO]],TAB_REF!$B$3:$F$27,5,0), "")</f>
        <v>Caja x 30 unidades</v>
      </c>
      <c r="AD319" s="10" t="str">
        <f>IFERROR(VLOOKUP(Tabla1[[#This Row],[CANTIDAD UND COMERCIALES]],TAB_REF!$H$3:$I$1003,2,0)&amp;" ("&amp;Tabla1[[#This Row],[CANTIDAD UND COMERCIALES]]&amp;")"&amp;"_"&amp;Tabla1[[#This Row],[CANTIDAD]],"")</f>
        <v>Treinta (30)_Caja x 30 unidades</v>
      </c>
      <c r="AE319" s="31" t="e">
        <f>CONCATENATE([1]!Tabla1[[#This Row],[NOMBRE MED.]],[1]!Tabla1[[#This Row],[CONCENTRACION]],[1]!Tabla1[[#This Row],[FORMA FARMACEUTICA]])</f>
        <v>#REF!</v>
      </c>
    </row>
    <row r="320" spans="2:31" x14ac:dyDescent="0.25">
      <c r="B320" s="10">
        <v>117</v>
      </c>
      <c r="C320" s="10" t="s">
        <v>2836</v>
      </c>
      <c r="D320" s="10" t="s">
        <v>2312</v>
      </c>
      <c r="E320" s="10" t="s">
        <v>2837</v>
      </c>
      <c r="F320" s="3" t="s">
        <v>2838</v>
      </c>
      <c r="G320" s="10" t="s">
        <v>2839</v>
      </c>
      <c r="H320" s="10" t="s">
        <v>2840</v>
      </c>
      <c r="I320" s="10" t="s">
        <v>2120</v>
      </c>
      <c r="J320" s="10" t="s">
        <v>1696</v>
      </c>
      <c r="K320" s="10" t="s">
        <v>2841</v>
      </c>
      <c r="L320" s="11">
        <v>202124100376362</v>
      </c>
      <c r="M320" s="20">
        <v>44259</v>
      </c>
      <c r="N320" s="20" t="str">
        <f>UPPER(TEXT(Tabla1[[#This Row],[FECHA RADICADO ENTRADA]],"MMM"))</f>
        <v>MAR</v>
      </c>
      <c r="O320" s="11">
        <v>202124110431751</v>
      </c>
      <c r="P320" s="20">
        <v>44271</v>
      </c>
      <c r="Q320" s="20" t="str">
        <f>UPPER(TEXT(Tabla1[[#This Row],[FECHA RADICADO ENTRADA]],"MMM"))</f>
        <v>MAR</v>
      </c>
      <c r="R320" s="10">
        <f t="shared" si="4"/>
        <v>-12</v>
      </c>
      <c r="S320" s="10" t="s">
        <v>2154</v>
      </c>
      <c r="U320" s="10" t="s">
        <v>2842</v>
      </c>
      <c r="V320" s="20">
        <v>42958</v>
      </c>
      <c r="W320" s="10" t="s">
        <v>36</v>
      </c>
      <c r="X320" s="10">
        <v>100</v>
      </c>
      <c r="Y320" s="11">
        <f>IFERROR(INT(Tabla1[[#This Row],[CANTIDAD UND FARMACEUTICAS]]/(VLOOKUP(Tabla1[[#This Row],[MEDICAMENTO]],TAB_REF!$K$3:$L$27,2,0))),"")</f>
        <v>10</v>
      </c>
      <c r="Z320" s="10" t="str">
        <f>IFERROR(VLOOKUP(Tabla1[[#This Row],[MEDICAMENTO]],TAB_REF!$B$3:$F$27,2,0), "")</f>
        <v xml:space="preserve">Fenobarbital Sódico </v>
      </c>
      <c r="AA320" s="10" t="str">
        <f>IFERROR(VLOOKUP(Tabla1[[#This Row],[MEDICAMENTO]],TAB_REF!$B$3:$F$27,3,0), "")</f>
        <v xml:space="preserve">40 mg/mL </v>
      </c>
      <c r="AB320" s="10" t="str">
        <f>IFERROR(VLOOKUP(Tabla1[[#This Row],[MEDICAMENTO]],TAB_REF!$B$3:$F$27,4,0), "")</f>
        <v>Solución Inyectable</v>
      </c>
      <c r="AC320" s="10" t="str">
        <f>IFERROR(VLOOKUP(Tabla1[[#This Row],[MEDICAMENTO]],TAB_REF!$B$3:$F$27,5,0), "")</f>
        <v>Caja x 10 unidades</v>
      </c>
      <c r="AD320" s="10" t="str">
        <f>IFERROR(VLOOKUP(Tabla1[[#This Row],[CANTIDAD UND COMERCIALES]],TAB_REF!$H$3:$I$1003,2,0)&amp;" ("&amp;Tabla1[[#This Row],[CANTIDAD UND COMERCIALES]]&amp;")"&amp;"_"&amp;Tabla1[[#This Row],[CANTIDAD]],"")</f>
        <v>Diez (10)_Caja x 10 unidades</v>
      </c>
      <c r="AE320" s="31" t="e">
        <f>CONCATENATE([1]!Tabla1[[#This Row],[NOMBRE MED.]],[1]!Tabla1[[#This Row],[CONCENTRACION]],[1]!Tabla1[[#This Row],[FORMA FARMACEUTICA]])</f>
        <v>#REF!</v>
      </c>
    </row>
    <row r="321" spans="2:31" x14ac:dyDescent="0.25">
      <c r="B321" s="10">
        <v>117</v>
      </c>
      <c r="C321" s="10" t="s">
        <v>2836</v>
      </c>
      <c r="D321" s="10" t="s">
        <v>2312</v>
      </c>
      <c r="E321" s="10" t="s">
        <v>2837</v>
      </c>
      <c r="F321" s="3" t="s">
        <v>2838</v>
      </c>
      <c r="G321" s="21" t="s">
        <v>2839</v>
      </c>
      <c r="H321" s="10" t="s">
        <v>2840</v>
      </c>
      <c r="I321" s="10" t="s">
        <v>2120</v>
      </c>
      <c r="J321" s="10" t="s">
        <v>1696</v>
      </c>
      <c r="K321" s="10" t="s">
        <v>2841</v>
      </c>
      <c r="L321" s="11">
        <v>202124100376362</v>
      </c>
      <c r="M321" s="20">
        <v>44259</v>
      </c>
      <c r="N321" s="20" t="str">
        <f>UPPER(TEXT(Tabla1[[#This Row],[FECHA RADICADO ENTRADA]],"MMM"))</f>
        <v>MAR</v>
      </c>
      <c r="O321" s="11">
        <v>202124110431751</v>
      </c>
      <c r="P321" s="20">
        <v>44271</v>
      </c>
      <c r="Q321" s="20" t="str">
        <f>UPPER(TEXT(Tabla1[[#This Row],[FECHA RADICADO ENTRADA]],"MMM"))</f>
        <v>MAR</v>
      </c>
      <c r="R321" s="10">
        <f t="shared" si="4"/>
        <v>-12</v>
      </c>
      <c r="S321" s="10" t="s">
        <v>2145</v>
      </c>
      <c r="T321" s="10" t="s">
        <v>2537</v>
      </c>
      <c r="U321" s="10" t="s">
        <v>2842</v>
      </c>
      <c r="V321" s="20">
        <v>42958</v>
      </c>
      <c r="W321" s="10" t="s">
        <v>34</v>
      </c>
      <c r="X321" s="10">
        <v>0</v>
      </c>
      <c r="Y321" s="11">
        <f>IFERROR(INT(Tabla1[[#This Row],[CANTIDAD UND FARMACEUTICAS]]/(VLOOKUP(Tabla1[[#This Row],[MEDICAMENTO]],TAB_REF!$K$3:$L$27,2,0))),"")</f>
        <v>0</v>
      </c>
      <c r="Z321" s="10" t="str">
        <f>IFERROR(VLOOKUP(Tabla1[[#This Row],[MEDICAMENTO]],TAB_REF!$B$3:$F$27,2,0), "")</f>
        <v xml:space="preserve">Fenobarbital Sódico </v>
      </c>
      <c r="AA321" s="10" t="str">
        <f>IFERROR(VLOOKUP(Tabla1[[#This Row],[MEDICAMENTO]],TAB_REF!$B$3:$F$27,3,0), "")</f>
        <v xml:space="preserve">200 mg/Ml </v>
      </c>
      <c r="AB321" s="10" t="str">
        <f>IFERROR(VLOOKUP(Tabla1[[#This Row],[MEDICAMENTO]],TAB_REF!$B$3:$F$27,4,0), "")</f>
        <v>Solución Inyectable</v>
      </c>
      <c r="AC321" s="10" t="str">
        <f>IFERROR(VLOOKUP(Tabla1[[#This Row],[MEDICAMENTO]],TAB_REF!$B$3:$F$27,5,0), "")</f>
        <v>Caja x 10 unidades</v>
      </c>
      <c r="AD321" s="10" t="str">
        <f>IFERROR(VLOOKUP(Tabla1[[#This Row],[CANTIDAD UND COMERCIALES]],TAB_REF!$H$3:$I$1003,2,0)&amp;" ("&amp;Tabla1[[#This Row],[CANTIDAD UND COMERCIALES]]&amp;")"&amp;"_"&amp;Tabla1[[#This Row],[CANTIDAD]],"")</f>
        <v/>
      </c>
      <c r="AE321" s="31" t="e">
        <f>CONCATENATE([1]!Tabla1[[#This Row],[NOMBRE MED.]],[1]!Tabla1[[#This Row],[CONCENTRACION]],[1]!Tabla1[[#This Row],[FORMA FARMACEUTICA]])</f>
        <v>#REF!</v>
      </c>
    </row>
    <row r="322" spans="2:31" x14ac:dyDescent="0.25">
      <c r="B322" s="10">
        <v>117</v>
      </c>
      <c r="C322" s="10" t="s">
        <v>2836</v>
      </c>
      <c r="D322" s="10" t="s">
        <v>2312</v>
      </c>
      <c r="E322" s="10" t="s">
        <v>2837</v>
      </c>
      <c r="F322" s="3" t="s">
        <v>2838</v>
      </c>
      <c r="G322" s="10" t="s">
        <v>2839</v>
      </c>
      <c r="H322" s="10" t="s">
        <v>2840</v>
      </c>
      <c r="I322" s="10" t="s">
        <v>2120</v>
      </c>
      <c r="J322" s="10" t="s">
        <v>1696</v>
      </c>
      <c r="K322" s="10" t="s">
        <v>2841</v>
      </c>
      <c r="L322" s="11">
        <v>202124100376362</v>
      </c>
      <c r="M322" s="20">
        <v>44259</v>
      </c>
      <c r="N322" s="20" t="str">
        <f>UPPER(TEXT(Tabla1[[#This Row],[FECHA RADICADO ENTRADA]],"MMM"))</f>
        <v>MAR</v>
      </c>
      <c r="O322" s="11">
        <v>202124110431751</v>
      </c>
      <c r="P322" s="20">
        <v>44271</v>
      </c>
      <c r="Q322" s="20" t="str">
        <f>UPPER(TEXT(Tabla1[[#This Row],[FECHA RADICADO ENTRADA]],"MMM"))</f>
        <v>MAR</v>
      </c>
      <c r="R322" s="10">
        <f t="shared" ref="R322:R385" si="5">_xlfn.DAYS(M322,P322)</f>
        <v>-12</v>
      </c>
      <c r="S322" s="10" t="s">
        <v>2145</v>
      </c>
      <c r="T322" s="10" t="s">
        <v>2828</v>
      </c>
      <c r="U322" s="10" t="s">
        <v>2842</v>
      </c>
      <c r="V322" s="20">
        <v>42958</v>
      </c>
      <c r="W322" s="10" t="s">
        <v>37</v>
      </c>
      <c r="X322" s="10">
        <v>0</v>
      </c>
      <c r="Y322" s="11">
        <f>IFERROR(INT(Tabla1[[#This Row],[CANTIDAD UND FARMACEUTICAS]]/(VLOOKUP(Tabla1[[#This Row],[MEDICAMENTO]],TAB_REF!$K$3:$L$27,2,0))),"")</f>
        <v>0</v>
      </c>
      <c r="Z322" s="10" t="str">
        <f>IFERROR(VLOOKUP(Tabla1[[#This Row],[MEDICAMENTO]],TAB_REF!$B$3:$F$27,2,0), "")</f>
        <v xml:space="preserve">Hidromorfona HCl </v>
      </c>
      <c r="AA322" s="10" t="str">
        <f>IFERROR(VLOOKUP(Tabla1[[#This Row],[MEDICAMENTO]],TAB_REF!$B$3:$F$27,3,0), "")</f>
        <v xml:space="preserve">2 mg/mL </v>
      </c>
      <c r="AB322" s="10" t="str">
        <f>IFERROR(VLOOKUP(Tabla1[[#This Row],[MEDICAMENTO]],TAB_REF!$B$3:$F$27,4,0), "")</f>
        <v>Solución Inyectable</v>
      </c>
      <c r="AC322" s="10" t="str">
        <f>IFERROR(VLOOKUP(Tabla1[[#This Row],[MEDICAMENTO]],TAB_REF!$B$3:$F$27,5,0), "")</f>
        <v>Caja x 10 unidades</v>
      </c>
      <c r="AD322" s="10" t="str">
        <f>IFERROR(VLOOKUP(Tabla1[[#This Row],[CANTIDAD UND COMERCIALES]],TAB_REF!$H$3:$I$1003,2,0)&amp;" ("&amp;Tabla1[[#This Row],[CANTIDAD UND COMERCIALES]]&amp;")"&amp;"_"&amp;Tabla1[[#This Row],[CANTIDAD]],"")</f>
        <v/>
      </c>
      <c r="AE322" s="31" t="e">
        <f>CONCATENATE([1]!Tabla1[[#This Row],[NOMBRE MED.]],[1]!Tabla1[[#This Row],[CONCENTRACION]],[1]!Tabla1[[#This Row],[FORMA FARMACEUTICA]])</f>
        <v>#REF!</v>
      </c>
    </row>
    <row r="323" spans="2:31" x14ac:dyDescent="0.25">
      <c r="B323" s="10">
        <v>117</v>
      </c>
      <c r="C323" s="10" t="s">
        <v>2836</v>
      </c>
      <c r="D323" s="10" t="s">
        <v>2312</v>
      </c>
      <c r="E323" s="10" t="s">
        <v>2837</v>
      </c>
      <c r="F323" s="3" t="s">
        <v>2838</v>
      </c>
      <c r="G323" s="10" t="s">
        <v>2839</v>
      </c>
      <c r="H323" s="10" t="s">
        <v>2840</v>
      </c>
      <c r="I323" s="10" t="s">
        <v>2120</v>
      </c>
      <c r="J323" s="10" t="s">
        <v>1696</v>
      </c>
      <c r="K323" s="10" t="s">
        <v>2841</v>
      </c>
      <c r="L323" s="11">
        <v>202124100376362</v>
      </c>
      <c r="M323" s="20">
        <v>44259</v>
      </c>
      <c r="N323" s="20" t="str">
        <f>UPPER(TEXT(Tabla1[[#This Row],[FECHA RADICADO ENTRADA]],"MMM"))</f>
        <v>MAR</v>
      </c>
      <c r="O323" s="11">
        <v>202124110431751</v>
      </c>
      <c r="P323" s="20">
        <v>44271</v>
      </c>
      <c r="Q323" s="20" t="str">
        <f>UPPER(TEXT(Tabla1[[#This Row],[FECHA RADICADO ENTRADA]],"MMM"))</f>
        <v>MAR</v>
      </c>
      <c r="R323" s="10">
        <f t="shared" si="5"/>
        <v>-12</v>
      </c>
      <c r="S323" s="10" t="s">
        <v>2154</v>
      </c>
      <c r="U323" s="10" t="s">
        <v>2842</v>
      </c>
      <c r="V323" s="20">
        <v>42958</v>
      </c>
      <c r="W323" s="10" t="s">
        <v>41</v>
      </c>
      <c r="X323" s="10">
        <v>100</v>
      </c>
      <c r="Y323" s="11">
        <f>IFERROR(INT(Tabla1[[#This Row],[CANTIDAD UND FARMACEUTICAS]]/(VLOOKUP(Tabla1[[#This Row],[MEDICAMENTO]],TAB_REF!$K$3:$L$27,2,0))),"")</f>
        <v>10</v>
      </c>
      <c r="Z323" s="10" t="str">
        <f>IFERROR(VLOOKUP(Tabla1[[#This Row],[MEDICAMENTO]],TAB_REF!$B$3:$F$27,2,0), "")</f>
        <v xml:space="preserve">Meperidina HCl </v>
      </c>
      <c r="AA323" s="10" t="str">
        <f>IFERROR(VLOOKUP(Tabla1[[#This Row],[MEDICAMENTO]],TAB_REF!$B$3:$F$27,3,0), "")</f>
        <v xml:space="preserve">100 mg/2mL </v>
      </c>
      <c r="AB323" s="10" t="str">
        <f>IFERROR(VLOOKUP(Tabla1[[#This Row],[MEDICAMENTO]],TAB_REF!$B$3:$F$27,4,0), "")</f>
        <v>Solución Inyectable</v>
      </c>
      <c r="AC323" s="10" t="str">
        <f>IFERROR(VLOOKUP(Tabla1[[#This Row],[MEDICAMENTO]],TAB_REF!$B$3:$F$27,5,0), "")</f>
        <v>Caja 10 ampollas</v>
      </c>
      <c r="AD323" s="10" t="str">
        <f>IFERROR(VLOOKUP(Tabla1[[#This Row],[CANTIDAD UND COMERCIALES]],TAB_REF!$H$3:$I$1003,2,0)&amp;" ("&amp;Tabla1[[#This Row],[CANTIDAD UND COMERCIALES]]&amp;")"&amp;"_"&amp;Tabla1[[#This Row],[CANTIDAD]],"")</f>
        <v>Diez (10)_Caja 10 ampollas</v>
      </c>
      <c r="AE323" s="31" t="e">
        <f>CONCATENATE([1]!Tabla1[[#This Row],[NOMBRE MED.]],[1]!Tabla1[[#This Row],[CONCENTRACION]],[1]!Tabla1[[#This Row],[FORMA FARMACEUTICA]])</f>
        <v>#REF!</v>
      </c>
    </row>
    <row r="324" spans="2:31" x14ac:dyDescent="0.25">
      <c r="B324" s="10">
        <v>117</v>
      </c>
      <c r="C324" s="10" t="s">
        <v>2836</v>
      </c>
      <c r="D324" s="10" t="s">
        <v>2312</v>
      </c>
      <c r="E324" s="10" t="s">
        <v>2837</v>
      </c>
      <c r="F324" s="3" t="s">
        <v>2838</v>
      </c>
      <c r="G324" s="10" t="s">
        <v>2839</v>
      </c>
      <c r="H324" s="10" t="s">
        <v>2840</v>
      </c>
      <c r="I324" s="10" t="s">
        <v>2120</v>
      </c>
      <c r="J324" s="10" t="s">
        <v>1696</v>
      </c>
      <c r="K324" s="10" t="s">
        <v>2841</v>
      </c>
      <c r="L324" s="11">
        <v>202124100376362</v>
      </c>
      <c r="M324" s="20">
        <v>44259</v>
      </c>
      <c r="N324" s="20" t="str">
        <f>UPPER(TEXT(Tabla1[[#This Row],[FECHA RADICADO ENTRADA]],"MMM"))</f>
        <v>MAR</v>
      </c>
      <c r="O324" s="11">
        <v>202124110431751</v>
      </c>
      <c r="P324" s="20">
        <v>44271</v>
      </c>
      <c r="Q324" s="20" t="str">
        <f>UPPER(TEXT(Tabla1[[#This Row],[FECHA RADICADO ENTRADA]],"MMM"))</f>
        <v>MAR</v>
      </c>
      <c r="R324" s="10">
        <f t="shared" si="5"/>
        <v>-12</v>
      </c>
      <c r="S324" s="10" t="s">
        <v>2154</v>
      </c>
      <c r="U324" s="10" t="s">
        <v>2842</v>
      </c>
      <c r="V324" s="20">
        <v>42958</v>
      </c>
      <c r="W324" s="10" t="s">
        <v>45</v>
      </c>
      <c r="X324" s="10">
        <v>600</v>
      </c>
      <c r="Y324" s="11">
        <f>IFERROR(INT(Tabla1[[#This Row],[CANTIDAD UND FARMACEUTICAS]]/(VLOOKUP(Tabla1[[#This Row],[MEDICAMENTO]],TAB_REF!$K$3:$L$27,2,0))),"")</f>
        <v>20</v>
      </c>
      <c r="Z324" s="10" t="str">
        <f>IFERROR(VLOOKUP(Tabla1[[#This Row],[MEDICAMENTO]],TAB_REF!$B$3:$F$27,2,0), "")</f>
        <v xml:space="preserve">Metadona HCl </v>
      </c>
      <c r="AA324" s="10" t="str">
        <f>IFERROR(VLOOKUP(Tabla1[[#This Row],[MEDICAMENTO]],TAB_REF!$B$3:$F$27,3,0), "")</f>
        <v xml:space="preserve">10 mg </v>
      </c>
      <c r="AB324" s="10" t="str">
        <f>IFERROR(VLOOKUP(Tabla1[[#This Row],[MEDICAMENTO]],TAB_REF!$B$3:$F$27,4,0), "")</f>
        <v>Tabletas NACIONAL</v>
      </c>
      <c r="AC324" s="10" t="str">
        <f>IFERROR(VLOOKUP(Tabla1[[#This Row],[MEDICAMENTO]],TAB_REF!$B$3:$F$27,5,0), "")</f>
        <v>Caja x 30 unidades</v>
      </c>
      <c r="AD324" s="10" t="str">
        <f>IFERROR(VLOOKUP(Tabla1[[#This Row],[CANTIDAD UND COMERCIALES]],TAB_REF!$H$3:$I$1003,2,0)&amp;" ("&amp;Tabla1[[#This Row],[CANTIDAD UND COMERCIALES]]&amp;")"&amp;"_"&amp;Tabla1[[#This Row],[CANTIDAD]],"")</f>
        <v>Veinte (20)_Caja x 30 unidades</v>
      </c>
      <c r="AE324" s="31" t="e">
        <f>CONCATENATE([1]!Tabla1[[#This Row],[NOMBRE MED.]],[1]!Tabla1[[#This Row],[CONCENTRACION]],[1]!Tabla1[[#This Row],[FORMA FARMACEUTICA]])</f>
        <v>#REF!</v>
      </c>
    </row>
    <row r="325" spans="2:31" x14ac:dyDescent="0.25">
      <c r="B325" s="10">
        <v>117</v>
      </c>
      <c r="C325" s="10" t="s">
        <v>2836</v>
      </c>
      <c r="D325" s="10" t="s">
        <v>2312</v>
      </c>
      <c r="E325" s="10" t="s">
        <v>2837</v>
      </c>
      <c r="F325" s="3" t="s">
        <v>2838</v>
      </c>
      <c r="G325" s="10" t="s">
        <v>2839</v>
      </c>
      <c r="H325" s="10" t="s">
        <v>2840</v>
      </c>
      <c r="I325" s="10" t="s">
        <v>2120</v>
      </c>
      <c r="J325" s="10" t="s">
        <v>1696</v>
      </c>
      <c r="K325" s="10" t="s">
        <v>2841</v>
      </c>
      <c r="L325" s="11">
        <v>202124100376362</v>
      </c>
      <c r="M325" s="20">
        <v>44259</v>
      </c>
      <c r="N325" s="20" t="str">
        <f>UPPER(TEXT(Tabla1[[#This Row],[FECHA RADICADO ENTRADA]],"MMM"))</f>
        <v>MAR</v>
      </c>
      <c r="O325" s="11">
        <v>202124110431751</v>
      </c>
      <c r="P325" s="20">
        <v>44271</v>
      </c>
      <c r="Q325" s="20" t="str">
        <f>UPPER(TEXT(Tabla1[[#This Row],[FECHA RADICADO ENTRADA]],"MMM"))</f>
        <v>MAR</v>
      </c>
      <c r="R325" s="10">
        <f t="shared" si="5"/>
        <v>-12</v>
      </c>
      <c r="S325" s="10" t="s">
        <v>2154</v>
      </c>
      <c r="U325" s="10" t="s">
        <v>2842</v>
      </c>
      <c r="V325" s="20">
        <v>42958</v>
      </c>
      <c r="W325" s="10" t="s">
        <v>60</v>
      </c>
      <c r="X325" s="10">
        <v>1</v>
      </c>
      <c r="Y325" s="11">
        <f>IFERROR(INT(Tabla1[[#This Row],[CANTIDAD UND FARMACEUTICAS]]/(VLOOKUP(Tabla1[[#This Row],[MEDICAMENTO]],TAB_REF!$K$3:$L$27,2,0))),"")</f>
        <v>1</v>
      </c>
      <c r="Z325" s="10" t="str">
        <f>IFERROR(VLOOKUP(Tabla1[[#This Row],[MEDICAMENTO]],TAB_REF!$B$3:$F$27,2,0), "")</f>
        <v xml:space="preserve">Morfina HCl </v>
      </c>
      <c r="AA325" s="10" t="str">
        <f>IFERROR(VLOOKUP(Tabla1[[#This Row],[MEDICAMENTO]],TAB_REF!$B$3:$F$27,3,0), "")</f>
        <v xml:space="preserve">3%. </v>
      </c>
      <c r="AB325" s="10" t="str">
        <f>IFERROR(VLOOKUP(Tabla1[[#This Row],[MEDICAMENTO]],TAB_REF!$B$3:$F$27,4,0), "")</f>
        <v>Solución Oral</v>
      </c>
      <c r="AC325" s="10" t="str">
        <f>IFERROR(VLOOKUP(Tabla1[[#This Row],[MEDICAMENTO]],TAB_REF!$B$3:$F$27,5,0), "")</f>
        <v>Frasco x 30 mL</v>
      </c>
      <c r="AD325" s="10" t="str">
        <f>IFERROR(VLOOKUP(Tabla1[[#This Row],[CANTIDAD UND COMERCIALES]],TAB_REF!$H$3:$I$1003,2,0)&amp;" ("&amp;Tabla1[[#This Row],[CANTIDAD UND COMERCIALES]]&amp;")"&amp;"_"&amp;Tabla1[[#This Row],[CANTIDAD]],"")</f>
        <v>Uno (1)_Frasco x 30 mL</v>
      </c>
      <c r="AE325" s="31" t="e">
        <f>CONCATENATE([1]!Tabla1[[#This Row],[NOMBRE MED.]],[1]!Tabla1[[#This Row],[CONCENTRACION]],[1]!Tabla1[[#This Row],[FORMA FARMACEUTICA]])</f>
        <v>#REF!</v>
      </c>
    </row>
    <row r="326" spans="2:31" x14ac:dyDescent="0.25">
      <c r="B326" s="10">
        <v>118</v>
      </c>
      <c r="C326" s="10" t="s">
        <v>2694</v>
      </c>
      <c r="D326" s="10" t="s">
        <v>2695</v>
      </c>
      <c r="E326" s="10" t="s">
        <v>2696</v>
      </c>
      <c r="F326" s="10" t="s">
        <v>2697</v>
      </c>
      <c r="G326" s="10" t="s">
        <v>2698</v>
      </c>
      <c r="H326" s="10" t="s">
        <v>2699</v>
      </c>
      <c r="I326" s="10" t="s">
        <v>2122</v>
      </c>
      <c r="J326" s="10" t="s">
        <v>1742</v>
      </c>
      <c r="K326" s="10" t="s">
        <v>2700</v>
      </c>
      <c r="L326" s="11">
        <v>202124100379152</v>
      </c>
      <c r="M326" s="20">
        <v>44259</v>
      </c>
      <c r="N326" s="20" t="str">
        <f>UPPER(TEXT(Tabla1[[#This Row],[FECHA RADICADO ENTRADA]],"MMM"))</f>
        <v>MAR</v>
      </c>
      <c r="O326" s="11">
        <v>202124110431781</v>
      </c>
      <c r="P326" s="20">
        <v>44271</v>
      </c>
      <c r="Q326" s="20" t="str">
        <f>UPPER(TEXT(Tabla1[[#This Row],[FECHA RADICADO ENTRADA]],"MMM"))</f>
        <v>MAR</v>
      </c>
      <c r="R326" s="10">
        <f t="shared" si="5"/>
        <v>-12</v>
      </c>
      <c r="S326" s="10" t="s">
        <v>2145</v>
      </c>
      <c r="T326" s="10" t="s">
        <v>2843</v>
      </c>
      <c r="U326" s="10" t="s">
        <v>2164</v>
      </c>
      <c r="V326" s="10" t="s">
        <v>2164</v>
      </c>
      <c r="W326" s="10" t="s">
        <v>28</v>
      </c>
      <c r="X326" s="10">
        <v>0</v>
      </c>
      <c r="Y326" s="11">
        <f>IFERROR(INT(Tabla1[[#This Row],[CANTIDAD UND FARMACEUTICAS]]/(VLOOKUP(Tabla1[[#This Row],[MEDICAMENTO]],TAB_REF!$K$3:$L$27,2,0))),"")</f>
        <v>0</v>
      </c>
      <c r="Z326" s="10" t="str">
        <f>IFERROR(VLOOKUP(Tabla1[[#This Row],[MEDICAMENTO]],TAB_REF!$B$3:$F$27,2,0), "")</f>
        <v xml:space="preserve">Fenobarbital </v>
      </c>
      <c r="AA326" s="10" t="str">
        <f>IFERROR(VLOOKUP(Tabla1[[#This Row],[MEDICAMENTO]],TAB_REF!$B$3:$F$27,3,0), "")</f>
        <v xml:space="preserve">0,4%. </v>
      </c>
      <c r="AB326" s="10" t="str">
        <f>IFERROR(VLOOKUP(Tabla1[[#This Row],[MEDICAMENTO]],TAB_REF!$B$3:$F$27,4,0), "")</f>
        <v>Solución Oral</v>
      </c>
      <c r="AC326" s="10" t="str">
        <f>IFERROR(VLOOKUP(Tabla1[[#This Row],[MEDICAMENTO]],TAB_REF!$B$3:$F$27,5,0), "")</f>
        <v>Frasco x 120 mL</v>
      </c>
      <c r="AD326" s="10" t="str">
        <f>IFERROR(VLOOKUP(Tabla1[[#This Row],[CANTIDAD UND COMERCIALES]],TAB_REF!$H$3:$I$1003,2,0)&amp;" ("&amp;Tabla1[[#This Row],[CANTIDAD UND COMERCIALES]]&amp;")"&amp;"_"&amp;Tabla1[[#This Row],[CANTIDAD]],"")</f>
        <v/>
      </c>
      <c r="AE326" s="31" t="e">
        <f>CONCATENATE([1]!Tabla1[[#This Row],[NOMBRE MED.]],[1]!Tabla1[[#This Row],[CONCENTRACION]],[1]!Tabla1[[#This Row],[FORMA FARMACEUTICA]])</f>
        <v>#REF!</v>
      </c>
    </row>
    <row r="327" spans="2:31" x14ac:dyDescent="0.25">
      <c r="B327" s="10">
        <v>118</v>
      </c>
      <c r="C327" s="10" t="s">
        <v>2694</v>
      </c>
      <c r="D327" s="10" t="s">
        <v>2695</v>
      </c>
      <c r="E327" s="10" t="s">
        <v>2696</v>
      </c>
      <c r="F327" s="10" t="s">
        <v>2697</v>
      </c>
      <c r="G327" s="10" t="s">
        <v>2698</v>
      </c>
      <c r="H327" s="10" t="s">
        <v>2699</v>
      </c>
      <c r="I327" s="10" t="s">
        <v>2122</v>
      </c>
      <c r="J327" s="10" t="s">
        <v>1742</v>
      </c>
      <c r="K327" s="10" t="s">
        <v>2700</v>
      </c>
      <c r="L327" s="11">
        <v>202124100379152</v>
      </c>
      <c r="M327" s="20">
        <v>44259</v>
      </c>
      <c r="N327" s="20" t="str">
        <f>UPPER(TEXT(Tabla1[[#This Row],[FECHA RADICADO ENTRADA]],"MMM"))</f>
        <v>MAR</v>
      </c>
      <c r="O327" s="11">
        <v>202124110431781</v>
      </c>
      <c r="P327" s="20">
        <v>44271</v>
      </c>
      <c r="Q327" s="20" t="str">
        <f>UPPER(TEXT(Tabla1[[#This Row],[FECHA RADICADO ENTRADA]],"MMM"))</f>
        <v>MAR</v>
      </c>
      <c r="R327" s="10">
        <f t="shared" si="5"/>
        <v>-12</v>
      </c>
      <c r="S327" s="10" t="s">
        <v>2145</v>
      </c>
      <c r="T327" s="10" t="s">
        <v>2843</v>
      </c>
      <c r="U327" s="10" t="s">
        <v>2164</v>
      </c>
      <c r="V327" s="10" t="s">
        <v>2164</v>
      </c>
      <c r="W327" s="10" t="s">
        <v>32</v>
      </c>
      <c r="X327" s="10">
        <v>0</v>
      </c>
      <c r="Y327" s="11">
        <f>IFERROR(INT(Tabla1[[#This Row],[CANTIDAD UND FARMACEUTICAS]]/(VLOOKUP(Tabla1[[#This Row],[MEDICAMENTO]],TAB_REF!$K$3:$L$27,2,0))),"")</f>
        <v>0</v>
      </c>
      <c r="Z327" s="10" t="str">
        <f>IFERROR(VLOOKUP(Tabla1[[#This Row],[MEDICAMENTO]],TAB_REF!$B$3:$F$27,2,0), "")</f>
        <v xml:space="preserve">Fenobarbital </v>
      </c>
      <c r="AA327" s="10" t="str">
        <f>IFERROR(VLOOKUP(Tabla1[[#This Row],[MEDICAMENTO]],TAB_REF!$B$3:$F$27,3,0), "")</f>
        <v xml:space="preserve">100 mg </v>
      </c>
      <c r="AB327" s="10" t="str">
        <f>IFERROR(VLOOKUP(Tabla1[[#This Row],[MEDICAMENTO]],TAB_REF!$B$3:$F$27,4,0), "")</f>
        <v>Tabletas</v>
      </c>
      <c r="AC327" s="10" t="str">
        <f>IFERROR(VLOOKUP(Tabla1[[#This Row],[MEDICAMENTO]],TAB_REF!$B$3:$F$27,5,0), "")</f>
        <v>Caja x 30 unidades</v>
      </c>
      <c r="AD327" s="10" t="str">
        <f>IFERROR(VLOOKUP(Tabla1[[#This Row],[CANTIDAD UND COMERCIALES]],TAB_REF!$H$3:$I$1003,2,0)&amp;" ("&amp;Tabla1[[#This Row],[CANTIDAD UND COMERCIALES]]&amp;")"&amp;"_"&amp;Tabla1[[#This Row],[CANTIDAD]],"")</f>
        <v/>
      </c>
      <c r="AE327" s="31" t="e">
        <f>CONCATENATE([1]!Tabla1[[#This Row],[NOMBRE MED.]],[1]!Tabla1[[#This Row],[CONCENTRACION]],[1]!Tabla1[[#This Row],[FORMA FARMACEUTICA]])</f>
        <v>#REF!</v>
      </c>
    </row>
    <row r="328" spans="2:31" x14ac:dyDescent="0.25">
      <c r="B328" s="10">
        <v>118</v>
      </c>
      <c r="C328" s="10" t="s">
        <v>2694</v>
      </c>
      <c r="D328" s="10" t="s">
        <v>2695</v>
      </c>
      <c r="E328" s="10" t="s">
        <v>2696</v>
      </c>
      <c r="F328" s="10" t="s">
        <v>2697</v>
      </c>
      <c r="G328" s="10" t="s">
        <v>2698</v>
      </c>
      <c r="H328" s="10" t="s">
        <v>2699</v>
      </c>
      <c r="I328" s="10" t="s">
        <v>2122</v>
      </c>
      <c r="J328" s="10" t="s">
        <v>1742</v>
      </c>
      <c r="K328" s="10" t="s">
        <v>2700</v>
      </c>
      <c r="L328" s="11">
        <v>202124100379152</v>
      </c>
      <c r="M328" s="20">
        <v>44259</v>
      </c>
      <c r="N328" s="20" t="str">
        <f>UPPER(TEXT(Tabla1[[#This Row],[FECHA RADICADO ENTRADA]],"MMM"))</f>
        <v>MAR</v>
      </c>
      <c r="O328" s="11">
        <v>202124110431781</v>
      </c>
      <c r="P328" s="20">
        <v>44271</v>
      </c>
      <c r="Q328" s="20" t="str">
        <f>UPPER(TEXT(Tabla1[[#This Row],[FECHA RADICADO ENTRADA]],"MMM"))</f>
        <v>MAR</v>
      </c>
      <c r="R328" s="10">
        <f t="shared" si="5"/>
        <v>-12</v>
      </c>
      <c r="S328" s="10" t="s">
        <v>2145</v>
      </c>
      <c r="T328" s="10" t="s">
        <v>2843</v>
      </c>
      <c r="U328" s="10" t="s">
        <v>2164</v>
      </c>
      <c r="V328" s="10" t="s">
        <v>2164</v>
      </c>
      <c r="W328" s="10" t="s">
        <v>33</v>
      </c>
      <c r="X328" s="10">
        <v>0</v>
      </c>
      <c r="Y328" s="11">
        <f>IFERROR(INT(Tabla1[[#This Row],[CANTIDAD UND FARMACEUTICAS]]/(VLOOKUP(Tabla1[[#This Row],[MEDICAMENTO]],TAB_REF!$K$3:$L$27,2,0))),"")</f>
        <v>0</v>
      </c>
      <c r="Z328" s="10" t="str">
        <f>IFERROR(VLOOKUP(Tabla1[[#This Row],[MEDICAMENTO]],TAB_REF!$B$3:$F$27,2,0), "")</f>
        <v xml:space="preserve">Fenobarbital </v>
      </c>
      <c r="AA328" s="10" t="str">
        <f>IFERROR(VLOOKUP(Tabla1[[#This Row],[MEDICAMENTO]],TAB_REF!$B$3:$F$27,3,0), "")</f>
        <v xml:space="preserve">50 mg </v>
      </c>
      <c r="AB328" s="10" t="str">
        <f>IFERROR(VLOOKUP(Tabla1[[#This Row],[MEDICAMENTO]],TAB_REF!$B$3:$F$27,4,0), "")</f>
        <v>Tabletas</v>
      </c>
      <c r="AC328" s="10" t="str">
        <f>IFERROR(VLOOKUP(Tabla1[[#This Row],[MEDICAMENTO]],TAB_REF!$B$3:$F$27,5,0), "")</f>
        <v>Caja x 30 unidades</v>
      </c>
      <c r="AD328" s="10" t="str">
        <f>IFERROR(VLOOKUP(Tabla1[[#This Row],[CANTIDAD UND COMERCIALES]],TAB_REF!$H$3:$I$1003,2,0)&amp;" ("&amp;Tabla1[[#This Row],[CANTIDAD UND COMERCIALES]]&amp;")"&amp;"_"&amp;Tabla1[[#This Row],[CANTIDAD]],"")</f>
        <v/>
      </c>
      <c r="AE328" s="31" t="e">
        <f>CONCATENATE([1]!Tabla1[[#This Row],[NOMBRE MED.]],[1]!Tabla1[[#This Row],[CONCENTRACION]],[1]!Tabla1[[#This Row],[FORMA FARMACEUTICA]])</f>
        <v>#REF!</v>
      </c>
    </row>
    <row r="329" spans="2:31" x14ac:dyDescent="0.25">
      <c r="B329" s="10">
        <v>119</v>
      </c>
      <c r="C329" s="10" t="s">
        <v>2844</v>
      </c>
      <c r="D329" s="10" t="s">
        <v>2312</v>
      </c>
      <c r="E329" s="10" t="s">
        <v>2845</v>
      </c>
      <c r="F329" s="10" t="s">
        <v>2846</v>
      </c>
      <c r="G329" s="21" t="s">
        <v>2847</v>
      </c>
      <c r="H329" s="10" t="s">
        <v>2848</v>
      </c>
      <c r="I329" s="10" t="s">
        <v>2110</v>
      </c>
      <c r="J329" s="10" t="s">
        <v>1235</v>
      </c>
      <c r="K329" s="10" t="s">
        <v>2849</v>
      </c>
      <c r="L329" s="11">
        <v>202124100380772</v>
      </c>
      <c r="M329" s="20">
        <v>44259</v>
      </c>
      <c r="N329" s="20" t="str">
        <f>UPPER(TEXT(Tabla1[[#This Row],[FECHA RADICADO ENTRADA]],"MMM"))</f>
        <v>MAR</v>
      </c>
      <c r="O329" s="11">
        <v>202124110431791</v>
      </c>
      <c r="P329" s="20">
        <v>44271</v>
      </c>
      <c r="Q329" s="20" t="str">
        <f>UPPER(TEXT(Tabla1[[#This Row],[FECHA RADICADO ENTRADA]],"MMM"))</f>
        <v>MAR</v>
      </c>
      <c r="R329" s="10">
        <f t="shared" si="5"/>
        <v>-12</v>
      </c>
      <c r="S329" s="10" t="s">
        <v>2145</v>
      </c>
      <c r="T329" s="10" t="s">
        <v>2843</v>
      </c>
      <c r="U329" s="10" t="s">
        <v>2164</v>
      </c>
      <c r="V329" s="10" t="s">
        <v>2164</v>
      </c>
      <c r="W329" s="10" t="s">
        <v>63</v>
      </c>
      <c r="X329" s="10">
        <v>0</v>
      </c>
      <c r="Y329" s="11">
        <f>IFERROR(INT(Tabla1[[#This Row],[CANTIDAD UND FARMACEUTICAS]]/(VLOOKUP(Tabla1[[#This Row],[MEDICAMENTO]],TAB_REF!$K$3:$L$27,2,0))),"")</f>
        <v>0</v>
      </c>
      <c r="Z329" s="10" t="str">
        <f>IFERROR(VLOOKUP(Tabla1[[#This Row],[MEDICAMENTO]],TAB_REF!$B$3:$F$27,2,0), "")</f>
        <v xml:space="preserve">Morfina HCl </v>
      </c>
      <c r="AA329" s="10" t="str">
        <f>IFERROR(VLOOKUP(Tabla1[[#This Row],[MEDICAMENTO]],TAB_REF!$B$3:$F$27,3,0), "")</f>
        <v xml:space="preserve">10 mg/mL </v>
      </c>
      <c r="AB329" s="10" t="str">
        <f>IFERROR(VLOOKUP(Tabla1[[#This Row],[MEDICAMENTO]],TAB_REF!$B$3:$F$27,4,0), "")</f>
        <v>Solución Inyectable</v>
      </c>
      <c r="AC329" s="10" t="str">
        <f>IFERROR(VLOOKUP(Tabla1[[#This Row],[MEDICAMENTO]],TAB_REF!$B$3:$F$27,5,0), "")</f>
        <v>Caja x 10 unidades</v>
      </c>
      <c r="AD329" s="10" t="str">
        <f>IFERROR(VLOOKUP(Tabla1[[#This Row],[CANTIDAD UND COMERCIALES]],TAB_REF!$H$3:$I$1003,2,0)&amp;" ("&amp;Tabla1[[#This Row],[CANTIDAD UND COMERCIALES]]&amp;")"&amp;"_"&amp;Tabla1[[#This Row],[CANTIDAD]],"")</f>
        <v/>
      </c>
      <c r="AE329" s="31" t="e">
        <f>CONCATENATE([1]!Tabla1[[#This Row],[NOMBRE MED.]],[1]!Tabla1[[#This Row],[CONCENTRACION]],[1]!Tabla1[[#This Row],[FORMA FARMACEUTICA]])</f>
        <v>#REF!</v>
      </c>
    </row>
    <row r="330" spans="2:31" x14ac:dyDescent="0.25">
      <c r="B330" s="10">
        <v>119</v>
      </c>
      <c r="C330" s="10" t="s">
        <v>2844</v>
      </c>
      <c r="D330" s="10" t="s">
        <v>2312</v>
      </c>
      <c r="E330" s="10" t="s">
        <v>2845</v>
      </c>
      <c r="F330" s="10" t="s">
        <v>2846</v>
      </c>
      <c r="G330" s="10" t="s">
        <v>2847</v>
      </c>
      <c r="H330" s="10" t="s">
        <v>2848</v>
      </c>
      <c r="I330" s="10" t="s">
        <v>2110</v>
      </c>
      <c r="J330" s="10" t="s">
        <v>1235</v>
      </c>
      <c r="K330" s="10" t="s">
        <v>2849</v>
      </c>
      <c r="L330" s="11">
        <v>202124100380772</v>
      </c>
      <c r="M330" s="20">
        <v>44259</v>
      </c>
      <c r="N330" s="20" t="str">
        <f>UPPER(TEXT(Tabla1[[#This Row],[FECHA RADICADO ENTRADA]],"MMM"))</f>
        <v>MAR</v>
      </c>
      <c r="O330" s="11">
        <v>202124110431791</v>
      </c>
      <c r="P330" s="20">
        <v>44271</v>
      </c>
      <c r="Q330" s="20" t="str">
        <f>UPPER(TEXT(Tabla1[[#This Row],[FECHA RADICADO ENTRADA]],"MMM"))</f>
        <v>MAR</v>
      </c>
      <c r="R330" s="10">
        <f t="shared" si="5"/>
        <v>-12</v>
      </c>
      <c r="S330" s="10" t="s">
        <v>2145</v>
      </c>
      <c r="T330" s="10" t="s">
        <v>2843</v>
      </c>
      <c r="U330" s="10" t="s">
        <v>2164</v>
      </c>
      <c r="V330" s="10" t="s">
        <v>2164</v>
      </c>
      <c r="W330" s="10" t="s">
        <v>60</v>
      </c>
      <c r="X330" s="10">
        <v>0</v>
      </c>
      <c r="Y330" s="11">
        <f>IFERROR(INT(Tabla1[[#This Row],[CANTIDAD UND FARMACEUTICAS]]/(VLOOKUP(Tabla1[[#This Row],[MEDICAMENTO]],TAB_REF!$K$3:$L$27,2,0))),"")</f>
        <v>0</v>
      </c>
      <c r="Z330" s="10" t="str">
        <f>IFERROR(VLOOKUP(Tabla1[[#This Row],[MEDICAMENTO]],TAB_REF!$B$3:$F$27,2,0), "")</f>
        <v xml:space="preserve">Morfina HCl </v>
      </c>
      <c r="AA330" s="10" t="str">
        <f>IFERROR(VLOOKUP(Tabla1[[#This Row],[MEDICAMENTO]],TAB_REF!$B$3:$F$27,3,0), "")</f>
        <v xml:space="preserve">3%. </v>
      </c>
      <c r="AB330" s="10" t="str">
        <f>IFERROR(VLOOKUP(Tabla1[[#This Row],[MEDICAMENTO]],TAB_REF!$B$3:$F$27,4,0), "")</f>
        <v>Solución Oral</v>
      </c>
      <c r="AC330" s="10" t="str">
        <f>IFERROR(VLOOKUP(Tabla1[[#This Row],[MEDICAMENTO]],TAB_REF!$B$3:$F$27,5,0), "")</f>
        <v>Frasco x 30 mL</v>
      </c>
      <c r="AD330" s="10" t="str">
        <f>IFERROR(VLOOKUP(Tabla1[[#This Row],[CANTIDAD UND COMERCIALES]],TAB_REF!$H$3:$I$1003,2,0)&amp;" ("&amp;Tabla1[[#This Row],[CANTIDAD UND COMERCIALES]]&amp;")"&amp;"_"&amp;Tabla1[[#This Row],[CANTIDAD]],"")</f>
        <v/>
      </c>
      <c r="AE330" s="31" t="e">
        <f>CONCATENATE([1]!Tabla1[[#This Row],[NOMBRE MED.]],[1]!Tabla1[[#This Row],[CONCENTRACION]],[1]!Tabla1[[#This Row],[FORMA FARMACEUTICA]])</f>
        <v>#REF!</v>
      </c>
    </row>
    <row r="331" spans="2:31" x14ac:dyDescent="0.25">
      <c r="B331" s="10">
        <v>119</v>
      </c>
      <c r="C331" s="10" t="s">
        <v>2844</v>
      </c>
      <c r="D331" s="10" t="s">
        <v>2312</v>
      </c>
      <c r="E331" s="10" t="s">
        <v>2845</v>
      </c>
      <c r="F331" s="10" t="s">
        <v>2846</v>
      </c>
      <c r="G331" s="10" t="s">
        <v>2847</v>
      </c>
      <c r="H331" s="10" t="s">
        <v>2848</v>
      </c>
      <c r="I331" s="10" t="s">
        <v>2110</v>
      </c>
      <c r="J331" s="10" t="s">
        <v>1235</v>
      </c>
      <c r="K331" s="10" t="s">
        <v>2849</v>
      </c>
      <c r="L331" s="11">
        <v>202124100380772</v>
      </c>
      <c r="M331" s="20">
        <v>44259</v>
      </c>
      <c r="N331" s="20" t="str">
        <f>UPPER(TEXT(Tabla1[[#This Row],[FECHA RADICADO ENTRADA]],"MMM"))</f>
        <v>MAR</v>
      </c>
      <c r="O331" s="11">
        <v>202124110431791</v>
      </c>
      <c r="P331" s="20">
        <v>44271</v>
      </c>
      <c r="Q331" s="20" t="str">
        <f>UPPER(TEXT(Tabla1[[#This Row],[FECHA RADICADO ENTRADA]],"MMM"))</f>
        <v>MAR</v>
      </c>
      <c r="R331" s="10">
        <f t="shared" si="5"/>
        <v>-12</v>
      </c>
      <c r="S331" s="10" t="s">
        <v>2145</v>
      </c>
      <c r="T331" s="10" t="s">
        <v>2843</v>
      </c>
      <c r="U331" s="10" t="s">
        <v>2164</v>
      </c>
      <c r="V331" s="10" t="s">
        <v>2164</v>
      </c>
      <c r="W331" s="10" t="s">
        <v>37</v>
      </c>
      <c r="X331" s="10">
        <v>0</v>
      </c>
      <c r="Y331" s="11">
        <f>IFERROR(INT(Tabla1[[#This Row],[CANTIDAD UND FARMACEUTICAS]]/(VLOOKUP(Tabla1[[#This Row],[MEDICAMENTO]],TAB_REF!$K$3:$L$27,2,0))),"")</f>
        <v>0</v>
      </c>
      <c r="Z331" s="10" t="str">
        <f>IFERROR(VLOOKUP(Tabla1[[#This Row],[MEDICAMENTO]],TAB_REF!$B$3:$F$27,2,0), "")</f>
        <v xml:space="preserve">Hidromorfona HCl </v>
      </c>
      <c r="AA331" s="10" t="str">
        <f>IFERROR(VLOOKUP(Tabla1[[#This Row],[MEDICAMENTO]],TAB_REF!$B$3:$F$27,3,0), "")</f>
        <v xml:space="preserve">2 mg/mL </v>
      </c>
      <c r="AB331" s="10" t="str">
        <f>IFERROR(VLOOKUP(Tabla1[[#This Row],[MEDICAMENTO]],TAB_REF!$B$3:$F$27,4,0), "")</f>
        <v>Solución Inyectable</v>
      </c>
      <c r="AC331" s="10" t="str">
        <f>IFERROR(VLOOKUP(Tabla1[[#This Row],[MEDICAMENTO]],TAB_REF!$B$3:$F$27,5,0), "")</f>
        <v>Caja x 10 unidades</v>
      </c>
      <c r="AD331" s="10" t="str">
        <f>IFERROR(VLOOKUP(Tabla1[[#This Row],[CANTIDAD UND COMERCIALES]],TAB_REF!$H$3:$I$1003,2,0)&amp;" ("&amp;Tabla1[[#This Row],[CANTIDAD UND COMERCIALES]]&amp;")"&amp;"_"&amp;Tabla1[[#This Row],[CANTIDAD]],"")</f>
        <v/>
      </c>
      <c r="AE331" s="31" t="e">
        <f>CONCATENATE([1]!Tabla1[[#This Row],[NOMBRE MED.]],[1]!Tabla1[[#This Row],[CONCENTRACION]],[1]!Tabla1[[#This Row],[FORMA FARMACEUTICA]])</f>
        <v>#REF!</v>
      </c>
    </row>
    <row r="332" spans="2:31" x14ac:dyDescent="0.25">
      <c r="B332" s="10">
        <v>120</v>
      </c>
      <c r="C332" s="10" t="s">
        <v>2850</v>
      </c>
      <c r="D332" s="10" t="s">
        <v>2175</v>
      </c>
      <c r="E332" s="10" t="s">
        <v>2851</v>
      </c>
      <c r="F332" s="10" t="s">
        <v>2164</v>
      </c>
      <c r="G332" s="21" t="s">
        <v>2852</v>
      </c>
      <c r="H332" s="10" t="s">
        <v>2853</v>
      </c>
      <c r="I332" s="10" t="s">
        <v>2110</v>
      </c>
      <c r="J332" s="10" t="s">
        <v>1235</v>
      </c>
      <c r="K332" s="10" t="s">
        <v>2854</v>
      </c>
      <c r="L332" s="11">
        <v>202124100402492</v>
      </c>
      <c r="M332" s="20">
        <v>44263</v>
      </c>
      <c r="N332" s="20" t="str">
        <f>UPPER(TEXT(Tabla1[[#This Row],[FECHA RADICADO ENTRADA]],"MMM"))</f>
        <v>MAR</v>
      </c>
      <c r="O332" s="11">
        <v>202124110431801</v>
      </c>
      <c r="P332" s="20">
        <v>44271</v>
      </c>
      <c r="Q332" s="20" t="str">
        <f>UPPER(TEXT(Tabla1[[#This Row],[FECHA RADICADO ENTRADA]],"MMM"))</f>
        <v>MAR</v>
      </c>
      <c r="R332" s="10">
        <f t="shared" si="5"/>
        <v>-8</v>
      </c>
      <c r="S332" s="10" t="s">
        <v>2145</v>
      </c>
      <c r="T332" s="10" t="s">
        <v>2843</v>
      </c>
      <c r="U332" s="10" t="s">
        <v>2164</v>
      </c>
      <c r="V332" s="10" t="s">
        <v>2164</v>
      </c>
      <c r="W332" s="10" t="s">
        <v>37</v>
      </c>
      <c r="X332" s="10">
        <v>0</v>
      </c>
      <c r="Y332" s="11">
        <f>IFERROR(INT(Tabla1[[#This Row],[CANTIDAD UND FARMACEUTICAS]]/(VLOOKUP(Tabla1[[#This Row],[MEDICAMENTO]],TAB_REF!$K$3:$L$27,2,0))),"")</f>
        <v>0</v>
      </c>
      <c r="Z332" s="10" t="str">
        <f>IFERROR(VLOOKUP(Tabla1[[#This Row],[MEDICAMENTO]],TAB_REF!$B$3:$F$27,2,0), "")</f>
        <v xml:space="preserve">Hidromorfona HCl </v>
      </c>
      <c r="AA332" s="10" t="str">
        <f>IFERROR(VLOOKUP(Tabla1[[#This Row],[MEDICAMENTO]],TAB_REF!$B$3:$F$27,3,0), "")</f>
        <v xml:space="preserve">2 mg/mL </v>
      </c>
      <c r="AB332" s="10" t="str">
        <f>IFERROR(VLOOKUP(Tabla1[[#This Row],[MEDICAMENTO]],TAB_REF!$B$3:$F$27,4,0), "")</f>
        <v>Solución Inyectable</v>
      </c>
      <c r="AC332" s="10" t="str">
        <f>IFERROR(VLOOKUP(Tabla1[[#This Row],[MEDICAMENTO]],TAB_REF!$B$3:$F$27,5,0), "")</f>
        <v>Caja x 10 unidades</v>
      </c>
      <c r="AD332" s="10" t="str">
        <f>IFERROR(VLOOKUP(Tabla1[[#This Row],[CANTIDAD UND COMERCIALES]],TAB_REF!$H$3:$I$1003,2,0)&amp;" ("&amp;Tabla1[[#This Row],[CANTIDAD UND COMERCIALES]]&amp;")"&amp;"_"&amp;Tabla1[[#This Row],[CANTIDAD]],"")</f>
        <v/>
      </c>
      <c r="AE332" s="31" t="e">
        <f>CONCATENATE([1]!Tabla1[[#This Row],[NOMBRE MED.]],[1]!Tabla1[[#This Row],[CONCENTRACION]],[1]!Tabla1[[#This Row],[FORMA FARMACEUTICA]])</f>
        <v>#REF!</v>
      </c>
    </row>
    <row r="333" spans="2:31" x14ac:dyDescent="0.25">
      <c r="B333" s="10">
        <v>120</v>
      </c>
      <c r="C333" s="10" t="s">
        <v>2850</v>
      </c>
      <c r="D333" s="10" t="s">
        <v>2175</v>
      </c>
      <c r="E333" s="10" t="s">
        <v>2851</v>
      </c>
      <c r="F333" s="10" t="s">
        <v>2164</v>
      </c>
      <c r="G333" s="21" t="s">
        <v>2852</v>
      </c>
      <c r="H333" s="10" t="s">
        <v>2853</v>
      </c>
      <c r="I333" s="10" t="s">
        <v>2110</v>
      </c>
      <c r="J333" s="10" t="s">
        <v>1235</v>
      </c>
      <c r="K333" s="10" t="s">
        <v>2854</v>
      </c>
      <c r="L333" s="11">
        <v>202124100402492</v>
      </c>
      <c r="M333" s="20">
        <v>44263</v>
      </c>
      <c r="N333" s="20" t="str">
        <f>UPPER(TEXT(Tabla1[[#This Row],[FECHA RADICADO ENTRADA]],"MMM"))</f>
        <v>MAR</v>
      </c>
      <c r="O333" s="11">
        <v>202124110431801</v>
      </c>
      <c r="P333" s="20">
        <v>44271</v>
      </c>
      <c r="Q333" s="20" t="str">
        <f>UPPER(TEXT(Tabla1[[#This Row],[FECHA RADICADO ENTRADA]],"MMM"))</f>
        <v>MAR</v>
      </c>
      <c r="R333" s="10">
        <f t="shared" si="5"/>
        <v>-8</v>
      </c>
      <c r="S333" s="10" t="s">
        <v>2145</v>
      </c>
      <c r="T333" s="10" t="s">
        <v>2843</v>
      </c>
      <c r="U333" s="10" t="s">
        <v>2164</v>
      </c>
      <c r="V333" s="10" t="s">
        <v>2164</v>
      </c>
      <c r="W333" s="10" t="s">
        <v>63</v>
      </c>
      <c r="X333" s="10">
        <v>0</v>
      </c>
      <c r="Y333" s="11">
        <f>IFERROR(INT(Tabla1[[#This Row],[CANTIDAD UND FARMACEUTICAS]]/(VLOOKUP(Tabla1[[#This Row],[MEDICAMENTO]],TAB_REF!$K$3:$L$27,2,0))),"")</f>
        <v>0</v>
      </c>
      <c r="Z333" s="10" t="str">
        <f>IFERROR(VLOOKUP(Tabla1[[#This Row],[MEDICAMENTO]],TAB_REF!$B$3:$F$27,2,0), "")</f>
        <v xml:space="preserve">Morfina HCl </v>
      </c>
      <c r="AA333" s="10" t="str">
        <f>IFERROR(VLOOKUP(Tabla1[[#This Row],[MEDICAMENTO]],TAB_REF!$B$3:$F$27,3,0), "")</f>
        <v xml:space="preserve">10 mg/mL </v>
      </c>
      <c r="AB333" s="10" t="str">
        <f>IFERROR(VLOOKUP(Tabla1[[#This Row],[MEDICAMENTO]],TAB_REF!$B$3:$F$27,4,0), "")</f>
        <v>Solución Inyectable</v>
      </c>
      <c r="AC333" s="10" t="str">
        <f>IFERROR(VLOOKUP(Tabla1[[#This Row],[MEDICAMENTO]],TAB_REF!$B$3:$F$27,5,0), "")</f>
        <v>Caja x 10 unidades</v>
      </c>
      <c r="AD333" s="10" t="str">
        <f>IFERROR(VLOOKUP(Tabla1[[#This Row],[CANTIDAD UND COMERCIALES]],TAB_REF!$H$3:$I$1003,2,0)&amp;" ("&amp;Tabla1[[#This Row],[CANTIDAD UND COMERCIALES]]&amp;")"&amp;"_"&amp;Tabla1[[#This Row],[CANTIDAD]],"")</f>
        <v/>
      </c>
      <c r="AE333" s="31" t="e">
        <f>CONCATENATE([1]!Tabla1[[#This Row],[NOMBRE MED.]],[1]!Tabla1[[#This Row],[CONCENTRACION]],[1]!Tabla1[[#This Row],[FORMA FARMACEUTICA]])</f>
        <v>#REF!</v>
      </c>
    </row>
    <row r="334" spans="2:31" x14ac:dyDescent="0.25">
      <c r="B334" s="10">
        <v>120</v>
      </c>
      <c r="C334" s="10" t="s">
        <v>2850</v>
      </c>
      <c r="D334" s="10" t="s">
        <v>2175</v>
      </c>
      <c r="E334" s="10" t="s">
        <v>2851</v>
      </c>
      <c r="F334" s="10" t="s">
        <v>2164</v>
      </c>
      <c r="G334" s="21" t="s">
        <v>2852</v>
      </c>
      <c r="H334" s="10" t="s">
        <v>2853</v>
      </c>
      <c r="I334" s="10" t="s">
        <v>2110</v>
      </c>
      <c r="J334" s="10" t="s">
        <v>1235</v>
      </c>
      <c r="K334" s="10" t="s">
        <v>2854</v>
      </c>
      <c r="L334" s="11">
        <v>202124100402492</v>
      </c>
      <c r="M334" s="20">
        <v>44263</v>
      </c>
      <c r="N334" s="20" t="str">
        <f>UPPER(TEXT(Tabla1[[#This Row],[FECHA RADICADO ENTRADA]],"MMM"))</f>
        <v>MAR</v>
      </c>
      <c r="O334" s="11">
        <v>202124110431801</v>
      </c>
      <c r="P334" s="20">
        <v>44271</v>
      </c>
      <c r="Q334" s="20" t="str">
        <f>UPPER(TEXT(Tabla1[[#This Row],[FECHA RADICADO ENTRADA]],"MMM"))</f>
        <v>MAR</v>
      </c>
      <c r="R334" s="10">
        <f t="shared" si="5"/>
        <v>-8</v>
      </c>
      <c r="S334" s="10" t="s">
        <v>2145</v>
      </c>
      <c r="T334" s="10" t="s">
        <v>2843</v>
      </c>
      <c r="U334" s="10" t="s">
        <v>2164</v>
      </c>
      <c r="V334" s="10" t="s">
        <v>2164</v>
      </c>
      <c r="W334" s="10" t="s">
        <v>36</v>
      </c>
      <c r="X334" s="10">
        <v>0</v>
      </c>
      <c r="Y334" s="11">
        <f>IFERROR(INT(Tabla1[[#This Row],[CANTIDAD UND FARMACEUTICAS]]/(VLOOKUP(Tabla1[[#This Row],[MEDICAMENTO]],TAB_REF!$K$3:$L$27,2,0))),"")</f>
        <v>0</v>
      </c>
      <c r="Z334" s="10" t="str">
        <f>IFERROR(VLOOKUP(Tabla1[[#This Row],[MEDICAMENTO]],TAB_REF!$B$3:$F$27,2,0), "")</f>
        <v xml:space="preserve">Fenobarbital Sódico </v>
      </c>
      <c r="AA334" s="10" t="str">
        <f>IFERROR(VLOOKUP(Tabla1[[#This Row],[MEDICAMENTO]],TAB_REF!$B$3:$F$27,3,0), "")</f>
        <v xml:space="preserve">40 mg/mL </v>
      </c>
      <c r="AB334" s="10" t="str">
        <f>IFERROR(VLOOKUP(Tabla1[[#This Row],[MEDICAMENTO]],TAB_REF!$B$3:$F$27,4,0), "")</f>
        <v>Solución Inyectable</v>
      </c>
      <c r="AC334" s="10" t="str">
        <f>IFERROR(VLOOKUP(Tabla1[[#This Row],[MEDICAMENTO]],TAB_REF!$B$3:$F$27,5,0), "")</f>
        <v>Caja x 10 unidades</v>
      </c>
      <c r="AD334" s="10" t="str">
        <f>IFERROR(VLOOKUP(Tabla1[[#This Row],[CANTIDAD UND COMERCIALES]],TAB_REF!$H$3:$I$1003,2,0)&amp;" ("&amp;Tabla1[[#This Row],[CANTIDAD UND COMERCIALES]]&amp;")"&amp;"_"&amp;Tabla1[[#This Row],[CANTIDAD]],"")</f>
        <v/>
      </c>
      <c r="AE334" s="31" t="e">
        <f>CONCATENATE([1]!Tabla1[[#This Row],[NOMBRE MED.]],[1]!Tabla1[[#This Row],[CONCENTRACION]],[1]!Tabla1[[#This Row],[FORMA FARMACEUTICA]])</f>
        <v>#REF!</v>
      </c>
    </row>
    <row r="335" spans="2:31" x14ac:dyDescent="0.25">
      <c r="B335" s="10">
        <v>120</v>
      </c>
      <c r="C335" s="10" t="s">
        <v>2850</v>
      </c>
      <c r="D335" s="10" t="s">
        <v>2175</v>
      </c>
      <c r="E335" s="10" t="s">
        <v>2851</v>
      </c>
      <c r="F335" s="10" t="s">
        <v>2164</v>
      </c>
      <c r="G335" s="21" t="s">
        <v>2852</v>
      </c>
      <c r="H335" s="10" t="s">
        <v>2853</v>
      </c>
      <c r="I335" s="10" t="s">
        <v>2110</v>
      </c>
      <c r="J335" s="10" t="s">
        <v>1235</v>
      </c>
      <c r="K335" s="10" t="s">
        <v>2854</v>
      </c>
      <c r="L335" s="11">
        <v>202124100402492</v>
      </c>
      <c r="M335" s="20">
        <v>44263</v>
      </c>
      <c r="N335" s="20" t="str">
        <f>UPPER(TEXT(Tabla1[[#This Row],[FECHA RADICADO ENTRADA]],"MMM"))</f>
        <v>MAR</v>
      </c>
      <c r="O335" s="11">
        <v>202124110431801</v>
      </c>
      <c r="P335" s="20">
        <v>44271</v>
      </c>
      <c r="Q335" s="20" t="str">
        <f>UPPER(TEXT(Tabla1[[#This Row],[FECHA RADICADO ENTRADA]],"MMM"))</f>
        <v>MAR</v>
      </c>
      <c r="R335" s="10">
        <f t="shared" si="5"/>
        <v>-8</v>
      </c>
      <c r="S335" s="10" t="s">
        <v>2145</v>
      </c>
      <c r="T335" s="10" t="s">
        <v>2843</v>
      </c>
      <c r="U335" s="10" t="s">
        <v>2164</v>
      </c>
      <c r="V335" s="10" t="s">
        <v>2164</v>
      </c>
      <c r="W335" s="10" t="s">
        <v>32</v>
      </c>
      <c r="X335" s="10">
        <v>0</v>
      </c>
      <c r="Y335" s="11">
        <f>IFERROR(INT(Tabla1[[#This Row],[CANTIDAD UND FARMACEUTICAS]]/(VLOOKUP(Tabla1[[#This Row],[MEDICAMENTO]],TAB_REF!$K$3:$L$27,2,0))),"")</f>
        <v>0</v>
      </c>
      <c r="Z335" s="10" t="str">
        <f>IFERROR(VLOOKUP(Tabla1[[#This Row],[MEDICAMENTO]],TAB_REF!$B$3:$F$27,2,0), "")</f>
        <v xml:space="preserve">Fenobarbital </v>
      </c>
      <c r="AA335" s="10" t="str">
        <f>IFERROR(VLOOKUP(Tabla1[[#This Row],[MEDICAMENTO]],TAB_REF!$B$3:$F$27,3,0), "")</f>
        <v xml:space="preserve">100 mg </v>
      </c>
      <c r="AB335" s="10" t="str">
        <f>IFERROR(VLOOKUP(Tabla1[[#This Row],[MEDICAMENTO]],TAB_REF!$B$3:$F$27,4,0), "")</f>
        <v>Tabletas</v>
      </c>
      <c r="AC335" s="10" t="str">
        <f>IFERROR(VLOOKUP(Tabla1[[#This Row],[MEDICAMENTO]],TAB_REF!$B$3:$F$27,5,0), "")</f>
        <v>Caja x 30 unidades</v>
      </c>
      <c r="AD335" s="10" t="str">
        <f>IFERROR(VLOOKUP(Tabla1[[#This Row],[CANTIDAD UND COMERCIALES]],TAB_REF!$H$3:$I$1003,2,0)&amp;" ("&amp;Tabla1[[#This Row],[CANTIDAD UND COMERCIALES]]&amp;")"&amp;"_"&amp;Tabla1[[#This Row],[CANTIDAD]],"")</f>
        <v/>
      </c>
      <c r="AE335" s="31" t="e">
        <f>CONCATENATE([1]!Tabla1[[#This Row],[NOMBRE MED.]],[1]!Tabla1[[#This Row],[CONCENTRACION]],[1]!Tabla1[[#This Row],[FORMA FARMACEUTICA]])</f>
        <v>#REF!</v>
      </c>
    </row>
    <row r="336" spans="2:31" x14ac:dyDescent="0.25">
      <c r="B336" s="10">
        <v>121</v>
      </c>
      <c r="C336" s="10" t="s">
        <v>2687</v>
      </c>
      <c r="D336" s="10" t="s">
        <v>2175</v>
      </c>
      <c r="E336" s="10" t="s">
        <v>2856</v>
      </c>
      <c r="F336" s="10" t="s">
        <v>2567</v>
      </c>
      <c r="G336" s="21" t="s">
        <v>2690</v>
      </c>
      <c r="H336" s="10" t="s">
        <v>2857</v>
      </c>
      <c r="I336" s="10" t="s">
        <v>2107</v>
      </c>
      <c r="J336" s="10" t="s">
        <v>1212</v>
      </c>
      <c r="K336" s="10" t="s">
        <v>2858</v>
      </c>
      <c r="L336" s="11">
        <v>202124100331602</v>
      </c>
      <c r="M336" s="20">
        <v>44252</v>
      </c>
      <c r="N336" s="20" t="str">
        <f>UPPER(TEXT(Tabla1[[#This Row],[FECHA RADICADO ENTRADA]],"MMM"))</f>
        <v>FEB</v>
      </c>
      <c r="O336" s="11">
        <v>202124110443891</v>
      </c>
      <c r="P336" s="20">
        <v>44273</v>
      </c>
      <c r="Q336" s="20" t="str">
        <f>UPPER(TEXT(Tabla1[[#This Row],[FECHA RADICADO ENTRADA]],"MMM"))</f>
        <v>FEB</v>
      </c>
      <c r="R336" s="10">
        <f t="shared" si="5"/>
        <v>-21</v>
      </c>
      <c r="S336" s="10" t="s">
        <v>2154</v>
      </c>
      <c r="U336" s="10" t="s">
        <v>2693</v>
      </c>
      <c r="V336" s="20">
        <v>44029</v>
      </c>
      <c r="W336" s="10" t="s">
        <v>48</v>
      </c>
      <c r="X336" s="10">
        <v>300</v>
      </c>
      <c r="Y336" s="11">
        <f>IFERROR(INT(Tabla1[[#This Row],[CANTIDAD UND FARMACEUTICAS]]/(VLOOKUP(Tabla1[[#This Row],[MEDICAMENTO]],TAB_REF!$K$3:$L$27,2,0))),"")</f>
        <v>10</v>
      </c>
      <c r="Z336" s="10" t="str">
        <f>IFERROR(VLOOKUP(Tabla1[[#This Row],[MEDICAMENTO]],TAB_REF!$B$3:$F$27,2,0), "")</f>
        <v xml:space="preserve">Metilfenidato HCl </v>
      </c>
      <c r="AA336" s="10" t="str">
        <f>IFERROR(VLOOKUP(Tabla1[[#This Row],[MEDICAMENTO]],TAB_REF!$B$3:$F$27,3,0), "")</f>
        <v xml:space="preserve">10 mg </v>
      </c>
      <c r="AB336" s="10" t="str">
        <f>IFERROR(VLOOKUP(Tabla1[[#This Row],[MEDICAMENTO]],TAB_REF!$B$3:$F$27,4,0), "")</f>
        <v>Comprimidos</v>
      </c>
      <c r="AC336" s="10" t="str">
        <f>IFERROR(VLOOKUP(Tabla1[[#This Row],[MEDICAMENTO]],TAB_REF!$B$3:$F$27,5,0), "")</f>
        <v>Caja x 30 unidades</v>
      </c>
      <c r="AD336" s="10" t="str">
        <f>IFERROR(VLOOKUP(Tabla1[[#This Row],[CANTIDAD UND COMERCIALES]],TAB_REF!$H$3:$I$1003,2,0)&amp;" ("&amp;Tabla1[[#This Row],[CANTIDAD UND COMERCIALES]]&amp;")"&amp;"_"&amp;Tabla1[[#This Row],[CANTIDAD]],"")</f>
        <v>Diez (10)_Caja x 30 unidades</v>
      </c>
      <c r="AE336" s="31" t="e">
        <f>CONCATENATE([1]!Tabla1[[#This Row],[NOMBRE MED.]],[1]!Tabla1[[#This Row],[CONCENTRACION]],[1]!Tabla1[[#This Row],[FORMA FARMACEUTICA]])</f>
        <v>#REF!</v>
      </c>
    </row>
    <row r="337" spans="2:31" x14ac:dyDescent="0.25">
      <c r="B337" s="10">
        <v>121</v>
      </c>
      <c r="C337" s="10" t="s">
        <v>2687</v>
      </c>
      <c r="D337" s="10" t="s">
        <v>2175</v>
      </c>
      <c r="E337" s="10" t="s">
        <v>2856</v>
      </c>
      <c r="F337" s="10" t="s">
        <v>2567</v>
      </c>
      <c r="G337" s="21" t="s">
        <v>2690</v>
      </c>
      <c r="H337" s="10" t="s">
        <v>2857</v>
      </c>
      <c r="I337" s="10" t="s">
        <v>2107</v>
      </c>
      <c r="J337" s="10" t="s">
        <v>1212</v>
      </c>
      <c r="K337" s="10" t="s">
        <v>2858</v>
      </c>
      <c r="L337" s="11">
        <v>202124100331602</v>
      </c>
      <c r="M337" s="20">
        <v>44252</v>
      </c>
      <c r="N337" s="20" t="str">
        <f>UPPER(TEXT(Tabla1[[#This Row],[FECHA RADICADO ENTRADA]],"MMM"))</f>
        <v>FEB</v>
      </c>
      <c r="O337" s="11">
        <v>202124110443891</v>
      </c>
      <c r="P337" s="20">
        <v>44273</v>
      </c>
      <c r="Q337" s="20" t="str">
        <f>UPPER(TEXT(Tabla1[[#This Row],[FECHA RADICADO ENTRADA]],"MMM"))</f>
        <v>FEB</v>
      </c>
      <c r="R337" s="10">
        <f t="shared" si="5"/>
        <v>-21</v>
      </c>
      <c r="S337" s="10" t="s">
        <v>2154</v>
      </c>
      <c r="T337" s="10" t="s">
        <v>2859</v>
      </c>
      <c r="U337" s="10" t="s">
        <v>2693</v>
      </c>
      <c r="V337" s="20">
        <v>44029</v>
      </c>
      <c r="W337" s="10" t="s">
        <v>60</v>
      </c>
      <c r="X337" s="10">
        <v>12</v>
      </c>
      <c r="Y337" s="11">
        <f>IFERROR(INT(Tabla1[[#This Row],[CANTIDAD UND FARMACEUTICAS]]/(VLOOKUP(Tabla1[[#This Row],[MEDICAMENTO]],TAB_REF!$K$3:$L$27,2,0))),"")</f>
        <v>12</v>
      </c>
      <c r="Z337" s="10" t="str">
        <f>IFERROR(VLOOKUP(Tabla1[[#This Row],[MEDICAMENTO]],TAB_REF!$B$3:$F$27,2,0), "")</f>
        <v xml:space="preserve">Morfina HCl </v>
      </c>
      <c r="AA337" s="10" t="str">
        <f>IFERROR(VLOOKUP(Tabla1[[#This Row],[MEDICAMENTO]],TAB_REF!$B$3:$F$27,3,0), "")</f>
        <v xml:space="preserve">3%. </v>
      </c>
      <c r="AB337" s="10" t="str">
        <f>IFERROR(VLOOKUP(Tabla1[[#This Row],[MEDICAMENTO]],TAB_REF!$B$3:$F$27,4,0), "")</f>
        <v>Solución Oral</v>
      </c>
      <c r="AC337" s="10" t="str">
        <f>IFERROR(VLOOKUP(Tabla1[[#This Row],[MEDICAMENTO]],TAB_REF!$B$3:$F$27,5,0), "")</f>
        <v>Frasco x 30 mL</v>
      </c>
      <c r="AD337" s="10" t="str">
        <f>IFERROR(VLOOKUP(Tabla1[[#This Row],[CANTIDAD UND COMERCIALES]],TAB_REF!$H$3:$I$1003,2,0)&amp;" ("&amp;Tabla1[[#This Row],[CANTIDAD UND COMERCIALES]]&amp;")"&amp;"_"&amp;Tabla1[[#This Row],[CANTIDAD]],"")</f>
        <v>Doce (12)_Frasco x 30 mL</v>
      </c>
      <c r="AE337" s="31" t="e">
        <f>CONCATENATE([1]!Tabla1[[#This Row],[NOMBRE MED.]],[1]!Tabla1[[#This Row],[CONCENTRACION]],[1]!Tabla1[[#This Row],[FORMA FARMACEUTICA]])</f>
        <v>#REF!</v>
      </c>
    </row>
    <row r="338" spans="2:31" x14ac:dyDescent="0.25">
      <c r="B338" s="10">
        <v>122</v>
      </c>
      <c r="C338" s="10" t="s">
        <v>2860</v>
      </c>
      <c r="D338" s="10" t="s">
        <v>2175</v>
      </c>
      <c r="E338" s="10" t="s">
        <v>2861</v>
      </c>
      <c r="F338" s="10" t="s">
        <v>2862</v>
      </c>
      <c r="G338" s="10" t="s">
        <v>2863</v>
      </c>
      <c r="H338" s="10" t="s">
        <v>2864</v>
      </c>
      <c r="I338" s="10" t="s">
        <v>2120</v>
      </c>
      <c r="J338" s="10" t="s">
        <v>1696</v>
      </c>
      <c r="K338" s="10" t="s">
        <v>2865</v>
      </c>
      <c r="L338" s="11">
        <v>202124100406512</v>
      </c>
      <c r="M338" s="20">
        <v>44264</v>
      </c>
      <c r="N338" s="20" t="str">
        <f>UPPER(TEXT(Tabla1[[#This Row],[FECHA RADICADO ENTRADA]],"MMM"))</f>
        <v>MAR</v>
      </c>
      <c r="O338" s="11">
        <v>202124110443971</v>
      </c>
      <c r="P338" s="20">
        <v>44273</v>
      </c>
      <c r="Q338" s="20" t="str">
        <f>UPPER(TEXT(Tabla1[[#This Row],[FECHA RADICADO ENTRADA]],"MMM"))</f>
        <v>MAR</v>
      </c>
      <c r="R338" s="10">
        <f t="shared" si="5"/>
        <v>-9</v>
      </c>
      <c r="S338" s="10" t="s">
        <v>2154</v>
      </c>
      <c r="U338" s="10" t="s">
        <v>2866</v>
      </c>
      <c r="V338" s="20">
        <v>43798</v>
      </c>
      <c r="W338" s="10" t="s">
        <v>63</v>
      </c>
      <c r="X338" s="10">
        <v>600</v>
      </c>
      <c r="Y338" s="11">
        <f>IFERROR(INT(Tabla1[[#This Row],[CANTIDAD UND FARMACEUTICAS]]/(VLOOKUP(Tabla1[[#This Row],[MEDICAMENTO]],TAB_REF!$K$3:$L$27,2,0))),"")</f>
        <v>60</v>
      </c>
      <c r="Z338" s="10" t="str">
        <f>IFERROR(VLOOKUP(Tabla1[[#This Row],[MEDICAMENTO]],TAB_REF!$B$3:$F$27,2,0), "")</f>
        <v xml:space="preserve">Morfina HCl </v>
      </c>
      <c r="AA338" s="10" t="str">
        <f>IFERROR(VLOOKUP(Tabla1[[#This Row],[MEDICAMENTO]],TAB_REF!$B$3:$F$27,3,0), "")</f>
        <v xml:space="preserve">10 mg/mL </v>
      </c>
      <c r="AB338" s="10" t="str">
        <f>IFERROR(VLOOKUP(Tabla1[[#This Row],[MEDICAMENTO]],TAB_REF!$B$3:$F$27,4,0), "")</f>
        <v>Solución Inyectable</v>
      </c>
      <c r="AC338" s="10" t="str">
        <f>IFERROR(VLOOKUP(Tabla1[[#This Row],[MEDICAMENTO]],TAB_REF!$B$3:$F$27,5,0), "")</f>
        <v>Caja x 10 unidades</v>
      </c>
      <c r="AD338" s="10" t="str">
        <f>IFERROR(VLOOKUP(Tabla1[[#This Row],[CANTIDAD UND COMERCIALES]],TAB_REF!$H$3:$I$1003,2,0)&amp;" ("&amp;Tabla1[[#This Row],[CANTIDAD UND COMERCIALES]]&amp;")"&amp;"_"&amp;Tabla1[[#This Row],[CANTIDAD]],"")</f>
        <v>Sesenta (60)_Caja x 10 unidades</v>
      </c>
      <c r="AE338" s="31" t="e">
        <f>CONCATENATE([1]!Tabla1[[#This Row],[NOMBRE MED.]],[1]!Tabla1[[#This Row],[CONCENTRACION]],[1]!Tabla1[[#This Row],[FORMA FARMACEUTICA]])</f>
        <v>#REF!</v>
      </c>
    </row>
    <row r="339" spans="2:31" x14ac:dyDescent="0.25">
      <c r="B339" s="10">
        <v>122</v>
      </c>
      <c r="C339" s="10" t="s">
        <v>2860</v>
      </c>
      <c r="D339" s="10" t="s">
        <v>2175</v>
      </c>
      <c r="E339" s="10" t="s">
        <v>2861</v>
      </c>
      <c r="F339" s="10" t="s">
        <v>2862</v>
      </c>
      <c r="G339" s="10" t="s">
        <v>2863</v>
      </c>
      <c r="H339" s="10" t="s">
        <v>2864</v>
      </c>
      <c r="I339" s="10" t="s">
        <v>2120</v>
      </c>
      <c r="J339" s="10" t="s">
        <v>1696</v>
      </c>
      <c r="K339" s="10" t="s">
        <v>2865</v>
      </c>
      <c r="L339" s="11">
        <v>202124100406512</v>
      </c>
      <c r="M339" s="20">
        <v>44264</v>
      </c>
      <c r="N339" s="20" t="str">
        <f>UPPER(TEXT(Tabla1[[#This Row],[FECHA RADICADO ENTRADA]],"MMM"))</f>
        <v>MAR</v>
      </c>
      <c r="O339" s="11">
        <v>202124110443971</v>
      </c>
      <c r="P339" s="20">
        <v>44273</v>
      </c>
      <c r="Q339" s="20" t="str">
        <f>UPPER(TEXT(Tabla1[[#This Row],[FECHA RADICADO ENTRADA]],"MMM"))</f>
        <v>MAR</v>
      </c>
      <c r="R339" s="10">
        <f t="shared" si="5"/>
        <v>-9</v>
      </c>
      <c r="S339" s="10" t="s">
        <v>2154</v>
      </c>
      <c r="U339" s="10" t="s">
        <v>2866</v>
      </c>
      <c r="V339" s="20">
        <v>43798</v>
      </c>
      <c r="W339" s="10" t="s">
        <v>45</v>
      </c>
      <c r="X339" s="10">
        <v>60</v>
      </c>
      <c r="Y339" s="11">
        <f>IFERROR(INT(Tabla1[[#This Row],[CANTIDAD UND FARMACEUTICAS]]/(VLOOKUP(Tabla1[[#This Row],[MEDICAMENTO]],TAB_REF!$K$3:$L$27,2,0))),"")</f>
        <v>2</v>
      </c>
      <c r="Z339" s="10" t="str">
        <f>IFERROR(VLOOKUP(Tabla1[[#This Row],[MEDICAMENTO]],TAB_REF!$B$3:$F$27,2,0), "")</f>
        <v xml:space="preserve">Metadona HCl </v>
      </c>
      <c r="AA339" s="10" t="str">
        <f>IFERROR(VLOOKUP(Tabla1[[#This Row],[MEDICAMENTO]],TAB_REF!$B$3:$F$27,3,0), "")</f>
        <v xml:space="preserve">10 mg </v>
      </c>
      <c r="AB339" s="10" t="str">
        <f>IFERROR(VLOOKUP(Tabla1[[#This Row],[MEDICAMENTO]],TAB_REF!$B$3:$F$27,4,0), "")</f>
        <v>Tabletas NACIONAL</v>
      </c>
      <c r="AC339" s="10" t="str">
        <f>IFERROR(VLOOKUP(Tabla1[[#This Row],[MEDICAMENTO]],TAB_REF!$B$3:$F$27,5,0), "")</f>
        <v>Caja x 30 unidades</v>
      </c>
      <c r="AD339" s="10" t="str">
        <f>IFERROR(VLOOKUP(Tabla1[[#This Row],[CANTIDAD UND COMERCIALES]],TAB_REF!$H$3:$I$1003,2,0)&amp;" ("&amp;Tabla1[[#This Row],[CANTIDAD UND COMERCIALES]]&amp;")"&amp;"_"&amp;Tabla1[[#This Row],[CANTIDAD]],"")</f>
        <v>Dos (2)_Caja x 30 unidades</v>
      </c>
      <c r="AE339" s="31" t="e">
        <f>CONCATENATE([1]!Tabla1[[#This Row],[NOMBRE MED.]],[1]!Tabla1[[#This Row],[CONCENTRACION]],[1]!Tabla1[[#This Row],[FORMA FARMACEUTICA]])</f>
        <v>#REF!</v>
      </c>
    </row>
    <row r="340" spans="2:31" x14ac:dyDescent="0.25">
      <c r="B340" s="10">
        <v>123</v>
      </c>
      <c r="C340" s="10" t="s">
        <v>2299</v>
      </c>
      <c r="D340" s="10" t="s">
        <v>2162</v>
      </c>
      <c r="E340" s="10" t="s">
        <v>2301</v>
      </c>
      <c r="F340" s="10" t="s">
        <v>2867</v>
      </c>
      <c r="G340" s="10" t="s">
        <v>2303</v>
      </c>
      <c r="H340" s="10" t="s">
        <v>2868</v>
      </c>
      <c r="I340" s="10" t="s">
        <v>2107</v>
      </c>
      <c r="J340" s="10" t="s">
        <v>1212</v>
      </c>
      <c r="K340" s="10" t="s">
        <v>2869</v>
      </c>
      <c r="L340" s="11">
        <v>202124100411512</v>
      </c>
      <c r="M340" s="20">
        <v>44264</v>
      </c>
      <c r="N340" s="20" t="str">
        <f>UPPER(TEXT(Tabla1[[#This Row],[FECHA RADICADO ENTRADA]],"MMM"))</f>
        <v>MAR</v>
      </c>
      <c r="O340" s="11">
        <v>202124110443991</v>
      </c>
      <c r="P340" s="20">
        <v>44273</v>
      </c>
      <c r="Q340" s="20" t="str">
        <f>UPPER(TEXT(Tabla1[[#This Row],[FECHA RADICADO ENTRADA]],"MMM"))</f>
        <v>MAR</v>
      </c>
      <c r="R340" s="10">
        <f t="shared" si="5"/>
        <v>-9</v>
      </c>
      <c r="S340" s="10" t="s">
        <v>2154</v>
      </c>
      <c r="U340" s="10" t="s">
        <v>2311</v>
      </c>
      <c r="V340" s="20">
        <v>43787</v>
      </c>
      <c r="W340" s="10" t="s">
        <v>32</v>
      </c>
      <c r="X340" s="10">
        <v>2400</v>
      </c>
      <c r="Y340" s="11">
        <f>IFERROR(INT(Tabla1[[#This Row],[CANTIDAD UND FARMACEUTICAS]]/(VLOOKUP(Tabla1[[#This Row],[MEDICAMENTO]],TAB_REF!$K$3:$L$27,2,0))),"")</f>
        <v>80</v>
      </c>
      <c r="Z340" s="10" t="str">
        <f>IFERROR(VLOOKUP(Tabla1[[#This Row],[MEDICAMENTO]],TAB_REF!$B$3:$F$27,2,0), "")</f>
        <v xml:space="preserve">Fenobarbital </v>
      </c>
      <c r="AA340" s="10" t="str">
        <f>IFERROR(VLOOKUP(Tabla1[[#This Row],[MEDICAMENTO]],TAB_REF!$B$3:$F$27,3,0), "")</f>
        <v xml:space="preserve">100 mg </v>
      </c>
      <c r="AB340" s="10" t="str">
        <f>IFERROR(VLOOKUP(Tabla1[[#This Row],[MEDICAMENTO]],TAB_REF!$B$3:$F$27,4,0), "")</f>
        <v>Tabletas</v>
      </c>
      <c r="AC340" s="10" t="str">
        <f>IFERROR(VLOOKUP(Tabla1[[#This Row],[MEDICAMENTO]],TAB_REF!$B$3:$F$27,5,0), "")</f>
        <v>Caja x 30 unidades</v>
      </c>
      <c r="AD340" s="10" t="str">
        <f>IFERROR(VLOOKUP(Tabla1[[#This Row],[CANTIDAD UND COMERCIALES]],TAB_REF!$H$3:$I$1003,2,0)&amp;" ("&amp;Tabla1[[#This Row],[CANTIDAD UND COMERCIALES]]&amp;")"&amp;"_"&amp;Tabla1[[#This Row],[CANTIDAD]],"")</f>
        <v>Ochenta (80)_Caja x 30 unidades</v>
      </c>
      <c r="AE340" s="31" t="e">
        <f>CONCATENATE([1]!Tabla1[[#This Row],[NOMBRE MED.]],[1]!Tabla1[[#This Row],[CONCENTRACION]],[1]!Tabla1[[#This Row],[FORMA FARMACEUTICA]])</f>
        <v>#REF!</v>
      </c>
    </row>
    <row r="341" spans="2:31" x14ac:dyDescent="0.25">
      <c r="B341" s="10">
        <v>124</v>
      </c>
      <c r="C341" s="10" t="s">
        <v>2299</v>
      </c>
      <c r="D341" s="10" t="s">
        <v>2162</v>
      </c>
      <c r="E341" s="10" t="s">
        <v>2301</v>
      </c>
      <c r="F341" s="10" t="s">
        <v>2867</v>
      </c>
      <c r="G341" s="10" t="s">
        <v>2303</v>
      </c>
      <c r="H341" s="10" t="s">
        <v>2868</v>
      </c>
      <c r="I341" s="10" t="s">
        <v>2107</v>
      </c>
      <c r="J341" s="10" t="s">
        <v>1212</v>
      </c>
      <c r="K341" s="10" t="s">
        <v>2870</v>
      </c>
      <c r="L341" s="11">
        <v>202124100411512</v>
      </c>
      <c r="M341" s="20">
        <v>44264</v>
      </c>
      <c r="N341" s="20" t="str">
        <f>UPPER(TEXT(Tabla1[[#This Row],[FECHA RADICADO ENTRADA]],"MMM"))</f>
        <v>MAR</v>
      </c>
      <c r="O341" s="11">
        <v>202124110444011</v>
      </c>
      <c r="P341" s="20">
        <v>44273</v>
      </c>
      <c r="Q341" s="20" t="str">
        <f>UPPER(TEXT(Tabla1[[#This Row],[FECHA RADICADO ENTRADA]],"MMM"))</f>
        <v>MAR</v>
      </c>
      <c r="R341" s="10">
        <f t="shared" si="5"/>
        <v>-9</v>
      </c>
      <c r="S341" s="10" t="s">
        <v>2154</v>
      </c>
      <c r="U341" s="10" t="s">
        <v>2305</v>
      </c>
      <c r="V341" s="20">
        <v>43787</v>
      </c>
      <c r="W341" s="10" t="s">
        <v>32</v>
      </c>
      <c r="X341" s="10">
        <v>2400</v>
      </c>
      <c r="Y341" s="11">
        <f>IFERROR(INT(Tabla1[[#This Row],[CANTIDAD UND FARMACEUTICAS]]/(VLOOKUP(Tabla1[[#This Row],[MEDICAMENTO]],TAB_REF!$K$3:$L$27,2,0))),"")</f>
        <v>80</v>
      </c>
      <c r="Z341" s="10" t="str">
        <f>IFERROR(VLOOKUP(Tabla1[[#This Row],[MEDICAMENTO]],TAB_REF!$B$3:$F$27,2,0), "")</f>
        <v xml:space="preserve">Fenobarbital </v>
      </c>
      <c r="AA341" s="10" t="str">
        <f>IFERROR(VLOOKUP(Tabla1[[#This Row],[MEDICAMENTO]],TAB_REF!$B$3:$F$27,3,0), "")</f>
        <v xml:space="preserve">100 mg </v>
      </c>
      <c r="AB341" s="10" t="str">
        <f>IFERROR(VLOOKUP(Tabla1[[#This Row],[MEDICAMENTO]],TAB_REF!$B$3:$F$27,4,0), "")</f>
        <v>Tabletas</v>
      </c>
      <c r="AC341" s="10" t="str">
        <f>IFERROR(VLOOKUP(Tabla1[[#This Row],[MEDICAMENTO]],TAB_REF!$B$3:$F$27,5,0), "")</f>
        <v>Caja x 30 unidades</v>
      </c>
      <c r="AD341" s="10" t="str">
        <f>IFERROR(VLOOKUP(Tabla1[[#This Row],[CANTIDAD UND COMERCIALES]],TAB_REF!$H$3:$I$1003,2,0)&amp;" ("&amp;Tabla1[[#This Row],[CANTIDAD UND COMERCIALES]]&amp;")"&amp;"_"&amp;Tabla1[[#This Row],[CANTIDAD]],"")</f>
        <v>Ochenta (80)_Caja x 30 unidades</v>
      </c>
      <c r="AE341" s="31" t="e">
        <f>CONCATENATE([1]!Tabla1[[#This Row],[NOMBRE MED.]],[1]!Tabla1[[#This Row],[CONCENTRACION]],[1]!Tabla1[[#This Row],[FORMA FARMACEUTICA]])</f>
        <v>#REF!</v>
      </c>
    </row>
    <row r="342" spans="2:31" x14ac:dyDescent="0.25">
      <c r="B342" s="10">
        <v>125</v>
      </c>
      <c r="C342" s="10" t="s">
        <v>2299</v>
      </c>
      <c r="D342" s="10" t="s">
        <v>2162</v>
      </c>
      <c r="E342" s="10" t="s">
        <v>2301</v>
      </c>
      <c r="F342" s="10" t="s">
        <v>2867</v>
      </c>
      <c r="G342" s="10" t="s">
        <v>2303</v>
      </c>
      <c r="H342" s="10" t="s">
        <v>2868</v>
      </c>
      <c r="I342" s="10" t="s">
        <v>2107</v>
      </c>
      <c r="J342" s="10" t="s">
        <v>1212</v>
      </c>
      <c r="K342" s="10" t="s">
        <v>2871</v>
      </c>
      <c r="L342" s="11">
        <v>202124100411512</v>
      </c>
      <c r="M342" s="20">
        <v>44264</v>
      </c>
      <c r="N342" s="20" t="str">
        <f>UPPER(TEXT(Tabla1[[#This Row],[FECHA RADICADO ENTRADA]],"MMM"))</f>
        <v>MAR</v>
      </c>
      <c r="O342" s="11">
        <v>202124110444021</v>
      </c>
      <c r="P342" s="20">
        <v>44273</v>
      </c>
      <c r="Q342" s="20" t="str">
        <f>UPPER(TEXT(Tabla1[[#This Row],[FECHA RADICADO ENTRADA]],"MMM"))</f>
        <v>MAR</v>
      </c>
      <c r="R342" s="10">
        <f t="shared" si="5"/>
        <v>-9</v>
      </c>
      <c r="S342" s="10" t="s">
        <v>2154</v>
      </c>
      <c r="U342" s="10" t="s">
        <v>2873</v>
      </c>
      <c r="V342" s="20">
        <v>44001</v>
      </c>
      <c r="W342" s="10" t="s">
        <v>32</v>
      </c>
      <c r="X342" s="10">
        <v>300</v>
      </c>
      <c r="Y342" s="11">
        <f>IFERROR(INT(Tabla1[[#This Row],[CANTIDAD UND FARMACEUTICAS]]/(VLOOKUP(Tabla1[[#This Row],[MEDICAMENTO]],TAB_REF!$K$3:$L$27,2,0))),"")</f>
        <v>10</v>
      </c>
      <c r="Z342" s="10" t="str">
        <f>IFERROR(VLOOKUP(Tabla1[[#This Row],[MEDICAMENTO]],TAB_REF!$B$3:$F$27,2,0), "")</f>
        <v xml:space="preserve">Fenobarbital </v>
      </c>
      <c r="AA342" s="10" t="str">
        <f>IFERROR(VLOOKUP(Tabla1[[#This Row],[MEDICAMENTO]],TAB_REF!$B$3:$F$27,3,0), "")</f>
        <v xml:space="preserve">100 mg </v>
      </c>
      <c r="AB342" s="10" t="str">
        <f>IFERROR(VLOOKUP(Tabla1[[#This Row],[MEDICAMENTO]],TAB_REF!$B$3:$F$27,4,0), "")</f>
        <v>Tabletas</v>
      </c>
      <c r="AC342" s="10" t="str">
        <f>IFERROR(VLOOKUP(Tabla1[[#This Row],[MEDICAMENTO]],TAB_REF!$B$3:$F$27,5,0), "")</f>
        <v>Caja x 30 unidades</v>
      </c>
      <c r="AD342" s="10" t="str">
        <f>IFERROR(VLOOKUP(Tabla1[[#This Row],[CANTIDAD UND COMERCIALES]],TAB_REF!$H$3:$I$1003,2,0)&amp;" ("&amp;Tabla1[[#This Row],[CANTIDAD UND COMERCIALES]]&amp;")"&amp;"_"&amp;Tabla1[[#This Row],[CANTIDAD]],"")</f>
        <v>Diez (10)_Caja x 30 unidades</v>
      </c>
      <c r="AE342" s="31" t="e">
        <f>CONCATENATE([1]!Tabla1[[#This Row],[NOMBRE MED.]],[1]!Tabla1[[#This Row],[CONCENTRACION]],[1]!Tabla1[[#This Row],[FORMA FARMACEUTICA]])</f>
        <v>#REF!</v>
      </c>
    </row>
    <row r="343" spans="2:31" x14ac:dyDescent="0.25">
      <c r="B343" s="10">
        <v>125</v>
      </c>
      <c r="C343" s="10" t="s">
        <v>2299</v>
      </c>
      <c r="D343" s="10" t="s">
        <v>2162</v>
      </c>
      <c r="E343" s="10" t="s">
        <v>2301</v>
      </c>
      <c r="F343" s="10" t="s">
        <v>2867</v>
      </c>
      <c r="G343" s="10" t="s">
        <v>2303</v>
      </c>
      <c r="H343" s="10" t="s">
        <v>2868</v>
      </c>
      <c r="I343" s="10" t="s">
        <v>2107</v>
      </c>
      <c r="J343" s="10" t="s">
        <v>1212</v>
      </c>
      <c r="K343" s="10" t="s">
        <v>2872</v>
      </c>
      <c r="L343" s="11">
        <v>202124100411512</v>
      </c>
      <c r="M343" s="20">
        <v>44264</v>
      </c>
      <c r="N343" s="20" t="str">
        <f>UPPER(TEXT(Tabla1[[#This Row],[FECHA RADICADO ENTRADA]],"MMM"))</f>
        <v>MAR</v>
      </c>
      <c r="O343" s="11">
        <v>202124110444021</v>
      </c>
      <c r="P343" s="20">
        <v>44273</v>
      </c>
      <c r="Q343" s="20" t="str">
        <f>UPPER(TEXT(Tabla1[[#This Row],[FECHA RADICADO ENTRADA]],"MMM"))</f>
        <v>MAR</v>
      </c>
      <c r="R343" s="10">
        <f t="shared" si="5"/>
        <v>-9</v>
      </c>
      <c r="S343" s="10" t="s">
        <v>2154</v>
      </c>
      <c r="U343" s="10" t="s">
        <v>2873</v>
      </c>
      <c r="V343" s="20">
        <v>44001</v>
      </c>
      <c r="W343" s="10" t="s">
        <v>33</v>
      </c>
      <c r="X343" s="10">
        <v>120</v>
      </c>
      <c r="Y343" s="11">
        <f>IFERROR(INT(Tabla1[[#This Row],[CANTIDAD UND FARMACEUTICAS]]/(VLOOKUP(Tabla1[[#This Row],[MEDICAMENTO]],TAB_REF!$K$3:$L$27,2,0))),"")</f>
        <v>4</v>
      </c>
      <c r="Z343" s="10" t="str">
        <f>IFERROR(VLOOKUP(Tabla1[[#This Row],[MEDICAMENTO]],TAB_REF!$B$3:$F$27,2,0), "")</f>
        <v xml:space="preserve">Fenobarbital </v>
      </c>
      <c r="AA343" s="10" t="str">
        <f>IFERROR(VLOOKUP(Tabla1[[#This Row],[MEDICAMENTO]],TAB_REF!$B$3:$F$27,3,0), "")</f>
        <v xml:space="preserve">50 mg </v>
      </c>
      <c r="AB343" s="10" t="str">
        <f>IFERROR(VLOOKUP(Tabla1[[#This Row],[MEDICAMENTO]],TAB_REF!$B$3:$F$27,4,0), "")</f>
        <v>Tabletas</v>
      </c>
      <c r="AC343" s="10" t="str">
        <f>IFERROR(VLOOKUP(Tabla1[[#This Row],[MEDICAMENTO]],TAB_REF!$B$3:$F$27,5,0), "")</f>
        <v>Caja x 30 unidades</v>
      </c>
      <c r="AD343" s="10" t="str">
        <f>IFERROR(VLOOKUP(Tabla1[[#This Row],[CANTIDAD UND COMERCIALES]],TAB_REF!$H$3:$I$1003,2,0)&amp;" ("&amp;Tabla1[[#This Row],[CANTIDAD UND COMERCIALES]]&amp;")"&amp;"_"&amp;Tabla1[[#This Row],[CANTIDAD]],"")</f>
        <v>Cuatro (4)_Caja x 30 unidades</v>
      </c>
      <c r="AE343" s="31" t="e">
        <f>CONCATENATE([1]!Tabla1[[#This Row],[NOMBRE MED.]],[1]!Tabla1[[#This Row],[CONCENTRACION]],[1]!Tabla1[[#This Row],[FORMA FARMACEUTICA]])</f>
        <v>#REF!</v>
      </c>
    </row>
    <row r="344" spans="2:31" x14ac:dyDescent="0.25">
      <c r="B344" s="10">
        <v>126</v>
      </c>
      <c r="C344" s="10" t="s">
        <v>2299</v>
      </c>
      <c r="D344" s="10" t="s">
        <v>2162</v>
      </c>
      <c r="E344" s="10" t="s">
        <v>2301</v>
      </c>
      <c r="F344" s="10" t="s">
        <v>2867</v>
      </c>
      <c r="G344" s="10" t="s">
        <v>2303</v>
      </c>
      <c r="H344" s="10" t="s">
        <v>2868</v>
      </c>
      <c r="I344" s="10" t="s">
        <v>2122</v>
      </c>
      <c r="J344" s="10" t="s">
        <v>1758</v>
      </c>
      <c r="K344" s="10" t="s">
        <v>2870</v>
      </c>
      <c r="L344" s="11">
        <v>202124100411532</v>
      </c>
      <c r="M344" s="20">
        <v>44264</v>
      </c>
      <c r="N344" s="20" t="str">
        <f>UPPER(TEXT(Tabla1[[#This Row],[FECHA RADICADO ENTRADA]],"MMM"))</f>
        <v>MAR</v>
      </c>
      <c r="O344" s="11">
        <v>202124110444041</v>
      </c>
      <c r="P344" s="20">
        <v>44273</v>
      </c>
      <c r="Q344" s="20" t="str">
        <f>UPPER(TEXT(Tabla1[[#This Row],[FECHA RADICADO ENTRADA]],"MMM"))</f>
        <v>MAR</v>
      </c>
      <c r="R344" s="26">
        <f t="shared" si="5"/>
        <v>-9</v>
      </c>
      <c r="S344" s="10" t="s">
        <v>2154</v>
      </c>
      <c r="U344" s="10" t="s">
        <v>2309</v>
      </c>
      <c r="V344" s="20">
        <v>43787</v>
      </c>
      <c r="W344" s="10" t="s">
        <v>32</v>
      </c>
      <c r="X344" s="10">
        <v>1200</v>
      </c>
      <c r="Y344" s="11">
        <f>IFERROR(INT(Tabla1[[#This Row],[CANTIDAD UND FARMACEUTICAS]]/(VLOOKUP(Tabla1[[#This Row],[MEDICAMENTO]],TAB_REF!$K$3:$L$27,2,0))),"")</f>
        <v>40</v>
      </c>
      <c r="Z344" s="26" t="str">
        <f>IFERROR(VLOOKUP(Tabla1[[#This Row],[MEDICAMENTO]],TAB_REF!$B$3:$F$27,2,0), "")</f>
        <v xml:space="preserve">Fenobarbital </v>
      </c>
      <c r="AA344" s="26" t="str">
        <f>IFERROR(VLOOKUP(Tabla1[[#This Row],[MEDICAMENTO]],TAB_REF!$B$3:$F$27,3,0), "")</f>
        <v xml:space="preserve">100 mg </v>
      </c>
      <c r="AB344" s="26" t="str">
        <f>IFERROR(VLOOKUP(Tabla1[[#This Row],[MEDICAMENTO]],TAB_REF!$B$3:$F$27,4,0), "")</f>
        <v>Tabletas</v>
      </c>
      <c r="AC344" s="26" t="str">
        <f>IFERROR(VLOOKUP(Tabla1[[#This Row],[MEDICAMENTO]],TAB_REF!$B$3:$F$27,5,0), "")</f>
        <v>Caja x 30 unidades</v>
      </c>
      <c r="AD344" s="26" t="str">
        <f>IFERROR(VLOOKUP(Tabla1[[#This Row],[CANTIDAD UND COMERCIALES]],TAB_REF!$H$3:$I$1003,2,0)&amp;" ("&amp;Tabla1[[#This Row],[CANTIDAD UND COMERCIALES]]&amp;")"&amp;"_"&amp;Tabla1[[#This Row],[CANTIDAD]],"")</f>
        <v>Cuarenta (40)_Caja x 30 unidades</v>
      </c>
      <c r="AE344" s="31" t="e">
        <f>CONCATENATE([1]!Tabla1[[#This Row],[NOMBRE MED.]],[1]!Tabla1[[#This Row],[CONCENTRACION]],[1]!Tabla1[[#This Row],[FORMA FARMACEUTICA]])</f>
        <v>#REF!</v>
      </c>
    </row>
    <row r="345" spans="2:31" x14ac:dyDescent="0.25">
      <c r="B345" s="10">
        <v>126</v>
      </c>
      <c r="C345" s="10" t="s">
        <v>2299</v>
      </c>
      <c r="D345" s="10" t="s">
        <v>2162</v>
      </c>
      <c r="E345" s="10" t="s">
        <v>2301</v>
      </c>
      <c r="F345" s="10" t="s">
        <v>2867</v>
      </c>
      <c r="G345" s="10" t="s">
        <v>2303</v>
      </c>
      <c r="H345" s="10" t="s">
        <v>2868</v>
      </c>
      <c r="I345" s="10" t="s">
        <v>2122</v>
      </c>
      <c r="J345" s="10" t="s">
        <v>1758</v>
      </c>
      <c r="K345" s="10" t="s">
        <v>2870</v>
      </c>
      <c r="L345" s="11">
        <v>202124100411532</v>
      </c>
      <c r="M345" s="20">
        <v>44264</v>
      </c>
      <c r="N345" s="20" t="str">
        <f>UPPER(TEXT(Tabla1[[#This Row],[FECHA RADICADO ENTRADA]],"MMM"))</f>
        <v>MAR</v>
      </c>
      <c r="O345" s="11">
        <v>202124110444041</v>
      </c>
      <c r="P345" s="20">
        <v>44273</v>
      </c>
      <c r="Q345" s="20" t="str">
        <f>UPPER(TEXT(Tabla1[[#This Row],[FECHA RADICADO ENTRADA]],"MMM"))</f>
        <v>MAR</v>
      </c>
      <c r="R345" s="26">
        <f t="shared" si="5"/>
        <v>-9</v>
      </c>
      <c r="S345" s="10" t="s">
        <v>2154</v>
      </c>
      <c r="U345" s="10" t="s">
        <v>2309</v>
      </c>
      <c r="V345" s="20">
        <v>43787</v>
      </c>
      <c r="W345" s="10" t="s">
        <v>33</v>
      </c>
      <c r="X345" s="10">
        <v>120</v>
      </c>
      <c r="Y345" s="11">
        <f>IFERROR(INT(Tabla1[[#This Row],[CANTIDAD UND FARMACEUTICAS]]/(VLOOKUP(Tabla1[[#This Row],[MEDICAMENTO]],TAB_REF!$K$3:$L$27,2,0))),"")</f>
        <v>4</v>
      </c>
      <c r="Z345" s="26" t="str">
        <f>IFERROR(VLOOKUP(Tabla1[[#This Row],[MEDICAMENTO]],TAB_REF!$B$3:$F$27,2,0), "")</f>
        <v xml:space="preserve">Fenobarbital </v>
      </c>
      <c r="AA345" s="26" t="str">
        <f>IFERROR(VLOOKUP(Tabla1[[#This Row],[MEDICAMENTO]],TAB_REF!$B$3:$F$27,3,0), "")</f>
        <v xml:space="preserve">50 mg </v>
      </c>
      <c r="AB345" s="26" t="str">
        <f>IFERROR(VLOOKUP(Tabla1[[#This Row],[MEDICAMENTO]],TAB_REF!$B$3:$F$27,4,0), "")</f>
        <v>Tabletas</v>
      </c>
      <c r="AC345" s="26" t="str">
        <f>IFERROR(VLOOKUP(Tabla1[[#This Row],[MEDICAMENTO]],TAB_REF!$B$3:$F$27,5,0), "")</f>
        <v>Caja x 30 unidades</v>
      </c>
      <c r="AD345" s="26" t="str">
        <f>IFERROR(VLOOKUP(Tabla1[[#This Row],[CANTIDAD UND COMERCIALES]],TAB_REF!$H$3:$I$1003,2,0)&amp;" ("&amp;Tabla1[[#This Row],[CANTIDAD UND COMERCIALES]]&amp;")"&amp;"_"&amp;Tabla1[[#This Row],[CANTIDAD]],"")</f>
        <v>Cuatro (4)_Caja x 30 unidades</v>
      </c>
      <c r="AE345" s="31" t="e">
        <f>CONCATENATE([1]!Tabla1[[#This Row],[NOMBRE MED.]],[1]!Tabla1[[#This Row],[CONCENTRACION]],[1]!Tabla1[[#This Row],[FORMA FARMACEUTICA]])</f>
        <v>#REF!</v>
      </c>
    </row>
    <row r="346" spans="2:31" x14ac:dyDescent="0.25">
      <c r="B346" s="10">
        <v>127</v>
      </c>
      <c r="C346" s="10" t="s">
        <v>2299</v>
      </c>
      <c r="D346" s="10" t="s">
        <v>2162</v>
      </c>
      <c r="E346" s="10" t="s">
        <v>2301</v>
      </c>
      <c r="F346" s="10" t="s">
        <v>2867</v>
      </c>
      <c r="G346" s="10" t="s">
        <v>2303</v>
      </c>
      <c r="H346" s="10" t="s">
        <v>2868</v>
      </c>
      <c r="I346" s="10" t="s">
        <v>2122</v>
      </c>
      <c r="J346" s="10" t="s">
        <v>1742</v>
      </c>
      <c r="K346" s="10" t="s">
        <v>2870</v>
      </c>
      <c r="L346" s="11">
        <v>202124100411532</v>
      </c>
      <c r="M346" s="20">
        <v>44264</v>
      </c>
      <c r="N346" s="20" t="str">
        <f>UPPER(TEXT(Tabla1[[#This Row],[FECHA RADICADO ENTRADA]],"MMM"))</f>
        <v>MAR</v>
      </c>
      <c r="O346" s="11">
        <v>202124110444061</v>
      </c>
      <c r="P346" s="20">
        <v>44273</v>
      </c>
      <c r="Q346" s="20" t="str">
        <f>UPPER(TEXT(Tabla1[[#This Row],[FECHA RADICADO ENTRADA]],"MMM"))</f>
        <v>MAR</v>
      </c>
      <c r="R346" s="26">
        <f t="shared" si="5"/>
        <v>-9</v>
      </c>
      <c r="S346" s="10" t="s">
        <v>2154</v>
      </c>
      <c r="U346" s="10" t="s">
        <v>2304</v>
      </c>
      <c r="V346" s="20">
        <v>43787</v>
      </c>
      <c r="W346" s="10" t="s">
        <v>32</v>
      </c>
      <c r="X346" s="10">
        <v>1500</v>
      </c>
      <c r="Y346" s="11">
        <f>IFERROR(INT(Tabla1[[#This Row],[CANTIDAD UND FARMACEUTICAS]]/(VLOOKUP(Tabla1[[#This Row],[MEDICAMENTO]],TAB_REF!$K$3:$L$27,2,0))),"")</f>
        <v>50</v>
      </c>
      <c r="Z346" s="26" t="str">
        <f>IFERROR(VLOOKUP(Tabla1[[#This Row],[MEDICAMENTO]],TAB_REF!$B$3:$F$27,2,0), "")</f>
        <v xml:space="preserve">Fenobarbital </v>
      </c>
      <c r="AA346" s="26" t="str">
        <f>IFERROR(VLOOKUP(Tabla1[[#This Row],[MEDICAMENTO]],TAB_REF!$B$3:$F$27,3,0), "")</f>
        <v xml:space="preserve">100 mg </v>
      </c>
      <c r="AB346" s="26" t="str">
        <f>IFERROR(VLOOKUP(Tabla1[[#This Row],[MEDICAMENTO]],TAB_REF!$B$3:$F$27,4,0), "")</f>
        <v>Tabletas</v>
      </c>
      <c r="AC346" s="26" t="str">
        <f>IFERROR(VLOOKUP(Tabla1[[#This Row],[MEDICAMENTO]],TAB_REF!$B$3:$F$27,5,0), "")</f>
        <v>Caja x 30 unidades</v>
      </c>
      <c r="AD346" s="26" t="str">
        <f>IFERROR(VLOOKUP(Tabla1[[#This Row],[CANTIDAD UND COMERCIALES]],TAB_REF!$H$3:$I$1003,2,0)&amp;" ("&amp;Tabla1[[#This Row],[CANTIDAD UND COMERCIALES]]&amp;")"&amp;"_"&amp;Tabla1[[#This Row],[CANTIDAD]],"")</f>
        <v>Cincuenta (50)_Caja x 30 unidades</v>
      </c>
      <c r="AE346" s="31" t="e">
        <f>CONCATENATE([1]!Tabla1[[#This Row],[NOMBRE MED.]],[1]!Tabla1[[#This Row],[CONCENTRACION]],[1]!Tabla1[[#This Row],[FORMA FARMACEUTICA]])</f>
        <v>#REF!</v>
      </c>
    </row>
    <row r="347" spans="2:31" x14ac:dyDescent="0.25">
      <c r="B347" s="10">
        <v>128</v>
      </c>
      <c r="C347" s="10" t="s">
        <v>2874</v>
      </c>
      <c r="D347" s="10" t="s">
        <v>2182</v>
      </c>
      <c r="E347" s="10" t="s">
        <v>2875</v>
      </c>
      <c r="F347" s="10" t="s">
        <v>2164</v>
      </c>
      <c r="G347" s="10" t="s">
        <v>2876</v>
      </c>
      <c r="H347" s="10" t="s">
        <v>2164</v>
      </c>
      <c r="I347" s="10" t="s">
        <v>2123</v>
      </c>
      <c r="J347" s="10" t="s">
        <v>1770</v>
      </c>
      <c r="K347" s="33" t="s">
        <v>2877</v>
      </c>
      <c r="L347" s="11">
        <v>202124100417072</v>
      </c>
      <c r="M347" s="20">
        <v>44265</v>
      </c>
      <c r="N347" s="20" t="str">
        <f>UPPER(TEXT(Tabla1[[#This Row],[FECHA RADICADO ENTRADA]],"MMM"))</f>
        <v>MAR</v>
      </c>
      <c r="O347" s="11">
        <v>202124110444121</v>
      </c>
      <c r="P347" s="20">
        <v>44273</v>
      </c>
      <c r="Q347" s="20" t="str">
        <f>UPPER(TEXT(Tabla1[[#This Row],[FECHA RADICADO ENTRADA]],"MMM"))</f>
        <v>MAR</v>
      </c>
      <c r="R347" s="10">
        <f t="shared" si="5"/>
        <v>-8</v>
      </c>
      <c r="S347" s="10" t="s">
        <v>2145</v>
      </c>
      <c r="T347" s="10" t="s">
        <v>2167</v>
      </c>
      <c r="U347" s="10" t="s">
        <v>2164</v>
      </c>
      <c r="V347" s="10" t="s">
        <v>2164</v>
      </c>
      <c r="W347" s="10" t="s">
        <v>32</v>
      </c>
      <c r="X347" s="10">
        <v>0</v>
      </c>
      <c r="Y347" s="11">
        <f>IFERROR(INT(Tabla1[[#This Row],[CANTIDAD UND FARMACEUTICAS]]/(VLOOKUP(Tabla1[[#This Row],[MEDICAMENTO]],TAB_REF!$K$3:$L$27,2,0))),"")</f>
        <v>0</v>
      </c>
      <c r="Z347" s="10" t="str">
        <f>IFERROR(VLOOKUP(Tabla1[[#This Row],[MEDICAMENTO]],TAB_REF!$B$3:$F$27,2,0), "")</f>
        <v xml:space="preserve">Fenobarbital </v>
      </c>
      <c r="AA347" s="10" t="str">
        <f>IFERROR(VLOOKUP(Tabla1[[#This Row],[MEDICAMENTO]],TAB_REF!$B$3:$F$27,3,0), "")</f>
        <v xml:space="preserve">100 mg </v>
      </c>
      <c r="AB347" s="10" t="str">
        <f>IFERROR(VLOOKUP(Tabla1[[#This Row],[MEDICAMENTO]],TAB_REF!$B$3:$F$27,4,0), "")</f>
        <v>Tabletas</v>
      </c>
      <c r="AC347" s="10" t="str">
        <f>IFERROR(VLOOKUP(Tabla1[[#This Row],[MEDICAMENTO]],TAB_REF!$B$3:$F$27,5,0), "")</f>
        <v>Caja x 30 unidades</v>
      </c>
      <c r="AD347" s="10" t="str">
        <f>IFERROR(VLOOKUP(Tabla1[[#This Row],[CANTIDAD UND COMERCIALES]],TAB_REF!$H$3:$I$1003,2,0)&amp;" ("&amp;Tabla1[[#This Row],[CANTIDAD UND COMERCIALES]]&amp;")"&amp;"_"&amp;Tabla1[[#This Row],[CANTIDAD]],"")</f>
        <v/>
      </c>
      <c r="AE347" s="31" t="e">
        <f>CONCATENATE([1]!Tabla1[[#This Row],[NOMBRE MED.]],[1]!Tabla1[[#This Row],[CONCENTRACION]],[1]!Tabla1[[#This Row],[FORMA FARMACEUTICA]])</f>
        <v>#REF!</v>
      </c>
    </row>
    <row r="348" spans="2:31" x14ac:dyDescent="0.25">
      <c r="B348" s="10">
        <v>128</v>
      </c>
      <c r="C348" s="10" t="s">
        <v>2874</v>
      </c>
      <c r="D348" s="10" t="s">
        <v>2182</v>
      </c>
      <c r="E348" s="10" t="s">
        <v>2875</v>
      </c>
      <c r="F348" s="10" t="s">
        <v>2164</v>
      </c>
      <c r="G348" s="10" t="s">
        <v>2876</v>
      </c>
      <c r="H348" s="10" t="s">
        <v>2164</v>
      </c>
      <c r="I348" s="10" t="s">
        <v>2123</v>
      </c>
      <c r="J348" s="10" t="s">
        <v>1770</v>
      </c>
      <c r="K348" s="33" t="s">
        <v>2877</v>
      </c>
      <c r="L348" s="11">
        <v>202124100417072</v>
      </c>
      <c r="M348" s="20">
        <v>44265</v>
      </c>
      <c r="N348" s="20" t="str">
        <f>UPPER(TEXT(Tabla1[[#This Row],[FECHA RADICADO ENTRADA]],"MMM"))</f>
        <v>MAR</v>
      </c>
      <c r="O348" s="11">
        <v>202124110444121</v>
      </c>
      <c r="P348" s="20">
        <v>44273</v>
      </c>
      <c r="Q348" s="20" t="str">
        <f>UPPER(TEXT(Tabla1[[#This Row],[FECHA RADICADO ENTRADA]],"MMM"))</f>
        <v>MAR</v>
      </c>
      <c r="R348" s="10">
        <f t="shared" si="5"/>
        <v>-8</v>
      </c>
      <c r="S348" s="10" t="s">
        <v>2145</v>
      </c>
      <c r="T348" s="10" t="s">
        <v>2167</v>
      </c>
      <c r="U348" s="10" t="s">
        <v>2164</v>
      </c>
      <c r="V348" s="10" t="s">
        <v>2164</v>
      </c>
      <c r="W348" s="10" t="s">
        <v>33</v>
      </c>
      <c r="X348" s="10">
        <v>0</v>
      </c>
      <c r="Y348" s="11">
        <f>IFERROR(INT(Tabla1[[#This Row],[CANTIDAD UND FARMACEUTICAS]]/(VLOOKUP(Tabla1[[#This Row],[MEDICAMENTO]],TAB_REF!$K$3:$L$27,2,0))),"")</f>
        <v>0</v>
      </c>
      <c r="Z348" s="10" t="str">
        <f>IFERROR(VLOOKUP(Tabla1[[#This Row],[MEDICAMENTO]],TAB_REF!$B$3:$F$27,2,0), "")</f>
        <v xml:space="preserve">Fenobarbital </v>
      </c>
      <c r="AA348" s="10" t="str">
        <f>IFERROR(VLOOKUP(Tabla1[[#This Row],[MEDICAMENTO]],TAB_REF!$B$3:$F$27,3,0), "")</f>
        <v xml:space="preserve">50 mg </v>
      </c>
      <c r="AB348" s="10" t="str">
        <f>IFERROR(VLOOKUP(Tabla1[[#This Row],[MEDICAMENTO]],TAB_REF!$B$3:$F$27,4,0), "")</f>
        <v>Tabletas</v>
      </c>
      <c r="AC348" s="10" t="str">
        <f>IFERROR(VLOOKUP(Tabla1[[#This Row],[MEDICAMENTO]],TAB_REF!$B$3:$F$27,5,0), "")</f>
        <v>Caja x 30 unidades</v>
      </c>
      <c r="AD348" s="10" t="str">
        <f>IFERROR(VLOOKUP(Tabla1[[#This Row],[CANTIDAD UND COMERCIALES]],TAB_REF!$H$3:$I$1003,2,0)&amp;" ("&amp;Tabla1[[#This Row],[CANTIDAD UND COMERCIALES]]&amp;")"&amp;"_"&amp;Tabla1[[#This Row],[CANTIDAD]],"")</f>
        <v/>
      </c>
      <c r="AE348" s="31" t="e">
        <f>CONCATENATE([1]!Tabla1[[#This Row],[NOMBRE MED.]],[1]!Tabla1[[#This Row],[CONCENTRACION]],[1]!Tabla1[[#This Row],[FORMA FARMACEUTICA]])</f>
        <v>#REF!</v>
      </c>
    </row>
    <row r="349" spans="2:31" x14ac:dyDescent="0.25">
      <c r="B349" s="10">
        <v>128</v>
      </c>
      <c r="C349" s="10" t="s">
        <v>2874</v>
      </c>
      <c r="D349" s="10" t="s">
        <v>2182</v>
      </c>
      <c r="E349" s="10" t="s">
        <v>2875</v>
      </c>
      <c r="F349" s="10" t="s">
        <v>2164</v>
      </c>
      <c r="G349" s="10" t="s">
        <v>2876</v>
      </c>
      <c r="H349" s="10" t="s">
        <v>2164</v>
      </c>
      <c r="I349" s="10" t="s">
        <v>2123</v>
      </c>
      <c r="J349" s="10" t="s">
        <v>1770</v>
      </c>
      <c r="K349" s="33" t="s">
        <v>2877</v>
      </c>
      <c r="L349" s="11">
        <v>202124100417072</v>
      </c>
      <c r="M349" s="20">
        <v>44265</v>
      </c>
      <c r="N349" s="20" t="str">
        <f>UPPER(TEXT(Tabla1[[#This Row],[FECHA RADICADO ENTRADA]],"MMM"))</f>
        <v>MAR</v>
      </c>
      <c r="O349" s="11">
        <v>202124110444121</v>
      </c>
      <c r="P349" s="20">
        <v>44273</v>
      </c>
      <c r="Q349" s="20" t="str">
        <f>UPPER(TEXT(Tabla1[[#This Row],[FECHA RADICADO ENTRADA]],"MMM"))</f>
        <v>MAR</v>
      </c>
      <c r="R349" s="10">
        <f t="shared" si="5"/>
        <v>-8</v>
      </c>
      <c r="S349" s="10" t="s">
        <v>2145</v>
      </c>
      <c r="T349" s="10" t="s">
        <v>2167</v>
      </c>
      <c r="U349" s="10" t="s">
        <v>2164</v>
      </c>
      <c r="V349" s="10" t="s">
        <v>2164</v>
      </c>
      <c r="W349" s="10" t="s">
        <v>38</v>
      </c>
      <c r="X349" s="10">
        <v>0</v>
      </c>
      <c r="Y349" s="11">
        <f>IFERROR(INT(Tabla1[[#This Row],[CANTIDAD UND FARMACEUTICAS]]/(VLOOKUP(Tabla1[[#This Row],[MEDICAMENTO]],TAB_REF!$K$3:$L$27,2,0))),"")</f>
        <v>0</v>
      </c>
      <c r="Z349" s="10" t="str">
        <f>IFERROR(VLOOKUP(Tabla1[[#This Row],[MEDICAMENTO]],TAB_REF!$B$3:$F$27,2,0), "")</f>
        <v xml:space="preserve">Hidromorfona HCl </v>
      </c>
      <c r="AA349" s="10" t="str">
        <f>IFERROR(VLOOKUP(Tabla1[[#This Row],[MEDICAMENTO]],TAB_REF!$B$3:$F$27,3,0), "")</f>
        <v xml:space="preserve">2,5 mg </v>
      </c>
      <c r="AB349" s="10" t="str">
        <f>IFERROR(VLOOKUP(Tabla1[[#This Row],[MEDICAMENTO]],TAB_REF!$B$3:$F$27,4,0), "")</f>
        <v>Tabletas</v>
      </c>
      <c r="AC349" s="10" t="str">
        <f>IFERROR(VLOOKUP(Tabla1[[#This Row],[MEDICAMENTO]],TAB_REF!$B$3:$F$27,5,0), "")</f>
        <v>Caja x 20 unidades</v>
      </c>
      <c r="AD349" s="10" t="str">
        <f>IFERROR(VLOOKUP(Tabla1[[#This Row],[CANTIDAD UND COMERCIALES]],TAB_REF!$H$3:$I$1003,2,0)&amp;" ("&amp;Tabla1[[#This Row],[CANTIDAD UND COMERCIALES]]&amp;")"&amp;"_"&amp;Tabla1[[#This Row],[CANTIDAD]],"")</f>
        <v/>
      </c>
      <c r="AE349" s="31" t="e">
        <f>CONCATENATE([1]!Tabla1[[#This Row],[NOMBRE MED.]],[1]!Tabla1[[#This Row],[CONCENTRACION]],[1]!Tabla1[[#This Row],[FORMA FARMACEUTICA]])</f>
        <v>#REF!</v>
      </c>
    </row>
    <row r="350" spans="2:31" x14ac:dyDescent="0.25">
      <c r="B350" s="24">
        <v>129</v>
      </c>
      <c r="C350" s="10" t="s">
        <v>2889</v>
      </c>
      <c r="D350" s="10" t="s">
        <v>2890</v>
      </c>
      <c r="E350" s="10" t="s">
        <v>2878</v>
      </c>
      <c r="F350" s="10" t="s">
        <v>2891</v>
      </c>
      <c r="G350" s="21" t="s">
        <v>2892</v>
      </c>
      <c r="H350" s="10" t="s">
        <v>2893</v>
      </c>
      <c r="I350" s="10" t="s">
        <v>2130</v>
      </c>
      <c r="K350" s="10" t="s">
        <v>2894</v>
      </c>
      <c r="L350" s="11">
        <v>202124100419922</v>
      </c>
      <c r="M350" s="20">
        <v>44265</v>
      </c>
      <c r="N350" s="20" t="str">
        <f>UPPER(TEXT(Tabla1[[#This Row],[FECHA RADICADO ENTRADA]],"MMM"))</f>
        <v>MAR</v>
      </c>
      <c r="O350" s="11">
        <v>202124110479661</v>
      </c>
      <c r="P350" s="20">
        <v>44280</v>
      </c>
      <c r="Q350" s="20" t="str">
        <f>UPPER(TEXT(Tabla1[[#This Row],[FECHA RADICADO ENTRADA]],"MMM"))</f>
        <v>MAR</v>
      </c>
      <c r="R350" s="10">
        <f t="shared" si="5"/>
        <v>-15</v>
      </c>
      <c r="S350" s="10" t="s">
        <v>2154</v>
      </c>
      <c r="U350" s="10" t="s">
        <v>2895</v>
      </c>
      <c r="V350" s="20">
        <v>43601</v>
      </c>
      <c r="W350" s="10" t="s">
        <v>60</v>
      </c>
      <c r="X350" s="10">
        <v>10</v>
      </c>
      <c r="Y350" s="11">
        <f>IFERROR(INT(Tabla1[[#This Row],[CANTIDAD UND FARMACEUTICAS]]/(VLOOKUP(Tabla1[[#This Row],[MEDICAMENTO]],TAB_REF!$K$3:$L$27,2,0))),"")</f>
        <v>10</v>
      </c>
      <c r="Z350" s="10" t="str">
        <f>IFERROR(VLOOKUP(Tabla1[[#This Row],[MEDICAMENTO]],TAB_REF!$B$3:$F$27,2,0), "")</f>
        <v xml:space="preserve">Morfina HCl </v>
      </c>
      <c r="AA350" s="10" t="str">
        <f>IFERROR(VLOOKUP(Tabla1[[#This Row],[MEDICAMENTO]],TAB_REF!$B$3:$F$27,3,0), "")</f>
        <v xml:space="preserve">3%. </v>
      </c>
      <c r="AB350" s="10" t="str">
        <f>IFERROR(VLOOKUP(Tabla1[[#This Row],[MEDICAMENTO]],TAB_REF!$B$3:$F$27,4,0), "")</f>
        <v>Solución Oral</v>
      </c>
      <c r="AC350" s="10" t="str">
        <f>IFERROR(VLOOKUP(Tabla1[[#This Row],[MEDICAMENTO]],TAB_REF!$B$3:$F$27,5,0), "")</f>
        <v>Frasco x 30 mL</v>
      </c>
      <c r="AD350" s="10" t="str">
        <f>IFERROR(VLOOKUP(Tabla1[[#This Row],[CANTIDAD UND COMERCIALES]],TAB_REF!$H$3:$I$1003,2,0)&amp;" ("&amp;Tabla1[[#This Row],[CANTIDAD UND COMERCIALES]]&amp;")"&amp;"_"&amp;Tabla1[[#This Row],[CANTIDAD]],"")</f>
        <v>Diez (10)_Frasco x 30 mL</v>
      </c>
      <c r="AE350" s="31" t="e">
        <f>CONCATENATE([1]!Tabla1[[#This Row],[NOMBRE MED.]],[1]!Tabla1[[#This Row],[CONCENTRACION]],[1]!Tabla1[[#This Row],[FORMA FARMACEUTICA]])</f>
        <v>#REF!</v>
      </c>
    </row>
    <row r="351" spans="2:31" x14ac:dyDescent="0.25">
      <c r="B351" s="10">
        <v>130</v>
      </c>
      <c r="C351" s="10" t="s">
        <v>2879</v>
      </c>
      <c r="D351" s="10" t="s">
        <v>2162</v>
      </c>
      <c r="E351" s="10" t="s">
        <v>2880</v>
      </c>
      <c r="F351" s="10" t="s">
        <v>2881</v>
      </c>
      <c r="G351" s="10" t="s">
        <v>2882</v>
      </c>
      <c r="H351" s="10" t="s">
        <v>2883</v>
      </c>
      <c r="I351" s="10" t="s">
        <v>2107</v>
      </c>
      <c r="J351" s="10" t="s">
        <v>1212</v>
      </c>
      <c r="K351" s="10" t="s">
        <v>2884</v>
      </c>
      <c r="L351" s="11">
        <v>202124100426352</v>
      </c>
      <c r="M351" s="20">
        <v>44266</v>
      </c>
      <c r="N351" s="20" t="str">
        <f>UPPER(TEXT(Tabla1[[#This Row],[FECHA RADICADO ENTRADA]],"MMM"))</f>
        <v>MAR</v>
      </c>
      <c r="O351" s="11">
        <v>202124110444181</v>
      </c>
      <c r="P351" s="20">
        <v>44273</v>
      </c>
      <c r="Q351" s="20" t="str">
        <f>UPPER(TEXT(Tabla1[[#This Row],[FECHA RADICADO ENTRADA]],"MMM"))</f>
        <v>MAR</v>
      </c>
      <c r="R351" s="10">
        <f t="shared" si="5"/>
        <v>-7</v>
      </c>
      <c r="S351" s="10" t="s">
        <v>2154</v>
      </c>
      <c r="U351" s="10" t="s">
        <v>2885</v>
      </c>
      <c r="V351" s="20">
        <v>43074</v>
      </c>
      <c r="W351" s="10" t="s">
        <v>45</v>
      </c>
      <c r="X351" s="10">
        <v>240</v>
      </c>
      <c r="Y351" s="11">
        <f>IFERROR(INT(Tabla1[[#This Row],[CANTIDAD UND FARMACEUTICAS]]/(VLOOKUP(Tabla1[[#This Row],[MEDICAMENTO]],TAB_REF!$K$3:$L$27,2,0))),"")</f>
        <v>8</v>
      </c>
      <c r="Z351" s="10" t="str">
        <f>IFERROR(VLOOKUP(Tabla1[[#This Row],[MEDICAMENTO]],TAB_REF!$B$3:$F$27,2,0), "")</f>
        <v xml:space="preserve">Metadona HCl </v>
      </c>
      <c r="AA351" s="10" t="str">
        <f>IFERROR(VLOOKUP(Tabla1[[#This Row],[MEDICAMENTO]],TAB_REF!$B$3:$F$27,3,0), "")</f>
        <v xml:space="preserve">10 mg </v>
      </c>
      <c r="AB351" s="10" t="str">
        <f>IFERROR(VLOOKUP(Tabla1[[#This Row],[MEDICAMENTO]],TAB_REF!$B$3:$F$27,4,0), "")</f>
        <v>Tabletas NACIONAL</v>
      </c>
      <c r="AC351" s="10" t="str">
        <f>IFERROR(VLOOKUP(Tabla1[[#This Row],[MEDICAMENTO]],TAB_REF!$B$3:$F$27,5,0), "")</f>
        <v>Caja x 30 unidades</v>
      </c>
      <c r="AD351" s="10" t="str">
        <f>IFERROR(VLOOKUP(Tabla1[[#This Row],[CANTIDAD UND COMERCIALES]],TAB_REF!$H$3:$I$1003,2,0)&amp;" ("&amp;Tabla1[[#This Row],[CANTIDAD UND COMERCIALES]]&amp;")"&amp;"_"&amp;Tabla1[[#This Row],[CANTIDAD]],"")</f>
        <v>Ocho (8)_Caja x 30 unidades</v>
      </c>
      <c r="AE351" s="31" t="e">
        <f>CONCATENATE([1]!Tabla1[[#This Row],[NOMBRE MED.]],[1]!Tabla1[[#This Row],[CONCENTRACION]],[1]!Tabla1[[#This Row],[FORMA FARMACEUTICA]])</f>
        <v>#REF!</v>
      </c>
    </row>
    <row r="352" spans="2:31" x14ac:dyDescent="0.25">
      <c r="B352" s="10">
        <v>130</v>
      </c>
      <c r="C352" s="10" t="s">
        <v>2879</v>
      </c>
      <c r="D352" s="10" t="s">
        <v>2162</v>
      </c>
      <c r="E352" s="10" t="s">
        <v>2880</v>
      </c>
      <c r="F352" s="10" t="s">
        <v>2881</v>
      </c>
      <c r="G352" s="10" t="s">
        <v>2882</v>
      </c>
      <c r="H352" s="10" t="s">
        <v>2883</v>
      </c>
      <c r="I352" s="10" t="s">
        <v>2107</v>
      </c>
      <c r="J352" s="10" t="s">
        <v>1212</v>
      </c>
      <c r="K352" s="10" t="s">
        <v>2884</v>
      </c>
      <c r="L352" s="11">
        <v>202124100426352</v>
      </c>
      <c r="M352" s="20">
        <v>44266</v>
      </c>
      <c r="N352" s="20" t="str">
        <f>UPPER(TEXT(Tabla1[[#This Row],[FECHA RADICADO ENTRADA]],"MMM"))</f>
        <v>MAR</v>
      </c>
      <c r="O352" s="11">
        <v>202124110444181</v>
      </c>
      <c r="P352" s="20">
        <v>44273</v>
      </c>
      <c r="Q352" s="20" t="str">
        <f>UPPER(TEXT(Tabla1[[#This Row],[FECHA RADICADO ENTRADA]],"MMM"))</f>
        <v>MAR</v>
      </c>
      <c r="R352" s="10">
        <f t="shared" si="5"/>
        <v>-7</v>
      </c>
      <c r="S352" s="10" t="s">
        <v>2154</v>
      </c>
      <c r="U352" s="10" t="s">
        <v>2885</v>
      </c>
      <c r="V352" s="20">
        <v>43074</v>
      </c>
      <c r="W352" s="10" t="s">
        <v>47</v>
      </c>
      <c r="X352" s="10">
        <v>300</v>
      </c>
      <c r="Y352" s="11">
        <f>IFERROR(INT(Tabla1[[#This Row],[CANTIDAD UND FARMACEUTICAS]]/(VLOOKUP(Tabla1[[#This Row],[MEDICAMENTO]],TAB_REF!$K$3:$L$27,2,0))),"")</f>
        <v>10</v>
      </c>
      <c r="Z352" s="10" t="str">
        <f>IFERROR(VLOOKUP(Tabla1[[#This Row],[MEDICAMENTO]],TAB_REF!$B$3:$F$27,2,0), "")</f>
        <v xml:space="preserve">Metadona HCl </v>
      </c>
      <c r="AA352" s="10" t="str">
        <f>IFERROR(VLOOKUP(Tabla1[[#This Row],[MEDICAMENTO]],TAB_REF!$B$3:$F$27,3,0), "")</f>
        <v xml:space="preserve">40 mg </v>
      </c>
      <c r="AB352" s="10" t="str">
        <f>IFERROR(VLOOKUP(Tabla1[[#This Row],[MEDICAMENTO]],TAB_REF!$B$3:$F$27,4,0), "")</f>
        <v>Tabletas NACIONAL</v>
      </c>
      <c r="AC352" s="10" t="str">
        <f>IFERROR(VLOOKUP(Tabla1[[#This Row],[MEDICAMENTO]],TAB_REF!$B$3:$F$27,5,0), "")</f>
        <v>Caja x 30 unidades</v>
      </c>
      <c r="AD352" s="10" t="str">
        <f>IFERROR(VLOOKUP(Tabla1[[#This Row],[CANTIDAD UND COMERCIALES]],TAB_REF!$H$3:$I$1003,2,0)&amp;" ("&amp;Tabla1[[#This Row],[CANTIDAD UND COMERCIALES]]&amp;")"&amp;"_"&amp;Tabla1[[#This Row],[CANTIDAD]],"")</f>
        <v>Diez (10)_Caja x 30 unidades</v>
      </c>
      <c r="AE352" s="31" t="e">
        <f>CONCATENATE([1]!Tabla1[[#This Row],[NOMBRE MED.]],[1]!Tabla1[[#This Row],[CONCENTRACION]],[1]!Tabla1[[#This Row],[FORMA FARMACEUTICA]])</f>
        <v>#REF!</v>
      </c>
    </row>
    <row r="353" spans="2:31" x14ac:dyDescent="0.25">
      <c r="B353" s="10">
        <v>131</v>
      </c>
      <c r="C353" s="10" t="s">
        <v>2538</v>
      </c>
      <c r="D353" s="10" t="s">
        <v>2175</v>
      </c>
      <c r="E353" s="10" t="s">
        <v>2886</v>
      </c>
      <c r="F353" s="10" t="s">
        <v>2540</v>
      </c>
      <c r="G353" s="21" t="s">
        <v>2541</v>
      </c>
      <c r="H353" s="37" t="s">
        <v>2887</v>
      </c>
      <c r="I353" s="10" t="s">
        <v>2120</v>
      </c>
      <c r="J353" s="10" t="s">
        <v>1696</v>
      </c>
      <c r="K353" s="10" t="s">
        <v>2888</v>
      </c>
      <c r="L353" s="11">
        <v>202124100420612</v>
      </c>
      <c r="M353" s="20">
        <v>44265</v>
      </c>
      <c r="N353" s="20" t="str">
        <f>UPPER(TEXT(Tabla1[[#This Row],[FECHA RADICADO ENTRADA]],"MMM"))</f>
        <v>MAR</v>
      </c>
      <c r="O353" s="11">
        <v>202124110444231</v>
      </c>
      <c r="P353" s="20">
        <v>44273</v>
      </c>
      <c r="Q353" s="20" t="str">
        <f>UPPER(TEXT(Tabla1[[#This Row],[FECHA RADICADO ENTRADA]],"MMM"))</f>
        <v>MAR</v>
      </c>
      <c r="R353" s="10">
        <f t="shared" si="5"/>
        <v>-8</v>
      </c>
      <c r="S353" s="10" t="s">
        <v>2145</v>
      </c>
      <c r="T353" s="10" t="s">
        <v>2537</v>
      </c>
      <c r="U353" s="10" t="s">
        <v>2544</v>
      </c>
      <c r="V353" s="20">
        <v>42831</v>
      </c>
      <c r="W353" s="10" t="s">
        <v>34</v>
      </c>
      <c r="X353" s="10">
        <v>0</v>
      </c>
      <c r="Y353" s="11">
        <f>IFERROR(INT(Tabla1[[#This Row],[CANTIDAD UND FARMACEUTICAS]]/(VLOOKUP(Tabla1[[#This Row],[MEDICAMENTO]],TAB_REF!$K$3:$L$27,2,0))),"")</f>
        <v>0</v>
      </c>
      <c r="Z353" s="10" t="str">
        <f>IFERROR(VLOOKUP(Tabla1[[#This Row],[MEDICAMENTO]],TAB_REF!$B$3:$F$27,2,0), "")</f>
        <v xml:space="preserve">Fenobarbital Sódico </v>
      </c>
      <c r="AA353" s="10" t="str">
        <f>IFERROR(VLOOKUP(Tabla1[[#This Row],[MEDICAMENTO]],TAB_REF!$B$3:$F$27,3,0), "")</f>
        <v xml:space="preserve">200 mg/Ml </v>
      </c>
      <c r="AB353" s="10" t="str">
        <f>IFERROR(VLOOKUP(Tabla1[[#This Row],[MEDICAMENTO]],TAB_REF!$B$3:$F$27,4,0), "")</f>
        <v>Solución Inyectable</v>
      </c>
      <c r="AC353" s="10" t="str">
        <f>IFERROR(VLOOKUP(Tabla1[[#This Row],[MEDICAMENTO]],TAB_REF!$B$3:$F$27,5,0), "")</f>
        <v>Caja x 10 unidades</v>
      </c>
      <c r="AD353" s="10" t="str">
        <f>IFERROR(VLOOKUP(Tabla1[[#This Row],[CANTIDAD UND COMERCIALES]],TAB_REF!$H$3:$I$1003,2,0)&amp;" ("&amp;Tabla1[[#This Row],[CANTIDAD UND COMERCIALES]]&amp;")"&amp;"_"&amp;Tabla1[[#This Row],[CANTIDAD]],"")</f>
        <v/>
      </c>
      <c r="AE353" s="31" t="e">
        <f>CONCATENATE([1]!Tabla1[[#This Row],[NOMBRE MED.]],[1]!Tabla1[[#This Row],[CONCENTRACION]],[1]!Tabla1[[#This Row],[FORMA FARMACEUTICA]])</f>
        <v>#REF!</v>
      </c>
    </row>
    <row r="354" spans="2:31" x14ac:dyDescent="0.25">
      <c r="B354" s="10">
        <v>131</v>
      </c>
      <c r="C354" s="10" t="s">
        <v>2538</v>
      </c>
      <c r="D354" s="10" t="s">
        <v>2175</v>
      </c>
      <c r="E354" s="10" t="s">
        <v>2886</v>
      </c>
      <c r="F354" s="10" t="s">
        <v>2540</v>
      </c>
      <c r="G354" s="21" t="s">
        <v>2541</v>
      </c>
      <c r="H354" s="37" t="s">
        <v>2887</v>
      </c>
      <c r="I354" s="10" t="s">
        <v>2120</v>
      </c>
      <c r="J354" s="10" t="s">
        <v>1696</v>
      </c>
      <c r="K354" s="10" t="s">
        <v>2888</v>
      </c>
      <c r="L354" s="11">
        <v>202124100420612</v>
      </c>
      <c r="M354" s="20">
        <v>44265</v>
      </c>
      <c r="N354" s="20" t="str">
        <f>UPPER(TEXT(Tabla1[[#This Row],[FECHA RADICADO ENTRADA]],"MMM"))</f>
        <v>MAR</v>
      </c>
      <c r="O354" s="11">
        <v>202124110444231</v>
      </c>
      <c r="P354" s="20">
        <v>44273</v>
      </c>
      <c r="Q354" s="20" t="str">
        <f>UPPER(TEXT(Tabla1[[#This Row],[FECHA RADICADO ENTRADA]],"MMM"))</f>
        <v>MAR</v>
      </c>
      <c r="R354" s="10">
        <f t="shared" si="5"/>
        <v>-8</v>
      </c>
      <c r="S354" s="10" t="s">
        <v>2154</v>
      </c>
      <c r="U354" s="10" t="s">
        <v>2544</v>
      </c>
      <c r="V354" s="20">
        <v>42831</v>
      </c>
      <c r="W354" s="10" t="s">
        <v>60</v>
      </c>
      <c r="X354" s="10">
        <v>10</v>
      </c>
      <c r="Y354" s="11">
        <f>IFERROR(INT(Tabla1[[#This Row],[CANTIDAD UND FARMACEUTICAS]]/(VLOOKUP(Tabla1[[#This Row],[MEDICAMENTO]],TAB_REF!$K$3:$L$27,2,0))),"")</f>
        <v>10</v>
      </c>
      <c r="Z354" s="10" t="str">
        <f>IFERROR(VLOOKUP(Tabla1[[#This Row],[MEDICAMENTO]],TAB_REF!$B$3:$F$27,2,0), "")</f>
        <v xml:space="preserve">Morfina HCl </v>
      </c>
      <c r="AA354" s="10" t="str">
        <f>IFERROR(VLOOKUP(Tabla1[[#This Row],[MEDICAMENTO]],TAB_REF!$B$3:$F$27,3,0), "")</f>
        <v xml:space="preserve">3%. </v>
      </c>
      <c r="AB354" s="10" t="str">
        <f>IFERROR(VLOOKUP(Tabla1[[#This Row],[MEDICAMENTO]],TAB_REF!$B$3:$F$27,4,0), "")</f>
        <v>Solución Oral</v>
      </c>
      <c r="AC354" s="10" t="str">
        <f>IFERROR(VLOOKUP(Tabla1[[#This Row],[MEDICAMENTO]],TAB_REF!$B$3:$F$27,5,0), "")</f>
        <v>Frasco x 30 mL</v>
      </c>
      <c r="AD354" s="10" t="str">
        <f>IFERROR(VLOOKUP(Tabla1[[#This Row],[CANTIDAD UND COMERCIALES]],TAB_REF!$H$3:$I$1003,2,0)&amp;" ("&amp;Tabla1[[#This Row],[CANTIDAD UND COMERCIALES]]&amp;")"&amp;"_"&amp;Tabla1[[#This Row],[CANTIDAD]],"")</f>
        <v>Diez (10)_Frasco x 30 mL</v>
      </c>
      <c r="AE354" s="31" t="e">
        <f>CONCATENATE([1]!Tabla1[[#This Row],[NOMBRE MED.]],[1]!Tabla1[[#This Row],[CONCENTRACION]],[1]!Tabla1[[#This Row],[FORMA FARMACEUTICA]])</f>
        <v>#REF!</v>
      </c>
    </row>
    <row r="355" spans="2:31" x14ac:dyDescent="0.25">
      <c r="B355" s="10">
        <v>131</v>
      </c>
      <c r="C355" s="10" t="s">
        <v>2538</v>
      </c>
      <c r="D355" s="10" t="s">
        <v>2175</v>
      </c>
      <c r="E355" s="10" t="s">
        <v>2886</v>
      </c>
      <c r="F355" s="10" t="s">
        <v>2540</v>
      </c>
      <c r="G355" s="21" t="s">
        <v>2541</v>
      </c>
      <c r="H355" s="37" t="s">
        <v>2887</v>
      </c>
      <c r="I355" s="10" t="s">
        <v>2120</v>
      </c>
      <c r="J355" s="10" t="s">
        <v>1696</v>
      </c>
      <c r="K355" s="10" t="s">
        <v>2888</v>
      </c>
      <c r="L355" s="11">
        <v>202124100420612</v>
      </c>
      <c r="M355" s="20">
        <v>44265</v>
      </c>
      <c r="N355" s="20" t="str">
        <f>UPPER(TEXT(Tabla1[[#This Row],[FECHA RADICADO ENTRADA]],"MMM"))</f>
        <v>MAR</v>
      </c>
      <c r="O355" s="11">
        <v>202124110444231</v>
      </c>
      <c r="P355" s="20">
        <v>44273</v>
      </c>
      <c r="Q355" s="20" t="str">
        <f>UPPER(TEXT(Tabla1[[#This Row],[FECHA RADICADO ENTRADA]],"MMM"))</f>
        <v>MAR</v>
      </c>
      <c r="R355" s="10">
        <f t="shared" si="5"/>
        <v>-8</v>
      </c>
      <c r="S355" s="10" t="s">
        <v>2154</v>
      </c>
      <c r="U355" s="10" t="s">
        <v>2544</v>
      </c>
      <c r="V355" s="20">
        <v>42831</v>
      </c>
      <c r="W355" s="10" t="s">
        <v>32</v>
      </c>
      <c r="X355" s="10">
        <v>90</v>
      </c>
      <c r="Y355" s="11">
        <f>IFERROR(INT(Tabla1[[#This Row],[CANTIDAD UND FARMACEUTICAS]]/(VLOOKUP(Tabla1[[#This Row],[MEDICAMENTO]],TAB_REF!$K$3:$L$27,2,0))),"")</f>
        <v>3</v>
      </c>
      <c r="Z355" s="10" t="str">
        <f>IFERROR(VLOOKUP(Tabla1[[#This Row],[MEDICAMENTO]],TAB_REF!$B$3:$F$27,2,0), "")</f>
        <v xml:space="preserve">Fenobarbital </v>
      </c>
      <c r="AA355" s="10" t="str">
        <f>IFERROR(VLOOKUP(Tabla1[[#This Row],[MEDICAMENTO]],TAB_REF!$B$3:$F$27,3,0), "")</f>
        <v xml:space="preserve">100 mg </v>
      </c>
      <c r="AB355" s="10" t="str">
        <f>IFERROR(VLOOKUP(Tabla1[[#This Row],[MEDICAMENTO]],TAB_REF!$B$3:$F$27,4,0), "")</f>
        <v>Tabletas</v>
      </c>
      <c r="AC355" s="10" t="str">
        <f>IFERROR(VLOOKUP(Tabla1[[#This Row],[MEDICAMENTO]],TAB_REF!$B$3:$F$27,5,0), "")</f>
        <v>Caja x 30 unidades</v>
      </c>
      <c r="AD355" s="10" t="str">
        <f>IFERROR(VLOOKUP(Tabla1[[#This Row],[CANTIDAD UND COMERCIALES]],TAB_REF!$H$3:$I$1003,2,0)&amp;" ("&amp;Tabla1[[#This Row],[CANTIDAD UND COMERCIALES]]&amp;")"&amp;"_"&amp;Tabla1[[#This Row],[CANTIDAD]],"")</f>
        <v>Tres (3)_Caja x 30 unidades</v>
      </c>
      <c r="AE355" s="31" t="e">
        <f>CONCATENATE([1]!Tabla1[[#This Row],[NOMBRE MED.]],[1]!Tabla1[[#This Row],[CONCENTRACION]],[1]!Tabla1[[#This Row],[FORMA FARMACEUTICA]])</f>
        <v>#REF!</v>
      </c>
    </row>
    <row r="356" spans="2:31" x14ac:dyDescent="0.25">
      <c r="B356" s="10">
        <v>131</v>
      </c>
      <c r="C356" s="10" t="s">
        <v>2538</v>
      </c>
      <c r="D356" s="10" t="s">
        <v>2175</v>
      </c>
      <c r="E356" s="10" t="s">
        <v>2886</v>
      </c>
      <c r="F356" s="10" t="s">
        <v>2540</v>
      </c>
      <c r="G356" s="21" t="s">
        <v>2541</v>
      </c>
      <c r="H356" s="37" t="s">
        <v>2887</v>
      </c>
      <c r="I356" s="10" t="s">
        <v>2120</v>
      </c>
      <c r="J356" s="10" t="s">
        <v>1696</v>
      </c>
      <c r="K356" s="10" t="s">
        <v>2888</v>
      </c>
      <c r="L356" s="11">
        <v>202124100420612</v>
      </c>
      <c r="M356" s="20">
        <v>44265</v>
      </c>
      <c r="N356" s="20" t="str">
        <f>UPPER(TEXT(Tabla1[[#This Row],[FECHA RADICADO ENTRADA]],"MMM"))</f>
        <v>MAR</v>
      </c>
      <c r="O356" s="11">
        <v>202124110444231</v>
      </c>
      <c r="P356" s="20">
        <v>44273</v>
      </c>
      <c r="Q356" s="20" t="str">
        <f>UPPER(TEXT(Tabla1[[#This Row],[FECHA RADICADO ENTRADA]],"MMM"))</f>
        <v>MAR</v>
      </c>
      <c r="R356" s="10">
        <f t="shared" si="5"/>
        <v>-8</v>
      </c>
      <c r="S356" s="10" t="s">
        <v>2154</v>
      </c>
      <c r="U356" s="10" t="s">
        <v>2544</v>
      </c>
      <c r="V356" s="20">
        <v>42831</v>
      </c>
      <c r="W356" s="10" t="s">
        <v>41</v>
      </c>
      <c r="X356" s="10">
        <v>200</v>
      </c>
      <c r="Y356" s="11">
        <f>IFERROR(INT(Tabla1[[#This Row],[CANTIDAD UND FARMACEUTICAS]]/(VLOOKUP(Tabla1[[#This Row],[MEDICAMENTO]],TAB_REF!$K$3:$L$27,2,0))),"")</f>
        <v>20</v>
      </c>
      <c r="Z356" s="10" t="str">
        <f>IFERROR(VLOOKUP(Tabla1[[#This Row],[MEDICAMENTO]],TAB_REF!$B$3:$F$27,2,0), "")</f>
        <v xml:space="preserve">Meperidina HCl </v>
      </c>
      <c r="AA356" s="10" t="str">
        <f>IFERROR(VLOOKUP(Tabla1[[#This Row],[MEDICAMENTO]],TAB_REF!$B$3:$F$27,3,0), "")</f>
        <v xml:space="preserve">100 mg/2mL </v>
      </c>
      <c r="AB356" s="10" t="str">
        <f>IFERROR(VLOOKUP(Tabla1[[#This Row],[MEDICAMENTO]],TAB_REF!$B$3:$F$27,4,0), "")</f>
        <v>Solución Inyectable</v>
      </c>
      <c r="AC356" s="10" t="str">
        <f>IFERROR(VLOOKUP(Tabla1[[#This Row],[MEDICAMENTO]],TAB_REF!$B$3:$F$27,5,0), "")</f>
        <v>Caja 10 ampollas</v>
      </c>
      <c r="AD356" s="10" t="str">
        <f>IFERROR(VLOOKUP(Tabla1[[#This Row],[CANTIDAD UND COMERCIALES]],TAB_REF!$H$3:$I$1003,2,0)&amp;" ("&amp;Tabla1[[#This Row],[CANTIDAD UND COMERCIALES]]&amp;")"&amp;"_"&amp;Tabla1[[#This Row],[CANTIDAD]],"")</f>
        <v>Veinte (20)_Caja 10 ampollas</v>
      </c>
      <c r="AE356" s="31" t="e">
        <f>CONCATENATE([1]!Tabla1[[#This Row],[NOMBRE MED.]],[1]!Tabla1[[#This Row],[CONCENTRACION]],[1]!Tabla1[[#This Row],[FORMA FARMACEUTICA]])</f>
        <v>#REF!</v>
      </c>
    </row>
    <row r="357" spans="2:31" x14ac:dyDescent="0.25">
      <c r="B357" s="10">
        <v>132</v>
      </c>
      <c r="C357" s="10" t="s">
        <v>2896</v>
      </c>
      <c r="D357" s="10" t="s">
        <v>2162</v>
      </c>
      <c r="E357" s="10" t="s">
        <v>2674</v>
      </c>
      <c r="F357" s="10" t="s">
        <v>2897</v>
      </c>
      <c r="G357" s="21" t="s">
        <v>2898</v>
      </c>
      <c r="H357" s="10" t="s">
        <v>2164</v>
      </c>
      <c r="I357" s="10" t="s">
        <v>2110</v>
      </c>
      <c r="K357" s="10" t="s">
        <v>2899</v>
      </c>
      <c r="L357" s="11">
        <v>202124100425072</v>
      </c>
      <c r="M357" s="20">
        <v>44266</v>
      </c>
      <c r="N357" s="20" t="str">
        <f>UPPER(TEXT(Tabla1[[#This Row],[FECHA RADICADO ENTRADA]],"MMM"))</f>
        <v>MAR</v>
      </c>
      <c r="O357" s="11">
        <v>202124110455101</v>
      </c>
      <c r="P357" s="20">
        <v>44274</v>
      </c>
      <c r="Q357" s="20" t="str">
        <f>UPPER(TEXT(Tabla1[[#This Row],[FECHA RADICADO ENTRADA]],"MMM"))</f>
        <v>MAR</v>
      </c>
      <c r="R357" s="10">
        <f t="shared" si="5"/>
        <v>-8</v>
      </c>
      <c r="S357" s="10" t="s">
        <v>2145</v>
      </c>
      <c r="T357" s="10" t="s">
        <v>2808</v>
      </c>
      <c r="U357" s="10" t="s">
        <v>2164</v>
      </c>
      <c r="V357" s="10" t="s">
        <v>2164</v>
      </c>
      <c r="W357" s="10" t="s">
        <v>32</v>
      </c>
      <c r="X357" s="10">
        <v>0</v>
      </c>
      <c r="Y357" s="11">
        <f>IFERROR(INT(Tabla1[[#This Row],[CANTIDAD UND FARMACEUTICAS]]/(VLOOKUP(Tabla1[[#This Row],[MEDICAMENTO]],TAB_REF!$K$3:$L$27,2,0))),"")</f>
        <v>0</v>
      </c>
      <c r="Z357" s="10" t="str">
        <f>IFERROR(VLOOKUP(Tabla1[[#This Row],[MEDICAMENTO]],TAB_REF!$B$3:$F$27,2,0), "")</f>
        <v xml:space="preserve">Fenobarbital </v>
      </c>
      <c r="AA357" s="10" t="str">
        <f>IFERROR(VLOOKUP(Tabla1[[#This Row],[MEDICAMENTO]],TAB_REF!$B$3:$F$27,3,0), "")</f>
        <v xml:space="preserve">100 mg </v>
      </c>
      <c r="AB357" s="10" t="str">
        <f>IFERROR(VLOOKUP(Tabla1[[#This Row],[MEDICAMENTO]],TAB_REF!$B$3:$F$27,4,0), "")</f>
        <v>Tabletas</v>
      </c>
      <c r="AC357" s="10" t="str">
        <f>IFERROR(VLOOKUP(Tabla1[[#This Row],[MEDICAMENTO]],TAB_REF!$B$3:$F$27,5,0), "")</f>
        <v>Caja x 30 unidades</v>
      </c>
      <c r="AD357" s="10" t="str">
        <f>IFERROR(VLOOKUP(Tabla1[[#This Row],[CANTIDAD UND COMERCIALES]],TAB_REF!$H$3:$I$1003,2,0)&amp;" ("&amp;Tabla1[[#This Row],[CANTIDAD UND COMERCIALES]]&amp;")"&amp;"_"&amp;Tabla1[[#This Row],[CANTIDAD]],"")</f>
        <v/>
      </c>
      <c r="AE357" s="31" t="e">
        <f>CONCATENATE([1]!Tabla1[[#This Row],[NOMBRE MED.]],[1]!Tabla1[[#This Row],[CONCENTRACION]],[1]!Tabla1[[#This Row],[FORMA FARMACEUTICA]])</f>
        <v>#REF!</v>
      </c>
    </row>
    <row r="358" spans="2:31" x14ac:dyDescent="0.25">
      <c r="B358" s="10">
        <v>132</v>
      </c>
      <c r="C358" s="10" t="s">
        <v>2896</v>
      </c>
      <c r="D358" s="10" t="s">
        <v>2162</v>
      </c>
      <c r="E358" s="10" t="s">
        <v>2674</v>
      </c>
      <c r="F358" s="10" t="s">
        <v>2897</v>
      </c>
      <c r="G358" s="21" t="s">
        <v>2898</v>
      </c>
      <c r="H358" s="10" t="s">
        <v>2164</v>
      </c>
      <c r="I358" s="10" t="s">
        <v>2110</v>
      </c>
      <c r="K358" s="10" t="s">
        <v>2899</v>
      </c>
      <c r="L358" s="11">
        <v>202124100425072</v>
      </c>
      <c r="M358" s="20">
        <v>44266</v>
      </c>
      <c r="N358" s="20" t="str">
        <f>UPPER(TEXT(Tabla1[[#This Row],[FECHA RADICADO ENTRADA]],"MMM"))</f>
        <v>MAR</v>
      </c>
      <c r="O358" s="11">
        <v>202124110455101</v>
      </c>
      <c r="P358" s="20">
        <v>44274</v>
      </c>
      <c r="Q358" s="20" t="str">
        <f>UPPER(TEXT(Tabla1[[#This Row],[FECHA RADICADO ENTRADA]],"MMM"))</f>
        <v>MAR</v>
      </c>
      <c r="R358" s="10">
        <f t="shared" si="5"/>
        <v>-8</v>
      </c>
      <c r="S358" s="10" t="s">
        <v>2145</v>
      </c>
      <c r="T358" s="10" t="s">
        <v>2808</v>
      </c>
      <c r="U358" s="10" t="s">
        <v>2164</v>
      </c>
      <c r="V358" s="10" t="s">
        <v>2164</v>
      </c>
      <c r="W358" s="10" t="s">
        <v>48</v>
      </c>
      <c r="X358" s="10">
        <v>0</v>
      </c>
      <c r="Y358" s="11">
        <f>IFERROR(INT(Tabla1[[#This Row],[CANTIDAD UND FARMACEUTICAS]]/(VLOOKUP(Tabla1[[#This Row],[MEDICAMENTO]],TAB_REF!$K$3:$L$27,2,0))),"")</f>
        <v>0</v>
      </c>
      <c r="Z358" s="10" t="str">
        <f>IFERROR(VLOOKUP(Tabla1[[#This Row],[MEDICAMENTO]],TAB_REF!$B$3:$F$27,2,0), "")</f>
        <v xml:space="preserve">Metilfenidato HCl </v>
      </c>
      <c r="AA358" s="10" t="str">
        <f>IFERROR(VLOOKUP(Tabla1[[#This Row],[MEDICAMENTO]],TAB_REF!$B$3:$F$27,3,0), "")</f>
        <v xml:space="preserve">10 mg </v>
      </c>
      <c r="AB358" s="10" t="str">
        <f>IFERROR(VLOOKUP(Tabla1[[#This Row],[MEDICAMENTO]],TAB_REF!$B$3:$F$27,4,0), "")</f>
        <v>Comprimidos</v>
      </c>
      <c r="AC358" s="10" t="str">
        <f>IFERROR(VLOOKUP(Tabla1[[#This Row],[MEDICAMENTO]],TAB_REF!$B$3:$F$27,5,0), "")</f>
        <v>Caja x 30 unidades</v>
      </c>
      <c r="AD358" s="10" t="str">
        <f>IFERROR(VLOOKUP(Tabla1[[#This Row],[CANTIDAD UND COMERCIALES]],TAB_REF!$H$3:$I$1003,2,0)&amp;" ("&amp;Tabla1[[#This Row],[CANTIDAD UND COMERCIALES]]&amp;")"&amp;"_"&amp;Tabla1[[#This Row],[CANTIDAD]],"")</f>
        <v/>
      </c>
      <c r="AE358" s="31" t="e">
        <f>CONCATENATE([1]!Tabla1[[#This Row],[NOMBRE MED.]],[1]!Tabla1[[#This Row],[CONCENTRACION]],[1]!Tabla1[[#This Row],[FORMA FARMACEUTICA]])</f>
        <v>#REF!</v>
      </c>
    </row>
    <row r="359" spans="2:31" x14ac:dyDescent="0.25">
      <c r="B359" s="10">
        <v>133</v>
      </c>
      <c r="C359" s="10" t="s">
        <v>2444</v>
      </c>
      <c r="D359" s="10" t="s">
        <v>2182</v>
      </c>
      <c r="E359" s="10" t="s">
        <v>2445</v>
      </c>
      <c r="F359" s="10" t="s">
        <v>2446</v>
      </c>
      <c r="G359" s="10" t="s">
        <v>2447</v>
      </c>
      <c r="H359" s="10" t="s">
        <v>2448</v>
      </c>
      <c r="I359" s="10" t="s">
        <v>2129</v>
      </c>
      <c r="J359" s="10" t="s">
        <v>2011</v>
      </c>
      <c r="K359" s="10" t="s">
        <v>2900</v>
      </c>
      <c r="L359" s="11">
        <v>202124100435602</v>
      </c>
      <c r="M359" s="20">
        <v>44267</v>
      </c>
      <c r="N359" s="20" t="str">
        <f>UPPER(TEXT(Tabla1[[#This Row],[FECHA RADICADO ENTRADA]],"MMM"))</f>
        <v>MAR</v>
      </c>
      <c r="O359" s="11">
        <v>202124110455161</v>
      </c>
      <c r="P359" s="20">
        <v>44274</v>
      </c>
      <c r="Q359" s="20" t="str">
        <f>UPPER(TEXT(Tabla1[[#This Row],[FECHA RADICADO ENTRADA]],"MMM"))</f>
        <v>MAR</v>
      </c>
      <c r="R359" s="10">
        <f t="shared" si="5"/>
        <v>-7</v>
      </c>
      <c r="S359" s="10" t="s">
        <v>2154</v>
      </c>
      <c r="U359" s="10" t="s">
        <v>2450</v>
      </c>
      <c r="V359" s="20">
        <v>44186</v>
      </c>
      <c r="W359" s="10" t="s">
        <v>32</v>
      </c>
      <c r="X359" s="10">
        <v>1200</v>
      </c>
      <c r="Y359" s="11">
        <f>IFERROR(INT(Tabla1[[#This Row],[CANTIDAD UND FARMACEUTICAS]]/(VLOOKUP(Tabla1[[#This Row],[MEDICAMENTO]],TAB_REF!$K$3:$L$27,2,0))),"")</f>
        <v>40</v>
      </c>
      <c r="Z359" s="10" t="str">
        <f>IFERROR(VLOOKUP(Tabla1[[#This Row],[MEDICAMENTO]],TAB_REF!$B$3:$F$27,2,0), "")</f>
        <v xml:space="preserve">Fenobarbital </v>
      </c>
      <c r="AA359" s="10" t="str">
        <f>IFERROR(VLOOKUP(Tabla1[[#This Row],[MEDICAMENTO]],TAB_REF!$B$3:$F$27,3,0), "")</f>
        <v xml:space="preserve">100 mg </v>
      </c>
      <c r="AB359" s="10" t="str">
        <f>IFERROR(VLOOKUP(Tabla1[[#This Row],[MEDICAMENTO]],TAB_REF!$B$3:$F$27,4,0), "")</f>
        <v>Tabletas</v>
      </c>
      <c r="AC359" s="10" t="str">
        <f>IFERROR(VLOOKUP(Tabla1[[#This Row],[MEDICAMENTO]],TAB_REF!$B$3:$F$27,5,0), "")</f>
        <v>Caja x 30 unidades</v>
      </c>
      <c r="AD359" s="10" t="str">
        <f>IFERROR(VLOOKUP(Tabla1[[#This Row],[CANTIDAD UND COMERCIALES]],TAB_REF!$H$3:$I$1003,2,0)&amp;" ("&amp;Tabla1[[#This Row],[CANTIDAD UND COMERCIALES]]&amp;")"&amp;"_"&amp;Tabla1[[#This Row],[CANTIDAD]],"")</f>
        <v>Cuarenta (40)_Caja x 30 unidades</v>
      </c>
      <c r="AE359" s="31" t="e">
        <f>CONCATENATE([1]!Tabla1[[#This Row],[NOMBRE MED.]],[1]!Tabla1[[#This Row],[CONCENTRACION]],[1]!Tabla1[[#This Row],[FORMA FARMACEUTICA]])</f>
        <v>#REF!</v>
      </c>
    </row>
    <row r="360" spans="2:31" x14ac:dyDescent="0.25">
      <c r="B360" s="10">
        <v>133</v>
      </c>
      <c r="C360" s="10" t="s">
        <v>2444</v>
      </c>
      <c r="D360" s="10" t="s">
        <v>2182</v>
      </c>
      <c r="E360" s="10" t="s">
        <v>2445</v>
      </c>
      <c r="F360" s="10" t="s">
        <v>2446</v>
      </c>
      <c r="G360" s="10" t="s">
        <v>2447</v>
      </c>
      <c r="H360" s="10" t="s">
        <v>2448</v>
      </c>
      <c r="I360" s="10" t="s">
        <v>2129</v>
      </c>
      <c r="J360" s="10" t="s">
        <v>2011</v>
      </c>
      <c r="K360" s="10" t="s">
        <v>2900</v>
      </c>
      <c r="L360" s="11">
        <v>202124100435602</v>
      </c>
      <c r="M360" s="20">
        <v>44267</v>
      </c>
      <c r="N360" s="20" t="str">
        <f>UPPER(TEXT(Tabla1[[#This Row],[FECHA RADICADO ENTRADA]],"MMM"))</f>
        <v>MAR</v>
      </c>
      <c r="O360" s="11">
        <v>202124110455161</v>
      </c>
      <c r="P360" s="20">
        <v>44274</v>
      </c>
      <c r="Q360" s="20" t="str">
        <f>UPPER(TEXT(Tabla1[[#This Row],[FECHA RADICADO ENTRADA]],"MMM"))</f>
        <v>MAR</v>
      </c>
      <c r="R360" s="10">
        <f t="shared" si="5"/>
        <v>-7</v>
      </c>
      <c r="S360" s="10" t="s">
        <v>2154</v>
      </c>
      <c r="U360" s="10" t="s">
        <v>2450</v>
      </c>
      <c r="V360" s="20">
        <v>44186</v>
      </c>
      <c r="W360" s="10" t="s">
        <v>38</v>
      </c>
      <c r="X360" s="10">
        <v>180</v>
      </c>
      <c r="Y360" s="11">
        <f>IFERROR(INT(Tabla1[[#This Row],[CANTIDAD UND FARMACEUTICAS]]/(VLOOKUP(Tabla1[[#This Row],[MEDICAMENTO]],TAB_REF!$K$3:$L$27,2,0))),"")</f>
        <v>9</v>
      </c>
      <c r="Z360" s="10" t="str">
        <f>IFERROR(VLOOKUP(Tabla1[[#This Row],[MEDICAMENTO]],TAB_REF!$B$3:$F$27,2,0), "")</f>
        <v xml:space="preserve">Hidromorfona HCl </v>
      </c>
      <c r="AA360" s="10" t="str">
        <f>IFERROR(VLOOKUP(Tabla1[[#This Row],[MEDICAMENTO]],TAB_REF!$B$3:$F$27,3,0), "")</f>
        <v xml:space="preserve">2,5 mg </v>
      </c>
      <c r="AB360" s="10" t="str">
        <f>IFERROR(VLOOKUP(Tabla1[[#This Row],[MEDICAMENTO]],TAB_REF!$B$3:$F$27,4,0), "")</f>
        <v>Tabletas</v>
      </c>
      <c r="AC360" s="10" t="str">
        <f>IFERROR(VLOOKUP(Tabla1[[#This Row],[MEDICAMENTO]],TAB_REF!$B$3:$F$27,5,0), "")</f>
        <v>Caja x 20 unidades</v>
      </c>
      <c r="AD360" s="10" t="str">
        <f>IFERROR(VLOOKUP(Tabla1[[#This Row],[CANTIDAD UND COMERCIALES]],TAB_REF!$H$3:$I$1003,2,0)&amp;" ("&amp;Tabla1[[#This Row],[CANTIDAD UND COMERCIALES]]&amp;")"&amp;"_"&amp;Tabla1[[#This Row],[CANTIDAD]],"")</f>
        <v>Nueve (9)_Caja x 20 unidades</v>
      </c>
      <c r="AE360" s="31" t="e">
        <f>CONCATENATE([1]!Tabla1[[#This Row],[NOMBRE MED.]],[1]!Tabla1[[#This Row],[CONCENTRACION]],[1]!Tabla1[[#This Row],[FORMA FARMACEUTICA]])</f>
        <v>#REF!</v>
      </c>
    </row>
    <row r="361" spans="2:31" x14ac:dyDescent="0.25">
      <c r="B361" s="10">
        <v>133</v>
      </c>
      <c r="C361" s="10" t="s">
        <v>2444</v>
      </c>
      <c r="D361" s="10" t="s">
        <v>2182</v>
      </c>
      <c r="E361" s="10" t="s">
        <v>2445</v>
      </c>
      <c r="F361" s="10" t="s">
        <v>2446</v>
      </c>
      <c r="G361" s="10" t="s">
        <v>2447</v>
      </c>
      <c r="H361" s="10" t="s">
        <v>2448</v>
      </c>
      <c r="I361" s="10" t="s">
        <v>2129</v>
      </c>
      <c r="J361" s="10" t="s">
        <v>2011</v>
      </c>
      <c r="K361" s="10" t="s">
        <v>2900</v>
      </c>
      <c r="L361" s="11">
        <v>202124100435602</v>
      </c>
      <c r="M361" s="20">
        <v>44267</v>
      </c>
      <c r="N361" s="20" t="str">
        <f>UPPER(TEXT(Tabla1[[#This Row],[FECHA RADICADO ENTRADA]],"MMM"))</f>
        <v>MAR</v>
      </c>
      <c r="O361" s="11">
        <v>202124110455161</v>
      </c>
      <c r="P361" s="20">
        <v>44274</v>
      </c>
      <c r="Q361" s="20" t="str">
        <f>UPPER(TEXT(Tabla1[[#This Row],[FECHA RADICADO ENTRADA]],"MMM"))</f>
        <v>MAR</v>
      </c>
      <c r="R361" s="10">
        <f t="shared" si="5"/>
        <v>-7</v>
      </c>
      <c r="S361" s="10" t="s">
        <v>2154</v>
      </c>
      <c r="U361" s="10" t="s">
        <v>2450</v>
      </c>
      <c r="V361" s="20">
        <v>44186</v>
      </c>
      <c r="W361" s="10" t="s">
        <v>48</v>
      </c>
      <c r="X361" s="10">
        <v>600</v>
      </c>
      <c r="Y361" s="11">
        <f>IFERROR(INT(Tabla1[[#This Row],[CANTIDAD UND FARMACEUTICAS]]/(VLOOKUP(Tabla1[[#This Row],[MEDICAMENTO]],TAB_REF!$K$3:$L$27,2,0))),"")</f>
        <v>20</v>
      </c>
      <c r="Z361" s="10" t="str">
        <f>IFERROR(VLOOKUP(Tabla1[[#This Row],[MEDICAMENTO]],TAB_REF!$B$3:$F$27,2,0), "")</f>
        <v xml:space="preserve">Metilfenidato HCl </v>
      </c>
      <c r="AA361" s="10" t="str">
        <f>IFERROR(VLOOKUP(Tabla1[[#This Row],[MEDICAMENTO]],TAB_REF!$B$3:$F$27,3,0), "")</f>
        <v xml:space="preserve">10 mg </v>
      </c>
      <c r="AB361" s="10" t="str">
        <f>IFERROR(VLOOKUP(Tabla1[[#This Row],[MEDICAMENTO]],TAB_REF!$B$3:$F$27,4,0), "")</f>
        <v>Comprimidos</v>
      </c>
      <c r="AC361" s="10" t="str">
        <f>IFERROR(VLOOKUP(Tabla1[[#This Row],[MEDICAMENTO]],TAB_REF!$B$3:$F$27,5,0), "")</f>
        <v>Caja x 30 unidades</v>
      </c>
      <c r="AD361" s="10" t="str">
        <f>IFERROR(VLOOKUP(Tabla1[[#This Row],[CANTIDAD UND COMERCIALES]],TAB_REF!$H$3:$I$1003,2,0)&amp;" ("&amp;Tabla1[[#This Row],[CANTIDAD UND COMERCIALES]]&amp;")"&amp;"_"&amp;Tabla1[[#This Row],[CANTIDAD]],"")</f>
        <v>Veinte (20)_Caja x 30 unidades</v>
      </c>
      <c r="AE361" s="31" t="e">
        <f>CONCATENATE([1]!Tabla1[[#This Row],[NOMBRE MED.]],[1]!Tabla1[[#This Row],[CONCENTRACION]],[1]!Tabla1[[#This Row],[FORMA FARMACEUTICA]])</f>
        <v>#REF!</v>
      </c>
    </row>
    <row r="362" spans="2:31" x14ac:dyDescent="0.25">
      <c r="B362" s="10">
        <v>133</v>
      </c>
      <c r="C362" s="10" t="s">
        <v>2444</v>
      </c>
      <c r="D362" s="10" t="s">
        <v>2182</v>
      </c>
      <c r="E362" s="10" t="s">
        <v>2445</v>
      </c>
      <c r="F362" s="10" t="s">
        <v>2446</v>
      </c>
      <c r="G362" s="10" t="s">
        <v>2447</v>
      </c>
      <c r="H362" s="10" t="s">
        <v>2448</v>
      </c>
      <c r="I362" s="10" t="s">
        <v>2129</v>
      </c>
      <c r="J362" s="10" t="s">
        <v>2011</v>
      </c>
      <c r="K362" s="10" t="s">
        <v>2900</v>
      </c>
      <c r="L362" s="11">
        <v>202124100435602</v>
      </c>
      <c r="M362" s="20">
        <v>44267</v>
      </c>
      <c r="N362" s="20" t="str">
        <f>UPPER(TEXT(Tabla1[[#This Row],[FECHA RADICADO ENTRADA]],"MMM"))</f>
        <v>MAR</v>
      </c>
      <c r="O362" s="11">
        <v>202124110455161</v>
      </c>
      <c r="P362" s="20">
        <v>44274</v>
      </c>
      <c r="Q362" s="20" t="str">
        <f>UPPER(TEXT(Tabla1[[#This Row],[FECHA RADICADO ENTRADA]],"MMM"))</f>
        <v>MAR</v>
      </c>
      <c r="R362" s="10">
        <f t="shared" si="5"/>
        <v>-7</v>
      </c>
      <c r="S362" s="10" t="s">
        <v>2154</v>
      </c>
      <c r="U362" s="10" t="s">
        <v>2450</v>
      </c>
      <c r="V362" s="20">
        <v>44186</v>
      </c>
      <c r="W362" s="10" t="s">
        <v>60</v>
      </c>
      <c r="X362" s="10">
        <v>10</v>
      </c>
      <c r="Y362" s="11">
        <f>IFERROR(INT(Tabla1[[#This Row],[CANTIDAD UND FARMACEUTICAS]]/(VLOOKUP(Tabla1[[#This Row],[MEDICAMENTO]],TAB_REF!$K$3:$L$27,2,0))),"")</f>
        <v>10</v>
      </c>
      <c r="Z362" s="10" t="str">
        <f>IFERROR(VLOOKUP(Tabla1[[#This Row],[MEDICAMENTO]],TAB_REF!$B$3:$F$27,2,0), "")</f>
        <v xml:space="preserve">Morfina HCl </v>
      </c>
      <c r="AA362" s="10" t="str">
        <f>IFERROR(VLOOKUP(Tabla1[[#This Row],[MEDICAMENTO]],TAB_REF!$B$3:$F$27,3,0), "")</f>
        <v xml:space="preserve">3%. </v>
      </c>
      <c r="AB362" s="10" t="str">
        <f>IFERROR(VLOOKUP(Tabla1[[#This Row],[MEDICAMENTO]],TAB_REF!$B$3:$F$27,4,0), "")</f>
        <v>Solución Oral</v>
      </c>
      <c r="AC362" s="10" t="str">
        <f>IFERROR(VLOOKUP(Tabla1[[#This Row],[MEDICAMENTO]],TAB_REF!$B$3:$F$27,5,0), "")</f>
        <v>Frasco x 30 mL</v>
      </c>
      <c r="AD362" s="10" t="str">
        <f>IFERROR(VLOOKUP(Tabla1[[#This Row],[CANTIDAD UND COMERCIALES]],TAB_REF!$H$3:$I$1003,2,0)&amp;" ("&amp;Tabla1[[#This Row],[CANTIDAD UND COMERCIALES]]&amp;")"&amp;"_"&amp;Tabla1[[#This Row],[CANTIDAD]],"")</f>
        <v>Diez (10)_Frasco x 30 mL</v>
      </c>
      <c r="AE362" s="31" t="e">
        <f>CONCATENATE([1]!Tabla1[[#This Row],[NOMBRE MED.]],[1]!Tabla1[[#This Row],[CONCENTRACION]],[1]!Tabla1[[#This Row],[FORMA FARMACEUTICA]])</f>
        <v>#REF!</v>
      </c>
    </row>
    <row r="363" spans="2:31" x14ac:dyDescent="0.25">
      <c r="B363" s="10">
        <v>134</v>
      </c>
      <c r="C363" s="10" t="s">
        <v>2814</v>
      </c>
      <c r="D363" s="10" t="s">
        <v>2162</v>
      </c>
      <c r="E363" s="10" t="s">
        <v>2901</v>
      </c>
      <c r="F363" s="10" t="s">
        <v>2815</v>
      </c>
      <c r="G363" s="10" t="s">
        <v>2816</v>
      </c>
      <c r="H363" s="10" t="s">
        <v>2817</v>
      </c>
      <c r="I363" s="10" t="s">
        <v>2110</v>
      </c>
      <c r="J363" s="10" t="s">
        <v>1235</v>
      </c>
      <c r="K363" s="10" t="s">
        <v>2818</v>
      </c>
      <c r="L363" s="11">
        <v>202124100439462</v>
      </c>
      <c r="M363" s="20">
        <v>44267</v>
      </c>
      <c r="N363" s="20" t="str">
        <f>UPPER(TEXT(Tabla1[[#This Row],[FECHA RADICADO ENTRADA]],"MMM"))</f>
        <v>MAR</v>
      </c>
      <c r="O363" s="11">
        <v>202124110455241</v>
      </c>
      <c r="P363" s="20">
        <v>44274</v>
      </c>
      <c r="Q363" s="20" t="str">
        <f>UPPER(TEXT(Tabla1[[#This Row],[FECHA RADICADO ENTRADA]],"MMM"))</f>
        <v>MAR</v>
      </c>
      <c r="R363" s="10">
        <f t="shared" si="5"/>
        <v>-7</v>
      </c>
      <c r="S363" s="10" t="s">
        <v>2154</v>
      </c>
      <c r="U363" s="10" t="s">
        <v>2819</v>
      </c>
      <c r="V363" s="20">
        <v>43557</v>
      </c>
      <c r="W363" s="10" t="s">
        <v>48</v>
      </c>
      <c r="X363" s="10">
        <v>180</v>
      </c>
      <c r="Y363" s="11">
        <f>IFERROR(INT(Tabla1[[#This Row],[CANTIDAD UND FARMACEUTICAS]]/(VLOOKUP(Tabla1[[#This Row],[MEDICAMENTO]],TAB_REF!$K$3:$L$27,2,0))),"")</f>
        <v>6</v>
      </c>
      <c r="Z363" s="10" t="str">
        <f>IFERROR(VLOOKUP(Tabla1[[#This Row],[MEDICAMENTO]],TAB_REF!$B$3:$F$27,2,0), "")</f>
        <v xml:space="preserve">Metilfenidato HCl </v>
      </c>
      <c r="AA363" s="10" t="str">
        <f>IFERROR(VLOOKUP(Tabla1[[#This Row],[MEDICAMENTO]],TAB_REF!$B$3:$F$27,3,0), "")</f>
        <v xml:space="preserve">10 mg </v>
      </c>
      <c r="AB363" s="10" t="str">
        <f>IFERROR(VLOOKUP(Tabla1[[#This Row],[MEDICAMENTO]],TAB_REF!$B$3:$F$27,4,0), "")</f>
        <v>Comprimidos</v>
      </c>
      <c r="AC363" s="10" t="str">
        <f>IFERROR(VLOOKUP(Tabla1[[#This Row],[MEDICAMENTO]],TAB_REF!$B$3:$F$27,5,0), "")</f>
        <v>Caja x 30 unidades</v>
      </c>
      <c r="AD363" s="10" t="str">
        <f>IFERROR(VLOOKUP(Tabla1[[#This Row],[CANTIDAD UND COMERCIALES]],TAB_REF!$H$3:$I$1003,2,0)&amp;" ("&amp;Tabla1[[#This Row],[CANTIDAD UND COMERCIALES]]&amp;")"&amp;"_"&amp;Tabla1[[#This Row],[CANTIDAD]],"")</f>
        <v>Seis (6)_Caja x 30 unidades</v>
      </c>
      <c r="AE363" s="31" t="e">
        <f>CONCATENATE([1]!Tabla1[[#This Row],[NOMBRE MED.]],[1]!Tabla1[[#This Row],[CONCENTRACION]],[1]!Tabla1[[#This Row],[FORMA FARMACEUTICA]])</f>
        <v>#REF!</v>
      </c>
    </row>
    <row r="364" spans="2:31" x14ac:dyDescent="0.25">
      <c r="B364" s="10">
        <v>134</v>
      </c>
      <c r="C364" s="10" t="s">
        <v>2814</v>
      </c>
      <c r="D364" s="10" t="s">
        <v>2162</v>
      </c>
      <c r="E364" s="10" t="s">
        <v>2901</v>
      </c>
      <c r="F364" s="10" t="s">
        <v>2815</v>
      </c>
      <c r="G364" s="10" t="s">
        <v>2816</v>
      </c>
      <c r="H364" s="10" t="s">
        <v>2817</v>
      </c>
      <c r="I364" s="10" t="s">
        <v>2110</v>
      </c>
      <c r="J364" s="10" t="s">
        <v>1235</v>
      </c>
      <c r="K364" s="10" t="s">
        <v>2818</v>
      </c>
      <c r="L364" s="11">
        <v>202124100439462</v>
      </c>
      <c r="M364" s="20">
        <v>44267</v>
      </c>
      <c r="N364" s="20" t="str">
        <f>UPPER(TEXT(Tabla1[[#This Row],[FECHA RADICADO ENTRADA]],"MMM"))</f>
        <v>MAR</v>
      </c>
      <c r="O364" s="11">
        <v>202124110455241</v>
      </c>
      <c r="P364" s="20">
        <v>44274</v>
      </c>
      <c r="Q364" s="20" t="str">
        <f>UPPER(TEXT(Tabla1[[#This Row],[FECHA RADICADO ENTRADA]],"MMM"))</f>
        <v>MAR</v>
      </c>
      <c r="R364" s="10">
        <f t="shared" si="5"/>
        <v>-7</v>
      </c>
      <c r="S364" s="10" t="s">
        <v>2154</v>
      </c>
      <c r="U364" s="10" t="s">
        <v>2819</v>
      </c>
      <c r="V364" s="20">
        <v>43557</v>
      </c>
      <c r="W364" s="10" t="s">
        <v>32</v>
      </c>
      <c r="X364" s="10">
        <v>600</v>
      </c>
      <c r="Y364" s="11">
        <f>IFERROR(INT(Tabla1[[#This Row],[CANTIDAD UND FARMACEUTICAS]]/(VLOOKUP(Tabla1[[#This Row],[MEDICAMENTO]],TAB_REF!$K$3:$L$27,2,0))),"")</f>
        <v>20</v>
      </c>
      <c r="Z364" s="10" t="str">
        <f>IFERROR(VLOOKUP(Tabla1[[#This Row],[MEDICAMENTO]],TAB_REF!$B$3:$F$27,2,0), "")</f>
        <v xml:space="preserve">Fenobarbital </v>
      </c>
      <c r="AA364" s="10" t="str">
        <f>IFERROR(VLOOKUP(Tabla1[[#This Row],[MEDICAMENTO]],TAB_REF!$B$3:$F$27,3,0), "")</f>
        <v xml:space="preserve">100 mg </v>
      </c>
      <c r="AB364" s="10" t="str">
        <f>IFERROR(VLOOKUP(Tabla1[[#This Row],[MEDICAMENTO]],TAB_REF!$B$3:$F$27,4,0), "")</f>
        <v>Tabletas</v>
      </c>
      <c r="AC364" s="10" t="str">
        <f>IFERROR(VLOOKUP(Tabla1[[#This Row],[MEDICAMENTO]],TAB_REF!$B$3:$F$27,5,0), "")</f>
        <v>Caja x 30 unidades</v>
      </c>
      <c r="AD364" s="10" t="str">
        <f>IFERROR(VLOOKUP(Tabla1[[#This Row],[CANTIDAD UND COMERCIALES]],TAB_REF!$H$3:$I$1003,2,0)&amp;" ("&amp;Tabla1[[#This Row],[CANTIDAD UND COMERCIALES]]&amp;")"&amp;"_"&amp;Tabla1[[#This Row],[CANTIDAD]],"")</f>
        <v>Veinte (20)_Caja x 30 unidades</v>
      </c>
      <c r="AE364" s="31" t="e">
        <f>CONCATENATE([1]!Tabla1[[#This Row],[NOMBRE MED.]],[1]!Tabla1[[#This Row],[CONCENTRACION]],[1]!Tabla1[[#This Row],[FORMA FARMACEUTICA]])</f>
        <v>#REF!</v>
      </c>
    </row>
    <row r="365" spans="2:31" x14ac:dyDescent="0.25">
      <c r="B365" s="10">
        <v>134</v>
      </c>
      <c r="C365" s="10" t="s">
        <v>2814</v>
      </c>
      <c r="D365" s="10" t="s">
        <v>2162</v>
      </c>
      <c r="E365" s="10" t="s">
        <v>2901</v>
      </c>
      <c r="F365" s="10" t="s">
        <v>2815</v>
      </c>
      <c r="G365" s="10" t="s">
        <v>2816</v>
      </c>
      <c r="H365" s="10" t="s">
        <v>2817</v>
      </c>
      <c r="I365" s="10" t="s">
        <v>2110</v>
      </c>
      <c r="J365" s="10" t="s">
        <v>1235</v>
      </c>
      <c r="K365" s="10" t="s">
        <v>2818</v>
      </c>
      <c r="L365" s="11">
        <v>202124100439462</v>
      </c>
      <c r="M365" s="20">
        <v>44267</v>
      </c>
      <c r="N365" s="20" t="str">
        <f>UPPER(TEXT(Tabla1[[#This Row],[FECHA RADICADO ENTRADA]],"MMM"))</f>
        <v>MAR</v>
      </c>
      <c r="O365" s="11">
        <v>202124110455241</v>
      </c>
      <c r="P365" s="20">
        <v>44274</v>
      </c>
      <c r="Q365" s="20" t="str">
        <f>UPPER(TEXT(Tabla1[[#This Row],[FECHA RADICADO ENTRADA]],"MMM"))</f>
        <v>MAR</v>
      </c>
      <c r="R365" s="10">
        <f t="shared" si="5"/>
        <v>-7</v>
      </c>
      <c r="S365" s="10" t="s">
        <v>2154</v>
      </c>
      <c r="U365" s="10" t="s">
        <v>2819</v>
      </c>
      <c r="V365" s="20">
        <v>43557</v>
      </c>
      <c r="W365" s="10" t="s">
        <v>60</v>
      </c>
      <c r="X365" s="10">
        <v>5</v>
      </c>
      <c r="Y365" s="11">
        <f>IFERROR(INT(Tabla1[[#This Row],[CANTIDAD UND FARMACEUTICAS]]/(VLOOKUP(Tabla1[[#This Row],[MEDICAMENTO]],TAB_REF!$K$3:$L$27,2,0))),"")</f>
        <v>5</v>
      </c>
      <c r="Z365" s="10" t="str">
        <f>IFERROR(VLOOKUP(Tabla1[[#This Row],[MEDICAMENTO]],TAB_REF!$B$3:$F$27,2,0), "")</f>
        <v xml:space="preserve">Morfina HCl </v>
      </c>
      <c r="AA365" s="10" t="str">
        <f>IFERROR(VLOOKUP(Tabla1[[#This Row],[MEDICAMENTO]],TAB_REF!$B$3:$F$27,3,0), "")</f>
        <v xml:space="preserve">3%. </v>
      </c>
      <c r="AB365" s="10" t="str">
        <f>IFERROR(VLOOKUP(Tabla1[[#This Row],[MEDICAMENTO]],TAB_REF!$B$3:$F$27,4,0), "")</f>
        <v>Solución Oral</v>
      </c>
      <c r="AC365" s="10" t="str">
        <f>IFERROR(VLOOKUP(Tabla1[[#This Row],[MEDICAMENTO]],TAB_REF!$B$3:$F$27,5,0), "")</f>
        <v>Frasco x 30 mL</v>
      </c>
      <c r="AD365" s="10" t="str">
        <f>IFERROR(VLOOKUP(Tabla1[[#This Row],[CANTIDAD UND COMERCIALES]],TAB_REF!$H$3:$I$1003,2,0)&amp;" ("&amp;Tabla1[[#This Row],[CANTIDAD UND COMERCIALES]]&amp;")"&amp;"_"&amp;Tabla1[[#This Row],[CANTIDAD]],"")</f>
        <v>Cinco (5)_Frasco x 30 mL</v>
      </c>
      <c r="AE365" s="31" t="e">
        <f>CONCATENATE([1]!Tabla1[[#This Row],[NOMBRE MED.]],[1]!Tabla1[[#This Row],[CONCENTRACION]],[1]!Tabla1[[#This Row],[FORMA FARMACEUTICA]])</f>
        <v>#REF!</v>
      </c>
    </row>
    <row r="366" spans="2:31" x14ac:dyDescent="0.25">
      <c r="B366" s="10">
        <v>135</v>
      </c>
      <c r="C366" s="10" t="s">
        <v>2202</v>
      </c>
      <c r="D366" s="10" t="s">
        <v>2203</v>
      </c>
      <c r="E366" s="10" t="s">
        <v>2204</v>
      </c>
      <c r="F366" s="10" t="s">
        <v>2205</v>
      </c>
      <c r="G366" s="10" t="s">
        <v>2206</v>
      </c>
      <c r="H366" s="10" t="s">
        <v>2207</v>
      </c>
      <c r="I366" s="10" t="s">
        <v>2129</v>
      </c>
      <c r="J366" s="10" t="s">
        <v>2011</v>
      </c>
      <c r="K366" s="10" t="s">
        <v>2902</v>
      </c>
      <c r="L366" s="11">
        <v>202124100439952</v>
      </c>
      <c r="M366" s="20">
        <v>44267</v>
      </c>
      <c r="N366" s="20" t="str">
        <f>UPPER(TEXT(Tabla1[[#This Row],[FECHA RADICADO ENTRADA]],"MMM"))</f>
        <v>MAR</v>
      </c>
      <c r="O366" s="11">
        <v>202124110455371</v>
      </c>
      <c r="P366" s="20">
        <v>44274</v>
      </c>
      <c r="Q366" s="20" t="str">
        <f>UPPER(TEXT(Tabla1[[#This Row],[FECHA RADICADO ENTRADA]],"MMM"))</f>
        <v>MAR</v>
      </c>
      <c r="R366" s="10">
        <f t="shared" si="5"/>
        <v>-7</v>
      </c>
      <c r="S366" s="10" t="s">
        <v>2154</v>
      </c>
      <c r="U366" s="10" t="s">
        <v>2208</v>
      </c>
      <c r="V366" s="20">
        <v>43592</v>
      </c>
      <c r="W366" s="10" t="s">
        <v>30</v>
      </c>
      <c r="X366" s="10">
        <v>150</v>
      </c>
      <c r="Y366" s="11">
        <f>IFERROR(INT(Tabla1[[#This Row],[CANTIDAD UND FARMACEUTICAS]]/(VLOOKUP(Tabla1[[#This Row],[MEDICAMENTO]],TAB_REF!$K$3:$L$27,2,0))),"")</f>
        <v>5</v>
      </c>
      <c r="Z366" s="10" t="str">
        <f>IFERROR(VLOOKUP(Tabla1[[#This Row],[MEDICAMENTO]],TAB_REF!$B$3:$F$27,2,0), "")</f>
        <v xml:space="preserve">Fenobarbital </v>
      </c>
      <c r="AA366" s="10" t="str">
        <f>IFERROR(VLOOKUP(Tabla1[[#This Row],[MEDICAMENTO]],TAB_REF!$B$3:$F$27,3,0), "")</f>
        <v xml:space="preserve">10 mg </v>
      </c>
      <c r="AB366" s="10" t="str">
        <f>IFERROR(VLOOKUP(Tabla1[[#This Row],[MEDICAMENTO]],TAB_REF!$B$3:$F$27,4,0), "")</f>
        <v>Tabletas</v>
      </c>
      <c r="AC366" s="10" t="str">
        <f>IFERROR(VLOOKUP(Tabla1[[#This Row],[MEDICAMENTO]],TAB_REF!$B$3:$F$27,5,0), "")</f>
        <v>Caja x 30 unidades</v>
      </c>
      <c r="AD366" s="10" t="str">
        <f>IFERROR(VLOOKUP(Tabla1[[#This Row],[CANTIDAD UND COMERCIALES]],TAB_REF!$H$3:$I$1003,2,0)&amp;" ("&amp;Tabla1[[#This Row],[CANTIDAD UND COMERCIALES]]&amp;")"&amp;"_"&amp;Tabla1[[#This Row],[CANTIDAD]],"")</f>
        <v>Cinco (5)_Caja x 30 unidades</v>
      </c>
      <c r="AE366" s="31" t="e">
        <f>CONCATENATE([1]!Tabla1[[#This Row],[NOMBRE MED.]],[1]!Tabla1[[#This Row],[CONCENTRACION]],[1]!Tabla1[[#This Row],[FORMA FARMACEUTICA]])</f>
        <v>#REF!</v>
      </c>
    </row>
    <row r="367" spans="2:31" x14ac:dyDescent="0.25">
      <c r="B367" s="10">
        <v>135</v>
      </c>
      <c r="C367" s="10" t="s">
        <v>2202</v>
      </c>
      <c r="D367" s="10" t="s">
        <v>2203</v>
      </c>
      <c r="E367" s="10" t="s">
        <v>2204</v>
      </c>
      <c r="F367" s="10" t="s">
        <v>2205</v>
      </c>
      <c r="G367" s="10" t="s">
        <v>2206</v>
      </c>
      <c r="H367" s="10" t="s">
        <v>2207</v>
      </c>
      <c r="I367" s="10" t="s">
        <v>2129</v>
      </c>
      <c r="J367" s="10" t="s">
        <v>2011</v>
      </c>
      <c r="K367" s="10" t="s">
        <v>2902</v>
      </c>
      <c r="L367" s="11">
        <v>202124100439952</v>
      </c>
      <c r="M367" s="20">
        <v>44267</v>
      </c>
      <c r="N367" s="20" t="str">
        <f>UPPER(TEXT(Tabla1[[#This Row],[FECHA RADICADO ENTRADA]],"MMM"))</f>
        <v>MAR</v>
      </c>
      <c r="O367" s="11">
        <v>202124110455371</v>
      </c>
      <c r="P367" s="20">
        <v>44274</v>
      </c>
      <c r="Q367" s="20" t="str">
        <f>UPPER(TEXT(Tabla1[[#This Row],[FECHA RADICADO ENTRADA]],"MMM"))</f>
        <v>MAR</v>
      </c>
      <c r="R367" s="10">
        <f t="shared" si="5"/>
        <v>-7</v>
      </c>
      <c r="S367" s="10" t="s">
        <v>2154</v>
      </c>
      <c r="U367" s="10" t="s">
        <v>2208</v>
      </c>
      <c r="V367" s="20">
        <v>43592</v>
      </c>
      <c r="W367" s="10" t="s">
        <v>32</v>
      </c>
      <c r="X367" s="10">
        <f>445*30</f>
        <v>13350</v>
      </c>
      <c r="Y367" s="11">
        <f>IFERROR(INT(Tabla1[[#This Row],[CANTIDAD UND FARMACEUTICAS]]/(VLOOKUP(Tabla1[[#This Row],[MEDICAMENTO]],TAB_REF!$K$3:$L$27,2,0))),"")</f>
        <v>445</v>
      </c>
      <c r="Z367" s="10" t="str">
        <f>IFERROR(VLOOKUP(Tabla1[[#This Row],[MEDICAMENTO]],TAB_REF!$B$3:$F$27,2,0), "")</f>
        <v xml:space="preserve">Fenobarbital </v>
      </c>
      <c r="AA367" s="10" t="str">
        <f>IFERROR(VLOOKUP(Tabla1[[#This Row],[MEDICAMENTO]],TAB_REF!$B$3:$F$27,3,0), "")</f>
        <v xml:space="preserve">100 mg </v>
      </c>
      <c r="AB367" s="10" t="str">
        <f>IFERROR(VLOOKUP(Tabla1[[#This Row],[MEDICAMENTO]],TAB_REF!$B$3:$F$27,4,0), "")</f>
        <v>Tabletas</v>
      </c>
      <c r="AC367" s="10" t="str">
        <f>IFERROR(VLOOKUP(Tabla1[[#This Row],[MEDICAMENTO]],TAB_REF!$B$3:$F$27,5,0), "")</f>
        <v>Caja x 30 unidades</v>
      </c>
      <c r="AD367" s="10" t="str">
        <f>IFERROR(VLOOKUP(Tabla1[[#This Row],[CANTIDAD UND COMERCIALES]],TAB_REF!$H$3:$I$1003,2,0)&amp;" ("&amp;Tabla1[[#This Row],[CANTIDAD UND COMERCIALES]]&amp;")"&amp;"_"&amp;Tabla1[[#This Row],[CANTIDAD]],"")</f>
        <v>Cuatrocientos Cuarenta Y Cinco (445)_Caja x 30 unidades</v>
      </c>
      <c r="AE367" s="31" t="e">
        <f>CONCATENATE([1]!Tabla1[[#This Row],[NOMBRE MED.]],[1]!Tabla1[[#This Row],[CONCENTRACION]],[1]!Tabla1[[#This Row],[FORMA FARMACEUTICA]])</f>
        <v>#REF!</v>
      </c>
    </row>
    <row r="368" spans="2:31" x14ac:dyDescent="0.25">
      <c r="B368" s="10">
        <v>135</v>
      </c>
      <c r="C368" s="10" t="s">
        <v>2202</v>
      </c>
      <c r="D368" s="10" t="s">
        <v>2203</v>
      </c>
      <c r="E368" s="10" t="s">
        <v>2204</v>
      </c>
      <c r="F368" s="10" t="s">
        <v>2205</v>
      </c>
      <c r="G368" s="10" t="s">
        <v>2206</v>
      </c>
      <c r="H368" s="10" t="s">
        <v>2207</v>
      </c>
      <c r="I368" s="10" t="s">
        <v>2129</v>
      </c>
      <c r="J368" s="10" t="s">
        <v>2011</v>
      </c>
      <c r="K368" s="10" t="s">
        <v>2902</v>
      </c>
      <c r="L368" s="11">
        <v>202124100439952</v>
      </c>
      <c r="M368" s="20">
        <v>44267</v>
      </c>
      <c r="N368" s="20" t="str">
        <f>UPPER(TEXT(Tabla1[[#This Row],[FECHA RADICADO ENTRADA]],"MMM"))</f>
        <v>MAR</v>
      </c>
      <c r="O368" s="11">
        <v>202124110455371</v>
      </c>
      <c r="P368" s="20">
        <v>44274</v>
      </c>
      <c r="Q368" s="20" t="str">
        <f>UPPER(TEXT(Tabla1[[#This Row],[FECHA RADICADO ENTRADA]],"MMM"))</f>
        <v>MAR</v>
      </c>
      <c r="R368" s="10">
        <f t="shared" si="5"/>
        <v>-7</v>
      </c>
      <c r="S368" s="10" t="s">
        <v>2145</v>
      </c>
      <c r="T368" s="10" t="s">
        <v>2903</v>
      </c>
      <c r="U368" s="10" t="s">
        <v>2208</v>
      </c>
      <c r="V368" s="20">
        <v>43592</v>
      </c>
      <c r="W368" s="10" t="s">
        <v>37</v>
      </c>
      <c r="X368" s="10">
        <v>0</v>
      </c>
      <c r="Y368" s="11">
        <f>IFERROR(INT(Tabla1[[#This Row],[CANTIDAD UND FARMACEUTICAS]]/(VLOOKUP(Tabla1[[#This Row],[MEDICAMENTO]],TAB_REF!$K$3:$L$27,2,0))),"")</f>
        <v>0</v>
      </c>
      <c r="Z368" s="10" t="str">
        <f>IFERROR(VLOOKUP(Tabla1[[#This Row],[MEDICAMENTO]],TAB_REF!$B$3:$F$27,2,0), "")</f>
        <v xml:space="preserve">Hidromorfona HCl </v>
      </c>
      <c r="AA368" s="10" t="str">
        <f>IFERROR(VLOOKUP(Tabla1[[#This Row],[MEDICAMENTO]],TAB_REF!$B$3:$F$27,3,0), "")</f>
        <v xml:space="preserve">2 mg/mL </v>
      </c>
      <c r="AB368" s="10" t="str">
        <f>IFERROR(VLOOKUP(Tabla1[[#This Row],[MEDICAMENTO]],TAB_REF!$B$3:$F$27,4,0), "")</f>
        <v>Solución Inyectable</v>
      </c>
      <c r="AC368" s="10" t="str">
        <f>IFERROR(VLOOKUP(Tabla1[[#This Row],[MEDICAMENTO]],TAB_REF!$B$3:$F$27,5,0), "")</f>
        <v>Caja x 10 unidades</v>
      </c>
      <c r="AD368" s="10" t="str">
        <f>IFERROR(VLOOKUP(Tabla1[[#This Row],[CANTIDAD UND COMERCIALES]],TAB_REF!$H$3:$I$1003,2,0)&amp;" ("&amp;Tabla1[[#This Row],[CANTIDAD UND COMERCIALES]]&amp;")"&amp;"_"&amp;Tabla1[[#This Row],[CANTIDAD]],"")</f>
        <v/>
      </c>
      <c r="AE368" s="31" t="e">
        <f>CONCATENATE([1]!Tabla1[[#This Row],[NOMBRE MED.]],[1]!Tabla1[[#This Row],[CONCENTRACION]],[1]!Tabla1[[#This Row],[FORMA FARMACEUTICA]])</f>
        <v>#REF!</v>
      </c>
    </row>
    <row r="369" spans="2:31" x14ac:dyDescent="0.25">
      <c r="B369" s="10">
        <v>135</v>
      </c>
      <c r="C369" s="10" t="s">
        <v>2202</v>
      </c>
      <c r="D369" s="10" t="s">
        <v>2203</v>
      </c>
      <c r="E369" s="10" t="s">
        <v>2204</v>
      </c>
      <c r="F369" s="10" t="s">
        <v>2205</v>
      </c>
      <c r="G369" s="10" t="s">
        <v>2206</v>
      </c>
      <c r="H369" s="10" t="s">
        <v>2207</v>
      </c>
      <c r="I369" s="10" t="s">
        <v>2129</v>
      </c>
      <c r="J369" s="10" t="s">
        <v>2011</v>
      </c>
      <c r="K369" s="10" t="s">
        <v>2902</v>
      </c>
      <c r="L369" s="11">
        <v>202124100439952</v>
      </c>
      <c r="M369" s="20">
        <v>44267</v>
      </c>
      <c r="N369" s="20" t="str">
        <f>UPPER(TEXT(Tabla1[[#This Row],[FECHA RADICADO ENTRADA]],"MMM"))</f>
        <v>MAR</v>
      </c>
      <c r="O369" s="11">
        <v>202124110455371</v>
      </c>
      <c r="P369" s="20">
        <v>44274</v>
      </c>
      <c r="Q369" s="20" t="str">
        <f>UPPER(TEXT(Tabla1[[#This Row],[FECHA RADICADO ENTRADA]],"MMM"))</f>
        <v>MAR</v>
      </c>
      <c r="R369" s="10">
        <f t="shared" si="5"/>
        <v>-7</v>
      </c>
      <c r="S369" s="10" t="s">
        <v>2154</v>
      </c>
      <c r="U369" s="10" t="s">
        <v>2208</v>
      </c>
      <c r="V369" s="20">
        <v>43592</v>
      </c>
      <c r="W369" s="10" t="s">
        <v>60</v>
      </c>
      <c r="X369" s="10">
        <v>10</v>
      </c>
      <c r="Y369" s="11">
        <f>IFERROR(INT(Tabla1[[#This Row],[CANTIDAD UND FARMACEUTICAS]]/(VLOOKUP(Tabla1[[#This Row],[MEDICAMENTO]],TAB_REF!$K$3:$L$27,2,0))),"")</f>
        <v>10</v>
      </c>
      <c r="Z369" s="10" t="str">
        <f>IFERROR(VLOOKUP(Tabla1[[#This Row],[MEDICAMENTO]],TAB_REF!$B$3:$F$27,2,0), "")</f>
        <v xml:space="preserve">Morfina HCl </v>
      </c>
      <c r="AA369" s="10" t="str">
        <f>IFERROR(VLOOKUP(Tabla1[[#This Row],[MEDICAMENTO]],TAB_REF!$B$3:$F$27,3,0), "")</f>
        <v xml:space="preserve">3%. </v>
      </c>
      <c r="AB369" s="10" t="str">
        <f>IFERROR(VLOOKUP(Tabla1[[#This Row],[MEDICAMENTO]],TAB_REF!$B$3:$F$27,4,0), "")</f>
        <v>Solución Oral</v>
      </c>
      <c r="AC369" s="10" t="str">
        <f>IFERROR(VLOOKUP(Tabla1[[#This Row],[MEDICAMENTO]],TAB_REF!$B$3:$F$27,5,0), "")</f>
        <v>Frasco x 30 mL</v>
      </c>
      <c r="AD369" s="10" t="str">
        <f>IFERROR(VLOOKUP(Tabla1[[#This Row],[CANTIDAD UND COMERCIALES]],TAB_REF!$H$3:$I$1003,2,0)&amp;" ("&amp;Tabla1[[#This Row],[CANTIDAD UND COMERCIALES]]&amp;")"&amp;"_"&amp;Tabla1[[#This Row],[CANTIDAD]],"")</f>
        <v>Diez (10)_Frasco x 30 mL</v>
      </c>
      <c r="AE369" s="31" t="e">
        <f>CONCATENATE([1]!Tabla1[[#This Row],[NOMBRE MED.]],[1]!Tabla1[[#This Row],[CONCENTRACION]],[1]!Tabla1[[#This Row],[FORMA FARMACEUTICA]])</f>
        <v>#REF!</v>
      </c>
    </row>
    <row r="370" spans="2:31" x14ac:dyDescent="0.25">
      <c r="B370" s="10">
        <v>135</v>
      </c>
      <c r="C370" s="10" t="s">
        <v>2202</v>
      </c>
      <c r="D370" s="10" t="s">
        <v>2203</v>
      </c>
      <c r="E370" s="10" t="s">
        <v>2204</v>
      </c>
      <c r="F370" s="10" t="s">
        <v>2205</v>
      </c>
      <c r="G370" s="10" t="s">
        <v>2206</v>
      </c>
      <c r="H370" s="10" t="s">
        <v>2207</v>
      </c>
      <c r="I370" s="10" t="s">
        <v>2129</v>
      </c>
      <c r="J370" s="10" t="s">
        <v>2011</v>
      </c>
      <c r="K370" s="10" t="s">
        <v>2902</v>
      </c>
      <c r="L370" s="11">
        <v>202124100439952</v>
      </c>
      <c r="M370" s="20">
        <v>44267</v>
      </c>
      <c r="N370" s="20" t="str">
        <f>UPPER(TEXT(Tabla1[[#This Row],[FECHA RADICADO ENTRADA]],"MMM"))</f>
        <v>MAR</v>
      </c>
      <c r="O370" s="11">
        <v>202124110455371</v>
      </c>
      <c r="P370" s="20">
        <v>44274</v>
      </c>
      <c r="Q370" s="20" t="str">
        <f>UPPER(TEXT(Tabla1[[#This Row],[FECHA RADICADO ENTRADA]],"MMM"))</f>
        <v>MAR</v>
      </c>
      <c r="R370" s="10">
        <f t="shared" si="5"/>
        <v>-7</v>
      </c>
      <c r="S370" s="10" t="s">
        <v>2154</v>
      </c>
      <c r="U370" s="10" t="s">
        <v>2208</v>
      </c>
      <c r="V370" s="20">
        <v>43592</v>
      </c>
      <c r="W370" s="10" t="s">
        <v>2139</v>
      </c>
      <c r="X370" s="10">
        <v>240</v>
      </c>
      <c r="Y370" s="11">
        <f>IFERROR(INT(Tabla1[[#This Row],[CANTIDAD UND FARMACEUTICAS]]/(VLOOKUP(Tabla1[[#This Row],[MEDICAMENTO]],TAB_REF!$K$3:$L$27,2,0))),"")</f>
        <v>8</v>
      </c>
      <c r="Z370" s="10" t="str">
        <f>IFERROR(VLOOKUP(Tabla1[[#This Row],[MEDICAMENTO]],TAB_REF!$B$3:$F$27,2,0), "")</f>
        <v xml:space="preserve">Primidona </v>
      </c>
      <c r="AA370" s="10" t="str">
        <f>IFERROR(VLOOKUP(Tabla1[[#This Row],[MEDICAMENTO]],TAB_REF!$B$3:$F$27,3,0), "")</f>
        <v xml:space="preserve">250 mg </v>
      </c>
      <c r="AB370" s="10" t="str">
        <f>IFERROR(VLOOKUP(Tabla1[[#This Row],[MEDICAMENTO]],TAB_REF!$B$3:$F$27,4,0), "")</f>
        <v>Tabletas</v>
      </c>
      <c r="AC370" s="10" t="str">
        <f>IFERROR(VLOOKUP(Tabla1[[#This Row],[MEDICAMENTO]],TAB_REF!$B$3:$F$27,5,0), "")</f>
        <v>Caja x 30 unidades</v>
      </c>
      <c r="AD370" s="10" t="str">
        <f>IFERROR(VLOOKUP(Tabla1[[#This Row],[CANTIDAD UND COMERCIALES]],TAB_REF!$H$3:$I$1003,2,0)&amp;" ("&amp;Tabla1[[#This Row],[CANTIDAD UND COMERCIALES]]&amp;")"&amp;"_"&amp;Tabla1[[#This Row],[CANTIDAD]],"")</f>
        <v>Ocho (8)_Caja x 30 unidades</v>
      </c>
      <c r="AE370" s="31" t="e">
        <f>CONCATENATE([1]!Tabla1[[#This Row],[NOMBRE MED.]],[1]!Tabla1[[#This Row],[CONCENTRACION]],[1]!Tabla1[[#This Row],[FORMA FARMACEUTICA]])</f>
        <v>#REF!</v>
      </c>
    </row>
    <row r="371" spans="2:31" x14ac:dyDescent="0.25">
      <c r="B371" s="10">
        <v>135</v>
      </c>
      <c r="C371" s="10" t="s">
        <v>2202</v>
      </c>
      <c r="D371" s="10" t="s">
        <v>2203</v>
      </c>
      <c r="E371" s="10" t="s">
        <v>2204</v>
      </c>
      <c r="F371" s="10" t="s">
        <v>2205</v>
      </c>
      <c r="G371" s="10" t="s">
        <v>2206</v>
      </c>
      <c r="H371" s="10" t="s">
        <v>2207</v>
      </c>
      <c r="I371" s="10" t="s">
        <v>2129</v>
      </c>
      <c r="J371" s="10" t="s">
        <v>2011</v>
      </c>
      <c r="K371" s="10" t="s">
        <v>2902</v>
      </c>
      <c r="L371" s="11">
        <v>202124100439952</v>
      </c>
      <c r="M371" s="20">
        <v>44267</v>
      </c>
      <c r="N371" s="20" t="str">
        <f>UPPER(TEXT(Tabla1[[#This Row],[FECHA RADICADO ENTRADA]],"MMM"))</f>
        <v>MAR</v>
      </c>
      <c r="O371" s="11">
        <v>202124110455371</v>
      </c>
      <c r="P371" s="20">
        <v>44274</v>
      </c>
      <c r="Q371" s="20" t="str">
        <f>UPPER(TEXT(Tabla1[[#This Row],[FECHA RADICADO ENTRADA]],"MMM"))</f>
        <v>MAR</v>
      </c>
      <c r="R371" s="10">
        <f t="shared" si="5"/>
        <v>-7</v>
      </c>
      <c r="S371" s="10" t="s">
        <v>2154</v>
      </c>
      <c r="U371" s="10" t="s">
        <v>2208</v>
      </c>
      <c r="V371" s="20">
        <v>43592</v>
      </c>
      <c r="W371" s="10" t="s">
        <v>48</v>
      </c>
      <c r="X371" s="10">
        <v>240</v>
      </c>
      <c r="Y371" s="11">
        <f>IFERROR(INT(Tabla1[[#This Row],[CANTIDAD UND FARMACEUTICAS]]/(VLOOKUP(Tabla1[[#This Row],[MEDICAMENTO]],TAB_REF!$K$3:$L$27,2,0))),"")</f>
        <v>8</v>
      </c>
      <c r="Z371" s="10" t="str">
        <f>IFERROR(VLOOKUP(Tabla1[[#This Row],[MEDICAMENTO]],TAB_REF!$B$3:$F$27,2,0), "")</f>
        <v xml:space="preserve">Metilfenidato HCl </v>
      </c>
      <c r="AA371" s="10" t="str">
        <f>IFERROR(VLOOKUP(Tabla1[[#This Row],[MEDICAMENTO]],TAB_REF!$B$3:$F$27,3,0), "")</f>
        <v xml:space="preserve">10 mg </v>
      </c>
      <c r="AB371" s="10" t="str">
        <f>IFERROR(VLOOKUP(Tabla1[[#This Row],[MEDICAMENTO]],TAB_REF!$B$3:$F$27,4,0), "")</f>
        <v>Comprimidos</v>
      </c>
      <c r="AC371" s="10" t="str">
        <f>IFERROR(VLOOKUP(Tabla1[[#This Row],[MEDICAMENTO]],TAB_REF!$B$3:$F$27,5,0), "")</f>
        <v>Caja x 30 unidades</v>
      </c>
      <c r="AD371" s="10" t="str">
        <f>IFERROR(VLOOKUP(Tabla1[[#This Row],[CANTIDAD UND COMERCIALES]],TAB_REF!$H$3:$I$1003,2,0)&amp;" ("&amp;Tabla1[[#This Row],[CANTIDAD UND COMERCIALES]]&amp;")"&amp;"_"&amp;Tabla1[[#This Row],[CANTIDAD]],"")</f>
        <v>Ocho (8)_Caja x 30 unidades</v>
      </c>
      <c r="AE371" s="31" t="e">
        <f>CONCATENATE([1]!Tabla1[[#This Row],[NOMBRE MED.]],[1]!Tabla1[[#This Row],[CONCENTRACION]],[1]!Tabla1[[#This Row],[FORMA FARMACEUTICA]])</f>
        <v>#REF!</v>
      </c>
    </row>
    <row r="372" spans="2:31" x14ac:dyDescent="0.25">
      <c r="B372" s="10">
        <v>136</v>
      </c>
      <c r="C372" s="10" t="s">
        <v>2318</v>
      </c>
      <c r="D372" s="10" t="s">
        <v>2175</v>
      </c>
      <c r="E372" s="10" t="s">
        <v>2319</v>
      </c>
      <c r="F372" s="10" t="s">
        <v>2320</v>
      </c>
      <c r="G372" s="10" t="s">
        <v>2321</v>
      </c>
      <c r="H372" s="10" t="s">
        <v>2322</v>
      </c>
      <c r="I372" s="10" t="s">
        <v>2107</v>
      </c>
      <c r="J372" s="10" t="s">
        <v>1212</v>
      </c>
      <c r="K372" s="10" t="s">
        <v>2904</v>
      </c>
      <c r="L372" s="11">
        <v>202124100444302</v>
      </c>
      <c r="M372" s="20">
        <v>44270</v>
      </c>
      <c r="N372" s="20" t="str">
        <f>UPPER(TEXT(Tabla1[[#This Row],[FECHA RADICADO ENTRADA]],"MMM"))</f>
        <v>MAR</v>
      </c>
      <c r="O372" s="11">
        <v>202124110455401</v>
      </c>
      <c r="P372" s="20">
        <v>44274</v>
      </c>
      <c r="Q372" s="20" t="str">
        <f>UPPER(TEXT(Tabla1[[#This Row],[FECHA RADICADO ENTRADA]],"MMM"))</f>
        <v>MAR</v>
      </c>
      <c r="R372" s="10">
        <f t="shared" si="5"/>
        <v>-4</v>
      </c>
      <c r="S372" s="10" t="s">
        <v>2154</v>
      </c>
      <c r="U372" s="10" t="s">
        <v>2323</v>
      </c>
      <c r="V372" s="20">
        <v>44186</v>
      </c>
      <c r="W372" s="10" t="s">
        <v>28</v>
      </c>
      <c r="X372" s="10">
        <v>16</v>
      </c>
      <c r="Y372" s="11">
        <f>IFERROR(INT(Tabla1[[#This Row],[CANTIDAD UND FARMACEUTICAS]]/(VLOOKUP(Tabla1[[#This Row],[MEDICAMENTO]],TAB_REF!$K$3:$L$27,2,0))),"")</f>
        <v>16</v>
      </c>
      <c r="Z372" s="10" t="str">
        <f>IFERROR(VLOOKUP(Tabla1[[#This Row],[MEDICAMENTO]],TAB_REF!$B$3:$F$27,2,0), "")</f>
        <v xml:space="preserve">Fenobarbital </v>
      </c>
      <c r="AA372" s="10" t="str">
        <f>IFERROR(VLOOKUP(Tabla1[[#This Row],[MEDICAMENTO]],TAB_REF!$B$3:$F$27,3,0), "")</f>
        <v xml:space="preserve">0,4%. </v>
      </c>
      <c r="AB372" s="10" t="str">
        <f>IFERROR(VLOOKUP(Tabla1[[#This Row],[MEDICAMENTO]],TAB_REF!$B$3:$F$27,4,0), "")</f>
        <v>Solución Oral</v>
      </c>
      <c r="AC372" s="10" t="str">
        <f>IFERROR(VLOOKUP(Tabla1[[#This Row],[MEDICAMENTO]],TAB_REF!$B$3:$F$27,5,0), "")</f>
        <v>Frasco x 120 mL</v>
      </c>
      <c r="AD372" s="10" t="str">
        <f>IFERROR(VLOOKUP(Tabla1[[#This Row],[CANTIDAD UND COMERCIALES]],TAB_REF!$H$3:$I$1003,2,0)&amp;" ("&amp;Tabla1[[#This Row],[CANTIDAD UND COMERCIALES]]&amp;")"&amp;"_"&amp;Tabla1[[#This Row],[CANTIDAD]],"")</f>
        <v>Dieciseis (16)_Frasco x 120 mL</v>
      </c>
      <c r="AE372" s="31" t="e">
        <f>CONCATENATE([1]!Tabla1[[#This Row],[NOMBRE MED.]],[1]!Tabla1[[#This Row],[CONCENTRACION]],[1]!Tabla1[[#This Row],[FORMA FARMACEUTICA]])</f>
        <v>#REF!</v>
      </c>
    </row>
    <row r="373" spans="2:31" x14ac:dyDescent="0.25">
      <c r="B373" s="10">
        <v>137</v>
      </c>
      <c r="C373" s="10" t="s">
        <v>2874</v>
      </c>
      <c r="D373" s="10" t="s">
        <v>2175</v>
      </c>
      <c r="E373" s="10" t="s">
        <v>2905</v>
      </c>
      <c r="F373" s="10" t="s">
        <v>2906</v>
      </c>
      <c r="G373" s="10" t="s">
        <v>2907</v>
      </c>
      <c r="H373" s="10" t="s">
        <v>2908</v>
      </c>
      <c r="I373" s="10" t="s">
        <v>2123</v>
      </c>
      <c r="J373" s="10" t="s">
        <v>1770</v>
      </c>
      <c r="K373" s="10" t="s">
        <v>2909</v>
      </c>
      <c r="L373" s="11">
        <v>202124100446682</v>
      </c>
      <c r="M373" s="20">
        <v>44270</v>
      </c>
      <c r="N373" s="20" t="str">
        <f>UPPER(TEXT(Tabla1[[#This Row],[FECHA RADICADO ENTRADA]],"MMM"))</f>
        <v>MAR</v>
      </c>
      <c r="O373" s="11">
        <v>202124110455441</v>
      </c>
      <c r="P373" s="20">
        <v>44274</v>
      </c>
      <c r="Q373" s="20" t="str">
        <f>UPPER(TEXT(Tabla1[[#This Row],[FECHA RADICADO ENTRADA]],"MMM"))</f>
        <v>MAR</v>
      </c>
      <c r="R373" s="10">
        <f t="shared" si="5"/>
        <v>-4</v>
      </c>
      <c r="S373" s="10" t="s">
        <v>2154</v>
      </c>
      <c r="U373" s="10" t="s">
        <v>2911</v>
      </c>
      <c r="V373" s="20">
        <v>44211</v>
      </c>
      <c r="W373" s="10" t="s">
        <v>30</v>
      </c>
      <c r="X373" s="10">
        <v>150</v>
      </c>
      <c r="Y373" s="11">
        <f>IFERROR(INT(Tabla1[[#This Row],[CANTIDAD UND FARMACEUTICAS]]/(VLOOKUP(Tabla1[[#This Row],[MEDICAMENTO]],TAB_REF!$K$3:$L$27,2,0))),"")</f>
        <v>5</v>
      </c>
      <c r="Z373" s="10" t="str">
        <f>IFERROR(VLOOKUP(Tabla1[[#This Row],[MEDICAMENTO]],TAB_REF!$B$3:$F$27,2,0), "")</f>
        <v xml:space="preserve">Fenobarbital </v>
      </c>
      <c r="AA373" s="10" t="str">
        <f>IFERROR(VLOOKUP(Tabla1[[#This Row],[MEDICAMENTO]],TAB_REF!$B$3:$F$27,3,0), "")</f>
        <v xml:space="preserve">10 mg </v>
      </c>
      <c r="AB373" s="10" t="str">
        <f>IFERROR(VLOOKUP(Tabla1[[#This Row],[MEDICAMENTO]],TAB_REF!$B$3:$F$27,4,0), "")</f>
        <v>Tabletas</v>
      </c>
      <c r="AC373" s="10" t="str">
        <f>IFERROR(VLOOKUP(Tabla1[[#This Row],[MEDICAMENTO]],TAB_REF!$B$3:$F$27,5,0), "")</f>
        <v>Caja x 30 unidades</v>
      </c>
      <c r="AD373" s="10" t="str">
        <f>IFERROR(VLOOKUP(Tabla1[[#This Row],[CANTIDAD UND COMERCIALES]],TAB_REF!$H$3:$I$1003,2,0)&amp;" ("&amp;Tabla1[[#This Row],[CANTIDAD UND COMERCIALES]]&amp;")"&amp;"_"&amp;Tabla1[[#This Row],[CANTIDAD]],"")</f>
        <v>Cinco (5)_Caja x 30 unidades</v>
      </c>
      <c r="AE373" s="31" t="e">
        <f>CONCATENATE([1]!Tabla1[[#This Row],[NOMBRE MED.]],[1]!Tabla1[[#This Row],[CONCENTRACION]],[1]!Tabla1[[#This Row],[FORMA FARMACEUTICA]])</f>
        <v>#REF!</v>
      </c>
    </row>
    <row r="374" spans="2:31" x14ac:dyDescent="0.25">
      <c r="B374" s="10">
        <v>137</v>
      </c>
      <c r="C374" s="10" t="s">
        <v>2874</v>
      </c>
      <c r="D374" s="10" t="s">
        <v>2175</v>
      </c>
      <c r="E374" s="10" t="s">
        <v>2905</v>
      </c>
      <c r="F374" s="10" t="s">
        <v>2906</v>
      </c>
      <c r="G374" s="10" t="s">
        <v>2907</v>
      </c>
      <c r="H374" s="10" t="s">
        <v>2908</v>
      </c>
      <c r="I374" s="10" t="s">
        <v>2123</v>
      </c>
      <c r="J374" s="10" t="s">
        <v>1770</v>
      </c>
      <c r="K374" s="10" t="s">
        <v>2909</v>
      </c>
      <c r="L374" s="11">
        <v>202124100446682</v>
      </c>
      <c r="M374" s="20">
        <v>44270</v>
      </c>
      <c r="N374" s="20" t="str">
        <f>UPPER(TEXT(Tabla1[[#This Row],[FECHA RADICADO ENTRADA]],"MMM"))</f>
        <v>MAR</v>
      </c>
      <c r="O374" s="11">
        <v>202124110455441</v>
      </c>
      <c r="P374" s="20">
        <v>44274</v>
      </c>
      <c r="Q374" s="20" t="str">
        <f>UPPER(TEXT(Tabla1[[#This Row],[FECHA RADICADO ENTRADA]],"MMM"))</f>
        <v>MAR</v>
      </c>
      <c r="R374" s="10">
        <f t="shared" si="5"/>
        <v>-4</v>
      </c>
      <c r="S374" s="10" t="s">
        <v>2154</v>
      </c>
      <c r="U374" s="10" t="s">
        <v>2911</v>
      </c>
      <c r="V374" s="20">
        <v>44211</v>
      </c>
      <c r="W374" s="10" t="s">
        <v>33</v>
      </c>
      <c r="X374" s="10">
        <v>300</v>
      </c>
      <c r="Y374" s="11">
        <f>IFERROR(INT(Tabla1[[#This Row],[CANTIDAD UND FARMACEUTICAS]]/(VLOOKUP(Tabla1[[#This Row],[MEDICAMENTO]],TAB_REF!$K$3:$L$27,2,0))),"")</f>
        <v>10</v>
      </c>
      <c r="Z374" s="10" t="str">
        <f>IFERROR(VLOOKUP(Tabla1[[#This Row],[MEDICAMENTO]],TAB_REF!$B$3:$F$27,2,0), "")</f>
        <v xml:space="preserve">Fenobarbital </v>
      </c>
      <c r="AA374" s="10" t="str">
        <f>IFERROR(VLOOKUP(Tabla1[[#This Row],[MEDICAMENTO]],TAB_REF!$B$3:$F$27,3,0), "")</f>
        <v xml:space="preserve">50 mg </v>
      </c>
      <c r="AB374" s="10" t="str">
        <f>IFERROR(VLOOKUP(Tabla1[[#This Row],[MEDICAMENTO]],TAB_REF!$B$3:$F$27,4,0), "")</f>
        <v>Tabletas</v>
      </c>
      <c r="AC374" s="10" t="str">
        <f>IFERROR(VLOOKUP(Tabla1[[#This Row],[MEDICAMENTO]],TAB_REF!$B$3:$F$27,5,0), "")</f>
        <v>Caja x 30 unidades</v>
      </c>
      <c r="AD374" s="10" t="str">
        <f>IFERROR(VLOOKUP(Tabla1[[#This Row],[CANTIDAD UND COMERCIALES]],TAB_REF!$H$3:$I$1003,2,0)&amp;" ("&amp;Tabla1[[#This Row],[CANTIDAD UND COMERCIALES]]&amp;")"&amp;"_"&amp;Tabla1[[#This Row],[CANTIDAD]],"")</f>
        <v>Diez (10)_Caja x 30 unidades</v>
      </c>
      <c r="AE374" s="31" t="e">
        <f>CONCATENATE([1]!Tabla1[[#This Row],[NOMBRE MED.]],[1]!Tabla1[[#This Row],[CONCENTRACION]],[1]!Tabla1[[#This Row],[FORMA FARMACEUTICA]])</f>
        <v>#REF!</v>
      </c>
    </row>
    <row r="375" spans="2:31" x14ac:dyDescent="0.25">
      <c r="B375" s="10">
        <v>137</v>
      </c>
      <c r="C375" s="10" t="s">
        <v>2874</v>
      </c>
      <c r="D375" s="10" t="s">
        <v>2175</v>
      </c>
      <c r="E375" s="10" t="s">
        <v>2905</v>
      </c>
      <c r="F375" s="10" t="s">
        <v>2906</v>
      </c>
      <c r="G375" s="10" t="s">
        <v>2907</v>
      </c>
      <c r="H375" s="10" t="s">
        <v>2908</v>
      </c>
      <c r="I375" s="10" t="s">
        <v>2123</v>
      </c>
      <c r="J375" s="10" t="s">
        <v>1770</v>
      </c>
      <c r="K375" s="10" t="s">
        <v>2909</v>
      </c>
      <c r="L375" s="11">
        <v>202124100446682</v>
      </c>
      <c r="M375" s="20">
        <v>44270</v>
      </c>
      <c r="N375" s="20" t="str">
        <f>UPPER(TEXT(Tabla1[[#This Row],[FECHA RADICADO ENTRADA]],"MMM"))</f>
        <v>MAR</v>
      </c>
      <c r="O375" s="11">
        <v>202124110455441</v>
      </c>
      <c r="P375" s="20">
        <v>44274</v>
      </c>
      <c r="Q375" s="20" t="str">
        <f>UPPER(TEXT(Tabla1[[#This Row],[FECHA RADICADO ENTRADA]],"MMM"))</f>
        <v>MAR</v>
      </c>
      <c r="R375" s="10">
        <f t="shared" si="5"/>
        <v>-4</v>
      </c>
      <c r="S375" s="10" t="s">
        <v>2154</v>
      </c>
      <c r="U375" s="10" t="s">
        <v>2911</v>
      </c>
      <c r="V375" s="20">
        <v>44211</v>
      </c>
      <c r="W375" s="10" t="s">
        <v>32</v>
      </c>
      <c r="X375" s="10">
        <v>300</v>
      </c>
      <c r="Y375" s="11">
        <f>IFERROR(INT(Tabla1[[#This Row],[CANTIDAD UND FARMACEUTICAS]]/(VLOOKUP(Tabla1[[#This Row],[MEDICAMENTO]],TAB_REF!$K$3:$L$27,2,0))),"")</f>
        <v>10</v>
      </c>
      <c r="Z375" s="10" t="str">
        <f>IFERROR(VLOOKUP(Tabla1[[#This Row],[MEDICAMENTO]],TAB_REF!$B$3:$F$27,2,0), "")</f>
        <v xml:space="preserve">Fenobarbital </v>
      </c>
      <c r="AA375" s="10" t="str">
        <f>IFERROR(VLOOKUP(Tabla1[[#This Row],[MEDICAMENTO]],TAB_REF!$B$3:$F$27,3,0), "")</f>
        <v xml:space="preserve">100 mg </v>
      </c>
      <c r="AB375" s="10" t="str">
        <f>IFERROR(VLOOKUP(Tabla1[[#This Row],[MEDICAMENTO]],TAB_REF!$B$3:$F$27,4,0), "")</f>
        <v>Tabletas</v>
      </c>
      <c r="AC375" s="10" t="str">
        <f>IFERROR(VLOOKUP(Tabla1[[#This Row],[MEDICAMENTO]],TAB_REF!$B$3:$F$27,5,0), "")</f>
        <v>Caja x 30 unidades</v>
      </c>
      <c r="AD375" s="10" t="str">
        <f>IFERROR(VLOOKUP(Tabla1[[#This Row],[CANTIDAD UND COMERCIALES]],TAB_REF!$H$3:$I$1003,2,0)&amp;" ("&amp;Tabla1[[#This Row],[CANTIDAD UND COMERCIALES]]&amp;")"&amp;"_"&amp;Tabla1[[#This Row],[CANTIDAD]],"")</f>
        <v>Diez (10)_Caja x 30 unidades</v>
      </c>
      <c r="AE375" s="31" t="e">
        <f>CONCATENATE([1]!Tabla1[[#This Row],[NOMBRE MED.]],[1]!Tabla1[[#This Row],[CONCENTRACION]],[1]!Tabla1[[#This Row],[FORMA FARMACEUTICA]])</f>
        <v>#REF!</v>
      </c>
    </row>
    <row r="376" spans="2:31" x14ac:dyDescent="0.25">
      <c r="B376" s="10">
        <v>137</v>
      </c>
      <c r="C376" s="10" t="s">
        <v>2874</v>
      </c>
      <c r="D376" s="10" t="s">
        <v>2175</v>
      </c>
      <c r="E376" s="10" t="s">
        <v>2905</v>
      </c>
      <c r="F376" s="10" t="s">
        <v>2906</v>
      </c>
      <c r="G376" s="10" t="s">
        <v>2907</v>
      </c>
      <c r="H376" s="10" t="s">
        <v>2908</v>
      </c>
      <c r="I376" s="10" t="s">
        <v>2123</v>
      </c>
      <c r="J376" s="10" t="s">
        <v>1770</v>
      </c>
      <c r="K376" s="10" t="s">
        <v>2909</v>
      </c>
      <c r="L376" s="11">
        <v>202124100446682</v>
      </c>
      <c r="M376" s="20">
        <v>44270</v>
      </c>
      <c r="N376" s="20" t="str">
        <f>UPPER(TEXT(Tabla1[[#This Row],[FECHA RADICADO ENTRADA]],"MMM"))</f>
        <v>MAR</v>
      </c>
      <c r="O376" s="11">
        <v>202124110455441</v>
      </c>
      <c r="P376" s="20">
        <v>44274</v>
      </c>
      <c r="Q376" s="20" t="str">
        <f>UPPER(TEXT(Tabla1[[#This Row],[FECHA RADICADO ENTRADA]],"MMM"))</f>
        <v>MAR</v>
      </c>
      <c r="R376" s="10">
        <f t="shared" si="5"/>
        <v>-4</v>
      </c>
      <c r="S376" s="10" t="s">
        <v>2154</v>
      </c>
      <c r="U376" s="10" t="s">
        <v>2911</v>
      </c>
      <c r="V376" s="20">
        <v>44211</v>
      </c>
      <c r="W376" s="10" t="s">
        <v>38</v>
      </c>
      <c r="X376" s="10">
        <v>720</v>
      </c>
      <c r="Y376" s="11">
        <f>IFERROR(INT(Tabla1[[#This Row],[CANTIDAD UND FARMACEUTICAS]]/(VLOOKUP(Tabla1[[#This Row],[MEDICAMENTO]],TAB_REF!$K$3:$L$27,2,0))),"")</f>
        <v>36</v>
      </c>
      <c r="Z376" s="10" t="str">
        <f>IFERROR(VLOOKUP(Tabla1[[#This Row],[MEDICAMENTO]],TAB_REF!$B$3:$F$27,2,0), "")</f>
        <v xml:space="preserve">Hidromorfona HCl </v>
      </c>
      <c r="AA376" s="10" t="str">
        <f>IFERROR(VLOOKUP(Tabla1[[#This Row],[MEDICAMENTO]],TAB_REF!$B$3:$F$27,3,0), "")</f>
        <v xml:space="preserve">2,5 mg </v>
      </c>
      <c r="AB376" s="10" t="str">
        <f>IFERROR(VLOOKUP(Tabla1[[#This Row],[MEDICAMENTO]],TAB_REF!$B$3:$F$27,4,0), "")</f>
        <v>Tabletas</v>
      </c>
      <c r="AC376" s="10" t="str">
        <f>IFERROR(VLOOKUP(Tabla1[[#This Row],[MEDICAMENTO]],TAB_REF!$B$3:$F$27,5,0), "")</f>
        <v>Caja x 20 unidades</v>
      </c>
      <c r="AD376" s="10" t="str">
        <f>IFERROR(VLOOKUP(Tabla1[[#This Row],[CANTIDAD UND COMERCIALES]],TAB_REF!$H$3:$I$1003,2,0)&amp;" ("&amp;Tabla1[[#This Row],[CANTIDAD UND COMERCIALES]]&amp;")"&amp;"_"&amp;Tabla1[[#This Row],[CANTIDAD]],"")</f>
        <v>Treinta Y Seis (36)_Caja x 20 unidades</v>
      </c>
      <c r="AE376" s="31" t="e">
        <f>CONCATENATE([1]!Tabla1[[#This Row],[NOMBRE MED.]],[1]!Tabla1[[#This Row],[CONCENTRACION]],[1]!Tabla1[[#This Row],[FORMA FARMACEUTICA]])</f>
        <v>#REF!</v>
      </c>
    </row>
    <row r="377" spans="2:31" x14ac:dyDescent="0.25">
      <c r="B377" s="10">
        <v>137</v>
      </c>
      <c r="C377" s="10" t="s">
        <v>2874</v>
      </c>
      <c r="D377" s="10" t="s">
        <v>2175</v>
      </c>
      <c r="E377" s="10" t="s">
        <v>2905</v>
      </c>
      <c r="F377" s="10" t="s">
        <v>2906</v>
      </c>
      <c r="G377" s="10" t="s">
        <v>2907</v>
      </c>
      <c r="H377" s="10" t="s">
        <v>2908</v>
      </c>
      <c r="I377" s="10" t="s">
        <v>2123</v>
      </c>
      <c r="J377" s="10" t="s">
        <v>1770</v>
      </c>
      <c r="K377" s="10" t="s">
        <v>2909</v>
      </c>
      <c r="L377" s="11">
        <v>202124100446682</v>
      </c>
      <c r="M377" s="20">
        <v>44270</v>
      </c>
      <c r="N377" s="20" t="str">
        <f>UPPER(TEXT(Tabla1[[#This Row],[FECHA RADICADO ENTRADA]],"MMM"))</f>
        <v>MAR</v>
      </c>
      <c r="O377" s="11">
        <v>202124110455441</v>
      </c>
      <c r="P377" s="20">
        <v>44274</v>
      </c>
      <c r="Q377" s="20" t="str">
        <f>UPPER(TEXT(Tabla1[[#This Row],[FECHA RADICADO ENTRADA]],"MMM"))</f>
        <v>MAR</v>
      </c>
      <c r="R377" s="10">
        <f t="shared" si="5"/>
        <v>-4</v>
      </c>
      <c r="S377" s="10" t="s">
        <v>2145</v>
      </c>
      <c r="T377" s="10" t="s">
        <v>2910</v>
      </c>
      <c r="U377" s="10" t="s">
        <v>2911</v>
      </c>
      <c r="V377" s="20">
        <v>44211</v>
      </c>
      <c r="W377" s="10" t="s">
        <v>2362</v>
      </c>
      <c r="X377" s="10">
        <v>0</v>
      </c>
      <c r="Y377" s="11">
        <f>IFERROR(INT(Tabla1[[#This Row],[CANTIDAD UND FARMACEUTICAS]]/(VLOOKUP(Tabla1[[#This Row],[MEDICAMENTO]],TAB_REF!$K$3:$L$27,2,0))),"")</f>
        <v>0</v>
      </c>
      <c r="Z377" s="10" t="str">
        <f>IFERROR(VLOOKUP(Tabla1[[#This Row],[MEDICAMENTO]],TAB_REF!$B$3:$F$27,2,0), "")</f>
        <v xml:space="preserve">Hidromorfona HCl </v>
      </c>
      <c r="AA377" s="10" t="str">
        <f>IFERROR(VLOOKUP(Tabla1[[#This Row],[MEDICAMENTO]],TAB_REF!$B$3:$F$27,3,0), "")</f>
        <v xml:space="preserve">5 mg </v>
      </c>
      <c r="AB377" s="10" t="str">
        <f>IFERROR(VLOOKUP(Tabla1[[#This Row],[MEDICAMENTO]],TAB_REF!$B$3:$F$27,4,0), "")</f>
        <v>Tableta</v>
      </c>
      <c r="AC377" s="10" t="str">
        <f>IFERROR(VLOOKUP(Tabla1[[#This Row],[MEDICAMENTO]],TAB_REF!$B$3:$F$27,5,0), "")</f>
        <v>Caja X 20 unidades c/u</v>
      </c>
      <c r="AD377" s="10" t="str">
        <f>IFERROR(VLOOKUP(Tabla1[[#This Row],[CANTIDAD UND COMERCIALES]],TAB_REF!$H$3:$I$1003,2,0)&amp;" ("&amp;Tabla1[[#This Row],[CANTIDAD UND COMERCIALES]]&amp;")"&amp;"_"&amp;Tabla1[[#This Row],[CANTIDAD]],"")</f>
        <v/>
      </c>
      <c r="AE377" s="31" t="e">
        <f>CONCATENATE([1]!Tabla1[[#This Row],[NOMBRE MED.]],[1]!Tabla1[[#This Row],[CONCENTRACION]],[1]!Tabla1[[#This Row],[FORMA FARMACEUTICA]])</f>
        <v>#REF!</v>
      </c>
    </row>
    <row r="378" spans="2:31" x14ac:dyDescent="0.25">
      <c r="B378" s="10">
        <v>138</v>
      </c>
      <c r="C378" s="10" t="s">
        <v>2912</v>
      </c>
      <c r="D378" s="10" t="s">
        <v>2175</v>
      </c>
      <c r="E378" s="10" t="s">
        <v>2913</v>
      </c>
      <c r="F378" s="10" t="s">
        <v>2914</v>
      </c>
      <c r="G378" s="10" t="s">
        <v>2915</v>
      </c>
      <c r="H378" s="10" t="s">
        <v>2916</v>
      </c>
      <c r="I378" s="10" t="s">
        <v>2123</v>
      </c>
      <c r="J378" s="10" t="s">
        <v>1770</v>
      </c>
      <c r="K378" s="10" t="s">
        <v>2917</v>
      </c>
      <c r="L378" s="11">
        <v>202124100454572</v>
      </c>
      <c r="M378" s="20">
        <v>44271</v>
      </c>
      <c r="N378" s="20" t="str">
        <f>UPPER(TEXT(Tabla1[[#This Row],[FECHA RADICADO ENTRADA]],"MMM"))</f>
        <v>MAR</v>
      </c>
      <c r="O378" s="11">
        <v>202124110455481</v>
      </c>
      <c r="P378" s="20">
        <v>44274</v>
      </c>
      <c r="Q378" s="20" t="str">
        <f>UPPER(TEXT(Tabla1[[#This Row],[FECHA RADICADO ENTRADA]],"MMM"))</f>
        <v>MAR</v>
      </c>
      <c r="R378" s="10">
        <f t="shared" si="5"/>
        <v>-3</v>
      </c>
      <c r="S378" s="10" t="s">
        <v>2154</v>
      </c>
      <c r="U378" s="10" t="s">
        <v>2918</v>
      </c>
      <c r="V378" s="20">
        <v>43258</v>
      </c>
      <c r="W378" s="10" t="s">
        <v>41</v>
      </c>
      <c r="X378" s="10">
        <v>60</v>
      </c>
      <c r="Y378" s="11">
        <f>IFERROR(INT(Tabla1[[#This Row],[CANTIDAD UND FARMACEUTICAS]]/(VLOOKUP(Tabla1[[#This Row],[MEDICAMENTO]],TAB_REF!$K$3:$L$27,2,0))),"")</f>
        <v>6</v>
      </c>
      <c r="Z378" s="10" t="str">
        <f>IFERROR(VLOOKUP(Tabla1[[#This Row],[MEDICAMENTO]],TAB_REF!$B$3:$F$27,2,0), "")</f>
        <v xml:space="preserve">Meperidina HCl </v>
      </c>
      <c r="AA378" s="10" t="str">
        <f>IFERROR(VLOOKUP(Tabla1[[#This Row],[MEDICAMENTO]],TAB_REF!$B$3:$F$27,3,0), "")</f>
        <v xml:space="preserve">100 mg/2mL </v>
      </c>
      <c r="AB378" s="10" t="str">
        <f>IFERROR(VLOOKUP(Tabla1[[#This Row],[MEDICAMENTO]],TAB_REF!$B$3:$F$27,4,0), "")</f>
        <v>Solución Inyectable</v>
      </c>
      <c r="AC378" s="10" t="str">
        <f>IFERROR(VLOOKUP(Tabla1[[#This Row],[MEDICAMENTO]],TAB_REF!$B$3:$F$27,5,0), "")</f>
        <v>Caja 10 ampollas</v>
      </c>
      <c r="AD378" s="10" t="str">
        <f>IFERROR(VLOOKUP(Tabla1[[#This Row],[CANTIDAD UND COMERCIALES]],TAB_REF!$H$3:$I$1003,2,0)&amp;" ("&amp;Tabla1[[#This Row],[CANTIDAD UND COMERCIALES]]&amp;")"&amp;"_"&amp;Tabla1[[#This Row],[CANTIDAD]],"")</f>
        <v>Seis (6)_Caja 10 ampollas</v>
      </c>
      <c r="AE378" s="31" t="e">
        <f>CONCATENATE([1]!Tabla1[[#This Row],[NOMBRE MED.]],[1]!Tabla1[[#This Row],[CONCENTRACION]],[1]!Tabla1[[#This Row],[FORMA FARMACEUTICA]])</f>
        <v>#REF!</v>
      </c>
    </row>
    <row r="379" spans="2:31" x14ac:dyDescent="0.25">
      <c r="B379" s="10">
        <v>138</v>
      </c>
      <c r="C379" s="10" t="s">
        <v>2912</v>
      </c>
      <c r="D379" s="10" t="s">
        <v>2175</v>
      </c>
      <c r="E379" s="10" t="s">
        <v>2913</v>
      </c>
      <c r="F379" s="10" t="s">
        <v>2914</v>
      </c>
      <c r="G379" s="10" t="s">
        <v>2915</v>
      </c>
      <c r="H379" s="10" t="s">
        <v>2916</v>
      </c>
      <c r="I379" s="10" t="s">
        <v>2123</v>
      </c>
      <c r="J379" s="10" t="s">
        <v>1770</v>
      </c>
      <c r="K379" s="10" t="s">
        <v>2917</v>
      </c>
      <c r="L379" s="11">
        <v>202124100454572</v>
      </c>
      <c r="M379" s="20">
        <v>44271</v>
      </c>
      <c r="N379" s="20" t="str">
        <f>UPPER(TEXT(Tabla1[[#This Row],[FECHA RADICADO ENTRADA]],"MMM"))</f>
        <v>MAR</v>
      </c>
      <c r="O379" s="11">
        <v>202124110455481</v>
      </c>
      <c r="P379" s="20">
        <v>44274</v>
      </c>
      <c r="Q379" s="20" t="str">
        <f>UPPER(TEXT(Tabla1[[#This Row],[FECHA RADICADO ENTRADA]],"MMM"))</f>
        <v>MAR</v>
      </c>
      <c r="R379" s="10">
        <f t="shared" si="5"/>
        <v>-3</v>
      </c>
      <c r="S379" s="10" t="s">
        <v>2154</v>
      </c>
      <c r="U379" s="10" t="s">
        <v>2918</v>
      </c>
      <c r="V379" s="20">
        <v>43258</v>
      </c>
      <c r="W379" s="10" t="s">
        <v>32</v>
      </c>
      <c r="X379" s="10">
        <v>30</v>
      </c>
      <c r="Y379" s="11">
        <f>IFERROR(INT(Tabla1[[#This Row],[CANTIDAD UND FARMACEUTICAS]]/(VLOOKUP(Tabla1[[#This Row],[MEDICAMENTO]],TAB_REF!$K$3:$L$27,2,0))),"")</f>
        <v>1</v>
      </c>
      <c r="Z379" s="10" t="str">
        <f>IFERROR(VLOOKUP(Tabla1[[#This Row],[MEDICAMENTO]],TAB_REF!$B$3:$F$27,2,0), "")</f>
        <v xml:space="preserve">Fenobarbital </v>
      </c>
      <c r="AA379" s="10" t="str">
        <f>IFERROR(VLOOKUP(Tabla1[[#This Row],[MEDICAMENTO]],TAB_REF!$B$3:$F$27,3,0), "")</f>
        <v xml:space="preserve">100 mg </v>
      </c>
      <c r="AB379" s="10" t="str">
        <f>IFERROR(VLOOKUP(Tabla1[[#This Row],[MEDICAMENTO]],TAB_REF!$B$3:$F$27,4,0), "")</f>
        <v>Tabletas</v>
      </c>
      <c r="AC379" s="10" t="str">
        <f>IFERROR(VLOOKUP(Tabla1[[#This Row],[MEDICAMENTO]],TAB_REF!$B$3:$F$27,5,0), "")</f>
        <v>Caja x 30 unidades</v>
      </c>
      <c r="AD379" s="10" t="str">
        <f>IFERROR(VLOOKUP(Tabla1[[#This Row],[CANTIDAD UND COMERCIALES]],TAB_REF!$H$3:$I$1003,2,0)&amp;" ("&amp;Tabla1[[#This Row],[CANTIDAD UND COMERCIALES]]&amp;")"&amp;"_"&amp;Tabla1[[#This Row],[CANTIDAD]],"")</f>
        <v>Uno (1)_Caja x 30 unidades</v>
      </c>
      <c r="AE379" s="31" t="e">
        <f>CONCATENATE([1]!Tabla1[[#This Row],[NOMBRE MED.]],[1]!Tabla1[[#This Row],[CONCENTRACION]],[1]!Tabla1[[#This Row],[FORMA FARMACEUTICA]])</f>
        <v>#REF!</v>
      </c>
    </row>
    <row r="380" spans="2:31" x14ac:dyDescent="0.25">
      <c r="B380" s="10">
        <v>138</v>
      </c>
      <c r="C380" s="10" t="s">
        <v>2912</v>
      </c>
      <c r="D380" s="10" t="s">
        <v>2175</v>
      </c>
      <c r="E380" s="10" t="s">
        <v>2913</v>
      </c>
      <c r="F380" s="10" t="s">
        <v>2914</v>
      </c>
      <c r="G380" s="10" t="s">
        <v>2915</v>
      </c>
      <c r="H380" s="10" t="s">
        <v>2916</v>
      </c>
      <c r="I380" s="10" t="s">
        <v>2123</v>
      </c>
      <c r="J380" s="10" t="s">
        <v>1770</v>
      </c>
      <c r="K380" s="10" t="s">
        <v>2917</v>
      </c>
      <c r="L380" s="11">
        <v>202124100454572</v>
      </c>
      <c r="M380" s="20">
        <v>44271</v>
      </c>
      <c r="N380" s="20" t="str">
        <f>UPPER(TEXT(Tabla1[[#This Row],[FECHA RADICADO ENTRADA]],"MMM"))</f>
        <v>MAR</v>
      </c>
      <c r="O380" s="11">
        <v>202124110455481</v>
      </c>
      <c r="P380" s="20">
        <v>44274</v>
      </c>
      <c r="Q380" s="20" t="str">
        <f>UPPER(TEXT(Tabla1[[#This Row],[FECHA RADICADO ENTRADA]],"MMM"))</f>
        <v>MAR</v>
      </c>
      <c r="R380" s="10">
        <f t="shared" si="5"/>
        <v>-3</v>
      </c>
      <c r="S380" s="10" t="s">
        <v>2154</v>
      </c>
      <c r="U380" s="10" t="s">
        <v>2918</v>
      </c>
      <c r="V380" s="20">
        <v>43258</v>
      </c>
      <c r="W380" s="10" t="s">
        <v>63</v>
      </c>
      <c r="X380" s="10">
        <v>10</v>
      </c>
      <c r="Y380" s="11">
        <f>IFERROR(INT(Tabla1[[#This Row],[CANTIDAD UND FARMACEUTICAS]]/(VLOOKUP(Tabla1[[#This Row],[MEDICAMENTO]],TAB_REF!$K$3:$L$27,2,0))),"")</f>
        <v>1</v>
      </c>
      <c r="Z380" s="10" t="str">
        <f>IFERROR(VLOOKUP(Tabla1[[#This Row],[MEDICAMENTO]],TAB_REF!$B$3:$F$27,2,0), "")</f>
        <v xml:space="preserve">Morfina HCl </v>
      </c>
      <c r="AA380" s="10" t="str">
        <f>IFERROR(VLOOKUP(Tabla1[[#This Row],[MEDICAMENTO]],TAB_REF!$B$3:$F$27,3,0), "")</f>
        <v xml:space="preserve">10 mg/mL </v>
      </c>
      <c r="AB380" s="10" t="str">
        <f>IFERROR(VLOOKUP(Tabla1[[#This Row],[MEDICAMENTO]],TAB_REF!$B$3:$F$27,4,0), "")</f>
        <v>Solución Inyectable</v>
      </c>
      <c r="AC380" s="10" t="str">
        <f>IFERROR(VLOOKUP(Tabla1[[#This Row],[MEDICAMENTO]],TAB_REF!$B$3:$F$27,5,0), "")</f>
        <v>Caja x 10 unidades</v>
      </c>
      <c r="AD380" s="10" t="str">
        <f>IFERROR(VLOOKUP(Tabla1[[#This Row],[CANTIDAD UND COMERCIALES]],TAB_REF!$H$3:$I$1003,2,0)&amp;" ("&amp;Tabla1[[#This Row],[CANTIDAD UND COMERCIALES]]&amp;")"&amp;"_"&amp;Tabla1[[#This Row],[CANTIDAD]],"")</f>
        <v>Uno (1)_Caja x 10 unidades</v>
      </c>
      <c r="AE380" s="31" t="e">
        <f>CONCATENATE([1]!Tabla1[[#This Row],[NOMBRE MED.]],[1]!Tabla1[[#This Row],[CONCENTRACION]],[1]!Tabla1[[#This Row],[FORMA FARMACEUTICA]])</f>
        <v>#REF!</v>
      </c>
    </row>
    <row r="381" spans="2:31" x14ac:dyDescent="0.25">
      <c r="B381" s="24">
        <v>139</v>
      </c>
      <c r="C381" s="10" t="s">
        <v>2516</v>
      </c>
      <c r="D381" s="24" t="s">
        <v>2162</v>
      </c>
      <c r="E381" s="24" t="s">
        <v>2517</v>
      </c>
      <c r="F381" s="24" t="s">
        <v>2518</v>
      </c>
      <c r="G381" s="24" t="s">
        <v>2521</v>
      </c>
      <c r="H381" s="24" t="s">
        <v>2520</v>
      </c>
      <c r="I381" s="24" t="s">
        <v>2110</v>
      </c>
      <c r="J381" s="24" t="s">
        <v>1235</v>
      </c>
      <c r="K381" s="10" t="s">
        <v>2919</v>
      </c>
      <c r="L381" s="11">
        <v>202124100461272</v>
      </c>
      <c r="M381" s="20">
        <v>44271</v>
      </c>
      <c r="N381" s="20" t="str">
        <f>UPPER(TEXT(Tabla1[[#This Row],[FECHA RADICADO ENTRADA]],"MMM"))</f>
        <v>MAR</v>
      </c>
      <c r="O381" s="11">
        <v>202124110455531</v>
      </c>
      <c r="P381" s="20">
        <v>44274</v>
      </c>
      <c r="Q381" s="20" t="str">
        <f>UPPER(TEXT(Tabla1[[#This Row],[FECHA RADICADO ENTRADA]],"MMM"))</f>
        <v>MAR</v>
      </c>
      <c r="R381" s="10">
        <f t="shared" si="5"/>
        <v>-3</v>
      </c>
      <c r="S381" s="10" t="s">
        <v>2154</v>
      </c>
      <c r="U381" s="24" t="s">
        <v>2522</v>
      </c>
      <c r="V381" s="35">
        <v>42935</v>
      </c>
      <c r="W381" s="10" t="s">
        <v>32</v>
      </c>
      <c r="X381" s="10">
        <f>1000*30</f>
        <v>30000</v>
      </c>
      <c r="Y381" s="11">
        <f>IFERROR(INT(Tabla1[[#This Row],[CANTIDAD UND FARMACEUTICAS]]/(VLOOKUP(Tabla1[[#This Row],[MEDICAMENTO]],TAB_REF!$K$3:$L$27,2,0))),"")</f>
        <v>1000</v>
      </c>
      <c r="Z381" s="10" t="str">
        <f>IFERROR(VLOOKUP(Tabla1[[#This Row],[MEDICAMENTO]],TAB_REF!$B$3:$F$27,2,0), "")</f>
        <v xml:space="preserve">Fenobarbital </v>
      </c>
      <c r="AA381" s="10" t="str">
        <f>IFERROR(VLOOKUP(Tabla1[[#This Row],[MEDICAMENTO]],TAB_REF!$B$3:$F$27,3,0), "")</f>
        <v xml:space="preserve">100 mg </v>
      </c>
      <c r="AB381" s="10" t="str">
        <f>IFERROR(VLOOKUP(Tabla1[[#This Row],[MEDICAMENTO]],TAB_REF!$B$3:$F$27,4,0), "")</f>
        <v>Tabletas</v>
      </c>
      <c r="AC381" s="10" t="str">
        <f>IFERROR(VLOOKUP(Tabla1[[#This Row],[MEDICAMENTO]],TAB_REF!$B$3:$F$27,5,0), "")</f>
        <v>Caja x 30 unidades</v>
      </c>
      <c r="AD381" s="10" t="str">
        <f>IFERROR(VLOOKUP(Tabla1[[#This Row],[CANTIDAD UND COMERCIALES]],TAB_REF!$H$3:$I$1003,2,0)&amp;" ("&amp;Tabla1[[#This Row],[CANTIDAD UND COMERCIALES]]&amp;")"&amp;"_"&amp;Tabla1[[#This Row],[CANTIDAD]],"")</f>
        <v>Mil (1000)_Caja x 30 unidades</v>
      </c>
      <c r="AE381" s="31" t="e">
        <f>CONCATENATE([1]!Tabla1[[#This Row],[NOMBRE MED.]],[1]!Tabla1[[#This Row],[CONCENTRACION]],[1]!Tabla1[[#This Row],[FORMA FARMACEUTICA]])</f>
        <v>#REF!</v>
      </c>
    </row>
    <row r="382" spans="2:31" x14ac:dyDescent="0.25">
      <c r="B382" s="10">
        <v>140</v>
      </c>
      <c r="C382" s="10" t="s">
        <v>2516</v>
      </c>
      <c r="D382" s="24" t="s">
        <v>2162</v>
      </c>
      <c r="E382" s="24" t="s">
        <v>2517</v>
      </c>
      <c r="F382" s="24" t="s">
        <v>2920</v>
      </c>
      <c r="G382" s="24" t="s">
        <v>2521</v>
      </c>
      <c r="H382" s="24" t="s">
        <v>2520</v>
      </c>
      <c r="I382" s="24" t="s">
        <v>2110</v>
      </c>
      <c r="J382" s="24" t="s">
        <v>1235</v>
      </c>
      <c r="K382" s="10" t="s">
        <v>2921</v>
      </c>
      <c r="L382" s="11">
        <v>202124100461652</v>
      </c>
      <c r="M382" s="20">
        <v>44271</v>
      </c>
      <c r="N382" s="20" t="str">
        <f>UPPER(TEXT(Tabla1[[#This Row],[FECHA RADICADO ENTRADA]],"MMM"))</f>
        <v>MAR</v>
      </c>
      <c r="O382" s="11">
        <v>202124110455541</v>
      </c>
      <c r="P382" s="20">
        <v>44274</v>
      </c>
      <c r="Q382" s="20" t="str">
        <f>UPPER(TEXT(Tabla1[[#This Row],[FECHA RADICADO ENTRADA]],"MMM"))</f>
        <v>MAR</v>
      </c>
      <c r="R382" s="10">
        <f t="shared" si="5"/>
        <v>-3</v>
      </c>
      <c r="S382" s="10" t="s">
        <v>2154</v>
      </c>
      <c r="U382" s="24" t="s">
        <v>2522</v>
      </c>
      <c r="V382" s="35">
        <v>42935</v>
      </c>
      <c r="W382" s="10" t="s">
        <v>48</v>
      </c>
      <c r="X382" s="10">
        <v>3000</v>
      </c>
      <c r="Y382" s="11">
        <f>IFERROR(INT(Tabla1[[#This Row],[CANTIDAD UND FARMACEUTICAS]]/(VLOOKUP(Tabla1[[#This Row],[MEDICAMENTO]],TAB_REF!$K$3:$L$27,2,0))),"")</f>
        <v>100</v>
      </c>
      <c r="Z382" s="10" t="str">
        <f>IFERROR(VLOOKUP(Tabla1[[#This Row],[MEDICAMENTO]],TAB_REF!$B$3:$F$27,2,0), "")</f>
        <v xml:space="preserve">Metilfenidato HCl </v>
      </c>
      <c r="AA382" s="10" t="str">
        <f>IFERROR(VLOOKUP(Tabla1[[#This Row],[MEDICAMENTO]],TAB_REF!$B$3:$F$27,3,0), "")</f>
        <v xml:space="preserve">10 mg </v>
      </c>
      <c r="AB382" s="10" t="str">
        <f>IFERROR(VLOOKUP(Tabla1[[#This Row],[MEDICAMENTO]],TAB_REF!$B$3:$F$27,4,0), "")</f>
        <v>Comprimidos</v>
      </c>
      <c r="AC382" s="10" t="str">
        <f>IFERROR(VLOOKUP(Tabla1[[#This Row],[MEDICAMENTO]],TAB_REF!$B$3:$F$27,5,0), "")</f>
        <v>Caja x 30 unidades</v>
      </c>
      <c r="AD382" s="10" t="str">
        <f>IFERROR(VLOOKUP(Tabla1[[#This Row],[CANTIDAD UND COMERCIALES]],TAB_REF!$H$3:$I$1003,2,0)&amp;" ("&amp;Tabla1[[#This Row],[CANTIDAD UND COMERCIALES]]&amp;")"&amp;"_"&amp;Tabla1[[#This Row],[CANTIDAD]],"")</f>
        <v>Cien (100)_Caja x 30 unidades</v>
      </c>
      <c r="AE382" s="31" t="e">
        <f>CONCATENATE([1]!Tabla1[[#This Row],[NOMBRE MED.]],[1]!Tabla1[[#This Row],[CONCENTRACION]],[1]!Tabla1[[#This Row],[FORMA FARMACEUTICA]])</f>
        <v>#REF!</v>
      </c>
    </row>
    <row r="383" spans="2:31" x14ac:dyDescent="0.25">
      <c r="B383" s="10">
        <v>141</v>
      </c>
      <c r="C383" s="10" t="s">
        <v>2844</v>
      </c>
      <c r="D383" s="10" t="s">
        <v>2312</v>
      </c>
      <c r="E383" s="10" t="s">
        <v>2845</v>
      </c>
      <c r="F383" s="10" t="s">
        <v>2846</v>
      </c>
      <c r="G383" s="10" t="s">
        <v>2847</v>
      </c>
      <c r="H383" s="10" t="s">
        <v>2848</v>
      </c>
      <c r="I383" s="10" t="s">
        <v>2110</v>
      </c>
      <c r="J383" s="10" t="s">
        <v>1235</v>
      </c>
      <c r="K383" s="10" t="s">
        <v>2922</v>
      </c>
      <c r="L383" s="11">
        <v>202124100480392</v>
      </c>
      <c r="M383" s="20">
        <v>44273</v>
      </c>
      <c r="N383" s="20" t="str">
        <f>UPPER(TEXT(Tabla1[[#This Row],[FECHA RADICADO ENTRADA]],"MMM"))</f>
        <v>MAR</v>
      </c>
      <c r="O383" s="11">
        <v>202124110455581</v>
      </c>
      <c r="P383" s="20">
        <v>44274</v>
      </c>
      <c r="Q383" s="20" t="str">
        <f>UPPER(TEXT(Tabla1[[#This Row],[FECHA RADICADO ENTRADA]],"MMM"))</f>
        <v>MAR</v>
      </c>
      <c r="R383" s="10">
        <f t="shared" si="5"/>
        <v>-1</v>
      </c>
      <c r="S383" s="10" t="s">
        <v>2154</v>
      </c>
      <c r="U383" s="10" t="s">
        <v>2924</v>
      </c>
      <c r="V383" s="20">
        <v>43275</v>
      </c>
      <c r="W383" s="10" t="s">
        <v>63</v>
      </c>
      <c r="X383" s="10">
        <v>100</v>
      </c>
      <c r="Y383" s="11">
        <f>IFERROR(INT(Tabla1[[#This Row],[CANTIDAD UND FARMACEUTICAS]]/(VLOOKUP(Tabla1[[#This Row],[MEDICAMENTO]],TAB_REF!$K$3:$L$27,2,0))),"")</f>
        <v>10</v>
      </c>
      <c r="Z383" s="10" t="str">
        <f>IFERROR(VLOOKUP(Tabla1[[#This Row],[MEDICAMENTO]],TAB_REF!$B$3:$F$27,2,0), "")</f>
        <v xml:space="preserve">Morfina HCl </v>
      </c>
      <c r="AA383" s="10" t="str">
        <f>IFERROR(VLOOKUP(Tabla1[[#This Row],[MEDICAMENTO]],TAB_REF!$B$3:$F$27,3,0), "")</f>
        <v xml:space="preserve">10 mg/mL </v>
      </c>
      <c r="AB383" s="10" t="str">
        <f>IFERROR(VLOOKUP(Tabla1[[#This Row],[MEDICAMENTO]],TAB_REF!$B$3:$F$27,4,0), "")</f>
        <v>Solución Inyectable</v>
      </c>
      <c r="AC383" s="10" t="str">
        <f>IFERROR(VLOOKUP(Tabla1[[#This Row],[MEDICAMENTO]],TAB_REF!$B$3:$F$27,5,0), "")</f>
        <v>Caja x 10 unidades</v>
      </c>
      <c r="AD383" s="10" t="str">
        <f>IFERROR(VLOOKUP(Tabla1[[#This Row],[CANTIDAD UND COMERCIALES]],TAB_REF!$H$3:$I$1003,2,0)&amp;" ("&amp;Tabla1[[#This Row],[CANTIDAD UND COMERCIALES]]&amp;")"&amp;"_"&amp;Tabla1[[#This Row],[CANTIDAD]],"")</f>
        <v>Diez (10)_Caja x 10 unidades</v>
      </c>
      <c r="AE383" s="31" t="e">
        <f>CONCATENATE([1]!Tabla1[[#This Row],[NOMBRE MED.]],[1]!Tabla1[[#This Row],[CONCENTRACION]],[1]!Tabla1[[#This Row],[FORMA FARMACEUTICA]])</f>
        <v>#REF!</v>
      </c>
    </row>
    <row r="384" spans="2:31" x14ac:dyDescent="0.25">
      <c r="B384" s="10">
        <v>141</v>
      </c>
      <c r="C384" s="10" t="s">
        <v>2844</v>
      </c>
      <c r="D384" s="10" t="s">
        <v>2312</v>
      </c>
      <c r="E384" s="10" t="s">
        <v>2845</v>
      </c>
      <c r="F384" s="10" t="s">
        <v>2846</v>
      </c>
      <c r="G384" s="10" t="s">
        <v>2847</v>
      </c>
      <c r="H384" s="10" t="s">
        <v>2848</v>
      </c>
      <c r="I384" s="10" t="s">
        <v>2110</v>
      </c>
      <c r="J384" s="10" t="s">
        <v>1235</v>
      </c>
      <c r="K384" s="10" t="s">
        <v>2922</v>
      </c>
      <c r="L384" s="11">
        <v>202124100480392</v>
      </c>
      <c r="M384" s="20">
        <v>44273</v>
      </c>
      <c r="N384" s="20" t="str">
        <f>UPPER(TEXT(Tabla1[[#This Row],[FECHA RADICADO ENTRADA]],"MMM"))</f>
        <v>MAR</v>
      </c>
      <c r="O384" s="11">
        <v>202124110455581</v>
      </c>
      <c r="P384" s="20">
        <v>44274</v>
      </c>
      <c r="Q384" s="20" t="str">
        <f>UPPER(TEXT(Tabla1[[#This Row],[FECHA RADICADO ENTRADA]],"MMM"))</f>
        <v>MAR</v>
      </c>
      <c r="R384" s="10">
        <f t="shared" si="5"/>
        <v>-1</v>
      </c>
      <c r="S384" s="10" t="s">
        <v>2154</v>
      </c>
      <c r="U384" s="10" t="s">
        <v>2924</v>
      </c>
      <c r="V384" s="20">
        <v>43275</v>
      </c>
      <c r="W384" s="10" t="s">
        <v>60</v>
      </c>
      <c r="X384" s="10">
        <v>10</v>
      </c>
      <c r="Y384" s="11">
        <f>IFERROR(INT(Tabla1[[#This Row],[CANTIDAD UND FARMACEUTICAS]]/(VLOOKUP(Tabla1[[#This Row],[MEDICAMENTO]],TAB_REF!$K$3:$L$27,2,0))),"")</f>
        <v>10</v>
      </c>
      <c r="Z384" s="10" t="str">
        <f>IFERROR(VLOOKUP(Tabla1[[#This Row],[MEDICAMENTO]],TAB_REF!$B$3:$F$27,2,0), "")</f>
        <v xml:space="preserve">Morfina HCl </v>
      </c>
      <c r="AA384" s="10" t="str">
        <f>IFERROR(VLOOKUP(Tabla1[[#This Row],[MEDICAMENTO]],TAB_REF!$B$3:$F$27,3,0), "")</f>
        <v xml:space="preserve">3%. </v>
      </c>
      <c r="AB384" s="10" t="str">
        <f>IFERROR(VLOOKUP(Tabla1[[#This Row],[MEDICAMENTO]],TAB_REF!$B$3:$F$27,4,0), "")</f>
        <v>Solución Oral</v>
      </c>
      <c r="AC384" s="10" t="str">
        <f>IFERROR(VLOOKUP(Tabla1[[#This Row],[MEDICAMENTO]],TAB_REF!$B$3:$F$27,5,0), "")</f>
        <v>Frasco x 30 mL</v>
      </c>
      <c r="AD384" s="10" t="str">
        <f>IFERROR(VLOOKUP(Tabla1[[#This Row],[CANTIDAD UND COMERCIALES]],TAB_REF!$H$3:$I$1003,2,0)&amp;" ("&amp;Tabla1[[#This Row],[CANTIDAD UND COMERCIALES]]&amp;")"&amp;"_"&amp;Tabla1[[#This Row],[CANTIDAD]],"")</f>
        <v>Diez (10)_Frasco x 30 mL</v>
      </c>
      <c r="AE384" s="31" t="e">
        <f>CONCATENATE([1]!Tabla1[[#This Row],[NOMBRE MED.]],[1]!Tabla1[[#This Row],[CONCENTRACION]],[1]!Tabla1[[#This Row],[FORMA FARMACEUTICA]])</f>
        <v>#REF!</v>
      </c>
    </row>
    <row r="385" spans="2:31" x14ac:dyDescent="0.25">
      <c r="B385" s="10">
        <v>141</v>
      </c>
      <c r="C385" s="10" t="s">
        <v>2844</v>
      </c>
      <c r="D385" s="10" t="s">
        <v>2312</v>
      </c>
      <c r="E385" s="10" t="s">
        <v>2845</v>
      </c>
      <c r="F385" s="10" t="s">
        <v>2846</v>
      </c>
      <c r="G385" s="21" t="s">
        <v>2847</v>
      </c>
      <c r="H385" s="10" t="s">
        <v>2848</v>
      </c>
      <c r="I385" s="10" t="s">
        <v>2110</v>
      </c>
      <c r="J385" s="10" t="s">
        <v>1235</v>
      </c>
      <c r="K385" s="10" t="s">
        <v>2922</v>
      </c>
      <c r="L385" s="11">
        <v>202124100480392</v>
      </c>
      <c r="M385" s="20">
        <v>44273</v>
      </c>
      <c r="N385" s="20" t="str">
        <f>UPPER(TEXT(Tabla1[[#This Row],[FECHA RADICADO ENTRADA]],"MMM"))</f>
        <v>MAR</v>
      </c>
      <c r="O385" s="11">
        <v>202124110455581</v>
      </c>
      <c r="P385" s="20">
        <v>44274</v>
      </c>
      <c r="Q385" s="20" t="str">
        <f>UPPER(TEXT(Tabla1[[#This Row],[FECHA RADICADO ENTRADA]],"MMM"))</f>
        <v>MAR</v>
      </c>
      <c r="R385" s="10">
        <f t="shared" si="5"/>
        <v>-1</v>
      </c>
      <c r="S385" s="10" t="s">
        <v>2145</v>
      </c>
      <c r="T385" s="10" t="s">
        <v>2923</v>
      </c>
      <c r="U385" s="10" t="s">
        <v>2924</v>
      </c>
      <c r="V385" s="20">
        <v>43275</v>
      </c>
      <c r="W385" s="10" t="s">
        <v>37</v>
      </c>
      <c r="X385" s="10">
        <v>0</v>
      </c>
      <c r="Y385" s="11">
        <f>IFERROR(INT(Tabla1[[#This Row],[CANTIDAD UND FARMACEUTICAS]]/(VLOOKUP(Tabla1[[#This Row],[MEDICAMENTO]],TAB_REF!$K$3:$L$27,2,0))),"")</f>
        <v>0</v>
      </c>
      <c r="Z385" s="10" t="str">
        <f>IFERROR(VLOOKUP(Tabla1[[#This Row],[MEDICAMENTO]],TAB_REF!$B$3:$F$27,2,0), "")</f>
        <v xml:space="preserve">Hidromorfona HCl </v>
      </c>
      <c r="AA385" s="10" t="str">
        <f>IFERROR(VLOOKUP(Tabla1[[#This Row],[MEDICAMENTO]],TAB_REF!$B$3:$F$27,3,0), "")</f>
        <v xml:space="preserve">2 mg/mL </v>
      </c>
      <c r="AB385" s="10" t="str">
        <f>IFERROR(VLOOKUP(Tabla1[[#This Row],[MEDICAMENTO]],TAB_REF!$B$3:$F$27,4,0), "")</f>
        <v>Solución Inyectable</v>
      </c>
      <c r="AC385" s="10" t="str">
        <f>IFERROR(VLOOKUP(Tabla1[[#This Row],[MEDICAMENTO]],TAB_REF!$B$3:$F$27,5,0), "")</f>
        <v>Caja x 10 unidades</v>
      </c>
      <c r="AD385" s="10" t="str">
        <f>IFERROR(VLOOKUP(Tabla1[[#This Row],[CANTIDAD UND COMERCIALES]],TAB_REF!$H$3:$I$1003,2,0)&amp;" ("&amp;Tabla1[[#This Row],[CANTIDAD UND COMERCIALES]]&amp;")"&amp;"_"&amp;Tabla1[[#This Row],[CANTIDAD]],"")</f>
        <v/>
      </c>
      <c r="AE385" s="31" t="e">
        <f>CONCATENATE([1]!Tabla1[[#This Row],[NOMBRE MED.]],[1]!Tabla1[[#This Row],[CONCENTRACION]],[1]!Tabla1[[#This Row],[FORMA FARMACEUTICA]])</f>
        <v>#REF!</v>
      </c>
    </row>
    <row r="386" spans="2:31" x14ac:dyDescent="0.25">
      <c r="B386" s="10">
        <v>142</v>
      </c>
      <c r="C386" s="10" t="s">
        <v>2925</v>
      </c>
      <c r="D386" s="10" t="s">
        <v>2175</v>
      </c>
      <c r="E386" s="10" t="s">
        <v>2926</v>
      </c>
      <c r="F386" s="10" t="s">
        <v>2164</v>
      </c>
      <c r="G386" s="10" t="s">
        <v>2927</v>
      </c>
      <c r="H386" s="10" t="s">
        <v>2164</v>
      </c>
      <c r="I386" s="10" t="s">
        <v>2129</v>
      </c>
      <c r="J386" s="10" t="s">
        <v>2026</v>
      </c>
      <c r="K386" s="10" t="s">
        <v>2928</v>
      </c>
      <c r="L386" s="11">
        <v>202124100483272</v>
      </c>
      <c r="M386" s="20">
        <v>44274</v>
      </c>
      <c r="N386" s="20" t="str">
        <f>UPPER(TEXT(Tabla1[[#This Row],[FECHA RADICADO ENTRADA]],"MMM"))</f>
        <v>MAR</v>
      </c>
      <c r="O386" s="11">
        <v>202124110479711</v>
      </c>
      <c r="P386" s="20">
        <v>44280</v>
      </c>
      <c r="Q386" s="20" t="str">
        <f>UPPER(TEXT(Tabla1[[#This Row],[FECHA RADICADO ENTRADA]],"MMM"))</f>
        <v>MAR</v>
      </c>
      <c r="R386" s="10">
        <f t="shared" ref="R386:R449" si="6">_xlfn.DAYS(M386,P386)</f>
        <v>-6</v>
      </c>
      <c r="S386" s="10" t="s">
        <v>2145</v>
      </c>
      <c r="T386" s="10" t="s">
        <v>2808</v>
      </c>
      <c r="U386" s="10" t="s">
        <v>2164</v>
      </c>
      <c r="V386" s="20" t="s">
        <v>2164</v>
      </c>
      <c r="W386" s="10" t="s">
        <v>36</v>
      </c>
      <c r="X386" s="10">
        <v>0</v>
      </c>
      <c r="Y386" s="11">
        <f>IFERROR(INT(Tabla1[[#This Row],[CANTIDAD UND FARMACEUTICAS]]/(VLOOKUP(Tabla1[[#This Row],[MEDICAMENTO]],TAB_REF!$K$3:$L$27,2,0))),"")</f>
        <v>0</v>
      </c>
      <c r="Z386" s="10" t="str">
        <f>IFERROR(VLOOKUP(Tabla1[[#This Row],[MEDICAMENTO]],TAB_REF!$B$3:$F$27,2,0), "")</f>
        <v xml:space="preserve">Fenobarbital Sódico </v>
      </c>
      <c r="AA386" s="10" t="str">
        <f>IFERROR(VLOOKUP(Tabla1[[#This Row],[MEDICAMENTO]],TAB_REF!$B$3:$F$27,3,0), "")</f>
        <v xml:space="preserve">40 mg/mL </v>
      </c>
      <c r="AB386" s="10" t="str">
        <f>IFERROR(VLOOKUP(Tabla1[[#This Row],[MEDICAMENTO]],TAB_REF!$B$3:$F$27,4,0), "")</f>
        <v>Solución Inyectable</v>
      </c>
      <c r="AC386" s="10" t="str">
        <f>IFERROR(VLOOKUP(Tabla1[[#This Row],[MEDICAMENTO]],TAB_REF!$B$3:$F$27,5,0), "")</f>
        <v>Caja x 10 unidades</v>
      </c>
      <c r="AD386" s="10" t="str">
        <f>IFERROR(VLOOKUP(Tabla1[[#This Row],[CANTIDAD UND COMERCIALES]],TAB_REF!$H$3:$I$1003,2,0)&amp;" ("&amp;Tabla1[[#This Row],[CANTIDAD UND COMERCIALES]]&amp;")"&amp;"_"&amp;Tabla1[[#This Row],[CANTIDAD]],"")</f>
        <v/>
      </c>
      <c r="AE386" s="31" t="e">
        <f>CONCATENATE([1]!Tabla1[[#This Row],[NOMBRE MED.]],[1]!Tabla1[[#This Row],[CONCENTRACION]],[1]!Tabla1[[#This Row],[FORMA FARMACEUTICA]])</f>
        <v>#REF!</v>
      </c>
    </row>
    <row r="387" spans="2:31" x14ac:dyDescent="0.25">
      <c r="B387" s="10">
        <v>142</v>
      </c>
      <c r="C387" s="10" t="s">
        <v>2925</v>
      </c>
      <c r="D387" s="10" t="s">
        <v>2175</v>
      </c>
      <c r="E387" s="10" t="s">
        <v>2926</v>
      </c>
      <c r="F387" s="10" t="s">
        <v>2164</v>
      </c>
      <c r="G387" s="10" t="s">
        <v>2927</v>
      </c>
      <c r="H387" s="10" t="s">
        <v>2164</v>
      </c>
      <c r="I387" s="10" t="s">
        <v>2129</v>
      </c>
      <c r="J387" s="10" t="s">
        <v>2026</v>
      </c>
      <c r="K387" s="10" t="s">
        <v>2928</v>
      </c>
      <c r="L387" s="11">
        <v>202124100483272</v>
      </c>
      <c r="M387" s="20">
        <v>44274</v>
      </c>
      <c r="N387" s="20" t="str">
        <f>UPPER(TEXT(Tabla1[[#This Row],[FECHA RADICADO ENTRADA]],"MMM"))</f>
        <v>MAR</v>
      </c>
      <c r="O387" s="11">
        <v>202124110479711</v>
      </c>
      <c r="P387" s="20">
        <v>44280</v>
      </c>
      <c r="Q387" s="20" t="str">
        <f>UPPER(TEXT(Tabla1[[#This Row],[FECHA RADICADO ENTRADA]],"MMM"))</f>
        <v>MAR</v>
      </c>
      <c r="R387" s="10">
        <f t="shared" si="6"/>
        <v>-6</v>
      </c>
      <c r="S387" s="10" t="s">
        <v>2145</v>
      </c>
      <c r="T387" s="10" t="s">
        <v>2808</v>
      </c>
      <c r="U387" s="10" t="s">
        <v>2164</v>
      </c>
      <c r="V387" s="20" t="s">
        <v>2164</v>
      </c>
      <c r="W387" s="10" t="s">
        <v>63</v>
      </c>
      <c r="X387" s="10">
        <v>0</v>
      </c>
      <c r="Y387" s="11">
        <f>IFERROR(INT(Tabla1[[#This Row],[CANTIDAD UND FARMACEUTICAS]]/(VLOOKUP(Tabla1[[#This Row],[MEDICAMENTO]],TAB_REF!$K$3:$L$27,2,0))),"")</f>
        <v>0</v>
      </c>
      <c r="Z387" s="10" t="str">
        <f>IFERROR(VLOOKUP(Tabla1[[#This Row],[MEDICAMENTO]],TAB_REF!$B$3:$F$27,2,0), "")</f>
        <v xml:space="preserve">Morfina HCl </v>
      </c>
      <c r="AA387" s="10" t="str">
        <f>IFERROR(VLOOKUP(Tabla1[[#This Row],[MEDICAMENTO]],TAB_REF!$B$3:$F$27,3,0), "")</f>
        <v xml:space="preserve">10 mg/mL </v>
      </c>
      <c r="AB387" s="10" t="str">
        <f>IFERROR(VLOOKUP(Tabla1[[#This Row],[MEDICAMENTO]],TAB_REF!$B$3:$F$27,4,0), "")</f>
        <v>Solución Inyectable</v>
      </c>
      <c r="AC387" s="10" t="str">
        <f>IFERROR(VLOOKUP(Tabla1[[#This Row],[MEDICAMENTO]],TAB_REF!$B$3:$F$27,5,0), "")</f>
        <v>Caja x 10 unidades</v>
      </c>
      <c r="AD387" s="10" t="str">
        <f>IFERROR(VLOOKUP(Tabla1[[#This Row],[CANTIDAD UND COMERCIALES]],TAB_REF!$H$3:$I$1003,2,0)&amp;" ("&amp;Tabla1[[#This Row],[CANTIDAD UND COMERCIALES]]&amp;")"&amp;"_"&amp;Tabla1[[#This Row],[CANTIDAD]],"")</f>
        <v/>
      </c>
      <c r="AE387" s="31" t="e">
        <f>CONCATENATE([1]!Tabla1[[#This Row],[NOMBRE MED.]],[1]!Tabla1[[#This Row],[CONCENTRACION]],[1]!Tabla1[[#This Row],[FORMA FARMACEUTICA]])</f>
        <v>#REF!</v>
      </c>
    </row>
    <row r="388" spans="2:31" x14ac:dyDescent="0.25">
      <c r="B388" s="10">
        <v>143</v>
      </c>
      <c r="C388" s="10" t="s">
        <v>2781</v>
      </c>
      <c r="D388" s="10" t="s">
        <v>2782</v>
      </c>
      <c r="E388" s="10" t="s">
        <v>2783</v>
      </c>
      <c r="F388" s="10" t="s">
        <v>2164</v>
      </c>
      <c r="G388" s="10" t="s">
        <v>2784</v>
      </c>
      <c r="H388" s="10" t="s">
        <v>2785</v>
      </c>
      <c r="I388" s="10" t="s">
        <v>2129</v>
      </c>
      <c r="J388" s="10" t="s">
        <v>2011</v>
      </c>
      <c r="K388" s="10" t="s">
        <v>2786</v>
      </c>
      <c r="L388" s="11">
        <v>202124100489282</v>
      </c>
      <c r="M388" s="20">
        <v>44274</v>
      </c>
      <c r="N388" s="20" t="str">
        <f>UPPER(TEXT(Tabla1[[#This Row],[FECHA RADICADO ENTRADA]],"MMM"))</f>
        <v>MAR</v>
      </c>
      <c r="O388" s="11">
        <v>202124110479751</v>
      </c>
      <c r="P388" s="20">
        <v>44280</v>
      </c>
      <c r="Q388" s="20" t="str">
        <f>UPPER(TEXT(Tabla1[[#This Row],[FECHA RADICADO ENTRADA]],"MMM"))</f>
        <v>MAR</v>
      </c>
      <c r="R388" s="10">
        <f t="shared" si="6"/>
        <v>-6</v>
      </c>
      <c r="S388" s="10" t="s">
        <v>2145</v>
      </c>
      <c r="T388" s="10" t="s">
        <v>2808</v>
      </c>
      <c r="U388" s="10" t="s">
        <v>2164</v>
      </c>
      <c r="V388" s="20" t="s">
        <v>2164</v>
      </c>
      <c r="W388" s="10" t="s">
        <v>63</v>
      </c>
      <c r="X388" s="10">
        <v>0</v>
      </c>
      <c r="Y388" s="11">
        <f>IFERROR(INT(Tabla1[[#This Row],[CANTIDAD UND FARMACEUTICAS]]/(VLOOKUP(Tabla1[[#This Row],[MEDICAMENTO]],TAB_REF!$K$3:$L$27,2,0))),"")</f>
        <v>0</v>
      </c>
      <c r="Z388" s="10" t="str">
        <f>IFERROR(VLOOKUP(Tabla1[[#This Row],[MEDICAMENTO]],TAB_REF!$B$3:$F$27,2,0), "")</f>
        <v xml:space="preserve">Morfina HCl </v>
      </c>
      <c r="AA388" s="10" t="str">
        <f>IFERROR(VLOOKUP(Tabla1[[#This Row],[MEDICAMENTO]],TAB_REF!$B$3:$F$27,3,0), "")</f>
        <v xml:space="preserve">10 mg/mL </v>
      </c>
      <c r="AB388" s="10" t="str">
        <f>IFERROR(VLOOKUP(Tabla1[[#This Row],[MEDICAMENTO]],TAB_REF!$B$3:$F$27,4,0), "")</f>
        <v>Solución Inyectable</v>
      </c>
      <c r="AC388" s="10" t="str">
        <f>IFERROR(VLOOKUP(Tabla1[[#This Row],[MEDICAMENTO]],TAB_REF!$B$3:$F$27,5,0), "")</f>
        <v>Caja x 10 unidades</v>
      </c>
      <c r="AD388" s="10" t="str">
        <f>IFERROR(VLOOKUP(Tabla1[[#This Row],[CANTIDAD UND COMERCIALES]],TAB_REF!$H$3:$I$1003,2,0)&amp;" ("&amp;Tabla1[[#This Row],[CANTIDAD UND COMERCIALES]]&amp;")"&amp;"_"&amp;Tabla1[[#This Row],[CANTIDAD]],"")</f>
        <v/>
      </c>
      <c r="AE388" s="31" t="e">
        <f>CONCATENATE([1]!Tabla1[[#This Row],[NOMBRE MED.]],[1]!Tabla1[[#This Row],[CONCENTRACION]],[1]!Tabla1[[#This Row],[FORMA FARMACEUTICA]])</f>
        <v>#REF!</v>
      </c>
    </row>
    <row r="389" spans="2:31" x14ac:dyDescent="0.25">
      <c r="B389" s="10">
        <v>144</v>
      </c>
      <c r="C389" s="10" t="s">
        <v>2850</v>
      </c>
      <c r="D389" s="10" t="s">
        <v>2175</v>
      </c>
      <c r="E389" s="10" t="s">
        <v>2851</v>
      </c>
      <c r="F389" s="10" t="s">
        <v>2929</v>
      </c>
      <c r="G389" s="21" t="s">
        <v>2930</v>
      </c>
      <c r="H389" s="10" t="s">
        <v>2853</v>
      </c>
      <c r="I389" s="10" t="s">
        <v>2110</v>
      </c>
      <c r="J389" s="10" t="s">
        <v>1235</v>
      </c>
      <c r="K389" s="10" t="s">
        <v>2931</v>
      </c>
      <c r="L389" s="11">
        <v>202124100489932</v>
      </c>
      <c r="M389" s="20">
        <v>44274</v>
      </c>
      <c r="N389" s="20" t="str">
        <f>UPPER(TEXT(Tabla1[[#This Row],[FECHA RADICADO ENTRADA]],"MMM"))</f>
        <v>MAR</v>
      </c>
      <c r="O389" s="11">
        <v>202124110479791</v>
      </c>
      <c r="P389" s="20">
        <v>44280</v>
      </c>
      <c r="Q389" s="20" t="str">
        <f>UPPER(TEXT(Tabla1[[#This Row],[FECHA RADICADO ENTRADA]],"MMM"))</f>
        <v>MAR</v>
      </c>
      <c r="R389" s="10">
        <f t="shared" si="6"/>
        <v>-6</v>
      </c>
      <c r="S389" s="10" t="s">
        <v>2145</v>
      </c>
      <c r="T389" s="10" t="s">
        <v>2923</v>
      </c>
      <c r="U389" s="10" t="s">
        <v>2932</v>
      </c>
      <c r="V389" s="20">
        <v>44235</v>
      </c>
      <c r="W389" s="10" t="s">
        <v>37</v>
      </c>
      <c r="X389" s="10">
        <v>0</v>
      </c>
      <c r="Y389" s="11">
        <f>IFERROR(INT(Tabla1[[#This Row],[CANTIDAD UND FARMACEUTICAS]]/(VLOOKUP(Tabla1[[#This Row],[MEDICAMENTO]],TAB_REF!$K$3:$L$27,2,0))),"")</f>
        <v>0</v>
      </c>
      <c r="Z389" s="10" t="str">
        <f>IFERROR(VLOOKUP(Tabla1[[#This Row],[MEDICAMENTO]],TAB_REF!$B$3:$F$27,2,0), "")</f>
        <v xml:space="preserve">Hidromorfona HCl </v>
      </c>
      <c r="AA389" s="10" t="str">
        <f>IFERROR(VLOOKUP(Tabla1[[#This Row],[MEDICAMENTO]],TAB_REF!$B$3:$F$27,3,0), "")</f>
        <v xml:space="preserve">2 mg/mL </v>
      </c>
      <c r="AB389" s="10" t="str">
        <f>IFERROR(VLOOKUP(Tabla1[[#This Row],[MEDICAMENTO]],TAB_REF!$B$3:$F$27,4,0), "")</f>
        <v>Solución Inyectable</v>
      </c>
      <c r="AC389" s="10" t="str">
        <f>IFERROR(VLOOKUP(Tabla1[[#This Row],[MEDICAMENTO]],TAB_REF!$B$3:$F$27,5,0), "")</f>
        <v>Caja x 10 unidades</v>
      </c>
      <c r="AD389" s="10" t="str">
        <f>IFERROR(VLOOKUP(Tabla1[[#This Row],[CANTIDAD UND COMERCIALES]],TAB_REF!$H$3:$I$1003,2,0)&amp;" ("&amp;Tabla1[[#This Row],[CANTIDAD UND COMERCIALES]]&amp;")"&amp;"_"&amp;Tabla1[[#This Row],[CANTIDAD]],"")</f>
        <v/>
      </c>
      <c r="AE389" s="31" t="e">
        <f>CONCATENATE([1]!Tabla1[[#This Row],[NOMBRE MED.]],[1]!Tabla1[[#This Row],[CONCENTRACION]],[1]!Tabla1[[#This Row],[FORMA FARMACEUTICA]])</f>
        <v>#REF!</v>
      </c>
    </row>
    <row r="390" spans="2:31" x14ac:dyDescent="0.25">
      <c r="B390" s="10">
        <v>144</v>
      </c>
      <c r="C390" s="10" t="s">
        <v>2850</v>
      </c>
      <c r="D390" s="10" t="s">
        <v>2175</v>
      </c>
      <c r="E390" s="10" t="s">
        <v>2851</v>
      </c>
      <c r="F390" s="10" t="s">
        <v>2929</v>
      </c>
      <c r="G390" s="10" t="s">
        <v>2930</v>
      </c>
      <c r="H390" s="10" t="s">
        <v>2853</v>
      </c>
      <c r="I390" s="10" t="s">
        <v>2110</v>
      </c>
      <c r="J390" s="10" t="s">
        <v>1235</v>
      </c>
      <c r="K390" s="10" t="s">
        <v>2931</v>
      </c>
      <c r="L390" s="11">
        <v>202124100489932</v>
      </c>
      <c r="M390" s="20">
        <v>44274</v>
      </c>
      <c r="N390" s="20" t="str">
        <f>UPPER(TEXT(Tabla1[[#This Row],[FECHA RADICADO ENTRADA]],"MMM"))</f>
        <v>MAR</v>
      </c>
      <c r="O390" s="11">
        <v>202124110479791</v>
      </c>
      <c r="P390" s="20">
        <v>44280</v>
      </c>
      <c r="Q390" s="20" t="str">
        <f>UPPER(TEXT(Tabla1[[#This Row],[FECHA RADICADO ENTRADA]],"MMM"))</f>
        <v>MAR</v>
      </c>
      <c r="R390" s="10">
        <f t="shared" si="6"/>
        <v>-6</v>
      </c>
      <c r="S390" s="10" t="s">
        <v>2154</v>
      </c>
      <c r="U390" s="10" t="s">
        <v>2932</v>
      </c>
      <c r="V390" s="20">
        <v>44235</v>
      </c>
      <c r="W390" s="10" t="s">
        <v>63</v>
      </c>
      <c r="X390" s="10">
        <v>300</v>
      </c>
      <c r="Y390" s="11">
        <f>IFERROR(INT(Tabla1[[#This Row],[CANTIDAD UND FARMACEUTICAS]]/(VLOOKUP(Tabla1[[#This Row],[MEDICAMENTO]],TAB_REF!$K$3:$L$27,2,0))),"")</f>
        <v>30</v>
      </c>
      <c r="Z390" s="10" t="str">
        <f>IFERROR(VLOOKUP(Tabla1[[#This Row],[MEDICAMENTO]],TAB_REF!$B$3:$F$27,2,0), "")</f>
        <v xml:space="preserve">Morfina HCl </v>
      </c>
      <c r="AA390" s="10" t="str">
        <f>IFERROR(VLOOKUP(Tabla1[[#This Row],[MEDICAMENTO]],TAB_REF!$B$3:$F$27,3,0), "")</f>
        <v xml:space="preserve">10 mg/mL </v>
      </c>
      <c r="AB390" s="10" t="str">
        <f>IFERROR(VLOOKUP(Tabla1[[#This Row],[MEDICAMENTO]],TAB_REF!$B$3:$F$27,4,0), "")</f>
        <v>Solución Inyectable</v>
      </c>
      <c r="AC390" s="10" t="str">
        <f>IFERROR(VLOOKUP(Tabla1[[#This Row],[MEDICAMENTO]],TAB_REF!$B$3:$F$27,5,0), "")</f>
        <v>Caja x 10 unidades</v>
      </c>
      <c r="AD390" s="10" t="str">
        <f>IFERROR(VLOOKUP(Tabla1[[#This Row],[CANTIDAD UND COMERCIALES]],TAB_REF!$H$3:$I$1003,2,0)&amp;" ("&amp;Tabla1[[#This Row],[CANTIDAD UND COMERCIALES]]&amp;")"&amp;"_"&amp;Tabla1[[#This Row],[CANTIDAD]],"")</f>
        <v>Treinta (30)_Caja x 10 unidades</v>
      </c>
      <c r="AE390" s="31" t="e">
        <f>CONCATENATE([1]!Tabla1[[#This Row],[NOMBRE MED.]],[1]!Tabla1[[#This Row],[CONCENTRACION]],[1]!Tabla1[[#This Row],[FORMA FARMACEUTICA]])</f>
        <v>#REF!</v>
      </c>
    </row>
    <row r="391" spans="2:31" x14ac:dyDescent="0.25">
      <c r="B391" s="10">
        <v>144</v>
      </c>
      <c r="C391" s="10" t="s">
        <v>2850</v>
      </c>
      <c r="D391" s="10" t="s">
        <v>2175</v>
      </c>
      <c r="E391" s="10" t="s">
        <v>2851</v>
      </c>
      <c r="F391" s="10" t="s">
        <v>2929</v>
      </c>
      <c r="G391" s="10" t="s">
        <v>2930</v>
      </c>
      <c r="H391" s="10" t="s">
        <v>2853</v>
      </c>
      <c r="I391" s="10" t="s">
        <v>2110</v>
      </c>
      <c r="J391" s="10" t="s">
        <v>1235</v>
      </c>
      <c r="K391" s="10" t="s">
        <v>2931</v>
      </c>
      <c r="L391" s="11">
        <v>202124100489932</v>
      </c>
      <c r="M391" s="20">
        <v>44274</v>
      </c>
      <c r="N391" s="20" t="str">
        <f>UPPER(TEXT(Tabla1[[#This Row],[FECHA RADICADO ENTRADA]],"MMM"))</f>
        <v>MAR</v>
      </c>
      <c r="O391" s="11">
        <v>202124110479791</v>
      </c>
      <c r="P391" s="20">
        <v>44280</v>
      </c>
      <c r="Q391" s="20" t="str">
        <f>UPPER(TEXT(Tabla1[[#This Row],[FECHA RADICADO ENTRADA]],"MMM"))</f>
        <v>MAR</v>
      </c>
      <c r="R391" s="10">
        <f t="shared" si="6"/>
        <v>-6</v>
      </c>
      <c r="S391" s="10" t="s">
        <v>2154</v>
      </c>
      <c r="U391" s="10" t="s">
        <v>2932</v>
      </c>
      <c r="V391" s="20">
        <v>44235</v>
      </c>
      <c r="W391" s="10" t="s">
        <v>36</v>
      </c>
      <c r="X391" s="10">
        <v>50</v>
      </c>
      <c r="Y391" s="11">
        <f>IFERROR(INT(Tabla1[[#This Row],[CANTIDAD UND FARMACEUTICAS]]/(VLOOKUP(Tabla1[[#This Row],[MEDICAMENTO]],TAB_REF!$K$3:$L$27,2,0))),"")</f>
        <v>5</v>
      </c>
      <c r="Z391" s="10" t="str">
        <f>IFERROR(VLOOKUP(Tabla1[[#This Row],[MEDICAMENTO]],TAB_REF!$B$3:$F$27,2,0), "")</f>
        <v xml:space="preserve">Fenobarbital Sódico </v>
      </c>
      <c r="AA391" s="10" t="str">
        <f>IFERROR(VLOOKUP(Tabla1[[#This Row],[MEDICAMENTO]],TAB_REF!$B$3:$F$27,3,0), "")</f>
        <v xml:space="preserve">40 mg/mL </v>
      </c>
      <c r="AB391" s="10" t="str">
        <f>IFERROR(VLOOKUP(Tabla1[[#This Row],[MEDICAMENTO]],TAB_REF!$B$3:$F$27,4,0), "")</f>
        <v>Solución Inyectable</v>
      </c>
      <c r="AC391" s="10" t="str">
        <f>IFERROR(VLOOKUP(Tabla1[[#This Row],[MEDICAMENTO]],TAB_REF!$B$3:$F$27,5,0), "")</f>
        <v>Caja x 10 unidades</v>
      </c>
      <c r="AD391" s="10" t="str">
        <f>IFERROR(VLOOKUP(Tabla1[[#This Row],[CANTIDAD UND COMERCIALES]],TAB_REF!$H$3:$I$1003,2,0)&amp;" ("&amp;Tabla1[[#This Row],[CANTIDAD UND COMERCIALES]]&amp;")"&amp;"_"&amp;Tabla1[[#This Row],[CANTIDAD]],"")</f>
        <v>Cinco (5)_Caja x 10 unidades</v>
      </c>
      <c r="AE391" s="31" t="e">
        <f>CONCATENATE([1]!Tabla1[[#This Row],[NOMBRE MED.]],[1]!Tabla1[[#This Row],[CONCENTRACION]],[1]!Tabla1[[#This Row],[FORMA FARMACEUTICA]])</f>
        <v>#REF!</v>
      </c>
    </row>
    <row r="392" spans="2:31" x14ac:dyDescent="0.25">
      <c r="B392" s="10">
        <v>144</v>
      </c>
      <c r="C392" s="10" t="s">
        <v>2850</v>
      </c>
      <c r="D392" s="10" t="s">
        <v>2175</v>
      </c>
      <c r="E392" s="10" t="s">
        <v>2851</v>
      </c>
      <c r="F392" s="10" t="s">
        <v>2929</v>
      </c>
      <c r="G392" s="10" t="s">
        <v>2930</v>
      </c>
      <c r="H392" s="10" t="s">
        <v>2853</v>
      </c>
      <c r="I392" s="10" t="s">
        <v>2110</v>
      </c>
      <c r="J392" s="10" t="s">
        <v>1235</v>
      </c>
      <c r="K392" s="10" t="s">
        <v>2931</v>
      </c>
      <c r="L392" s="11">
        <v>202124100489932</v>
      </c>
      <c r="M392" s="20">
        <v>44274</v>
      </c>
      <c r="N392" s="20" t="str">
        <f>UPPER(TEXT(Tabla1[[#This Row],[FECHA RADICADO ENTRADA]],"MMM"))</f>
        <v>MAR</v>
      </c>
      <c r="O392" s="11">
        <v>202124110479791</v>
      </c>
      <c r="P392" s="20">
        <v>44280</v>
      </c>
      <c r="Q392" s="20" t="str">
        <f>UPPER(TEXT(Tabla1[[#This Row],[FECHA RADICADO ENTRADA]],"MMM"))</f>
        <v>MAR</v>
      </c>
      <c r="R392" s="10">
        <f t="shared" si="6"/>
        <v>-6</v>
      </c>
      <c r="S392" s="10" t="s">
        <v>2154</v>
      </c>
      <c r="U392" s="10" t="s">
        <v>2932</v>
      </c>
      <c r="V392" s="20">
        <v>44235</v>
      </c>
      <c r="W392" s="10" t="s">
        <v>32</v>
      </c>
      <c r="X392" s="10">
        <v>60</v>
      </c>
      <c r="Y392" s="11">
        <f>IFERROR(INT(Tabla1[[#This Row],[CANTIDAD UND FARMACEUTICAS]]/(VLOOKUP(Tabla1[[#This Row],[MEDICAMENTO]],TAB_REF!$K$3:$L$27,2,0))),"")</f>
        <v>2</v>
      </c>
      <c r="Z392" s="10" t="str">
        <f>IFERROR(VLOOKUP(Tabla1[[#This Row],[MEDICAMENTO]],TAB_REF!$B$3:$F$27,2,0), "")</f>
        <v xml:space="preserve">Fenobarbital </v>
      </c>
      <c r="AA392" s="10" t="str">
        <f>IFERROR(VLOOKUP(Tabla1[[#This Row],[MEDICAMENTO]],TAB_REF!$B$3:$F$27,3,0), "")</f>
        <v xml:space="preserve">100 mg </v>
      </c>
      <c r="AB392" s="10" t="str">
        <f>IFERROR(VLOOKUP(Tabla1[[#This Row],[MEDICAMENTO]],TAB_REF!$B$3:$F$27,4,0), "")</f>
        <v>Tabletas</v>
      </c>
      <c r="AC392" s="10" t="str">
        <f>IFERROR(VLOOKUP(Tabla1[[#This Row],[MEDICAMENTO]],TAB_REF!$B$3:$F$27,5,0), "")</f>
        <v>Caja x 30 unidades</v>
      </c>
      <c r="AD392" s="10" t="str">
        <f>IFERROR(VLOOKUP(Tabla1[[#This Row],[CANTIDAD UND COMERCIALES]],TAB_REF!$H$3:$I$1003,2,0)&amp;" ("&amp;Tabla1[[#This Row],[CANTIDAD UND COMERCIALES]]&amp;")"&amp;"_"&amp;Tabla1[[#This Row],[CANTIDAD]],"")</f>
        <v>Dos (2)_Caja x 30 unidades</v>
      </c>
      <c r="AE392" s="31" t="e">
        <f>CONCATENATE([1]!Tabla1[[#This Row],[NOMBRE MED.]],[1]!Tabla1[[#This Row],[CONCENTRACION]],[1]!Tabla1[[#This Row],[FORMA FARMACEUTICA]])</f>
        <v>#REF!</v>
      </c>
    </row>
    <row r="393" spans="2:31" x14ac:dyDescent="0.25">
      <c r="B393" s="10">
        <v>145</v>
      </c>
      <c r="C393" s="10" t="s">
        <v>2933</v>
      </c>
      <c r="D393" s="10" t="s">
        <v>2182</v>
      </c>
      <c r="E393" s="10" t="s">
        <v>2934</v>
      </c>
      <c r="F393" s="10" t="s">
        <v>2815</v>
      </c>
      <c r="G393" s="10" t="s">
        <v>2935</v>
      </c>
      <c r="H393" s="10" t="s">
        <v>2936</v>
      </c>
      <c r="I393" s="10" t="s">
        <v>2116</v>
      </c>
      <c r="J393" s="10" t="s">
        <v>1550</v>
      </c>
      <c r="K393" s="10" t="s">
        <v>2937</v>
      </c>
      <c r="L393" s="11">
        <v>202124100503422</v>
      </c>
      <c r="M393" s="20">
        <v>44278</v>
      </c>
      <c r="N393" s="20" t="str">
        <f>UPPER(TEXT(Tabla1[[#This Row],[FECHA RADICADO ENTRADA]],"MMM"))</f>
        <v>MAR</v>
      </c>
      <c r="O393" s="11">
        <v>202124110499891</v>
      </c>
      <c r="P393" s="20">
        <v>44285</v>
      </c>
      <c r="Q393" s="20" t="str">
        <f>UPPER(TEXT(Tabla1[[#This Row],[FECHA RADICADO ENTRADA]],"MMM"))</f>
        <v>MAR</v>
      </c>
      <c r="R393" s="10">
        <f t="shared" si="6"/>
        <v>-7</v>
      </c>
      <c r="S393" s="10" t="s">
        <v>2154</v>
      </c>
      <c r="U393" s="10" t="s">
        <v>2938</v>
      </c>
      <c r="V393" s="20">
        <v>43623</v>
      </c>
      <c r="W393" s="10" t="s">
        <v>45</v>
      </c>
      <c r="X393" s="10">
        <v>120</v>
      </c>
      <c r="Y393" s="11">
        <f>IFERROR(INT(Tabla1[[#This Row],[CANTIDAD UND FARMACEUTICAS]]/(VLOOKUP(Tabla1[[#This Row],[MEDICAMENTO]],TAB_REF!$K$3:$L$27,2,0))),"")</f>
        <v>4</v>
      </c>
      <c r="Z393" s="10" t="str">
        <f>IFERROR(VLOOKUP(Tabla1[[#This Row],[MEDICAMENTO]],TAB_REF!$B$3:$F$27,2,0), "")</f>
        <v xml:space="preserve">Metadona HCl </v>
      </c>
      <c r="AA393" s="10" t="str">
        <f>IFERROR(VLOOKUP(Tabla1[[#This Row],[MEDICAMENTO]],TAB_REF!$B$3:$F$27,3,0), "")</f>
        <v xml:space="preserve">10 mg </v>
      </c>
      <c r="AB393" s="10" t="str">
        <f>IFERROR(VLOOKUP(Tabla1[[#This Row],[MEDICAMENTO]],TAB_REF!$B$3:$F$27,4,0), "")</f>
        <v>Tabletas NACIONAL</v>
      </c>
      <c r="AC393" s="10" t="str">
        <f>IFERROR(VLOOKUP(Tabla1[[#This Row],[MEDICAMENTO]],TAB_REF!$B$3:$F$27,5,0), "")</f>
        <v>Caja x 30 unidades</v>
      </c>
      <c r="AD393" s="10" t="str">
        <f>IFERROR(VLOOKUP(Tabla1[[#This Row],[CANTIDAD UND COMERCIALES]],TAB_REF!$H$3:$I$1003,2,0)&amp;" ("&amp;Tabla1[[#This Row],[CANTIDAD UND COMERCIALES]]&amp;")"&amp;"_"&amp;Tabla1[[#This Row],[CANTIDAD]],"")</f>
        <v>Cuatro (4)_Caja x 30 unidades</v>
      </c>
      <c r="AE393" s="31" t="e">
        <f>CONCATENATE([1]!Tabla1[[#This Row],[NOMBRE MED.]],[1]!Tabla1[[#This Row],[CONCENTRACION]],[1]!Tabla1[[#This Row],[FORMA FARMACEUTICA]])</f>
        <v>#REF!</v>
      </c>
    </row>
    <row r="394" spans="2:31" x14ac:dyDescent="0.25">
      <c r="B394" s="10">
        <v>146</v>
      </c>
      <c r="C394" s="10" t="s">
        <v>2939</v>
      </c>
      <c r="D394" s="10" t="s">
        <v>2162</v>
      </c>
      <c r="E394" s="10" t="s">
        <v>2940</v>
      </c>
      <c r="F394" s="10" t="s">
        <v>2941</v>
      </c>
      <c r="G394" s="21" t="s">
        <v>2942</v>
      </c>
      <c r="H394" s="10" t="s">
        <v>2943</v>
      </c>
      <c r="I394" s="10" t="s">
        <v>2116</v>
      </c>
      <c r="J394" s="10" t="s">
        <v>1550</v>
      </c>
      <c r="K394" s="10" t="s">
        <v>2944</v>
      </c>
      <c r="L394" s="11">
        <v>202124100516302</v>
      </c>
      <c r="M394" s="20">
        <v>44280</v>
      </c>
      <c r="N394" s="20" t="str">
        <f>UPPER(TEXT(Tabla1[[#This Row],[FECHA RADICADO ENTRADA]],"MMM"))</f>
        <v>MAR</v>
      </c>
      <c r="O394" s="11">
        <v>202124110499951</v>
      </c>
      <c r="P394" s="20">
        <v>44285</v>
      </c>
      <c r="Q394" s="20" t="str">
        <f>UPPER(TEXT(Tabla1[[#This Row],[FECHA RADICADO ENTRADA]],"MMM"))</f>
        <v>MAR</v>
      </c>
      <c r="R394" s="10">
        <f t="shared" si="6"/>
        <v>-5</v>
      </c>
      <c r="S394" s="10" t="s">
        <v>2154</v>
      </c>
      <c r="U394" s="10" t="s">
        <v>2945</v>
      </c>
      <c r="V394" s="20">
        <v>44186</v>
      </c>
      <c r="W394" s="10" t="s">
        <v>63</v>
      </c>
      <c r="X394" s="10">
        <v>800</v>
      </c>
      <c r="Y394" s="11">
        <f>IFERROR(INT(Tabla1[[#This Row],[CANTIDAD UND FARMACEUTICAS]]/(VLOOKUP(Tabla1[[#This Row],[MEDICAMENTO]],TAB_REF!$K$3:$L$27,2,0))),"")</f>
        <v>80</v>
      </c>
      <c r="Z394" s="10" t="str">
        <f>IFERROR(VLOOKUP(Tabla1[[#This Row],[MEDICAMENTO]],TAB_REF!$B$3:$F$27,2,0), "")</f>
        <v xml:space="preserve">Morfina HCl </v>
      </c>
      <c r="AA394" s="10" t="str">
        <f>IFERROR(VLOOKUP(Tabla1[[#This Row],[MEDICAMENTO]],TAB_REF!$B$3:$F$27,3,0), "")</f>
        <v xml:space="preserve">10 mg/mL </v>
      </c>
      <c r="AB394" s="10" t="str">
        <f>IFERROR(VLOOKUP(Tabla1[[#This Row],[MEDICAMENTO]],TAB_REF!$B$3:$F$27,4,0), "")</f>
        <v>Solución Inyectable</v>
      </c>
      <c r="AC394" s="10" t="str">
        <f>IFERROR(VLOOKUP(Tabla1[[#This Row],[MEDICAMENTO]],TAB_REF!$B$3:$F$27,5,0), "")</f>
        <v>Caja x 10 unidades</v>
      </c>
      <c r="AD394" s="10" t="str">
        <f>IFERROR(VLOOKUP(Tabla1[[#This Row],[CANTIDAD UND COMERCIALES]],TAB_REF!$H$3:$I$1003,2,0)&amp;" ("&amp;Tabla1[[#This Row],[CANTIDAD UND COMERCIALES]]&amp;")"&amp;"_"&amp;Tabla1[[#This Row],[CANTIDAD]],"")</f>
        <v>Ochenta (80)_Caja x 10 unidades</v>
      </c>
      <c r="AE394" s="31" t="e">
        <f>CONCATENATE([1]!Tabla1[[#This Row],[NOMBRE MED.]],[1]!Tabla1[[#This Row],[CONCENTRACION]],[1]!Tabla1[[#This Row],[FORMA FARMACEUTICA]])</f>
        <v>#REF!</v>
      </c>
    </row>
    <row r="395" spans="2:31" x14ac:dyDescent="0.25">
      <c r="B395" s="10">
        <v>146</v>
      </c>
      <c r="C395" s="10" t="s">
        <v>2939</v>
      </c>
      <c r="D395" s="10" t="s">
        <v>2162</v>
      </c>
      <c r="E395" s="10" t="s">
        <v>2940</v>
      </c>
      <c r="F395" s="10" t="s">
        <v>2941</v>
      </c>
      <c r="G395" s="21" t="s">
        <v>2942</v>
      </c>
      <c r="H395" s="10" t="s">
        <v>2943</v>
      </c>
      <c r="I395" s="10" t="s">
        <v>2116</v>
      </c>
      <c r="J395" s="10" t="s">
        <v>1550</v>
      </c>
      <c r="K395" s="10" t="s">
        <v>2944</v>
      </c>
      <c r="L395" s="11">
        <v>202124100516302</v>
      </c>
      <c r="M395" s="20">
        <v>44280</v>
      </c>
      <c r="N395" s="20" t="str">
        <f>UPPER(TEXT(Tabla1[[#This Row],[FECHA RADICADO ENTRADA]],"MMM"))</f>
        <v>MAR</v>
      </c>
      <c r="O395" s="11">
        <v>202124110499951</v>
      </c>
      <c r="P395" s="20">
        <v>44285</v>
      </c>
      <c r="Q395" s="20" t="str">
        <f>UPPER(TEXT(Tabla1[[#This Row],[FECHA RADICADO ENTRADA]],"MMM"))</f>
        <v>MAR</v>
      </c>
      <c r="R395" s="10">
        <f t="shared" si="6"/>
        <v>-5</v>
      </c>
      <c r="S395" s="10" t="s">
        <v>2154</v>
      </c>
      <c r="U395" s="10" t="s">
        <v>2945</v>
      </c>
      <c r="V395" s="20">
        <v>44186</v>
      </c>
      <c r="W395" s="10" t="s">
        <v>28</v>
      </c>
      <c r="X395" s="10">
        <v>4</v>
      </c>
      <c r="Y395" s="11">
        <f>IFERROR(INT(Tabla1[[#This Row],[CANTIDAD UND FARMACEUTICAS]]/(VLOOKUP(Tabla1[[#This Row],[MEDICAMENTO]],TAB_REF!$K$3:$L$27,2,0))),"")</f>
        <v>4</v>
      </c>
      <c r="Z395" s="10" t="str">
        <f>IFERROR(VLOOKUP(Tabla1[[#This Row],[MEDICAMENTO]],TAB_REF!$B$3:$F$27,2,0), "")</f>
        <v xml:space="preserve">Fenobarbital </v>
      </c>
      <c r="AA395" s="10" t="str">
        <f>IFERROR(VLOOKUP(Tabla1[[#This Row],[MEDICAMENTO]],TAB_REF!$B$3:$F$27,3,0), "")</f>
        <v xml:space="preserve">0,4%. </v>
      </c>
      <c r="AB395" s="10" t="str">
        <f>IFERROR(VLOOKUP(Tabla1[[#This Row],[MEDICAMENTO]],TAB_REF!$B$3:$F$27,4,0), "")</f>
        <v>Solución Oral</v>
      </c>
      <c r="AC395" s="10" t="str">
        <f>IFERROR(VLOOKUP(Tabla1[[#This Row],[MEDICAMENTO]],TAB_REF!$B$3:$F$27,5,0), "")</f>
        <v>Frasco x 120 mL</v>
      </c>
      <c r="AD395" s="10" t="str">
        <f>IFERROR(VLOOKUP(Tabla1[[#This Row],[CANTIDAD UND COMERCIALES]],TAB_REF!$H$3:$I$1003,2,0)&amp;" ("&amp;Tabla1[[#This Row],[CANTIDAD UND COMERCIALES]]&amp;")"&amp;"_"&amp;Tabla1[[#This Row],[CANTIDAD]],"")</f>
        <v>Cuatro (4)_Frasco x 120 mL</v>
      </c>
      <c r="AE395" s="31" t="e">
        <f>CONCATENATE([1]!Tabla1[[#This Row],[NOMBRE MED.]],[1]!Tabla1[[#This Row],[CONCENTRACION]],[1]!Tabla1[[#This Row],[FORMA FARMACEUTICA]])</f>
        <v>#REF!</v>
      </c>
    </row>
    <row r="396" spans="2:31" x14ac:dyDescent="0.25">
      <c r="B396" s="10">
        <v>147</v>
      </c>
      <c r="C396" s="10" t="s">
        <v>2217</v>
      </c>
      <c r="D396" s="10" t="s">
        <v>2162</v>
      </c>
      <c r="E396" s="10" t="s">
        <v>2946</v>
      </c>
      <c r="F396" s="10" t="s">
        <v>2273</v>
      </c>
      <c r="G396" s="21" t="s">
        <v>2219</v>
      </c>
      <c r="H396" s="10" t="s">
        <v>2222</v>
      </c>
      <c r="I396" s="10" t="s">
        <v>2122</v>
      </c>
      <c r="J396" s="10" t="s">
        <v>1748</v>
      </c>
      <c r="K396" s="10" t="s">
        <v>2947</v>
      </c>
      <c r="L396" s="11">
        <v>202124100522242</v>
      </c>
      <c r="M396" s="20">
        <v>44280</v>
      </c>
      <c r="N396" s="20" t="str">
        <f>UPPER(TEXT(Tabla1[[#This Row],[FECHA RADICADO ENTRADA]],"MMM"))</f>
        <v>MAR</v>
      </c>
      <c r="O396" s="11">
        <v>202124110499971</v>
      </c>
      <c r="P396" s="20">
        <v>44285</v>
      </c>
      <c r="Q396" s="20" t="str">
        <f>UPPER(TEXT(Tabla1[[#This Row],[FECHA RADICADO ENTRADA]],"MMM"))</f>
        <v>MAR</v>
      </c>
      <c r="R396" s="10">
        <f t="shared" si="6"/>
        <v>-5</v>
      </c>
      <c r="S396" s="10" t="s">
        <v>2154</v>
      </c>
      <c r="U396" s="10" t="s">
        <v>2274</v>
      </c>
      <c r="V396" s="20">
        <v>43782</v>
      </c>
      <c r="W396" s="10" t="s">
        <v>60</v>
      </c>
      <c r="X396" s="10">
        <v>3</v>
      </c>
      <c r="Y396" s="11">
        <f>IFERROR(INT(Tabla1[[#This Row],[CANTIDAD UND FARMACEUTICAS]]/(VLOOKUP(Tabla1[[#This Row],[MEDICAMENTO]],TAB_REF!$K$3:$L$27,2,0))),"")</f>
        <v>3</v>
      </c>
      <c r="Z396" s="10" t="str">
        <f>IFERROR(VLOOKUP(Tabla1[[#This Row],[MEDICAMENTO]],TAB_REF!$B$3:$F$27,2,0), "")</f>
        <v xml:space="preserve">Morfina HCl </v>
      </c>
      <c r="AA396" s="10" t="str">
        <f>IFERROR(VLOOKUP(Tabla1[[#This Row],[MEDICAMENTO]],TAB_REF!$B$3:$F$27,3,0), "")</f>
        <v xml:space="preserve">3%. </v>
      </c>
      <c r="AB396" s="10" t="str">
        <f>IFERROR(VLOOKUP(Tabla1[[#This Row],[MEDICAMENTO]],TAB_REF!$B$3:$F$27,4,0), "")</f>
        <v>Solución Oral</v>
      </c>
      <c r="AC396" s="10" t="str">
        <f>IFERROR(VLOOKUP(Tabla1[[#This Row],[MEDICAMENTO]],TAB_REF!$B$3:$F$27,5,0), "")</f>
        <v>Frasco x 30 mL</v>
      </c>
      <c r="AD396" s="10" t="str">
        <f>IFERROR(VLOOKUP(Tabla1[[#This Row],[CANTIDAD UND COMERCIALES]],TAB_REF!$H$3:$I$1003,2,0)&amp;" ("&amp;Tabla1[[#This Row],[CANTIDAD UND COMERCIALES]]&amp;")"&amp;"_"&amp;Tabla1[[#This Row],[CANTIDAD]],"")</f>
        <v>Tres (3)_Frasco x 30 mL</v>
      </c>
      <c r="AE396" s="31" t="e">
        <f>CONCATENATE([1]!Tabla1[[#This Row],[NOMBRE MED.]],[1]!Tabla1[[#This Row],[CONCENTRACION]],[1]!Tabla1[[#This Row],[FORMA FARMACEUTICA]])</f>
        <v>#REF!</v>
      </c>
    </row>
    <row r="397" spans="2:31" x14ac:dyDescent="0.25">
      <c r="B397" s="10">
        <v>147</v>
      </c>
      <c r="C397" s="10" t="s">
        <v>2217</v>
      </c>
      <c r="D397" s="10" t="s">
        <v>2162</v>
      </c>
      <c r="E397" s="10" t="s">
        <v>2946</v>
      </c>
      <c r="F397" s="10" t="s">
        <v>2273</v>
      </c>
      <c r="G397" s="21" t="s">
        <v>2219</v>
      </c>
      <c r="H397" s="10" t="s">
        <v>2222</v>
      </c>
      <c r="I397" s="10" t="s">
        <v>2122</v>
      </c>
      <c r="J397" s="10" t="s">
        <v>1748</v>
      </c>
      <c r="K397" s="10" t="s">
        <v>2947</v>
      </c>
      <c r="L397" s="11">
        <v>202124100522242</v>
      </c>
      <c r="M397" s="20">
        <v>44280</v>
      </c>
      <c r="N397" s="20" t="str">
        <f>UPPER(TEXT(Tabla1[[#This Row],[FECHA RADICADO ENTRADA]],"MMM"))</f>
        <v>MAR</v>
      </c>
      <c r="O397" s="11">
        <v>202124110499971</v>
      </c>
      <c r="P397" s="20">
        <v>44285</v>
      </c>
      <c r="Q397" s="20" t="str">
        <f>UPPER(TEXT(Tabla1[[#This Row],[FECHA RADICADO ENTRADA]],"MMM"))</f>
        <v>MAR</v>
      </c>
      <c r="R397" s="10">
        <f t="shared" si="6"/>
        <v>-5</v>
      </c>
      <c r="S397" s="10" t="s">
        <v>2154</v>
      </c>
      <c r="U397" s="10" t="s">
        <v>2274</v>
      </c>
      <c r="V397" s="20">
        <v>43782</v>
      </c>
      <c r="W397" s="10" t="s">
        <v>32</v>
      </c>
      <c r="X397" s="10">
        <v>300</v>
      </c>
      <c r="Y397" s="11">
        <f>IFERROR(INT(Tabla1[[#This Row],[CANTIDAD UND FARMACEUTICAS]]/(VLOOKUP(Tabla1[[#This Row],[MEDICAMENTO]],TAB_REF!$K$3:$L$27,2,0))),"")</f>
        <v>10</v>
      </c>
      <c r="Z397" s="10" t="str">
        <f>IFERROR(VLOOKUP(Tabla1[[#This Row],[MEDICAMENTO]],TAB_REF!$B$3:$F$27,2,0), "")</f>
        <v xml:space="preserve">Fenobarbital </v>
      </c>
      <c r="AA397" s="10" t="str">
        <f>IFERROR(VLOOKUP(Tabla1[[#This Row],[MEDICAMENTO]],TAB_REF!$B$3:$F$27,3,0), "")</f>
        <v xml:space="preserve">100 mg </v>
      </c>
      <c r="AB397" s="10" t="str">
        <f>IFERROR(VLOOKUP(Tabla1[[#This Row],[MEDICAMENTO]],TAB_REF!$B$3:$F$27,4,0), "")</f>
        <v>Tabletas</v>
      </c>
      <c r="AC397" s="10" t="str">
        <f>IFERROR(VLOOKUP(Tabla1[[#This Row],[MEDICAMENTO]],TAB_REF!$B$3:$F$27,5,0), "")</f>
        <v>Caja x 30 unidades</v>
      </c>
      <c r="AD397" s="10" t="str">
        <f>IFERROR(VLOOKUP(Tabla1[[#This Row],[CANTIDAD UND COMERCIALES]],TAB_REF!$H$3:$I$1003,2,0)&amp;" ("&amp;Tabla1[[#This Row],[CANTIDAD UND COMERCIALES]]&amp;")"&amp;"_"&amp;Tabla1[[#This Row],[CANTIDAD]],"")</f>
        <v>Diez (10)_Caja x 30 unidades</v>
      </c>
      <c r="AE397" s="31" t="e">
        <f>CONCATENATE([1]!Tabla1[[#This Row],[NOMBRE MED.]],[1]!Tabla1[[#This Row],[CONCENTRACION]],[1]!Tabla1[[#This Row],[FORMA FARMACEUTICA]])</f>
        <v>#REF!</v>
      </c>
    </row>
    <row r="398" spans="2:31" x14ac:dyDescent="0.25">
      <c r="B398" s="10">
        <v>148</v>
      </c>
      <c r="C398" s="10" t="s">
        <v>2948</v>
      </c>
      <c r="D398" s="10" t="s">
        <v>2755</v>
      </c>
      <c r="E398" s="10" t="s">
        <v>2949</v>
      </c>
      <c r="F398" s="10" t="s">
        <v>2950</v>
      </c>
      <c r="G398" s="10" t="s">
        <v>2951</v>
      </c>
      <c r="H398" s="10" t="s">
        <v>2952</v>
      </c>
      <c r="I398" s="10" t="s">
        <v>2116</v>
      </c>
      <c r="J398" s="10" t="s">
        <v>1550</v>
      </c>
      <c r="K398" s="10" t="s">
        <v>2955</v>
      </c>
      <c r="L398" s="11">
        <v>202124100529962</v>
      </c>
      <c r="M398" s="20">
        <v>44281</v>
      </c>
      <c r="N398" s="20" t="str">
        <f>UPPER(TEXT(Tabla1[[#This Row],[FECHA RADICADO ENTRADA]],"MMM"))</f>
        <v>MAR</v>
      </c>
      <c r="O398" s="11">
        <v>202124110500041</v>
      </c>
      <c r="P398" s="20">
        <v>44285</v>
      </c>
      <c r="Q398" s="20" t="str">
        <f>UPPER(TEXT(Tabla1[[#This Row],[FECHA RADICADO ENTRADA]],"MMM"))</f>
        <v>MAR</v>
      </c>
      <c r="R398" s="10">
        <f t="shared" si="6"/>
        <v>-4</v>
      </c>
      <c r="S398" s="10" t="s">
        <v>2154</v>
      </c>
      <c r="U398" s="10" t="s">
        <v>2956</v>
      </c>
      <c r="V398" s="20">
        <v>43123</v>
      </c>
      <c r="W398" s="10" t="s">
        <v>63</v>
      </c>
      <c r="X398" s="10">
        <v>800</v>
      </c>
      <c r="Y398" s="11">
        <f>IFERROR(INT(Tabla1[[#This Row],[CANTIDAD UND FARMACEUTICAS]]/(VLOOKUP(Tabla1[[#This Row],[MEDICAMENTO]],TAB_REF!$K$3:$L$27,2,0))),"")</f>
        <v>80</v>
      </c>
      <c r="Z398" s="10" t="str">
        <f>IFERROR(VLOOKUP(Tabla1[[#This Row],[MEDICAMENTO]],TAB_REF!$B$3:$F$27,2,0), "")</f>
        <v xml:space="preserve">Morfina HCl </v>
      </c>
      <c r="AA398" s="10" t="str">
        <f>IFERROR(VLOOKUP(Tabla1[[#This Row],[MEDICAMENTO]],TAB_REF!$B$3:$F$27,3,0), "")</f>
        <v xml:space="preserve">10 mg/mL </v>
      </c>
      <c r="AB398" s="10" t="str">
        <f>IFERROR(VLOOKUP(Tabla1[[#This Row],[MEDICAMENTO]],TAB_REF!$B$3:$F$27,4,0), "")</f>
        <v>Solución Inyectable</v>
      </c>
      <c r="AC398" s="10" t="str">
        <f>IFERROR(VLOOKUP(Tabla1[[#This Row],[MEDICAMENTO]],TAB_REF!$B$3:$F$27,5,0), "")</f>
        <v>Caja x 10 unidades</v>
      </c>
      <c r="AD398" s="10" t="str">
        <f>IFERROR(VLOOKUP(Tabla1[[#This Row],[CANTIDAD UND COMERCIALES]],TAB_REF!$H$3:$I$1003,2,0)&amp;" ("&amp;Tabla1[[#This Row],[CANTIDAD UND COMERCIALES]]&amp;")"&amp;"_"&amp;Tabla1[[#This Row],[CANTIDAD]],"")</f>
        <v>Ochenta (80)_Caja x 10 unidades</v>
      </c>
      <c r="AE398" s="31" t="e">
        <f>CONCATENATE([1]!Tabla1[[#This Row],[NOMBRE MED.]],[1]!Tabla1[[#This Row],[CONCENTRACION]],[1]!Tabla1[[#This Row],[FORMA FARMACEUTICA]])</f>
        <v>#REF!</v>
      </c>
    </row>
    <row r="399" spans="2:31" x14ac:dyDescent="0.25">
      <c r="B399" s="10">
        <v>148</v>
      </c>
      <c r="C399" s="10" t="s">
        <v>2948</v>
      </c>
      <c r="D399" s="10" t="s">
        <v>2755</v>
      </c>
      <c r="E399" s="10" t="s">
        <v>2949</v>
      </c>
      <c r="F399" s="10" t="s">
        <v>2950</v>
      </c>
      <c r="G399" s="10" t="s">
        <v>2951</v>
      </c>
      <c r="H399" s="10" t="s">
        <v>2953</v>
      </c>
      <c r="I399" s="10" t="s">
        <v>2116</v>
      </c>
      <c r="J399" s="10" t="s">
        <v>1550</v>
      </c>
      <c r="K399" s="10" t="s">
        <v>2955</v>
      </c>
      <c r="L399" s="11">
        <v>202124100529962</v>
      </c>
      <c r="M399" s="20">
        <v>44281</v>
      </c>
      <c r="N399" s="20" t="str">
        <f>UPPER(TEXT(Tabla1[[#This Row],[FECHA RADICADO ENTRADA]],"MMM"))</f>
        <v>MAR</v>
      </c>
      <c r="O399" s="11">
        <v>202124110500041</v>
      </c>
      <c r="P399" s="20">
        <v>44285</v>
      </c>
      <c r="Q399" s="20" t="str">
        <f>UPPER(TEXT(Tabla1[[#This Row],[FECHA RADICADO ENTRADA]],"MMM"))</f>
        <v>MAR</v>
      </c>
      <c r="R399" s="10">
        <f t="shared" si="6"/>
        <v>-4</v>
      </c>
      <c r="S399" s="10" t="s">
        <v>2154</v>
      </c>
      <c r="U399" s="10" t="s">
        <v>2956</v>
      </c>
      <c r="V399" s="20">
        <v>43123</v>
      </c>
      <c r="W399" s="10" t="s">
        <v>41</v>
      </c>
      <c r="X399" s="10">
        <v>800</v>
      </c>
      <c r="Y399" s="11">
        <f>IFERROR(INT(Tabla1[[#This Row],[CANTIDAD UND FARMACEUTICAS]]/(VLOOKUP(Tabla1[[#This Row],[MEDICAMENTO]],TAB_REF!$K$3:$L$27,2,0))),"")</f>
        <v>80</v>
      </c>
      <c r="Z399" s="10" t="str">
        <f>IFERROR(VLOOKUP(Tabla1[[#This Row],[MEDICAMENTO]],TAB_REF!$B$3:$F$27,2,0), "")</f>
        <v xml:space="preserve">Meperidina HCl </v>
      </c>
      <c r="AA399" s="10" t="str">
        <f>IFERROR(VLOOKUP(Tabla1[[#This Row],[MEDICAMENTO]],TAB_REF!$B$3:$F$27,3,0), "")</f>
        <v xml:space="preserve">100 mg/2mL </v>
      </c>
      <c r="AB399" s="10" t="str">
        <f>IFERROR(VLOOKUP(Tabla1[[#This Row],[MEDICAMENTO]],TAB_REF!$B$3:$F$27,4,0), "")</f>
        <v>Solución Inyectable</v>
      </c>
      <c r="AC399" s="10" t="str">
        <f>IFERROR(VLOOKUP(Tabla1[[#This Row],[MEDICAMENTO]],TAB_REF!$B$3:$F$27,5,0), "")</f>
        <v>Caja 10 ampollas</v>
      </c>
      <c r="AD399" s="10" t="str">
        <f>IFERROR(VLOOKUP(Tabla1[[#This Row],[CANTIDAD UND COMERCIALES]],TAB_REF!$H$3:$I$1003,2,0)&amp;" ("&amp;Tabla1[[#This Row],[CANTIDAD UND COMERCIALES]]&amp;")"&amp;"_"&amp;Tabla1[[#This Row],[CANTIDAD]],"")</f>
        <v>Ochenta (80)_Caja 10 ampollas</v>
      </c>
      <c r="AE399" s="31" t="e">
        <f>CONCATENATE([1]!Tabla1[[#This Row],[NOMBRE MED.]],[1]!Tabla1[[#This Row],[CONCENTRACION]],[1]!Tabla1[[#This Row],[FORMA FARMACEUTICA]])</f>
        <v>#REF!</v>
      </c>
    </row>
    <row r="400" spans="2:31" x14ac:dyDescent="0.25">
      <c r="B400" s="10">
        <v>148</v>
      </c>
      <c r="C400" s="10" t="s">
        <v>2948</v>
      </c>
      <c r="D400" s="10" t="s">
        <v>2755</v>
      </c>
      <c r="E400" s="10" t="s">
        <v>2949</v>
      </c>
      <c r="F400" s="10" t="s">
        <v>2950</v>
      </c>
      <c r="G400" s="10" t="s">
        <v>2951</v>
      </c>
      <c r="H400" s="10" t="s">
        <v>2954</v>
      </c>
      <c r="I400" s="10" t="s">
        <v>2116</v>
      </c>
      <c r="J400" s="10" t="s">
        <v>1550</v>
      </c>
      <c r="K400" s="10" t="s">
        <v>2955</v>
      </c>
      <c r="L400" s="11">
        <v>202124100529962</v>
      </c>
      <c r="M400" s="20">
        <v>44281</v>
      </c>
      <c r="N400" s="20" t="str">
        <f>UPPER(TEXT(Tabla1[[#This Row],[FECHA RADICADO ENTRADA]],"MMM"))</f>
        <v>MAR</v>
      </c>
      <c r="O400" s="11">
        <v>202124110500041</v>
      </c>
      <c r="P400" s="20">
        <v>44285</v>
      </c>
      <c r="Q400" s="20" t="str">
        <f>UPPER(TEXT(Tabla1[[#This Row],[FECHA RADICADO ENTRADA]],"MMM"))</f>
        <v>MAR</v>
      </c>
      <c r="R400" s="10">
        <f t="shared" si="6"/>
        <v>-4</v>
      </c>
      <c r="S400" s="10" t="s">
        <v>2154</v>
      </c>
      <c r="U400" s="10" t="s">
        <v>2956</v>
      </c>
      <c r="V400" s="20">
        <v>43123</v>
      </c>
      <c r="W400" s="10" t="s">
        <v>34</v>
      </c>
      <c r="X400" s="10">
        <v>500</v>
      </c>
      <c r="Y400" s="11">
        <f>IFERROR(INT(Tabla1[[#This Row],[CANTIDAD UND FARMACEUTICAS]]/(VLOOKUP(Tabla1[[#This Row],[MEDICAMENTO]],TAB_REF!$K$3:$L$27,2,0))),"")</f>
        <v>50</v>
      </c>
      <c r="Z400" s="10" t="str">
        <f>IFERROR(VLOOKUP(Tabla1[[#This Row],[MEDICAMENTO]],TAB_REF!$B$3:$F$27,2,0), "")</f>
        <v xml:space="preserve">Fenobarbital Sódico </v>
      </c>
      <c r="AA400" s="10" t="str">
        <f>IFERROR(VLOOKUP(Tabla1[[#This Row],[MEDICAMENTO]],TAB_REF!$B$3:$F$27,3,0), "")</f>
        <v xml:space="preserve">200 mg/Ml </v>
      </c>
      <c r="AB400" s="10" t="str">
        <f>IFERROR(VLOOKUP(Tabla1[[#This Row],[MEDICAMENTO]],TAB_REF!$B$3:$F$27,4,0), "")</f>
        <v>Solución Inyectable</v>
      </c>
      <c r="AC400" s="10" t="str">
        <f>IFERROR(VLOOKUP(Tabla1[[#This Row],[MEDICAMENTO]],TAB_REF!$B$3:$F$27,5,0), "")</f>
        <v>Caja x 10 unidades</v>
      </c>
      <c r="AD400" s="10" t="str">
        <f>IFERROR(VLOOKUP(Tabla1[[#This Row],[CANTIDAD UND COMERCIALES]],TAB_REF!$H$3:$I$1003,2,0)&amp;" ("&amp;Tabla1[[#This Row],[CANTIDAD UND COMERCIALES]]&amp;")"&amp;"_"&amp;Tabla1[[#This Row],[CANTIDAD]],"")</f>
        <v>Cincuenta (50)_Caja x 10 unidades</v>
      </c>
      <c r="AE400" s="31" t="e">
        <f>CONCATENATE([1]!Tabla1[[#This Row],[NOMBRE MED.]],[1]!Tabla1[[#This Row],[CONCENTRACION]],[1]!Tabla1[[#This Row],[FORMA FARMACEUTICA]])</f>
        <v>#REF!</v>
      </c>
    </row>
    <row r="401" spans="2:31" x14ac:dyDescent="0.25">
      <c r="B401" s="10">
        <v>149</v>
      </c>
      <c r="C401" s="10" t="s">
        <v>2957</v>
      </c>
      <c r="D401" s="10" t="s">
        <v>2175</v>
      </c>
      <c r="E401" s="10" t="s">
        <v>2958</v>
      </c>
      <c r="F401" s="10" t="s">
        <v>2164</v>
      </c>
      <c r="G401" s="10" t="s">
        <v>2959</v>
      </c>
      <c r="H401" s="10" t="s">
        <v>2960</v>
      </c>
      <c r="I401" s="10" t="s">
        <v>2123</v>
      </c>
      <c r="J401" s="10" t="s">
        <v>1770</v>
      </c>
      <c r="K401" s="10" t="s">
        <v>2961</v>
      </c>
      <c r="L401" s="11">
        <v>202124100537792</v>
      </c>
      <c r="M401" s="20">
        <v>44284</v>
      </c>
      <c r="N401" s="20" t="str">
        <f>UPPER(TEXT(Tabla1[[#This Row],[FECHA RADICADO ENTRADA]],"MMM"))</f>
        <v>MAR</v>
      </c>
      <c r="O401" s="11">
        <v>202124110526231</v>
      </c>
      <c r="P401" s="20">
        <v>44293</v>
      </c>
      <c r="Q401" s="20" t="str">
        <f>UPPER(TEXT(Tabla1[[#This Row],[FECHA RADICADO ENTRADA]],"MMM"))</f>
        <v>MAR</v>
      </c>
      <c r="R401" s="10">
        <f t="shared" si="6"/>
        <v>-9</v>
      </c>
      <c r="S401" s="10" t="s">
        <v>2145</v>
      </c>
      <c r="T401" s="10" t="s">
        <v>2808</v>
      </c>
      <c r="U401" s="10" t="s">
        <v>2164</v>
      </c>
      <c r="V401" s="10" t="s">
        <v>2164</v>
      </c>
      <c r="W401" s="10" t="s">
        <v>28</v>
      </c>
      <c r="X401" s="10">
        <v>0</v>
      </c>
      <c r="Y401" s="11">
        <f>IFERROR(INT(Tabla1[[#This Row],[CANTIDAD UND FARMACEUTICAS]]/(VLOOKUP(Tabla1[[#This Row],[MEDICAMENTO]],TAB_REF!$K$3:$L$27,2,0))),"")</f>
        <v>0</v>
      </c>
      <c r="Z401" s="10" t="str">
        <f>IFERROR(VLOOKUP(Tabla1[[#This Row],[MEDICAMENTO]],TAB_REF!$B$3:$F$27,2,0), "")</f>
        <v xml:space="preserve">Fenobarbital </v>
      </c>
      <c r="AA401" s="10" t="str">
        <f>IFERROR(VLOOKUP(Tabla1[[#This Row],[MEDICAMENTO]],TAB_REF!$B$3:$F$27,3,0), "")</f>
        <v xml:space="preserve">0,4%. </v>
      </c>
      <c r="AB401" s="10" t="str">
        <f>IFERROR(VLOOKUP(Tabla1[[#This Row],[MEDICAMENTO]],TAB_REF!$B$3:$F$27,4,0), "")</f>
        <v>Solución Oral</v>
      </c>
      <c r="AC401" s="10" t="str">
        <f>IFERROR(VLOOKUP(Tabla1[[#This Row],[MEDICAMENTO]],TAB_REF!$B$3:$F$27,5,0), "")</f>
        <v>Frasco x 120 mL</v>
      </c>
      <c r="AD401" s="10" t="str">
        <f>IFERROR(VLOOKUP(Tabla1[[#This Row],[CANTIDAD UND COMERCIALES]],TAB_REF!$H$3:$I$1003,2,0)&amp;" ("&amp;Tabla1[[#This Row],[CANTIDAD UND COMERCIALES]]&amp;")"&amp;"_"&amp;Tabla1[[#This Row],[CANTIDAD]],"")</f>
        <v/>
      </c>
      <c r="AE401" s="31" t="e">
        <f>CONCATENATE([1]!Tabla1[[#This Row],[NOMBRE MED.]],[1]!Tabla1[[#This Row],[CONCENTRACION]],[1]!Tabla1[[#This Row],[FORMA FARMACEUTICA]])</f>
        <v>#REF!</v>
      </c>
    </row>
    <row r="402" spans="2:31" x14ac:dyDescent="0.25">
      <c r="B402" s="10">
        <v>149</v>
      </c>
      <c r="C402" s="10" t="s">
        <v>2957</v>
      </c>
      <c r="D402" s="10" t="s">
        <v>2175</v>
      </c>
      <c r="E402" s="10" t="s">
        <v>2958</v>
      </c>
      <c r="F402" s="10" t="s">
        <v>2164</v>
      </c>
      <c r="G402" s="10" t="s">
        <v>2959</v>
      </c>
      <c r="H402" s="10" t="s">
        <v>2960</v>
      </c>
      <c r="I402" s="10" t="s">
        <v>2123</v>
      </c>
      <c r="J402" s="10" t="s">
        <v>1770</v>
      </c>
      <c r="K402" s="10" t="s">
        <v>2961</v>
      </c>
      <c r="L402" s="11">
        <v>202124100537792</v>
      </c>
      <c r="M402" s="20">
        <v>44284</v>
      </c>
      <c r="N402" s="20" t="str">
        <f>UPPER(TEXT(Tabla1[[#This Row],[FECHA RADICADO ENTRADA]],"MMM"))</f>
        <v>MAR</v>
      </c>
      <c r="O402" s="11">
        <v>202124110526231</v>
      </c>
      <c r="P402" s="20">
        <v>44293</v>
      </c>
      <c r="Q402" s="20" t="str">
        <f>UPPER(TEXT(Tabla1[[#This Row],[FECHA RADICADO ENTRADA]],"MMM"))</f>
        <v>MAR</v>
      </c>
      <c r="R402" s="10">
        <f t="shared" si="6"/>
        <v>-9</v>
      </c>
      <c r="S402" s="10" t="s">
        <v>2145</v>
      </c>
      <c r="T402" s="10" t="s">
        <v>2808</v>
      </c>
      <c r="U402" s="10" t="s">
        <v>2164</v>
      </c>
      <c r="V402" s="10" t="s">
        <v>2164</v>
      </c>
      <c r="W402" s="10" t="s">
        <v>30</v>
      </c>
      <c r="X402" s="10">
        <v>0</v>
      </c>
      <c r="Y402" s="11">
        <f>IFERROR(INT(Tabla1[[#This Row],[CANTIDAD UND FARMACEUTICAS]]/(VLOOKUP(Tabla1[[#This Row],[MEDICAMENTO]],TAB_REF!$K$3:$L$27,2,0))),"")</f>
        <v>0</v>
      </c>
      <c r="Z402" s="10" t="str">
        <f>IFERROR(VLOOKUP(Tabla1[[#This Row],[MEDICAMENTO]],TAB_REF!$B$3:$F$27,2,0), "")</f>
        <v xml:space="preserve">Fenobarbital </v>
      </c>
      <c r="AA402" s="10" t="str">
        <f>IFERROR(VLOOKUP(Tabla1[[#This Row],[MEDICAMENTO]],TAB_REF!$B$3:$F$27,3,0), "")</f>
        <v xml:space="preserve">10 mg </v>
      </c>
      <c r="AB402" s="10" t="str">
        <f>IFERROR(VLOOKUP(Tabla1[[#This Row],[MEDICAMENTO]],TAB_REF!$B$3:$F$27,4,0), "")</f>
        <v>Tabletas</v>
      </c>
      <c r="AC402" s="10" t="str">
        <f>IFERROR(VLOOKUP(Tabla1[[#This Row],[MEDICAMENTO]],TAB_REF!$B$3:$F$27,5,0), "")</f>
        <v>Caja x 30 unidades</v>
      </c>
      <c r="AD402" s="10" t="str">
        <f>IFERROR(VLOOKUP(Tabla1[[#This Row],[CANTIDAD UND COMERCIALES]],TAB_REF!$H$3:$I$1003,2,0)&amp;" ("&amp;Tabla1[[#This Row],[CANTIDAD UND COMERCIALES]]&amp;")"&amp;"_"&amp;Tabla1[[#This Row],[CANTIDAD]],"")</f>
        <v/>
      </c>
      <c r="AE402" s="31" t="e">
        <f>CONCATENATE([1]!Tabla1[[#This Row],[NOMBRE MED.]],[1]!Tabla1[[#This Row],[CONCENTRACION]],[1]!Tabla1[[#This Row],[FORMA FARMACEUTICA]])</f>
        <v>#REF!</v>
      </c>
    </row>
    <row r="403" spans="2:31" x14ac:dyDescent="0.25">
      <c r="B403" s="10">
        <v>149</v>
      </c>
      <c r="C403" s="10" t="s">
        <v>2957</v>
      </c>
      <c r="D403" s="10" t="s">
        <v>2175</v>
      </c>
      <c r="E403" s="10" t="s">
        <v>2958</v>
      </c>
      <c r="F403" s="10" t="s">
        <v>2164</v>
      </c>
      <c r="G403" s="10" t="s">
        <v>2959</v>
      </c>
      <c r="H403" s="10" t="s">
        <v>2960</v>
      </c>
      <c r="I403" s="10" t="s">
        <v>2123</v>
      </c>
      <c r="J403" s="10" t="s">
        <v>1770</v>
      </c>
      <c r="K403" s="10" t="s">
        <v>2961</v>
      </c>
      <c r="L403" s="11">
        <v>202124100537792</v>
      </c>
      <c r="M403" s="20">
        <v>44284</v>
      </c>
      <c r="N403" s="20" t="str">
        <f>UPPER(TEXT(Tabla1[[#This Row],[FECHA RADICADO ENTRADA]],"MMM"))</f>
        <v>MAR</v>
      </c>
      <c r="O403" s="11">
        <v>202124110526231</v>
      </c>
      <c r="P403" s="20">
        <v>44293</v>
      </c>
      <c r="Q403" s="20" t="str">
        <f>UPPER(TEXT(Tabla1[[#This Row],[FECHA RADICADO ENTRADA]],"MMM"))</f>
        <v>MAR</v>
      </c>
      <c r="R403" s="10">
        <f t="shared" si="6"/>
        <v>-9</v>
      </c>
      <c r="S403" s="10" t="s">
        <v>2145</v>
      </c>
      <c r="T403" s="10" t="s">
        <v>2808</v>
      </c>
      <c r="U403" s="10" t="s">
        <v>2164</v>
      </c>
      <c r="V403" s="10" t="s">
        <v>2164</v>
      </c>
      <c r="W403" s="10" t="s">
        <v>32</v>
      </c>
      <c r="X403" s="10">
        <v>0</v>
      </c>
      <c r="Y403" s="11">
        <f>IFERROR(INT(Tabla1[[#This Row],[CANTIDAD UND FARMACEUTICAS]]/(VLOOKUP(Tabla1[[#This Row],[MEDICAMENTO]],TAB_REF!$K$3:$L$27,2,0))),"")</f>
        <v>0</v>
      </c>
      <c r="Z403" s="10" t="str">
        <f>IFERROR(VLOOKUP(Tabla1[[#This Row],[MEDICAMENTO]],TAB_REF!$B$3:$F$27,2,0), "")</f>
        <v xml:space="preserve">Fenobarbital </v>
      </c>
      <c r="AA403" s="10" t="str">
        <f>IFERROR(VLOOKUP(Tabla1[[#This Row],[MEDICAMENTO]],TAB_REF!$B$3:$F$27,3,0), "")</f>
        <v xml:space="preserve">100 mg </v>
      </c>
      <c r="AB403" s="10" t="str">
        <f>IFERROR(VLOOKUP(Tabla1[[#This Row],[MEDICAMENTO]],TAB_REF!$B$3:$F$27,4,0), "")</f>
        <v>Tabletas</v>
      </c>
      <c r="AC403" s="10" t="str">
        <f>IFERROR(VLOOKUP(Tabla1[[#This Row],[MEDICAMENTO]],TAB_REF!$B$3:$F$27,5,0), "")</f>
        <v>Caja x 30 unidades</v>
      </c>
      <c r="AD403" s="10" t="str">
        <f>IFERROR(VLOOKUP(Tabla1[[#This Row],[CANTIDAD UND COMERCIALES]],TAB_REF!$H$3:$I$1003,2,0)&amp;" ("&amp;Tabla1[[#This Row],[CANTIDAD UND COMERCIALES]]&amp;")"&amp;"_"&amp;Tabla1[[#This Row],[CANTIDAD]],"")</f>
        <v/>
      </c>
      <c r="AE403" s="31" t="e">
        <f>CONCATENATE([1]!Tabla1[[#This Row],[NOMBRE MED.]],[1]!Tabla1[[#This Row],[CONCENTRACION]],[1]!Tabla1[[#This Row],[FORMA FARMACEUTICA]])</f>
        <v>#REF!</v>
      </c>
    </row>
    <row r="404" spans="2:31" x14ac:dyDescent="0.25">
      <c r="B404" s="10">
        <v>149</v>
      </c>
      <c r="C404" s="10" t="s">
        <v>2957</v>
      </c>
      <c r="D404" s="10" t="s">
        <v>2175</v>
      </c>
      <c r="E404" s="10" t="s">
        <v>2958</v>
      </c>
      <c r="F404" s="10" t="s">
        <v>2164</v>
      </c>
      <c r="G404" s="10" t="s">
        <v>2959</v>
      </c>
      <c r="H404" s="10" t="s">
        <v>2960</v>
      </c>
      <c r="I404" s="10" t="s">
        <v>2123</v>
      </c>
      <c r="J404" s="10" t="s">
        <v>1770</v>
      </c>
      <c r="K404" s="10" t="s">
        <v>2961</v>
      </c>
      <c r="L404" s="11">
        <v>202124100537792</v>
      </c>
      <c r="M404" s="20">
        <v>44284</v>
      </c>
      <c r="N404" s="20" t="str">
        <f>UPPER(TEXT(Tabla1[[#This Row],[FECHA RADICADO ENTRADA]],"MMM"))</f>
        <v>MAR</v>
      </c>
      <c r="O404" s="11">
        <v>202124110526231</v>
      </c>
      <c r="P404" s="20">
        <v>44293</v>
      </c>
      <c r="Q404" s="20" t="str">
        <f>UPPER(TEXT(Tabla1[[#This Row],[FECHA RADICADO ENTRADA]],"MMM"))</f>
        <v>MAR</v>
      </c>
      <c r="R404" s="10">
        <f t="shared" si="6"/>
        <v>-9</v>
      </c>
      <c r="S404" s="10" t="s">
        <v>2145</v>
      </c>
      <c r="T404" s="10" t="s">
        <v>2808</v>
      </c>
      <c r="U404" s="10" t="s">
        <v>2164</v>
      </c>
      <c r="V404" s="10" t="s">
        <v>2164</v>
      </c>
      <c r="W404" s="10" t="s">
        <v>33</v>
      </c>
      <c r="X404" s="10">
        <v>0</v>
      </c>
      <c r="Y404" s="11">
        <f>IFERROR(INT(Tabla1[[#This Row],[CANTIDAD UND FARMACEUTICAS]]/(VLOOKUP(Tabla1[[#This Row],[MEDICAMENTO]],TAB_REF!$K$3:$L$27,2,0))),"")</f>
        <v>0</v>
      </c>
      <c r="Z404" s="10" t="str">
        <f>IFERROR(VLOOKUP(Tabla1[[#This Row],[MEDICAMENTO]],TAB_REF!$B$3:$F$27,2,0), "")</f>
        <v xml:space="preserve">Fenobarbital </v>
      </c>
      <c r="AA404" s="10" t="str">
        <f>IFERROR(VLOOKUP(Tabla1[[#This Row],[MEDICAMENTO]],TAB_REF!$B$3:$F$27,3,0), "")</f>
        <v xml:space="preserve">50 mg </v>
      </c>
      <c r="AB404" s="10" t="str">
        <f>IFERROR(VLOOKUP(Tabla1[[#This Row],[MEDICAMENTO]],TAB_REF!$B$3:$F$27,4,0), "")</f>
        <v>Tabletas</v>
      </c>
      <c r="AC404" s="10" t="str">
        <f>IFERROR(VLOOKUP(Tabla1[[#This Row],[MEDICAMENTO]],TAB_REF!$B$3:$F$27,5,0), "")</f>
        <v>Caja x 30 unidades</v>
      </c>
      <c r="AD404" s="10" t="str">
        <f>IFERROR(VLOOKUP(Tabla1[[#This Row],[CANTIDAD UND COMERCIALES]],TAB_REF!$H$3:$I$1003,2,0)&amp;" ("&amp;Tabla1[[#This Row],[CANTIDAD UND COMERCIALES]]&amp;")"&amp;"_"&amp;Tabla1[[#This Row],[CANTIDAD]],"")</f>
        <v/>
      </c>
      <c r="AE404" s="31" t="e">
        <f>CONCATENATE([1]!Tabla1[[#This Row],[NOMBRE MED.]],[1]!Tabla1[[#This Row],[CONCENTRACION]],[1]!Tabla1[[#This Row],[FORMA FARMACEUTICA]])</f>
        <v>#REF!</v>
      </c>
    </row>
    <row r="405" spans="2:31" x14ac:dyDescent="0.25">
      <c r="B405" s="10">
        <v>149</v>
      </c>
      <c r="C405" s="10" t="s">
        <v>2957</v>
      </c>
      <c r="D405" s="10" t="s">
        <v>2175</v>
      </c>
      <c r="E405" s="10" t="s">
        <v>2958</v>
      </c>
      <c r="F405" s="10" t="s">
        <v>2164</v>
      </c>
      <c r="G405" s="10" t="s">
        <v>2959</v>
      </c>
      <c r="H405" s="10" t="s">
        <v>2960</v>
      </c>
      <c r="I405" s="10" t="s">
        <v>2123</v>
      </c>
      <c r="J405" s="10" t="s">
        <v>1770</v>
      </c>
      <c r="K405" s="10" t="s">
        <v>2961</v>
      </c>
      <c r="L405" s="11">
        <v>202124100537792</v>
      </c>
      <c r="M405" s="20">
        <v>44284</v>
      </c>
      <c r="N405" s="20" t="str">
        <f>UPPER(TEXT(Tabla1[[#This Row],[FECHA RADICADO ENTRADA]],"MMM"))</f>
        <v>MAR</v>
      </c>
      <c r="O405" s="11">
        <v>202124110526231</v>
      </c>
      <c r="P405" s="20">
        <v>44293</v>
      </c>
      <c r="Q405" s="20" t="str">
        <f>UPPER(TEXT(Tabla1[[#This Row],[FECHA RADICADO ENTRADA]],"MMM"))</f>
        <v>MAR</v>
      </c>
      <c r="R405" s="10">
        <f t="shared" si="6"/>
        <v>-9</v>
      </c>
      <c r="S405" s="10" t="s">
        <v>2145</v>
      </c>
      <c r="T405" s="10" t="s">
        <v>2808</v>
      </c>
      <c r="U405" s="10" t="s">
        <v>2164</v>
      </c>
      <c r="V405" s="10" t="s">
        <v>2164</v>
      </c>
      <c r="W405" s="10" t="s">
        <v>38</v>
      </c>
      <c r="X405" s="10">
        <v>0</v>
      </c>
      <c r="Y405" s="11">
        <f>IFERROR(INT(Tabla1[[#This Row],[CANTIDAD UND FARMACEUTICAS]]/(VLOOKUP(Tabla1[[#This Row],[MEDICAMENTO]],TAB_REF!$K$3:$L$27,2,0))),"")</f>
        <v>0</v>
      </c>
      <c r="Z405" s="10" t="str">
        <f>IFERROR(VLOOKUP(Tabla1[[#This Row],[MEDICAMENTO]],TAB_REF!$B$3:$F$27,2,0), "")</f>
        <v xml:space="preserve">Hidromorfona HCl </v>
      </c>
      <c r="AA405" s="10" t="str">
        <f>IFERROR(VLOOKUP(Tabla1[[#This Row],[MEDICAMENTO]],TAB_REF!$B$3:$F$27,3,0), "")</f>
        <v xml:space="preserve">2,5 mg </v>
      </c>
      <c r="AB405" s="10" t="str">
        <f>IFERROR(VLOOKUP(Tabla1[[#This Row],[MEDICAMENTO]],TAB_REF!$B$3:$F$27,4,0), "")</f>
        <v>Tabletas</v>
      </c>
      <c r="AC405" s="10" t="str">
        <f>IFERROR(VLOOKUP(Tabla1[[#This Row],[MEDICAMENTO]],TAB_REF!$B$3:$F$27,5,0), "")</f>
        <v>Caja x 20 unidades</v>
      </c>
      <c r="AD405" s="10" t="str">
        <f>IFERROR(VLOOKUP(Tabla1[[#This Row],[CANTIDAD UND COMERCIALES]],TAB_REF!$H$3:$I$1003,2,0)&amp;" ("&amp;Tabla1[[#This Row],[CANTIDAD UND COMERCIALES]]&amp;")"&amp;"_"&amp;Tabla1[[#This Row],[CANTIDAD]],"")</f>
        <v/>
      </c>
      <c r="AE405" s="31" t="e">
        <f>CONCATENATE([1]!Tabla1[[#This Row],[NOMBRE MED.]],[1]!Tabla1[[#This Row],[CONCENTRACION]],[1]!Tabla1[[#This Row],[FORMA FARMACEUTICA]])</f>
        <v>#REF!</v>
      </c>
    </row>
    <row r="406" spans="2:31" x14ac:dyDescent="0.25">
      <c r="B406" s="10">
        <v>149</v>
      </c>
      <c r="C406" s="10" t="s">
        <v>2957</v>
      </c>
      <c r="D406" s="10" t="s">
        <v>2175</v>
      </c>
      <c r="E406" s="10" t="s">
        <v>2958</v>
      </c>
      <c r="F406" s="10" t="s">
        <v>2164</v>
      </c>
      <c r="G406" s="10" t="s">
        <v>2959</v>
      </c>
      <c r="H406" s="10" t="s">
        <v>2960</v>
      </c>
      <c r="I406" s="10" t="s">
        <v>2123</v>
      </c>
      <c r="J406" s="10" t="s">
        <v>1770</v>
      </c>
      <c r="K406" s="10" t="s">
        <v>2961</v>
      </c>
      <c r="L406" s="11">
        <v>202124100537792</v>
      </c>
      <c r="M406" s="20">
        <v>44284</v>
      </c>
      <c r="N406" s="20" t="str">
        <f>UPPER(TEXT(Tabla1[[#This Row],[FECHA RADICADO ENTRADA]],"MMM"))</f>
        <v>MAR</v>
      </c>
      <c r="O406" s="11">
        <v>202124110526231</v>
      </c>
      <c r="P406" s="20">
        <v>44293</v>
      </c>
      <c r="Q406" s="20" t="str">
        <f>UPPER(TEXT(Tabla1[[#This Row],[FECHA RADICADO ENTRADA]],"MMM"))</f>
        <v>MAR</v>
      </c>
      <c r="R406" s="10">
        <f t="shared" si="6"/>
        <v>-9</v>
      </c>
      <c r="S406" s="10" t="s">
        <v>2145</v>
      </c>
      <c r="T406" s="10" t="s">
        <v>2808</v>
      </c>
      <c r="U406" s="10" t="s">
        <v>2164</v>
      </c>
      <c r="V406" s="10" t="s">
        <v>2164</v>
      </c>
      <c r="W406" s="10" t="s">
        <v>44</v>
      </c>
      <c r="X406" s="10">
        <v>0</v>
      </c>
      <c r="Y406" s="11">
        <f>IFERROR(INT(Tabla1[[#This Row],[CANTIDAD UND FARMACEUTICAS]]/(VLOOKUP(Tabla1[[#This Row],[MEDICAMENTO]],TAB_REF!$K$3:$L$27,2,0))),"")</f>
        <v>0</v>
      </c>
      <c r="Z406" s="10" t="str">
        <f>IFERROR(VLOOKUP(Tabla1[[#This Row],[MEDICAMENTO]],TAB_REF!$B$3:$F$27,2,0), "")</f>
        <v xml:space="preserve">Metadona HCl </v>
      </c>
      <c r="AA406" s="10" t="str">
        <f>IFERROR(VLOOKUP(Tabla1[[#This Row],[MEDICAMENTO]],TAB_REF!$B$3:$F$27,3,0), "")</f>
        <v xml:space="preserve">10 mg </v>
      </c>
      <c r="AB406" s="10" t="str">
        <f>IFERROR(VLOOKUP(Tabla1[[#This Row],[MEDICAMENTO]],TAB_REF!$B$3:$F$27,4,0), "")</f>
        <v>Tabletas IMPORTADA</v>
      </c>
      <c r="AC406" s="10" t="str">
        <f>IFERROR(VLOOKUP(Tabla1[[#This Row],[MEDICAMENTO]],TAB_REF!$B$3:$F$27,5,0), "")</f>
        <v>Frasco x 20 unidades</v>
      </c>
      <c r="AD406" s="10" t="str">
        <f>IFERROR(VLOOKUP(Tabla1[[#This Row],[CANTIDAD UND COMERCIALES]],TAB_REF!$H$3:$I$1003,2,0)&amp;" ("&amp;Tabla1[[#This Row],[CANTIDAD UND COMERCIALES]]&amp;")"&amp;"_"&amp;Tabla1[[#This Row],[CANTIDAD]],"")</f>
        <v/>
      </c>
      <c r="AE406" s="31" t="e">
        <f>CONCATENATE([1]!Tabla1[[#This Row],[NOMBRE MED.]],[1]!Tabla1[[#This Row],[CONCENTRACION]],[1]!Tabla1[[#This Row],[FORMA FARMACEUTICA]])</f>
        <v>#REF!</v>
      </c>
    </row>
    <row r="407" spans="2:31" x14ac:dyDescent="0.25">
      <c r="B407" s="10">
        <v>149</v>
      </c>
      <c r="C407" s="10" t="s">
        <v>2957</v>
      </c>
      <c r="D407" s="10" t="s">
        <v>2175</v>
      </c>
      <c r="E407" s="10" t="s">
        <v>2958</v>
      </c>
      <c r="F407" s="10" t="s">
        <v>2164</v>
      </c>
      <c r="G407" s="10" t="s">
        <v>2959</v>
      </c>
      <c r="H407" s="10" t="s">
        <v>2960</v>
      </c>
      <c r="I407" s="10" t="s">
        <v>2123</v>
      </c>
      <c r="J407" s="10" t="s">
        <v>1770</v>
      </c>
      <c r="K407" s="10" t="s">
        <v>2961</v>
      </c>
      <c r="L407" s="11">
        <v>202124100537792</v>
      </c>
      <c r="M407" s="20">
        <v>44284</v>
      </c>
      <c r="N407" s="20" t="str">
        <f>UPPER(TEXT(Tabla1[[#This Row],[FECHA RADICADO ENTRADA]],"MMM"))</f>
        <v>MAR</v>
      </c>
      <c r="O407" s="11">
        <v>202124110526231</v>
      </c>
      <c r="P407" s="20">
        <v>44293</v>
      </c>
      <c r="Q407" s="20" t="str">
        <f>UPPER(TEXT(Tabla1[[#This Row],[FECHA RADICADO ENTRADA]],"MMM"))</f>
        <v>MAR</v>
      </c>
      <c r="R407" s="10">
        <f t="shared" si="6"/>
        <v>-9</v>
      </c>
      <c r="S407" s="10" t="s">
        <v>2145</v>
      </c>
      <c r="T407" s="10" t="s">
        <v>2808</v>
      </c>
      <c r="U407" s="10" t="s">
        <v>2164</v>
      </c>
      <c r="V407" s="10" t="s">
        <v>2164</v>
      </c>
      <c r="W407" s="10" t="s">
        <v>60</v>
      </c>
      <c r="X407" s="10">
        <v>0</v>
      </c>
      <c r="Y407" s="11">
        <f>IFERROR(INT(Tabla1[[#This Row],[CANTIDAD UND FARMACEUTICAS]]/(VLOOKUP(Tabla1[[#This Row],[MEDICAMENTO]],TAB_REF!$K$3:$L$27,2,0))),"")</f>
        <v>0</v>
      </c>
      <c r="Z407" s="10" t="str">
        <f>IFERROR(VLOOKUP(Tabla1[[#This Row],[MEDICAMENTO]],TAB_REF!$B$3:$F$27,2,0), "")</f>
        <v xml:space="preserve">Morfina HCl </v>
      </c>
      <c r="AA407" s="10" t="str">
        <f>IFERROR(VLOOKUP(Tabla1[[#This Row],[MEDICAMENTO]],TAB_REF!$B$3:$F$27,3,0), "")</f>
        <v xml:space="preserve">3%. </v>
      </c>
      <c r="AB407" s="10" t="str">
        <f>IFERROR(VLOOKUP(Tabla1[[#This Row],[MEDICAMENTO]],TAB_REF!$B$3:$F$27,4,0), "")</f>
        <v>Solución Oral</v>
      </c>
      <c r="AC407" s="10" t="str">
        <f>IFERROR(VLOOKUP(Tabla1[[#This Row],[MEDICAMENTO]],TAB_REF!$B$3:$F$27,5,0), "")</f>
        <v>Frasco x 30 mL</v>
      </c>
      <c r="AD407" s="10" t="str">
        <f>IFERROR(VLOOKUP(Tabla1[[#This Row],[CANTIDAD UND COMERCIALES]],TAB_REF!$H$3:$I$1003,2,0)&amp;" ("&amp;Tabla1[[#This Row],[CANTIDAD UND COMERCIALES]]&amp;")"&amp;"_"&amp;Tabla1[[#This Row],[CANTIDAD]],"")</f>
        <v/>
      </c>
      <c r="AE407" s="31" t="e">
        <f>CONCATENATE([1]!Tabla1[[#This Row],[NOMBRE MED.]],[1]!Tabla1[[#This Row],[CONCENTRACION]],[1]!Tabla1[[#This Row],[FORMA FARMACEUTICA]])</f>
        <v>#REF!</v>
      </c>
    </row>
    <row r="408" spans="2:31" x14ac:dyDescent="0.25">
      <c r="B408" s="10">
        <v>150</v>
      </c>
      <c r="C408" s="10" t="s">
        <v>2565</v>
      </c>
      <c r="D408" s="10" t="s">
        <v>2162</v>
      </c>
      <c r="E408" s="10" t="s">
        <v>2856</v>
      </c>
      <c r="F408" s="10" t="s">
        <v>2567</v>
      </c>
      <c r="G408" s="38" t="s">
        <v>2568</v>
      </c>
      <c r="H408" s="10" t="s">
        <v>2569</v>
      </c>
      <c r="I408" s="10" t="s">
        <v>2110</v>
      </c>
      <c r="J408" s="10" t="s">
        <v>1235</v>
      </c>
      <c r="K408" s="10" t="s">
        <v>2962</v>
      </c>
      <c r="L408" s="11">
        <v>202124100537942</v>
      </c>
      <c r="M408" s="20">
        <v>44284</v>
      </c>
      <c r="N408" s="20" t="str">
        <f>UPPER(TEXT(Tabla1[[#This Row],[FECHA RADICADO ENTRADA]],"MMM"))</f>
        <v>MAR</v>
      </c>
      <c r="O408" s="11">
        <v>202124110526791</v>
      </c>
      <c r="P408" s="20">
        <v>44293</v>
      </c>
      <c r="Q408" s="20" t="str">
        <f>UPPER(TEXT(Tabla1[[#This Row],[FECHA RADICADO ENTRADA]],"MMM"))</f>
        <v>MAR</v>
      </c>
      <c r="R408" s="10">
        <f t="shared" si="6"/>
        <v>-9</v>
      </c>
      <c r="S408" s="10" t="s">
        <v>2154</v>
      </c>
      <c r="U408" s="10" t="s">
        <v>2570</v>
      </c>
      <c r="V408" s="20">
        <v>44095</v>
      </c>
      <c r="W408" s="10" t="s">
        <v>63</v>
      </c>
      <c r="X408" s="10">
        <v>50</v>
      </c>
      <c r="Y408" s="11">
        <f>IFERROR(INT(Tabla1[[#This Row],[CANTIDAD UND FARMACEUTICAS]]/(VLOOKUP(Tabla1[[#This Row],[MEDICAMENTO]],TAB_REF!$K$3:$L$27,2,0))),"")</f>
        <v>5</v>
      </c>
      <c r="Z408" s="10" t="str">
        <f>IFERROR(VLOOKUP(Tabla1[[#This Row],[MEDICAMENTO]],TAB_REF!$B$3:$F$27,2,0), "")</f>
        <v xml:space="preserve">Morfina HCl </v>
      </c>
      <c r="AA408" s="10" t="str">
        <f>IFERROR(VLOOKUP(Tabla1[[#This Row],[MEDICAMENTO]],TAB_REF!$B$3:$F$27,3,0), "")</f>
        <v xml:space="preserve">10 mg/mL </v>
      </c>
      <c r="AB408" s="10" t="str">
        <f>IFERROR(VLOOKUP(Tabla1[[#This Row],[MEDICAMENTO]],TAB_REF!$B$3:$F$27,4,0), "")</f>
        <v>Solución Inyectable</v>
      </c>
      <c r="AC408" s="10" t="str">
        <f>IFERROR(VLOOKUP(Tabla1[[#This Row],[MEDICAMENTO]],TAB_REF!$B$3:$F$27,5,0), "")</f>
        <v>Caja x 10 unidades</v>
      </c>
      <c r="AD408" s="10" t="str">
        <f>IFERROR(VLOOKUP(Tabla1[[#This Row],[CANTIDAD UND COMERCIALES]],TAB_REF!$H$3:$I$1003,2,0)&amp;" ("&amp;Tabla1[[#This Row],[CANTIDAD UND COMERCIALES]]&amp;")"&amp;"_"&amp;Tabla1[[#This Row],[CANTIDAD]],"")</f>
        <v>Cinco (5)_Caja x 10 unidades</v>
      </c>
      <c r="AE408" s="31" t="e">
        <f>CONCATENATE([1]!Tabla1[[#This Row],[NOMBRE MED.]],[1]!Tabla1[[#This Row],[CONCENTRACION]],[1]!Tabla1[[#This Row],[FORMA FARMACEUTICA]])</f>
        <v>#REF!</v>
      </c>
    </row>
    <row r="409" spans="2:31" x14ac:dyDescent="0.25">
      <c r="B409" s="10">
        <v>150</v>
      </c>
      <c r="C409" s="10" t="s">
        <v>2565</v>
      </c>
      <c r="D409" s="10" t="s">
        <v>2162</v>
      </c>
      <c r="E409" s="10" t="s">
        <v>2856</v>
      </c>
      <c r="F409" s="10" t="s">
        <v>2567</v>
      </c>
      <c r="G409" s="38" t="s">
        <v>2568</v>
      </c>
      <c r="H409" s="10" t="s">
        <v>2569</v>
      </c>
      <c r="I409" s="10" t="s">
        <v>2110</v>
      </c>
      <c r="J409" s="10" t="s">
        <v>1235</v>
      </c>
      <c r="K409" s="10" t="s">
        <v>2962</v>
      </c>
      <c r="L409" s="11">
        <v>202124100537942</v>
      </c>
      <c r="M409" s="20">
        <v>44284</v>
      </c>
      <c r="N409" s="20" t="str">
        <f>UPPER(TEXT(Tabla1[[#This Row],[FECHA RADICADO ENTRADA]],"MMM"))</f>
        <v>MAR</v>
      </c>
      <c r="O409" s="11">
        <v>202124110526791</v>
      </c>
      <c r="P409" s="20">
        <v>44293</v>
      </c>
      <c r="Q409" s="20" t="str">
        <f>UPPER(TEXT(Tabla1[[#This Row],[FECHA RADICADO ENTRADA]],"MMM"))</f>
        <v>MAR</v>
      </c>
      <c r="R409" s="10">
        <f t="shared" si="6"/>
        <v>-9</v>
      </c>
      <c r="S409" s="10" t="s">
        <v>2154</v>
      </c>
      <c r="U409" s="10" t="s">
        <v>2570</v>
      </c>
      <c r="V409" s="20">
        <v>44095</v>
      </c>
      <c r="W409" s="10" t="s">
        <v>41</v>
      </c>
      <c r="X409" s="10">
        <v>100</v>
      </c>
      <c r="Y409" s="11">
        <f>IFERROR(INT(Tabla1[[#This Row],[CANTIDAD UND FARMACEUTICAS]]/(VLOOKUP(Tabla1[[#This Row],[MEDICAMENTO]],TAB_REF!$K$3:$L$27,2,0))),"")</f>
        <v>10</v>
      </c>
      <c r="Z409" s="10" t="str">
        <f>IFERROR(VLOOKUP(Tabla1[[#This Row],[MEDICAMENTO]],TAB_REF!$B$3:$F$27,2,0), "")</f>
        <v xml:space="preserve">Meperidina HCl </v>
      </c>
      <c r="AA409" s="10" t="str">
        <f>IFERROR(VLOOKUP(Tabla1[[#This Row],[MEDICAMENTO]],TAB_REF!$B$3:$F$27,3,0), "")</f>
        <v xml:space="preserve">100 mg/2mL </v>
      </c>
      <c r="AB409" s="10" t="str">
        <f>IFERROR(VLOOKUP(Tabla1[[#This Row],[MEDICAMENTO]],TAB_REF!$B$3:$F$27,4,0), "")</f>
        <v>Solución Inyectable</v>
      </c>
      <c r="AC409" s="10" t="str">
        <f>IFERROR(VLOOKUP(Tabla1[[#This Row],[MEDICAMENTO]],TAB_REF!$B$3:$F$27,5,0), "")</f>
        <v>Caja 10 ampollas</v>
      </c>
      <c r="AD409" s="10" t="str">
        <f>IFERROR(VLOOKUP(Tabla1[[#This Row],[CANTIDAD UND COMERCIALES]],TAB_REF!$H$3:$I$1003,2,0)&amp;" ("&amp;Tabla1[[#This Row],[CANTIDAD UND COMERCIALES]]&amp;")"&amp;"_"&amp;Tabla1[[#This Row],[CANTIDAD]],"")</f>
        <v>Diez (10)_Caja 10 ampollas</v>
      </c>
      <c r="AE409" s="31" t="e">
        <f>CONCATENATE([1]!Tabla1[[#This Row],[NOMBRE MED.]],[1]!Tabla1[[#This Row],[CONCENTRACION]],[1]!Tabla1[[#This Row],[FORMA FARMACEUTICA]])</f>
        <v>#REF!</v>
      </c>
    </row>
    <row r="410" spans="2:31" x14ac:dyDescent="0.25">
      <c r="B410" s="10">
        <v>150</v>
      </c>
      <c r="C410" s="10" t="s">
        <v>2565</v>
      </c>
      <c r="D410" s="10" t="s">
        <v>2162</v>
      </c>
      <c r="E410" s="10" t="s">
        <v>2856</v>
      </c>
      <c r="F410" s="10" t="s">
        <v>2567</v>
      </c>
      <c r="G410" s="38" t="s">
        <v>2568</v>
      </c>
      <c r="H410" s="10" t="s">
        <v>2569</v>
      </c>
      <c r="I410" s="10" t="s">
        <v>2110</v>
      </c>
      <c r="J410" s="10" t="s">
        <v>1235</v>
      </c>
      <c r="K410" s="10" t="s">
        <v>2962</v>
      </c>
      <c r="L410" s="11">
        <v>202124100537942</v>
      </c>
      <c r="M410" s="20">
        <v>44284</v>
      </c>
      <c r="N410" s="20" t="str">
        <f>UPPER(TEXT(Tabla1[[#This Row],[FECHA RADICADO ENTRADA]],"MMM"))</f>
        <v>MAR</v>
      </c>
      <c r="O410" s="11">
        <v>202124110526791</v>
      </c>
      <c r="P410" s="20">
        <v>44293</v>
      </c>
      <c r="Q410" s="20" t="str">
        <f>UPPER(TEXT(Tabla1[[#This Row],[FECHA RADICADO ENTRADA]],"MMM"))</f>
        <v>MAR</v>
      </c>
      <c r="R410" s="10">
        <f t="shared" si="6"/>
        <v>-9</v>
      </c>
      <c r="S410" s="10" t="s">
        <v>2154</v>
      </c>
      <c r="U410" s="10" t="s">
        <v>2570</v>
      </c>
      <c r="V410" s="20">
        <v>44095</v>
      </c>
      <c r="W410" s="10" t="s">
        <v>45</v>
      </c>
      <c r="X410" s="10">
        <v>90</v>
      </c>
      <c r="Y410" s="11">
        <f>IFERROR(INT(Tabla1[[#This Row],[CANTIDAD UND FARMACEUTICAS]]/(VLOOKUP(Tabla1[[#This Row],[MEDICAMENTO]],TAB_REF!$K$3:$L$27,2,0))),"")</f>
        <v>3</v>
      </c>
      <c r="Z410" s="10" t="str">
        <f>IFERROR(VLOOKUP(Tabla1[[#This Row],[MEDICAMENTO]],TAB_REF!$B$3:$F$27,2,0), "")</f>
        <v xml:space="preserve">Metadona HCl </v>
      </c>
      <c r="AA410" s="10" t="str">
        <f>IFERROR(VLOOKUP(Tabla1[[#This Row],[MEDICAMENTO]],TAB_REF!$B$3:$F$27,3,0), "")</f>
        <v xml:space="preserve">10 mg </v>
      </c>
      <c r="AB410" s="10" t="str">
        <f>IFERROR(VLOOKUP(Tabla1[[#This Row],[MEDICAMENTO]],TAB_REF!$B$3:$F$27,4,0), "")</f>
        <v>Tabletas NACIONAL</v>
      </c>
      <c r="AC410" s="10" t="str">
        <f>IFERROR(VLOOKUP(Tabla1[[#This Row],[MEDICAMENTO]],TAB_REF!$B$3:$F$27,5,0), "")</f>
        <v>Caja x 30 unidades</v>
      </c>
      <c r="AD410" s="10" t="str">
        <f>IFERROR(VLOOKUP(Tabla1[[#This Row],[CANTIDAD UND COMERCIALES]],TAB_REF!$H$3:$I$1003,2,0)&amp;" ("&amp;Tabla1[[#This Row],[CANTIDAD UND COMERCIALES]]&amp;")"&amp;"_"&amp;Tabla1[[#This Row],[CANTIDAD]],"")</f>
        <v>Tres (3)_Caja x 30 unidades</v>
      </c>
      <c r="AE410" s="31" t="e">
        <f>CONCATENATE([1]!Tabla1[[#This Row],[NOMBRE MED.]],[1]!Tabla1[[#This Row],[CONCENTRACION]],[1]!Tabla1[[#This Row],[FORMA FARMACEUTICA]])</f>
        <v>#REF!</v>
      </c>
    </row>
    <row r="411" spans="2:31" x14ac:dyDescent="0.25">
      <c r="B411" s="10">
        <v>150</v>
      </c>
      <c r="C411" s="10" t="s">
        <v>2565</v>
      </c>
      <c r="D411" s="10" t="s">
        <v>2162</v>
      </c>
      <c r="E411" s="10" t="s">
        <v>2856</v>
      </c>
      <c r="F411" s="10" t="s">
        <v>2567</v>
      </c>
      <c r="G411" s="38" t="s">
        <v>2568</v>
      </c>
      <c r="H411" s="10" t="s">
        <v>2569</v>
      </c>
      <c r="I411" s="10" t="s">
        <v>2110</v>
      </c>
      <c r="J411" s="10" t="s">
        <v>1235</v>
      </c>
      <c r="K411" s="10" t="s">
        <v>2962</v>
      </c>
      <c r="L411" s="11">
        <v>202124100537942</v>
      </c>
      <c r="M411" s="20">
        <v>44284</v>
      </c>
      <c r="N411" s="20" t="str">
        <f>UPPER(TEXT(Tabla1[[#This Row],[FECHA RADICADO ENTRADA]],"MMM"))</f>
        <v>MAR</v>
      </c>
      <c r="O411" s="11">
        <v>202124110526791</v>
      </c>
      <c r="P411" s="20">
        <v>44293</v>
      </c>
      <c r="Q411" s="20" t="str">
        <f>UPPER(TEXT(Tabla1[[#This Row],[FECHA RADICADO ENTRADA]],"MMM"))</f>
        <v>MAR</v>
      </c>
      <c r="R411" s="10">
        <f t="shared" si="6"/>
        <v>-9</v>
      </c>
      <c r="S411" s="10" t="s">
        <v>2154</v>
      </c>
      <c r="U411" s="10" t="s">
        <v>2570</v>
      </c>
      <c r="V411" s="20">
        <v>44095</v>
      </c>
      <c r="W411" s="10" t="s">
        <v>32</v>
      </c>
      <c r="X411" s="10">
        <f>48*30</f>
        <v>1440</v>
      </c>
      <c r="Y411" s="11">
        <f>IFERROR(INT(Tabla1[[#This Row],[CANTIDAD UND FARMACEUTICAS]]/(VLOOKUP(Tabla1[[#This Row],[MEDICAMENTO]],TAB_REF!$K$3:$L$27,2,0))),"")</f>
        <v>48</v>
      </c>
      <c r="Z411" s="10" t="str">
        <f>IFERROR(VLOOKUP(Tabla1[[#This Row],[MEDICAMENTO]],TAB_REF!$B$3:$F$27,2,0), "")</f>
        <v xml:space="preserve">Fenobarbital </v>
      </c>
      <c r="AA411" s="10" t="str">
        <f>IFERROR(VLOOKUP(Tabla1[[#This Row],[MEDICAMENTO]],TAB_REF!$B$3:$F$27,3,0), "")</f>
        <v xml:space="preserve">100 mg </v>
      </c>
      <c r="AB411" s="10" t="str">
        <f>IFERROR(VLOOKUP(Tabla1[[#This Row],[MEDICAMENTO]],TAB_REF!$B$3:$F$27,4,0), "")</f>
        <v>Tabletas</v>
      </c>
      <c r="AC411" s="10" t="str">
        <f>IFERROR(VLOOKUP(Tabla1[[#This Row],[MEDICAMENTO]],TAB_REF!$B$3:$F$27,5,0), "")</f>
        <v>Caja x 30 unidades</v>
      </c>
      <c r="AD411" s="10" t="str">
        <f>IFERROR(VLOOKUP(Tabla1[[#This Row],[CANTIDAD UND COMERCIALES]],TAB_REF!$H$3:$I$1003,2,0)&amp;" ("&amp;Tabla1[[#This Row],[CANTIDAD UND COMERCIALES]]&amp;")"&amp;"_"&amp;Tabla1[[#This Row],[CANTIDAD]],"")</f>
        <v>Cuarenta Y Ocho (48)_Caja x 30 unidades</v>
      </c>
      <c r="AE411" s="31" t="e">
        <f>CONCATENATE([1]!Tabla1[[#This Row],[NOMBRE MED.]],[1]!Tabla1[[#This Row],[CONCENTRACION]],[1]!Tabla1[[#This Row],[FORMA FARMACEUTICA]])</f>
        <v>#REF!</v>
      </c>
    </row>
    <row r="412" spans="2:31" x14ac:dyDescent="0.25">
      <c r="B412" s="10">
        <v>150</v>
      </c>
      <c r="C412" s="10" t="s">
        <v>2565</v>
      </c>
      <c r="D412" s="10" t="s">
        <v>2162</v>
      </c>
      <c r="E412" s="10" t="s">
        <v>2856</v>
      </c>
      <c r="F412" s="10" t="s">
        <v>2567</v>
      </c>
      <c r="G412" s="38" t="s">
        <v>2568</v>
      </c>
      <c r="H412" s="10" t="s">
        <v>2569</v>
      </c>
      <c r="I412" s="10" t="s">
        <v>2110</v>
      </c>
      <c r="J412" s="10" t="s">
        <v>1235</v>
      </c>
      <c r="K412" s="10" t="s">
        <v>2962</v>
      </c>
      <c r="L412" s="11">
        <v>202124100537942</v>
      </c>
      <c r="M412" s="20">
        <v>44284</v>
      </c>
      <c r="N412" s="20" t="str">
        <f>UPPER(TEXT(Tabla1[[#This Row],[FECHA RADICADO ENTRADA]],"MMM"))</f>
        <v>MAR</v>
      </c>
      <c r="O412" s="11">
        <v>202124110526791</v>
      </c>
      <c r="P412" s="20">
        <v>44293</v>
      </c>
      <c r="Q412" s="20" t="str">
        <f>UPPER(TEXT(Tabla1[[#This Row],[FECHA RADICADO ENTRADA]],"MMM"))</f>
        <v>MAR</v>
      </c>
      <c r="R412" s="10">
        <f t="shared" si="6"/>
        <v>-9</v>
      </c>
      <c r="S412" s="10" t="s">
        <v>2154</v>
      </c>
      <c r="U412" s="10" t="s">
        <v>2570</v>
      </c>
      <c r="V412" s="20">
        <v>44095</v>
      </c>
      <c r="W412" s="10" t="s">
        <v>48</v>
      </c>
      <c r="X412" s="10">
        <v>300</v>
      </c>
      <c r="Y412" s="11">
        <f>IFERROR(INT(Tabla1[[#This Row],[CANTIDAD UND FARMACEUTICAS]]/(VLOOKUP(Tabla1[[#This Row],[MEDICAMENTO]],TAB_REF!$K$3:$L$27,2,0))),"")</f>
        <v>10</v>
      </c>
      <c r="Z412" s="10" t="str">
        <f>IFERROR(VLOOKUP(Tabla1[[#This Row],[MEDICAMENTO]],TAB_REF!$B$3:$F$27,2,0), "")</f>
        <v xml:space="preserve">Metilfenidato HCl </v>
      </c>
      <c r="AA412" s="10" t="str">
        <f>IFERROR(VLOOKUP(Tabla1[[#This Row],[MEDICAMENTO]],TAB_REF!$B$3:$F$27,3,0), "")</f>
        <v xml:space="preserve">10 mg </v>
      </c>
      <c r="AB412" s="10" t="str">
        <f>IFERROR(VLOOKUP(Tabla1[[#This Row],[MEDICAMENTO]],TAB_REF!$B$3:$F$27,4,0), "")</f>
        <v>Comprimidos</v>
      </c>
      <c r="AC412" s="10" t="str">
        <f>IFERROR(VLOOKUP(Tabla1[[#This Row],[MEDICAMENTO]],TAB_REF!$B$3:$F$27,5,0), "")</f>
        <v>Caja x 30 unidades</v>
      </c>
      <c r="AD412" s="10" t="str">
        <f>IFERROR(VLOOKUP(Tabla1[[#This Row],[CANTIDAD UND COMERCIALES]],TAB_REF!$H$3:$I$1003,2,0)&amp;" ("&amp;Tabla1[[#This Row],[CANTIDAD UND COMERCIALES]]&amp;")"&amp;"_"&amp;Tabla1[[#This Row],[CANTIDAD]],"")</f>
        <v>Diez (10)_Caja x 30 unidades</v>
      </c>
      <c r="AE412" s="31" t="e">
        <f>CONCATENATE([1]!Tabla1[[#This Row],[NOMBRE MED.]],[1]!Tabla1[[#This Row],[CONCENTRACION]],[1]!Tabla1[[#This Row],[FORMA FARMACEUTICA]])</f>
        <v>#REF!</v>
      </c>
    </row>
    <row r="413" spans="2:31" x14ac:dyDescent="0.25">
      <c r="B413" s="10">
        <v>150</v>
      </c>
      <c r="C413" s="10" t="s">
        <v>2565</v>
      </c>
      <c r="D413" s="10" t="s">
        <v>2162</v>
      </c>
      <c r="E413" s="10" t="s">
        <v>2856</v>
      </c>
      <c r="F413" s="10" t="s">
        <v>2567</v>
      </c>
      <c r="G413" s="38" t="s">
        <v>2568</v>
      </c>
      <c r="H413" s="10" t="s">
        <v>2569</v>
      </c>
      <c r="I413" s="10" t="s">
        <v>2110</v>
      </c>
      <c r="J413" s="10" t="s">
        <v>1235</v>
      </c>
      <c r="K413" s="10" t="s">
        <v>2962</v>
      </c>
      <c r="L413" s="11">
        <v>202124100537942</v>
      </c>
      <c r="M413" s="20">
        <v>44284</v>
      </c>
      <c r="N413" s="20" t="str">
        <f>UPPER(TEXT(Tabla1[[#This Row],[FECHA RADICADO ENTRADA]],"MMM"))</f>
        <v>MAR</v>
      </c>
      <c r="O413" s="11">
        <v>202124110526791</v>
      </c>
      <c r="P413" s="20">
        <v>44293</v>
      </c>
      <c r="Q413" s="20" t="str">
        <f>UPPER(TEXT(Tabla1[[#This Row],[FECHA RADICADO ENTRADA]],"MMM"))</f>
        <v>MAR</v>
      </c>
      <c r="R413" s="10">
        <f t="shared" si="6"/>
        <v>-9</v>
      </c>
      <c r="S413" s="10" t="s">
        <v>2154</v>
      </c>
      <c r="U413" s="10" t="s">
        <v>2570</v>
      </c>
      <c r="V413" s="20">
        <v>44095</v>
      </c>
      <c r="W413" s="10" t="s">
        <v>38</v>
      </c>
      <c r="X413" s="10">
        <f>18*20</f>
        <v>360</v>
      </c>
      <c r="Y413" s="11">
        <f>IFERROR(INT(Tabla1[[#This Row],[CANTIDAD UND FARMACEUTICAS]]/(VLOOKUP(Tabla1[[#This Row],[MEDICAMENTO]],TAB_REF!$K$3:$L$27,2,0))),"")</f>
        <v>18</v>
      </c>
      <c r="Z413" s="10" t="str">
        <f>IFERROR(VLOOKUP(Tabla1[[#This Row],[MEDICAMENTO]],TAB_REF!$B$3:$F$27,2,0), "")</f>
        <v xml:space="preserve">Hidromorfona HCl </v>
      </c>
      <c r="AA413" s="10" t="str">
        <f>IFERROR(VLOOKUP(Tabla1[[#This Row],[MEDICAMENTO]],TAB_REF!$B$3:$F$27,3,0), "")</f>
        <v xml:space="preserve">2,5 mg </v>
      </c>
      <c r="AB413" s="10" t="str">
        <f>IFERROR(VLOOKUP(Tabla1[[#This Row],[MEDICAMENTO]],TAB_REF!$B$3:$F$27,4,0), "")</f>
        <v>Tabletas</v>
      </c>
      <c r="AC413" s="10" t="str">
        <f>IFERROR(VLOOKUP(Tabla1[[#This Row],[MEDICAMENTO]],TAB_REF!$B$3:$F$27,5,0), "")</f>
        <v>Caja x 20 unidades</v>
      </c>
      <c r="AD413" s="10" t="str">
        <f>IFERROR(VLOOKUP(Tabla1[[#This Row],[CANTIDAD UND COMERCIALES]],TAB_REF!$H$3:$I$1003,2,0)&amp;" ("&amp;Tabla1[[#This Row],[CANTIDAD UND COMERCIALES]]&amp;")"&amp;"_"&amp;Tabla1[[#This Row],[CANTIDAD]],"")</f>
        <v>Dieciocho (18)_Caja x 20 unidades</v>
      </c>
      <c r="AE413" s="31" t="e">
        <f>CONCATENATE([1]!Tabla1[[#This Row],[NOMBRE MED.]],[1]!Tabla1[[#This Row],[CONCENTRACION]],[1]!Tabla1[[#This Row],[FORMA FARMACEUTICA]])</f>
        <v>#REF!</v>
      </c>
    </row>
    <row r="414" spans="2:31" x14ac:dyDescent="0.25">
      <c r="B414" s="10">
        <v>151</v>
      </c>
      <c r="C414" s="10" t="s">
        <v>2896</v>
      </c>
      <c r="D414" s="10" t="s">
        <v>2162</v>
      </c>
      <c r="E414" s="10" t="s">
        <v>2674</v>
      </c>
      <c r="F414" s="10" t="s">
        <v>2897</v>
      </c>
      <c r="G414" s="21" t="s">
        <v>2898</v>
      </c>
      <c r="H414" s="10" t="s">
        <v>2963</v>
      </c>
      <c r="I414" s="10" t="s">
        <v>2110</v>
      </c>
      <c r="J414" s="10" t="s">
        <v>1235</v>
      </c>
      <c r="K414" s="10" t="s">
        <v>2899</v>
      </c>
      <c r="L414" s="11">
        <v>202124100544082</v>
      </c>
      <c r="M414" s="20">
        <v>44285</v>
      </c>
      <c r="N414" s="20" t="str">
        <f>UPPER(TEXT(Tabla1[[#This Row],[FECHA RADICADO ENTRADA]],"MMM"))</f>
        <v>MAR</v>
      </c>
      <c r="O414" s="11">
        <v>202124110526811</v>
      </c>
      <c r="P414" s="20">
        <v>44293</v>
      </c>
      <c r="Q414" s="20" t="str">
        <f>UPPER(TEXT(Tabla1[[#This Row],[FECHA RADICADO ENTRADA]],"MMM"))</f>
        <v>MAR</v>
      </c>
      <c r="R414" s="10">
        <f t="shared" si="6"/>
        <v>-8</v>
      </c>
      <c r="S414" s="10" t="s">
        <v>2154</v>
      </c>
      <c r="U414" s="10" t="s">
        <v>2964</v>
      </c>
      <c r="V414" s="20">
        <v>42580</v>
      </c>
      <c r="W414" s="10" t="s">
        <v>48</v>
      </c>
      <c r="X414" s="10">
        <v>90</v>
      </c>
      <c r="Y414" s="11">
        <f>IFERROR(INT(Tabla1[[#This Row],[CANTIDAD UND FARMACEUTICAS]]/(VLOOKUP(Tabla1[[#This Row],[MEDICAMENTO]],TAB_REF!$K$3:$L$27,2,0))),"")</f>
        <v>3</v>
      </c>
      <c r="Z414" s="10" t="str">
        <f>IFERROR(VLOOKUP(Tabla1[[#This Row],[MEDICAMENTO]],TAB_REF!$B$3:$F$27,2,0), "")</f>
        <v xml:space="preserve">Metilfenidato HCl </v>
      </c>
      <c r="AA414" s="10" t="str">
        <f>IFERROR(VLOOKUP(Tabla1[[#This Row],[MEDICAMENTO]],TAB_REF!$B$3:$F$27,3,0), "")</f>
        <v xml:space="preserve">10 mg </v>
      </c>
      <c r="AB414" s="10" t="str">
        <f>IFERROR(VLOOKUP(Tabla1[[#This Row],[MEDICAMENTO]],TAB_REF!$B$3:$F$27,4,0), "")</f>
        <v>Comprimidos</v>
      </c>
      <c r="AC414" s="10" t="str">
        <f>IFERROR(VLOOKUP(Tabla1[[#This Row],[MEDICAMENTO]],TAB_REF!$B$3:$F$27,5,0), "")</f>
        <v>Caja x 30 unidades</v>
      </c>
      <c r="AD414" s="10" t="str">
        <f>IFERROR(VLOOKUP(Tabla1[[#This Row],[CANTIDAD UND COMERCIALES]],TAB_REF!$H$3:$I$1003,2,0)&amp;" ("&amp;Tabla1[[#This Row],[CANTIDAD UND COMERCIALES]]&amp;")"&amp;"_"&amp;Tabla1[[#This Row],[CANTIDAD]],"")</f>
        <v>Tres (3)_Caja x 30 unidades</v>
      </c>
      <c r="AE414" s="31" t="e">
        <f>CONCATENATE([1]!Tabla1[[#This Row],[NOMBRE MED.]],[1]!Tabla1[[#This Row],[CONCENTRACION]],[1]!Tabla1[[#This Row],[FORMA FARMACEUTICA]])</f>
        <v>#REF!</v>
      </c>
    </row>
    <row r="415" spans="2:31" x14ac:dyDescent="0.25">
      <c r="B415" s="10">
        <v>151</v>
      </c>
      <c r="C415" s="10" t="s">
        <v>2896</v>
      </c>
      <c r="D415" s="10" t="s">
        <v>2162</v>
      </c>
      <c r="E415" s="10" t="s">
        <v>2674</v>
      </c>
      <c r="F415" s="10" t="s">
        <v>2897</v>
      </c>
      <c r="G415" s="21" t="s">
        <v>2898</v>
      </c>
      <c r="H415" s="10" t="s">
        <v>2963</v>
      </c>
      <c r="I415" s="10" t="s">
        <v>2110</v>
      </c>
      <c r="J415" s="10" t="s">
        <v>1235</v>
      </c>
      <c r="K415" s="10" t="s">
        <v>2899</v>
      </c>
      <c r="L415" s="11">
        <v>202124100544082</v>
      </c>
      <c r="M415" s="20">
        <v>44285</v>
      </c>
      <c r="N415" s="20" t="str">
        <f>UPPER(TEXT(Tabla1[[#This Row],[FECHA RADICADO ENTRADA]],"MMM"))</f>
        <v>MAR</v>
      </c>
      <c r="O415" s="11">
        <v>202124110526811</v>
      </c>
      <c r="P415" s="20">
        <v>44293</v>
      </c>
      <c r="Q415" s="20" t="str">
        <f>UPPER(TEXT(Tabla1[[#This Row],[FECHA RADICADO ENTRADA]],"MMM"))</f>
        <v>MAR</v>
      </c>
      <c r="R415" s="10">
        <f t="shared" si="6"/>
        <v>-8</v>
      </c>
      <c r="S415" s="10" t="s">
        <v>2154</v>
      </c>
      <c r="U415" s="10" t="s">
        <v>2964</v>
      </c>
      <c r="V415" s="20">
        <v>42580</v>
      </c>
      <c r="W415" s="10" t="s">
        <v>32</v>
      </c>
      <c r="X415" s="10">
        <v>900</v>
      </c>
      <c r="Y415" s="11">
        <f>IFERROR(INT(Tabla1[[#This Row],[CANTIDAD UND FARMACEUTICAS]]/(VLOOKUP(Tabla1[[#This Row],[MEDICAMENTO]],TAB_REF!$K$3:$L$27,2,0))),"")</f>
        <v>30</v>
      </c>
      <c r="Z415" s="10" t="str">
        <f>IFERROR(VLOOKUP(Tabla1[[#This Row],[MEDICAMENTO]],TAB_REF!$B$3:$F$27,2,0), "")</f>
        <v xml:space="preserve">Fenobarbital </v>
      </c>
      <c r="AA415" s="10" t="str">
        <f>IFERROR(VLOOKUP(Tabla1[[#This Row],[MEDICAMENTO]],TAB_REF!$B$3:$F$27,3,0), "")</f>
        <v xml:space="preserve">100 mg </v>
      </c>
      <c r="AB415" s="10" t="str">
        <f>IFERROR(VLOOKUP(Tabla1[[#This Row],[MEDICAMENTO]],TAB_REF!$B$3:$F$27,4,0), "")</f>
        <v>Tabletas</v>
      </c>
      <c r="AC415" s="10" t="str">
        <f>IFERROR(VLOOKUP(Tabla1[[#This Row],[MEDICAMENTO]],TAB_REF!$B$3:$F$27,5,0), "")</f>
        <v>Caja x 30 unidades</v>
      </c>
      <c r="AD415" s="10" t="str">
        <f>IFERROR(VLOOKUP(Tabla1[[#This Row],[CANTIDAD UND COMERCIALES]],TAB_REF!$H$3:$I$1003,2,0)&amp;" ("&amp;Tabla1[[#This Row],[CANTIDAD UND COMERCIALES]]&amp;")"&amp;"_"&amp;Tabla1[[#This Row],[CANTIDAD]],"")</f>
        <v>Treinta (30)_Caja x 30 unidades</v>
      </c>
      <c r="AE415" s="31" t="e">
        <f>CONCATENATE([1]!Tabla1[[#This Row],[NOMBRE MED.]],[1]!Tabla1[[#This Row],[CONCENTRACION]],[1]!Tabla1[[#This Row],[FORMA FARMACEUTICA]])</f>
        <v>#REF!</v>
      </c>
    </row>
    <row r="416" spans="2:31" x14ac:dyDescent="0.25">
      <c r="B416" s="10">
        <v>152</v>
      </c>
      <c r="C416" s="10" t="s">
        <v>2965</v>
      </c>
      <c r="D416" s="10" t="s">
        <v>2966</v>
      </c>
      <c r="E416" s="10" t="s">
        <v>2319</v>
      </c>
      <c r="F416" s="10" t="s">
        <v>2320</v>
      </c>
      <c r="G416" s="21" t="s">
        <v>2967</v>
      </c>
      <c r="H416" s="10" t="s">
        <v>2968</v>
      </c>
      <c r="I416" s="10" t="s">
        <v>2110</v>
      </c>
      <c r="J416" s="10" t="s">
        <v>1235</v>
      </c>
      <c r="K416" s="10" t="s">
        <v>2969</v>
      </c>
      <c r="L416" s="11">
        <v>202124100544442</v>
      </c>
      <c r="M416" s="20">
        <v>44285</v>
      </c>
      <c r="N416" s="20" t="str">
        <f>UPPER(TEXT(Tabla1[[#This Row],[FECHA RADICADO ENTRADA]],"MMM"))</f>
        <v>MAR</v>
      </c>
      <c r="O416" s="11">
        <v>202124110526821</v>
      </c>
      <c r="P416" s="20">
        <v>44293</v>
      </c>
      <c r="Q416" s="20" t="str">
        <f>UPPER(TEXT(Tabla1[[#This Row],[FECHA RADICADO ENTRADA]],"MMM"))</f>
        <v>MAR</v>
      </c>
      <c r="R416" s="10">
        <f t="shared" si="6"/>
        <v>-8</v>
      </c>
      <c r="S416" s="10" t="s">
        <v>2154</v>
      </c>
      <c r="U416" s="10" t="s">
        <v>2970</v>
      </c>
      <c r="V416" s="20">
        <v>44095</v>
      </c>
      <c r="W416" s="10" t="s">
        <v>32</v>
      </c>
      <c r="X416" s="10">
        <v>1140</v>
      </c>
      <c r="Y416" s="11">
        <f>IFERROR(INT(Tabla1[[#This Row],[CANTIDAD UND FARMACEUTICAS]]/(VLOOKUP(Tabla1[[#This Row],[MEDICAMENTO]],TAB_REF!$K$3:$L$27,2,0))),"")</f>
        <v>38</v>
      </c>
      <c r="Z416" s="10" t="str">
        <f>IFERROR(VLOOKUP(Tabla1[[#This Row],[MEDICAMENTO]],TAB_REF!$B$3:$F$27,2,0), "")</f>
        <v xml:space="preserve">Fenobarbital </v>
      </c>
      <c r="AA416" s="10" t="str">
        <f>IFERROR(VLOOKUP(Tabla1[[#This Row],[MEDICAMENTO]],TAB_REF!$B$3:$F$27,3,0), "")</f>
        <v xml:space="preserve">100 mg </v>
      </c>
      <c r="AB416" s="10" t="str">
        <f>IFERROR(VLOOKUP(Tabla1[[#This Row],[MEDICAMENTO]],TAB_REF!$B$3:$F$27,4,0), "")</f>
        <v>Tabletas</v>
      </c>
      <c r="AC416" s="10" t="str">
        <f>IFERROR(VLOOKUP(Tabla1[[#This Row],[MEDICAMENTO]],TAB_REF!$B$3:$F$27,5,0), "")</f>
        <v>Caja x 30 unidades</v>
      </c>
      <c r="AD416" s="10" t="str">
        <f>IFERROR(VLOOKUP(Tabla1[[#This Row],[CANTIDAD UND COMERCIALES]],TAB_REF!$H$3:$I$1003,2,0)&amp;" ("&amp;Tabla1[[#This Row],[CANTIDAD UND COMERCIALES]]&amp;")"&amp;"_"&amp;Tabla1[[#This Row],[CANTIDAD]],"")</f>
        <v>Treinta Y Ocho (38)_Caja x 30 unidades</v>
      </c>
      <c r="AE416" s="31" t="e">
        <f>CONCATENATE([1]!Tabla1[[#This Row],[NOMBRE MED.]],[1]!Tabla1[[#This Row],[CONCENTRACION]],[1]!Tabla1[[#This Row],[FORMA FARMACEUTICA]])</f>
        <v>#REF!</v>
      </c>
    </row>
    <row r="417" spans="2:31" x14ac:dyDescent="0.25">
      <c r="B417" s="10">
        <v>153</v>
      </c>
      <c r="C417" s="10" t="s">
        <v>2971</v>
      </c>
      <c r="D417" s="10" t="s">
        <v>2312</v>
      </c>
      <c r="E417" s="10" t="s">
        <v>2972</v>
      </c>
      <c r="F417" s="10" t="s">
        <v>2973</v>
      </c>
      <c r="G417" s="21" t="s">
        <v>2974</v>
      </c>
      <c r="H417" s="10" t="s">
        <v>2975</v>
      </c>
      <c r="I417" s="10" t="s">
        <v>2123</v>
      </c>
      <c r="J417" s="10" t="s">
        <v>1770</v>
      </c>
      <c r="K417" s="10" t="s">
        <v>2976</v>
      </c>
      <c r="L417" s="11">
        <v>202124100546982</v>
      </c>
      <c r="M417" s="20">
        <v>44285</v>
      </c>
      <c r="N417" s="20" t="str">
        <f>UPPER(TEXT(Tabla1[[#This Row],[FECHA RADICADO ENTRADA]],"MMM"))</f>
        <v>MAR</v>
      </c>
      <c r="O417" s="11">
        <v>202124110527021</v>
      </c>
      <c r="P417" s="20">
        <v>44293</v>
      </c>
      <c r="Q417" s="20" t="str">
        <f>UPPER(TEXT(Tabla1[[#This Row],[FECHA RADICADO ENTRADA]],"MMM"))</f>
        <v>MAR</v>
      </c>
      <c r="R417" s="10">
        <f t="shared" si="6"/>
        <v>-8</v>
      </c>
      <c r="S417" s="10" t="s">
        <v>2154</v>
      </c>
      <c r="U417" s="10" t="s">
        <v>2977</v>
      </c>
      <c r="V417" s="20">
        <v>43844</v>
      </c>
      <c r="W417" s="10" t="s">
        <v>41</v>
      </c>
      <c r="X417" s="10">
        <v>1100</v>
      </c>
      <c r="Y417" s="11">
        <f>IFERROR(INT(Tabla1[[#This Row],[CANTIDAD UND FARMACEUTICAS]]/(VLOOKUP(Tabla1[[#This Row],[MEDICAMENTO]],TAB_REF!$K$3:$L$27,2,0))),"")</f>
        <v>110</v>
      </c>
      <c r="Z417" s="10" t="str">
        <f>IFERROR(VLOOKUP(Tabla1[[#This Row],[MEDICAMENTO]],TAB_REF!$B$3:$F$27,2,0), "")</f>
        <v xml:space="preserve">Meperidina HCl </v>
      </c>
      <c r="AA417" s="10" t="str">
        <f>IFERROR(VLOOKUP(Tabla1[[#This Row],[MEDICAMENTO]],TAB_REF!$B$3:$F$27,3,0), "")</f>
        <v xml:space="preserve">100 mg/2mL </v>
      </c>
      <c r="AB417" s="10" t="str">
        <f>IFERROR(VLOOKUP(Tabla1[[#This Row],[MEDICAMENTO]],TAB_REF!$B$3:$F$27,4,0), "")</f>
        <v>Solución Inyectable</v>
      </c>
      <c r="AC417" s="10" t="str">
        <f>IFERROR(VLOOKUP(Tabla1[[#This Row],[MEDICAMENTO]],TAB_REF!$B$3:$F$27,5,0), "")</f>
        <v>Caja 10 ampollas</v>
      </c>
      <c r="AD417" s="10" t="str">
        <f>IFERROR(VLOOKUP(Tabla1[[#This Row],[CANTIDAD UND COMERCIALES]],TAB_REF!$H$3:$I$1003,2,0)&amp;" ("&amp;Tabla1[[#This Row],[CANTIDAD UND COMERCIALES]]&amp;")"&amp;"_"&amp;Tabla1[[#This Row],[CANTIDAD]],"")</f>
        <v>Ciento Diez (110)_Caja 10 ampollas</v>
      </c>
      <c r="AE417" s="31" t="e">
        <f>CONCATENATE([1]!Tabla1[[#This Row],[NOMBRE MED.]],[1]!Tabla1[[#This Row],[CONCENTRACION]],[1]!Tabla1[[#This Row],[FORMA FARMACEUTICA]])</f>
        <v>#REF!</v>
      </c>
    </row>
    <row r="418" spans="2:31" x14ac:dyDescent="0.25">
      <c r="B418" s="10">
        <v>153</v>
      </c>
      <c r="C418" s="10" t="s">
        <v>2971</v>
      </c>
      <c r="D418" s="10" t="s">
        <v>2312</v>
      </c>
      <c r="E418" s="10" t="s">
        <v>2972</v>
      </c>
      <c r="F418" s="10" t="s">
        <v>2973</v>
      </c>
      <c r="G418" s="21" t="s">
        <v>2974</v>
      </c>
      <c r="H418" s="10" t="s">
        <v>2975</v>
      </c>
      <c r="I418" s="10" t="s">
        <v>2123</v>
      </c>
      <c r="J418" s="10" t="s">
        <v>1770</v>
      </c>
      <c r="K418" s="10" t="s">
        <v>2976</v>
      </c>
      <c r="L418" s="11">
        <v>202124100546982</v>
      </c>
      <c r="M418" s="20">
        <v>44285</v>
      </c>
      <c r="N418" s="20" t="str">
        <f>UPPER(TEXT(Tabla1[[#This Row],[FECHA RADICADO ENTRADA]],"MMM"))</f>
        <v>MAR</v>
      </c>
      <c r="O418" s="11">
        <v>202124110527021</v>
      </c>
      <c r="P418" s="20">
        <v>44293</v>
      </c>
      <c r="Q418" s="20" t="str">
        <f>UPPER(TEXT(Tabla1[[#This Row],[FECHA RADICADO ENTRADA]],"MMM"))</f>
        <v>MAR</v>
      </c>
      <c r="R418" s="10">
        <f t="shared" si="6"/>
        <v>-8</v>
      </c>
      <c r="S418" s="10" t="s">
        <v>2154</v>
      </c>
      <c r="U418" s="10" t="s">
        <v>2977</v>
      </c>
      <c r="V418" s="20">
        <v>43844</v>
      </c>
      <c r="W418" s="10" t="s">
        <v>63</v>
      </c>
      <c r="X418" s="10">
        <v>300</v>
      </c>
      <c r="Y418" s="11">
        <f>IFERROR(INT(Tabla1[[#This Row],[CANTIDAD UND FARMACEUTICAS]]/(VLOOKUP(Tabla1[[#This Row],[MEDICAMENTO]],TAB_REF!$K$3:$L$27,2,0))),"")</f>
        <v>30</v>
      </c>
      <c r="Z418" s="10" t="str">
        <f>IFERROR(VLOOKUP(Tabla1[[#This Row],[MEDICAMENTO]],TAB_REF!$B$3:$F$27,2,0), "")</f>
        <v xml:space="preserve">Morfina HCl </v>
      </c>
      <c r="AA418" s="10" t="str">
        <f>IFERROR(VLOOKUP(Tabla1[[#This Row],[MEDICAMENTO]],TAB_REF!$B$3:$F$27,3,0), "")</f>
        <v xml:space="preserve">10 mg/mL </v>
      </c>
      <c r="AB418" s="10" t="str">
        <f>IFERROR(VLOOKUP(Tabla1[[#This Row],[MEDICAMENTO]],TAB_REF!$B$3:$F$27,4,0), "")</f>
        <v>Solución Inyectable</v>
      </c>
      <c r="AC418" s="10" t="str">
        <f>IFERROR(VLOOKUP(Tabla1[[#This Row],[MEDICAMENTO]],TAB_REF!$B$3:$F$27,5,0), "")</f>
        <v>Caja x 10 unidades</v>
      </c>
      <c r="AD418" s="10" t="str">
        <f>IFERROR(VLOOKUP(Tabla1[[#This Row],[CANTIDAD UND COMERCIALES]],TAB_REF!$H$3:$I$1003,2,0)&amp;" ("&amp;Tabla1[[#This Row],[CANTIDAD UND COMERCIALES]]&amp;")"&amp;"_"&amp;Tabla1[[#This Row],[CANTIDAD]],"")</f>
        <v>Treinta (30)_Caja x 10 unidades</v>
      </c>
      <c r="AE418" s="31" t="e">
        <f>CONCATENATE([1]!Tabla1[[#This Row],[NOMBRE MED.]],[1]!Tabla1[[#This Row],[CONCENTRACION]],[1]!Tabla1[[#This Row],[FORMA FARMACEUTICA]])</f>
        <v>#REF!</v>
      </c>
    </row>
    <row r="419" spans="2:31" x14ac:dyDescent="0.25">
      <c r="B419" s="10">
        <v>153</v>
      </c>
      <c r="C419" s="10" t="s">
        <v>2971</v>
      </c>
      <c r="D419" s="10" t="s">
        <v>2312</v>
      </c>
      <c r="E419" s="10" t="s">
        <v>2972</v>
      </c>
      <c r="F419" s="10" t="s">
        <v>2973</v>
      </c>
      <c r="G419" s="21" t="s">
        <v>2974</v>
      </c>
      <c r="H419" s="10" t="s">
        <v>2975</v>
      </c>
      <c r="I419" s="10" t="s">
        <v>2123</v>
      </c>
      <c r="J419" s="10" t="s">
        <v>1770</v>
      </c>
      <c r="K419" s="10" t="s">
        <v>2976</v>
      </c>
      <c r="L419" s="11">
        <v>202124100546982</v>
      </c>
      <c r="M419" s="20">
        <v>44285</v>
      </c>
      <c r="N419" s="20" t="str">
        <f>UPPER(TEXT(Tabla1[[#This Row],[FECHA RADICADO ENTRADA]],"MMM"))</f>
        <v>MAR</v>
      </c>
      <c r="O419" s="11">
        <v>202124110527021</v>
      </c>
      <c r="P419" s="20">
        <v>44293</v>
      </c>
      <c r="Q419" s="20" t="str">
        <f>UPPER(TEXT(Tabla1[[#This Row],[FECHA RADICADO ENTRADA]],"MMM"))</f>
        <v>MAR</v>
      </c>
      <c r="R419" s="10">
        <f t="shared" si="6"/>
        <v>-8</v>
      </c>
      <c r="S419" s="10" t="s">
        <v>2154</v>
      </c>
      <c r="U419" s="10" t="s">
        <v>2977</v>
      </c>
      <c r="V419" s="20">
        <v>43844</v>
      </c>
      <c r="W419" s="10" t="s">
        <v>28</v>
      </c>
      <c r="X419" s="10">
        <v>3</v>
      </c>
      <c r="Y419" s="11">
        <f>IFERROR(INT(Tabla1[[#This Row],[CANTIDAD UND FARMACEUTICAS]]/(VLOOKUP(Tabla1[[#This Row],[MEDICAMENTO]],TAB_REF!$K$3:$L$27,2,0))),"")</f>
        <v>3</v>
      </c>
      <c r="Z419" s="10" t="str">
        <f>IFERROR(VLOOKUP(Tabla1[[#This Row],[MEDICAMENTO]],TAB_REF!$B$3:$F$27,2,0), "")</f>
        <v xml:space="preserve">Fenobarbital </v>
      </c>
      <c r="AA419" s="10" t="str">
        <f>IFERROR(VLOOKUP(Tabla1[[#This Row],[MEDICAMENTO]],TAB_REF!$B$3:$F$27,3,0), "")</f>
        <v xml:space="preserve">0,4%. </v>
      </c>
      <c r="AB419" s="10" t="str">
        <f>IFERROR(VLOOKUP(Tabla1[[#This Row],[MEDICAMENTO]],TAB_REF!$B$3:$F$27,4,0), "")</f>
        <v>Solución Oral</v>
      </c>
      <c r="AC419" s="10" t="str">
        <f>IFERROR(VLOOKUP(Tabla1[[#This Row],[MEDICAMENTO]],TAB_REF!$B$3:$F$27,5,0), "")</f>
        <v>Frasco x 120 mL</v>
      </c>
      <c r="AD419" s="10" t="str">
        <f>IFERROR(VLOOKUP(Tabla1[[#This Row],[CANTIDAD UND COMERCIALES]],TAB_REF!$H$3:$I$1003,2,0)&amp;" ("&amp;Tabla1[[#This Row],[CANTIDAD UND COMERCIALES]]&amp;")"&amp;"_"&amp;Tabla1[[#This Row],[CANTIDAD]],"")</f>
        <v>Tres (3)_Frasco x 120 mL</v>
      </c>
      <c r="AE419" s="31" t="e">
        <f>CONCATENATE([1]!Tabla1[[#This Row],[NOMBRE MED.]],[1]!Tabla1[[#This Row],[CONCENTRACION]],[1]!Tabla1[[#This Row],[FORMA FARMACEUTICA]])</f>
        <v>#REF!</v>
      </c>
    </row>
    <row r="420" spans="2:31" x14ac:dyDescent="0.25">
      <c r="B420" s="10">
        <v>154</v>
      </c>
      <c r="C420" s="10" t="s">
        <v>3328</v>
      </c>
      <c r="D420" s="10" t="s">
        <v>2162</v>
      </c>
      <c r="E420" s="10" t="s">
        <v>2978</v>
      </c>
      <c r="F420" s="10" t="s">
        <v>2979</v>
      </c>
      <c r="G420" s="21" t="s">
        <v>2980</v>
      </c>
      <c r="H420" s="10" t="s">
        <v>2164</v>
      </c>
      <c r="I420" s="10" t="s">
        <v>2116</v>
      </c>
      <c r="J420" s="10" t="s">
        <v>1559</v>
      </c>
      <c r="K420" s="10" t="s">
        <v>2981</v>
      </c>
      <c r="L420" s="11">
        <v>202124100550362</v>
      </c>
      <c r="M420" s="20">
        <v>44286</v>
      </c>
      <c r="N420" s="20" t="str">
        <f>UPPER(TEXT(Tabla1[[#This Row],[FECHA RADICADO ENTRADA]],"MMM"))</f>
        <v>MAR</v>
      </c>
      <c r="O420" s="11">
        <v>202124110527111</v>
      </c>
      <c r="P420" s="20">
        <v>44293</v>
      </c>
      <c r="Q420" s="20" t="str">
        <f>UPPER(TEXT(Tabla1[[#This Row],[FECHA RADICADO ENTRADA]],"MMM"))</f>
        <v>MAR</v>
      </c>
      <c r="R420" s="10">
        <f t="shared" si="6"/>
        <v>-7</v>
      </c>
      <c r="S420" s="10" t="s">
        <v>2145</v>
      </c>
      <c r="T420" s="10" t="s">
        <v>2808</v>
      </c>
      <c r="U420" s="10" t="s">
        <v>2164</v>
      </c>
      <c r="V420" s="20" t="s">
        <v>2164</v>
      </c>
      <c r="W420" s="10" t="s">
        <v>63</v>
      </c>
      <c r="X420" s="10">
        <v>0</v>
      </c>
      <c r="Y420" s="11">
        <f>IFERROR(INT(Tabla1[[#This Row],[CANTIDAD UND FARMACEUTICAS]]/(VLOOKUP(Tabla1[[#This Row],[MEDICAMENTO]],TAB_REF!$K$3:$L$27,2,0))),"")</f>
        <v>0</v>
      </c>
      <c r="Z420" s="10" t="str">
        <f>IFERROR(VLOOKUP(Tabla1[[#This Row],[MEDICAMENTO]],TAB_REF!$B$3:$F$27,2,0), "")</f>
        <v xml:space="preserve">Morfina HCl </v>
      </c>
      <c r="AA420" s="10" t="str">
        <f>IFERROR(VLOOKUP(Tabla1[[#This Row],[MEDICAMENTO]],TAB_REF!$B$3:$F$27,3,0), "")</f>
        <v xml:space="preserve">10 mg/mL </v>
      </c>
      <c r="AB420" s="10" t="str">
        <f>IFERROR(VLOOKUP(Tabla1[[#This Row],[MEDICAMENTO]],TAB_REF!$B$3:$F$27,4,0), "")</f>
        <v>Solución Inyectable</v>
      </c>
      <c r="AC420" s="10" t="str">
        <f>IFERROR(VLOOKUP(Tabla1[[#This Row],[MEDICAMENTO]],TAB_REF!$B$3:$F$27,5,0), "")</f>
        <v>Caja x 10 unidades</v>
      </c>
      <c r="AD420" s="10" t="str">
        <f>IFERROR(VLOOKUP(Tabla1[[#This Row],[CANTIDAD UND COMERCIALES]],TAB_REF!$H$3:$I$1003,2,0)&amp;" ("&amp;Tabla1[[#This Row],[CANTIDAD UND COMERCIALES]]&amp;")"&amp;"_"&amp;Tabla1[[#This Row],[CANTIDAD]],"")</f>
        <v/>
      </c>
      <c r="AE420" s="31" t="e">
        <f>CONCATENATE([1]!Tabla1[[#This Row],[NOMBRE MED.]],[1]!Tabla1[[#This Row],[CONCENTRACION]],[1]!Tabla1[[#This Row],[FORMA FARMACEUTICA]])</f>
        <v>#REF!</v>
      </c>
    </row>
    <row r="421" spans="2:31" x14ac:dyDescent="0.25">
      <c r="B421" s="10">
        <v>155</v>
      </c>
      <c r="C421" s="10" t="s">
        <v>3017</v>
      </c>
      <c r="D421" s="10" t="s">
        <v>3018</v>
      </c>
      <c r="E421" s="10" t="s">
        <v>2668</v>
      </c>
      <c r="F421" s="10" t="s">
        <v>2669</v>
      </c>
      <c r="G421" s="21" t="s">
        <v>2670</v>
      </c>
      <c r="H421" s="10" t="s">
        <v>3019</v>
      </c>
      <c r="I421" s="10" t="s">
        <v>2110</v>
      </c>
      <c r="J421" s="10" t="s">
        <v>1235</v>
      </c>
      <c r="K421" s="10" t="s">
        <v>3020</v>
      </c>
      <c r="L421" s="11">
        <v>202124100557572</v>
      </c>
      <c r="M421" s="20">
        <v>44291</v>
      </c>
      <c r="N421" s="20" t="str">
        <f>UPPER(TEXT(Tabla1[[#This Row],[FECHA RADICADO ENTRADA]],"MMM"))</f>
        <v>ABR</v>
      </c>
      <c r="O421" s="11">
        <v>202124110534511</v>
      </c>
      <c r="P421" s="20">
        <v>44294</v>
      </c>
      <c r="Q421" s="20" t="str">
        <f>UPPER(TEXT(Tabla1[[#This Row],[FECHA RADICADO ENTRADA]],"MMM"))</f>
        <v>ABR</v>
      </c>
      <c r="R421" s="10">
        <f t="shared" si="6"/>
        <v>-3</v>
      </c>
      <c r="S421" s="10" t="s">
        <v>2154</v>
      </c>
      <c r="U421" s="10" t="s">
        <v>2673</v>
      </c>
      <c r="V421" s="20">
        <v>43578</v>
      </c>
      <c r="W421" s="10" t="s">
        <v>63</v>
      </c>
      <c r="X421" s="10">
        <v>200</v>
      </c>
      <c r="Y421" s="11">
        <f>IFERROR(INT(Tabla1[[#This Row],[CANTIDAD UND FARMACEUTICAS]]/(VLOOKUP(Tabla1[[#This Row],[MEDICAMENTO]],TAB_REF!$K$3:$L$27,2,0))),"")</f>
        <v>20</v>
      </c>
      <c r="Z421" s="10" t="str">
        <f>IFERROR(VLOOKUP(Tabla1[[#This Row],[MEDICAMENTO]],TAB_REF!$B$3:$F$27,2,0), "")</f>
        <v xml:space="preserve">Morfina HCl </v>
      </c>
      <c r="AA421" s="10" t="str">
        <f>IFERROR(VLOOKUP(Tabla1[[#This Row],[MEDICAMENTO]],TAB_REF!$B$3:$F$27,3,0), "")</f>
        <v xml:space="preserve">10 mg/mL </v>
      </c>
      <c r="AB421" s="10" t="str">
        <f>IFERROR(VLOOKUP(Tabla1[[#This Row],[MEDICAMENTO]],TAB_REF!$B$3:$F$27,4,0), "")</f>
        <v>Solución Inyectable</v>
      </c>
      <c r="AC421" s="10" t="str">
        <f>IFERROR(VLOOKUP(Tabla1[[#This Row],[MEDICAMENTO]],TAB_REF!$B$3:$F$27,5,0), "")</f>
        <v>Caja x 10 unidades</v>
      </c>
      <c r="AD421" s="10" t="str">
        <f>IFERROR(VLOOKUP(Tabla1[[#This Row],[CANTIDAD UND COMERCIALES]],TAB_REF!$H$3:$I$1003,2,0)&amp;" ("&amp;Tabla1[[#This Row],[CANTIDAD UND COMERCIALES]]&amp;")"&amp;"_"&amp;Tabla1[[#This Row],[CANTIDAD]],"")</f>
        <v>Veinte (20)_Caja x 10 unidades</v>
      </c>
    </row>
    <row r="422" spans="2:31" x14ac:dyDescent="0.25">
      <c r="B422" s="10">
        <v>156</v>
      </c>
      <c r="C422" s="10" t="s">
        <v>3021</v>
      </c>
      <c r="D422" s="10" t="s">
        <v>2175</v>
      </c>
      <c r="E422" s="10" t="s">
        <v>3022</v>
      </c>
      <c r="F422" s="10" t="s">
        <v>3023</v>
      </c>
      <c r="G422" s="10" t="s">
        <v>3024</v>
      </c>
      <c r="H422" s="10" t="s">
        <v>3025</v>
      </c>
      <c r="I422" s="10" t="s">
        <v>2116</v>
      </c>
      <c r="J422" s="10" t="s">
        <v>1569</v>
      </c>
      <c r="K422" s="24" t="s">
        <v>3026</v>
      </c>
      <c r="L422" s="11">
        <v>202124100561682</v>
      </c>
      <c r="M422" s="20">
        <v>44291</v>
      </c>
      <c r="N422" s="20" t="str">
        <f>UPPER(TEXT(Tabla1[[#This Row],[FECHA RADICADO ENTRADA]],"MMM"))</f>
        <v>ABR</v>
      </c>
      <c r="O422" s="11">
        <v>202124110546671</v>
      </c>
      <c r="P422" s="20">
        <v>44295</v>
      </c>
      <c r="Q422" s="20" t="str">
        <f>UPPER(TEXT(Tabla1[[#This Row],[FECHA RADICADO ENTRADA]],"MMM"))</f>
        <v>ABR</v>
      </c>
      <c r="R422" s="10">
        <f t="shared" si="6"/>
        <v>-4</v>
      </c>
      <c r="S422" s="10" t="s">
        <v>2154</v>
      </c>
      <c r="U422" s="10" t="s">
        <v>3027</v>
      </c>
      <c r="V422" s="20">
        <v>42527</v>
      </c>
      <c r="W422" s="10" t="s">
        <v>63</v>
      </c>
      <c r="X422" s="10">
        <v>80</v>
      </c>
      <c r="Y422" s="11">
        <f>IFERROR(INT(Tabla1[[#This Row],[CANTIDAD UND FARMACEUTICAS]]/(VLOOKUP(Tabla1[[#This Row],[MEDICAMENTO]],TAB_REF!$K$3:$L$27,2,0))),"")</f>
        <v>8</v>
      </c>
      <c r="Z422" s="10" t="str">
        <f>IFERROR(VLOOKUP(Tabla1[[#This Row],[MEDICAMENTO]],TAB_REF!$B$3:$F$27,2,0), "")</f>
        <v xml:space="preserve">Morfina HCl </v>
      </c>
      <c r="AA422" s="10" t="str">
        <f>IFERROR(VLOOKUP(Tabla1[[#This Row],[MEDICAMENTO]],TAB_REF!$B$3:$F$27,3,0), "")</f>
        <v xml:space="preserve">10 mg/mL </v>
      </c>
      <c r="AB422" s="10" t="str">
        <f>IFERROR(VLOOKUP(Tabla1[[#This Row],[MEDICAMENTO]],TAB_REF!$B$3:$F$27,4,0), "")</f>
        <v>Solución Inyectable</v>
      </c>
      <c r="AC422" s="10" t="str">
        <f>IFERROR(VLOOKUP(Tabla1[[#This Row],[MEDICAMENTO]],TAB_REF!$B$3:$F$27,5,0), "")</f>
        <v>Caja x 10 unidades</v>
      </c>
      <c r="AD422" s="10" t="str">
        <f>IFERROR(VLOOKUP(Tabla1[[#This Row],[CANTIDAD UND COMERCIALES]],TAB_REF!$H$3:$I$1003,2,0)&amp;" ("&amp;Tabla1[[#This Row],[CANTIDAD UND COMERCIALES]]&amp;")"&amp;"_"&amp;Tabla1[[#This Row],[CANTIDAD]],"")</f>
        <v>Ocho (8)_Caja x 10 unidades</v>
      </c>
    </row>
    <row r="423" spans="2:31" x14ac:dyDescent="0.25">
      <c r="B423" s="10">
        <v>156</v>
      </c>
      <c r="C423" s="10" t="s">
        <v>3021</v>
      </c>
      <c r="D423" s="10" t="s">
        <v>2175</v>
      </c>
      <c r="E423" s="10" t="s">
        <v>3022</v>
      </c>
      <c r="F423" s="10" t="s">
        <v>3023</v>
      </c>
      <c r="G423" s="10" t="s">
        <v>3024</v>
      </c>
      <c r="H423" s="10" t="s">
        <v>3025</v>
      </c>
      <c r="I423" s="10" t="s">
        <v>2116</v>
      </c>
      <c r="J423" s="10" t="s">
        <v>1569</v>
      </c>
      <c r="K423" s="24" t="s">
        <v>3026</v>
      </c>
      <c r="L423" s="11">
        <v>202124100561682</v>
      </c>
      <c r="M423" s="20">
        <v>44291</v>
      </c>
      <c r="N423" s="20" t="str">
        <f>UPPER(TEXT(Tabla1[[#This Row],[FECHA RADICADO ENTRADA]],"MMM"))</f>
        <v>ABR</v>
      </c>
      <c r="O423" s="11">
        <v>202124110546671</v>
      </c>
      <c r="P423" s="20">
        <v>44295</v>
      </c>
      <c r="Q423" s="20" t="str">
        <f>UPPER(TEXT(Tabla1[[#This Row],[FECHA RADICADO ENTRADA]],"MMM"))</f>
        <v>ABR</v>
      </c>
      <c r="R423" s="10">
        <f t="shared" si="6"/>
        <v>-4</v>
      </c>
      <c r="S423" s="10" t="s">
        <v>2154</v>
      </c>
      <c r="U423" s="10" t="s">
        <v>3028</v>
      </c>
      <c r="V423" s="20">
        <v>42527</v>
      </c>
      <c r="W423" s="10" t="s">
        <v>41</v>
      </c>
      <c r="X423" s="10">
        <v>30</v>
      </c>
      <c r="Y423" s="11">
        <f>IFERROR(INT(Tabla1[[#This Row],[CANTIDAD UND FARMACEUTICAS]]/(VLOOKUP(Tabla1[[#This Row],[MEDICAMENTO]],TAB_REF!$K$3:$L$27,2,0))),"")</f>
        <v>3</v>
      </c>
      <c r="Z423" s="10" t="str">
        <f>IFERROR(VLOOKUP(Tabla1[[#This Row],[MEDICAMENTO]],TAB_REF!$B$3:$F$27,2,0), "")</f>
        <v xml:space="preserve">Meperidina HCl </v>
      </c>
      <c r="AA423" s="10" t="str">
        <f>IFERROR(VLOOKUP(Tabla1[[#This Row],[MEDICAMENTO]],TAB_REF!$B$3:$F$27,3,0), "")</f>
        <v xml:space="preserve">100 mg/2mL </v>
      </c>
      <c r="AB423" s="10" t="str">
        <f>IFERROR(VLOOKUP(Tabla1[[#This Row],[MEDICAMENTO]],TAB_REF!$B$3:$F$27,4,0), "")</f>
        <v>Solución Inyectable</v>
      </c>
      <c r="AC423" s="10" t="str">
        <f>IFERROR(VLOOKUP(Tabla1[[#This Row],[MEDICAMENTO]],TAB_REF!$B$3:$F$27,5,0), "")</f>
        <v>Caja 10 ampollas</v>
      </c>
      <c r="AD423" s="10" t="str">
        <f>IFERROR(VLOOKUP(Tabla1[[#This Row],[CANTIDAD UND COMERCIALES]],TAB_REF!$H$3:$I$1003,2,0)&amp;" ("&amp;Tabla1[[#This Row],[CANTIDAD UND COMERCIALES]]&amp;")"&amp;"_"&amp;Tabla1[[#This Row],[CANTIDAD]],"")</f>
        <v>Tres (3)_Caja 10 ampollas</v>
      </c>
    </row>
    <row r="424" spans="2:31" x14ac:dyDescent="0.25">
      <c r="B424" s="10">
        <v>157</v>
      </c>
      <c r="C424" s="10" t="s">
        <v>2616</v>
      </c>
      <c r="D424" s="10" t="s">
        <v>2617</v>
      </c>
      <c r="E424" s="10" t="s">
        <v>2280</v>
      </c>
      <c r="F424" s="10" t="s">
        <v>2619</v>
      </c>
      <c r="G424" s="21" t="s">
        <v>2620</v>
      </c>
      <c r="H424" s="10" t="s">
        <v>3029</v>
      </c>
      <c r="I424" s="10" t="s">
        <v>2129</v>
      </c>
      <c r="J424" s="10" t="s">
        <v>2032</v>
      </c>
      <c r="K424" s="10" t="s">
        <v>3030</v>
      </c>
      <c r="L424" s="11">
        <v>202124100562412</v>
      </c>
      <c r="M424" s="20">
        <v>44291</v>
      </c>
      <c r="N424" s="20" t="str">
        <f>UPPER(TEXT(Tabla1[[#This Row],[FECHA RADICADO ENTRADA]],"MMM"))</f>
        <v>ABR</v>
      </c>
      <c r="O424" s="11">
        <v>202124110547071</v>
      </c>
      <c r="P424" s="20">
        <v>44295</v>
      </c>
      <c r="Q424" s="20" t="str">
        <f>UPPER(TEXT(Tabla1[[#This Row],[FECHA RADICADO ENTRADA]],"MMM"))</f>
        <v>ABR</v>
      </c>
      <c r="R424" s="10">
        <f t="shared" si="6"/>
        <v>-4</v>
      </c>
      <c r="S424" s="10" t="s">
        <v>2154</v>
      </c>
      <c r="U424" s="10" t="s">
        <v>2622</v>
      </c>
      <c r="V424" s="20">
        <v>43734</v>
      </c>
      <c r="W424" s="10" t="s">
        <v>41</v>
      </c>
      <c r="X424" s="10">
        <v>300</v>
      </c>
      <c r="Y424" s="11">
        <f>IFERROR(INT(Tabla1[[#This Row],[CANTIDAD UND FARMACEUTICAS]]/(VLOOKUP(Tabla1[[#This Row],[MEDICAMENTO]],TAB_REF!$K$3:$L$27,2,0))),"")</f>
        <v>30</v>
      </c>
      <c r="Z424" s="10" t="str">
        <f>IFERROR(VLOOKUP(Tabla1[[#This Row],[MEDICAMENTO]],TAB_REF!$B$3:$F$27,2,0), "")</f>
        <v xml:space="preserve">Meperidina HCl </v>
      </c>
      <c r="AA424" s="10" t="str">
        <f>IFERROR(VLOOKUP(Tabla1[[#This Row],[MEDICAMENTO]],TAB_REF!$B$3:$F$27,3,0), "")</f>
        <v xml:space="preserve">100 mg/2mL </v>
      </c>
      <c r="AB424" s="10" t="str">
        <f>IFERROR(VLOOKUP(Tabla1[[#This Row],[MEDICAMENTO]],TAB_REF!$B$3:$F$27,4,0), "")</f>
        <v>Solución Inyectable</v>
      </c>
      <c r="AC424" s="10" t="str">
        <f>IFERROR(VLOOKUP(Tabla1[[#This Row],[MEDICAMENTO]],TAB_REF!$B$3:$F$27,5,0), "")</f>
        <v>Caja 10 ampollas</v>
      </c>
      <c r="AD424" s="10" t="str">
        <f>IFERROR(VLOOKUP(Tabla1[[#This Row],[CANTIDAD UND COMERCIALES]],TAB_REF!$H$3:$I$1003,2,0)&amp;" ("&amp;Tabla1[[#This Row],[CANTIDAD UND COMERCIALES]]&amp;")"&amp;"_"&amp;Tabla1[[#This Row],[CANTIDAD]],"")</f>
        <v>Treinta (30)_Caja 10 ampollas</v>
      </c>
    </row>
    <row r="425" spans="2:31" x14ac:dyDescent="0.25">
      <c r="B425" s="10">
        <v>157</v>
      </c>
      <c r="C425" s="10" t="s">
        <v>2616</v>
      </c>
      <c r="D425" s="10" t="s">
        <v>2617</v>
      </c>
      <c r="E425" s="10" t="s">
        <v>2280</v>
      </c>
      <c r="F425" s="10" t="s">
        <v>2619</v>
      </c>
      <c r="G425" s="21" t="s">
        <v>2620</v>
      </c>
      <c r="H425" s="10" t="s">
        <v>3029</v>
      </c>
      <c r="I425" s="10" t="s">
        <v>2129</v>
      </c>
      <c r="J425" s="10" t="s">
        <v>2032</v>
      </c>
      <c r="K425" s="10" t="s">
        <v>3030</v>
      </c>
      <c r="L425" s="11">
        <v>202124100562412</v>
      </c>
      <c r="M425" s="20">
        <v>44291</v>
      </c>
      <c r="N425" s="20" t="str">
        <f>UPPER(TEXT(Tabla1[[#This Row],[FECHA RADICADO ENTRADA]],"MMM"))</f>
        <v>ABR</v>
      </c>
      <c r="O425" s="11">
        <v>202124110547071</v>
      </c>
      <c r="P425" s="20">
        <v>44295</v>
      </c>
      <c r="Q425" s="20" t="str">
        <f>UPPER(TEXT(Tabla1[[#This Row],[FECHA RADICADO ENTRADA]],"MMM"))</f>
        <v>ABR</v>
      </c>
      <c r="R425" s="10">
        <f t="shared" si="6"/>
        <v>-4</v>
      </c>
      <c r="S425" s="10" t="s">
        <v>2154</v>
      </c>
      <c r="U425" s="10" t="s">
        <v>2622</v>
      </c>
      <c r="V425" s="20">
        <v>43734</v>
      </c>
      <c r="W425" s="10" t="s">
        <v>63</v>
      </c>
      <c r="X425" s="10">
        <v>100</v>
      </c>
      <c r="Y425" s="11">
        <f>IFERROR(INT(Tabla1[[#This Row],[CANTIDAD UND FARMACEUTICAS]]/(VLOOKUP(Tabla1[[#This Row],[MEDICAMENTO]],TAB_REF!$K$3:$L$27,2,0))),"")</f>
        <v>10</v>
      </c>
      <c r="Z425" s="10" t="str">
        <f>IFERROR(VLOOKUP(Tabla1[[#This Row],[MEDICAMENTO]],TAB_REF!$B$3:$F$27,2,0), "")</f>
        <v xml:space="preserve">Morfina HCl </v>
      </c>
      <c r="AA425" s="10" t="str">
        <f>IFERROR(VLOOKUP(Tabla1[[#This Row],[MEDICAMENTO]],TAB_REF!$B$3:$F$27,3,0), "")</f>
        <v xml:space="preserve">10 mg/mL </v>
      </c>
      <c r="AB425" s="10" t="str">
        <f>IFERROR(VLOOKUP(Tabla1[[#This Row],[MEDICAMENTO]],TAB_REF!$B$3:$F$27,4,0), "")</f>
        <v>Solución Inyectable</v>
      </c>
      <c r="AC425" s="10" t="str">
        <f>IFERROR(VLOOKUP(Tabla1[[#This Row],[MEDICAMENTO]],TAB_REF!$B$3:$F$27,5,0), "")</f>
        <v>Caja x 10 unidades</v>
      </c>
      <c r="AD425" s="10" t="str">
        <f>IFERROR(VLOOKUP(Tabla1[[#This Row],[CANTIDAD UND COMERCIALES]],TAB_REF!$H$3:$I$1003,2,0)&amp;" ("&amp;Tabla1[[#This Row],[CANTIDAD UND COMERCIALES]]&amp;")"&amp;"_"&amp;Tabla1[[#This Row],[CANTIDAD]],"")</f>
        <v>Diez (10)_Caja x 10 unidades</v>
      </c>
    </row>
    <row r="426" spans="2:31" x14ac:dyDescent="0.25">
      <c r="B426" s="10">
        <v>157</v>
      </c>
      <c r="C426" s="10" t="s">
        <v>2616</v>
      </c>
      <c r="D426" s="10" t="s">
        <v>2617</v>
      </c>
      <c r="E426" s="10" t="s">
        <v>2280</v>
      </c>
      <c r="F426" s="10" t="s">
        <v>2619</v>
      </c>
      <c r="G426" s="21" t="s">
        <v>2620</v>
      </c>
      <c r="H426" s="10" t="s">
        <v>3029</v>
      </c>
      <c r="I426" s="10" t="s">
        <v>2129</v>
      </c>
      <c r="J426" s="10" t="s">
        <v>2032</v>
      </c>
      <c r="K426" s="10" t="s">
        <v>3030</v>
      </c>
      <c r="L426" s="11">
        <v>202124100562412</v>
      </c>
      <c r="M426" s="20">
        <v>44291</v>
      </c>
      <c r="N426" s="20" t="str">
        <f>UPPER(TEXT(Tabla1[[#This Row],[FECHA RADICADO ENTRADA]],"MMM"))</f>
        <v>ABR</v>
      </c>
      <c r="O426" s="11">
        <v>202124110547071</v>
      </c>
      <c r="P426" s="20">
        <v>44295</v>
      </c>
      <c r="Q426" s="20" t="str">
        <f>UPPER(TEXT(Tabla1[[#This Row],[FECHA RADICADO ENTRADA]],"MMM"))</f>
        <v>ABR</v>
      </c>
      <c r="R426" s="10">
        <f t="shared" si="6"/>
        <v>-4</v>
      </c>
      <c r="S426" s="10" t="s">
        <v>2154</v>
      </c>
      <c r="U426" s="10" t="s">
        <v>2622</v>
      </c>
      <c r="V426" s="20">
        <v>43734</v>
      </c>
      <c r="W426" s="10" t="s">
        <v>37</v>
      </c>
      <c r="X426" s="10">
        <v>300</v>
      </c>
      <c r="Y426" s="11">
        <f>IFERROR(INT(Tabla1[[#This Row],[CANTIDAD UND FARMACEUTICAS]]/(VLOOKUP(Tabla1[[#This Row],[MEDICAMENTO]],TAB_REF!$K$3:$L$27,2,0))),"")</f>
        <v>30</v>
      </c>
      <c r="Z426" s="10" t="str">
        <f>IFERROR(VLOOKUP(Tabla1[[#This Row],[MEDICAMENTO]],TAB_REF!$B$3:$F$27,2,0), "")</f>
        <v xml:space="preserve">Hidromorfona HCl </v>
      </c>
      <c r="AA426" s="10" t="str">
        <f>IFERROR(VLOOKUP(Tabla1[[#This Row],[MEDICAMENTO]],TAB_REF!$B$3:$F$27,3,0), "")</f>
        <v xml:space="preserve">2 mg/mL </v>
      </c>
      <c r="AB426" s="10" t="str">
        <f>IFERROR(VLOOKUP(Tabla1[[#This Row],[MEDICAMENTO]],TAB_REF!$B$3:$F$27,4,0), "")</f>
        <v>Solución Inyectable</v>
      </c>
      <c r="AC426" s="10" t="str">
        <f>IFERROR(VLOOKUP(Tabla1[[#This Row],[MEDICAMENTO]],TAB_REF!$B$3:$F$27,5,0), "")</f>
        <v>Caja x 10 unidades</v>
      </c>
      <c r="AD426" s="10" t="str">
        <f>IFERROR(VLOOKUP(Tabla1[[#This Row],[CANTIDAD UND COMERCIALES]],TAB_REF!$H$3:$I$1003,2,0)&amp;" ("&amp;Tabla1[[#This Row],[CANTIDAD UND COMERCIALES]]&amp;")"&amp;"_"&amp;Tabla1[[#This Row],[CANTIDAD]],"")</f>
        <v>Treinta (30)_Caja x 10 unidades</v>
      </c>
    </row>
    <row r="427" spans="2:31" x14ac:dyDescent="0.25">
      <c r="B427" s="10">
        <v>158</v>
      </c>
      <c r="C427" s="10" t="s">
        <v>3031</v>
      </c>
      <c r="D427" s="10" t="s">
        <v>2175</v>
      </c>
      <c r="E427" s="10" t="s">
        <v>3032</v>
      </c>
      <c r="F427" s="10" t="s">
        <v>3033</v>
      </c>
      <c r="G427" s="21" t="s">
        <v>3034</v>
      </c>
      <c r="H427" s="10" t="s">
        <v>3035</v>
      </c>
      <c r="I427" s="10" t="s">
        <v>2123</v>
      </c>
      <c r="J427" s="10" t="s">
        <v>1132</v>
      </c>
      <c r="K427" s="10" t="s">
        <v>3039</v>
      </c>
      <c r="L427" s="11">
        <v>202124100569652</v>
      </c>
      <c r="M427" s="20">
        <v>44292</v>
      </c>
      <c r="N427" s="20" t="str">
        <f>UPPER(TEXT(Tabla1[[#This Row],[FECHA RADICADO ENTRADA]],"MMM"))</f>
        <v>ABR</v>
      </c>
      <c r="O427" s="11">
        <v>202124110547331</v>
      </c>
      <c r="P427" s="20">
        <v>44295</v>
      </c>
      <c r="Q427" s="20" t="str">
        <f>UPPER(TEXT(Tabla1[[#This Row],[FECHA RADICADO ENTRADA]],"MMM"))</f>
        <v>ABR</v>
      </c>
      <c r="R427" s="10">
        <f t="shared" si="6"/>
        <v>-3</v>
      </c>
      <c r="S427" s="10" t="s">
        <v>2154</v>
      </c>
      <c r="U427" s="10" t="s">
        <v>3040</v>
      </c>
      <c r="V427" s="20">
        <v>42649</v>
      </c>
      <c r="W427" s="10" t="s">
        <v>36</v>
      </c>
      <c r="X427" s="10">
        <v>40</v>
      </c>
      <c r="Y427" s="11">
        <f>IFERROR(INT(Tabla1[[#This Row],[CANTIDAD UND FARMACEUTICAS]]/(VLOOKUP(Tabla1[[#This Row],[MEDICAMENTO]],TAB_REF!$K$3:$L$27,2,0))),"")</f>
        <v>4</v>
      </c>
      <c r="Z427" s="10" t="str">
        <f>IFERROR(VLOOKUP(Tabla1[[#This Row],[MEDICAMENTO]],TAB_REF!$B$3:$F$27,2,0), "")</f>
        <v xml:space="preserve">Fenobarbital Sódico </v>
      </c>
      <c r="AA427" s="10" t="str">
        <f>IFERROR(VLOOKUP(Tabla1[[#This Row],[MEDICAMENTO]],TAB_REF!$B$3:$F$27,3,0), "")</f>
        <v xml:space="preserve">40 mg/mL </v>
      </c>
      <c r="AB427" s="10" t="str">
        <f>IFERROR(VLOOKUP(Tabla1[[#This Row],[MEDICAMENTO]],TAB_REF!$B$3:$F$27,4,0), "")</f>
        <v>Solución Inyectable</v>
      </c>
      <c r="AC427" s="10" t="str">
        <f>IFERROR(VLOOKUP(Tabla1[[#This Row],[MEDICAMENTO]],TAB_REF!$B$3:$F$27,5,0), "")</f>
        <v>Caja x 10 unidades</v>
      </c>
      <c r="AD427" s="10" t="str">
        <f>IFERROR(VLOOKUP(Tabla1[[#This Row],[CANTIDAD UND COMERCIALES]],TAB_REF!$H$3:$I$1003,2,0)&amp;" ("&amp;Tabla1[[#This Row],[CANTIDAD UND COMERCIALES]]&amp;")"&amp;"_"&amp;Tabla1[[#This Row],[CANTIDAD]],"")</f>
        <v>Cuatro (4)_Caja x 10 unidades</v>
      </c>
    </row>
    <row r="428" spans="2:31" x14ac:dyDescent="0.25">
      <c r="B428" s="10">
        <v>158</v>
      </c>
      <c r="C428" s="10" t="s">
        <v>3031</v>
      </c>
      <c r="D428" s="10" t="s">
        <v>2175</v>
      </c>
      <c r="E428" s="10" t="s">
        <v>3032</v>
      </c>
      <c r="F428" s="10" t="s">
        <v>3033</v>
      </c>
      <c r="G428" s="21" t="s">
        <v>3034</v>
      </c>
      <c r="H428" s="10" t="s">
        <v>3036</v>
      </c>
      <c r="I428" s="10" t="s">
        <v>2123</v>
      </c>
      <c r="J428" s="10" t="s">
        <v>1132</v>
      </c>
      <c r="K428" s="10" t="s">
        <v>3039</v>
      </c>
      <c r="L428" s="11">
        <v>202124100569652</v>
      </c>
      <c r="M428" s="20">
        <v>44292</v>
      </c>
      <c r="N428" s="20" t="str">
        <f>UPPER(TEXT(Tabla1[[#This Row],[FECHA RADICADO ENTRADA]],"MMM"))</f>
        <v>ABR</v>
      </c>
      <c r="O428" s="11">
        <v>202124110547331</v>
      </c>
      <c r="P428" s="20">
        <v>44295</v>
      </c>
      <c r="Q428" s="20" t="str">
        <f>UPPER(TEXT(Tabla1[[#This Row],[FECHA RADICADO ENTRADA]],"MMM"))</f>
        <v>ABR</v>
      </c>
      <c r="R428" s="10">
        <f t="shared" si="6"/>
        <v>-3</v>
      </c>
      <c r="S428" s="10" t="s">
        <v>2154</v>
      </c>
      <c r="U428" s="10" t="s">
        <v>3040</v>
      </c>
      <c r="V428" s="20">
        <v>42649</v>
      </c>
      <c r="W428" s="10" t="s">
        <v>32</v>
      </c>
      <c r="X428" s="10">
        <f>110*30</f>
        <v>3300</v>
      </c>
      <c r="Y428" s="11">
        <f>IFERROR(INT(Tabla1[[#This Row],[CANTIDAD UND FARMACEUTICAS]]/(VLOOKUP(Tabla1[[#This Row],[MEDICAMENTO]],TAB_REF!$K$3:$L$27,2,0))),"")</f>
        <v>110</v>
      </c>
      <c r="Z428" s="10" t="str">
        <f>IFERROR(VLOOKUP(Tabla1[[#This Row],[MEDICAMENTO]],TAB_REF!$B$3:$F$27,2,0), "")</f>
        <v xml:space="preserve">Fenobarbital </v>
      </c>
      <c r="AA428" s="10" t="str">
        <f>IFERROR(VLOOKUP(Tabla1[[#This Row],[MEDICAMENTO]],TAB_REF!$B$3:$F$27,3,0), "")</f>
        <v xml:space="preserve">100 mg </v>
      </c>
      <c r="AB428" s="10" t="str">
        <f>IFERROR(VLOOKUP(Tabla1[[#This Row],[MEDICAMENTO]],TAB_REF!$B$3:$F$27,4,0), "")</f>
        <v>Tabletas</v>
      </c>
      <c r="AC428" s="10" t="str">
        <f>IFERROR(VLOOKUP(Tabla1[[#This Row],[MEDICAMENTO]],TAB_REF!$B$3:$F$27,5,0), "")</f>
        <v>Caja x 30 unidades</v>
      </c>
      <c r="AD428" s="10" t="str">
        <f>IFERROR(VLOOKUP(Tabla1[[#This Row],[CANTIDAD UND COMERCIALES]],TAB_REF!$H$3:$I$1003,2,0)&amp;" ("&amp;Tabla1[[#This Row],[CANTIDAD UND COMERCIALES]]&amp;")"&amp;"_"&amp;Tabla1[[#This Row],[CANTIDAD]],"")</f>
        <v>Ciento Diez (110)_Caja x 30 unidades</v>
      </c>
    </row>
    <row r="429" spans="2:31" x14ac:dyDescent="0.25">
      <c r="B429" s="10">
        <v>158</v>
      </c>
      <c r="C429" s="10" t="s">
        <v>3031</v>
      </c>
      <c r="D429" s="10" t="s">
        <v>2175</v>
      </c>
      <c r="E429" s="10" t="s">
        <v>3032</v>
      </c>
      <c r="F429" s="10" t="s">
        <v>3033</v>
      </c>
      <c r="G429" s="21" t="s">
        <v>3034</v>
      </c>
      <c r="H429" s="10" t="s">
        <v>3037</v>
      </c>
      <c r="I429" s="10" t="s">
        <v>2123</v>
      </c>
      <c r="J429" s="10" t="s">
        <v>1132</v>
      </c>
      <c r="K429" s="10" t="s">
        <v>3039</v>
      </c>
      <c r="L429" s="11">
        <v>202124100569652</v>
      </c>
      <c r="M429" s="20">
        <v>44292</v>
      </c>
      <c r="N429" s="20" t="str">
        <f>UPPER(TEXT(Tabla1[[#This Row],[FECHA RADICADO ENTRADA]],"MMM"))</f>
        <v>ABR</v>
      </c>
      <c r="O429" s="11">
        <v>202124110547331</v>
      </c>
      <c r="P429" s="20">
        <v>44295</v>
      </c>
      <c r="Q429" s="20" t="str">
        <f>UPPER(TEXT(Tabla1[[#This Row],[FECHA RADICADO ENTRADA]],"MMM"))</f>
        <v>ABR</v>
      </c>
      <c r="R429" s="10">
        <f t="shared" si="6"/>
        <v>-3</v>
      </c>
      <c r="S429" s="10" t="s">
        <v>2154</v>
      </c>
      <c r="U429" s="10" t="s">
        <v>3040</v>
      </c>
      <c r="V429" s="20">
        <v>42649</v>
      </c>
      <c r="W429" s="10" t="s">
        <v>63</v>
      </c>
      <c r="X429" s="10">
        <v>400</v>
      </c>
      <c r="Y429" s="11">
        <f>IFERROR(INT(Tabla1[[#This Row],[CANTIDAD UND FARMACEUTICAS]]/(VLOOKUP(Tabla1[[#This Row],[MEDICAMENTO]],TAB_REF!$K$3:$L$27,2,0))),"")</f>
        <v>40</v>
      </c>
      <c r="Z429" s="10" t="str">
        <f>IFERROR(VLOOKUP(Tabla1[[#This Row],[MEDICAMENTO]],TAB_REF!$B$3:$F$27,2,0), "")</f>
        <v xml:space="preserve">Morfina HCl </v>
      </c>
      <c r="AA429" s="10" t="str">
        <f>IFERROR(VLOOKUP(Tabla1[[#This Row],[MEDICAMENTO]],TAB_REF!$B$3:$F$27,3,0), "")</f>
        <v xml:space="preserve">10 mg/mL </v>
      </c>
      <c r="AB429" s="10" t="str">
        <f>IFERROR(VLOOKUP(Tabla1[[#This Row],[MEDICAMENTO]],TAB_REF!$B$3:$F$27,4,0), "")</f>
        <v>Solución Inyectable</v>
      </c>
      <c r="AC429" s="10" t="str">
        <f>IFERROR(VLOOKUP(Tabla1[[#This Row],[MEDICAMENTO]],TAB_REF!$B$3:$F$27,5,0), "")</f>
        <v>Caja x 10 unidades</v>
      </c>
      <c r="AD429" s="10" t="str">
        <f>IFERROR(VLOOKUP(Tabla1[[#This Row],[CANTIDAD UND COMERCIALES]],TAB_REF!$H$3:$I$1003,2,0)&amp;" ("&amp;Tabla1[[#This Row],[CANTIDAD UND COMERCIALES]]&amp;")"&amp;"_"&amp;Tabla1[[#This Row],[CANTIDAD]],"")</f>
        <v>Cuarenta (40)_Caja x 10 unidades</v>
      </c>
    </row>
    <row r="430" spans="2:31" x14ac:dyDescent="0.25">
      <c r="B430" s="10">
        <v>158</v>
      </c>
      <c r="C430" s="10" t="s">
        <v>3031</v>
      </c>
      <c r="D430" s="10" t="s">
        <v>2175</v>
      </c>
      <c r="E430" s="10" t="s">
        <v>3032</v>
      </c>
      <c r="F430" s="10" t="s">
        <v>3033</v>
      </c>
      <c r="G430" s="21" t="s">
        <v>3034</v>
      </c>
      <c r="H430" s="10" t="s">
        <v>3038</v>
      </c>
      <c r="I430" s="10" t="s">
        <v>2123</v>
      </c>
      <c r="J430" s="10" t="s">
        <v>1132</v>
      </c>
      <c r="K430" s="10" t="s">
        <v>3039</v>
      </c>
      <c r="L430" s="11">
        <v>202124100569652</v>
      </c>
      <c r="M430" s="20">
        <v>44292</v>
      </c>
      <c r="N430" s="20" t="str">
        <f>UPPER(TEXT(Tabla1[[#This Row],[FECHA RADICADO ENTRADA]],"MMM"))</f>
        <v>ABR</v>
      </c>
      <c r="O430" s="11">
        <v>202124110547331</v>
      </c>
      <c r="P430" s="20">
        <v>44295</v>
      </c>
      <c r="Q430" s="20" t="str">
        <f>UPPER(TEXT(Tabla1[[#This Row],[FECHA RADICADO ENTRADA]],"MMM"))</f>
        <v>ABR</v>
      </c>
      <c r="R430" s="10">
        <f t="shared" si="6"/>
        <v>-3</v>
      </c>
      <c r="S430" s="10" t="s">
        <v>2154</v>
      </c>
      <c r="U430" s="10" t="s">
        <v>3040</v>
      </c>
      <c r="V430" s="20">
        <v>42649</v>
      </c>
      <c r="W430" s="10" t="s">
        <v>60</v>
      </c>
      <c r="X430" s="10">
        <v>5</v>
      </c>
      <c r="Y430" s="11">
        <f>IFERROR(INT(Tabla1[[#This Row],[CANTIDAD UND FARMACEUTICAS]]/(VLOOKUP(Tabla1[[#This Row],[MEDICAMENTO]],TAB_REF!$K$3:$L$27,2,0))),"")</f>
        <v>5</v>
      </c>
      <c r="Z430" s="10" t="str">
        <f>IFERROR(VLOOKUP(Tabla1[[#This Row],[MEDICAMENTO]],TAB_REF!$B$3:$F$27,2,0), "")</f>
        <v xml:space="preserve">Morfina HCl </v>
      </c>
      <c r="AA430" s="10" t="str">
        <f>IFERROR(VLOOKUP(Tabla1[[#This Row],[MEDICAMENTO]],TAB_REF!$B$3:$F$27,3,0), "")</f>
        <v xml:space="preserve">3%. </v>
      </c>
      <c r="AB430" s="10" t="str">
        <f>IFERROR(VLOOKUP(Tabla1[[#This Row],[MEDICAMENTO]],TAB_REF!$B$3:$F$27,4,0), "")</f>
        <v>Solución Oral</v>
      </c>
      <c r="AC430" s="10" t="str">
        <f>IFERROR(VLOOKUP(Tabla1[[#This Row],[MEDICAMENTO]],TAB_REF!$B$3:$F$27,5,0), "")</f>
        <v>Frasco x 30 mL</v>
      </c>
      <c r="AD430" s="10" t="str">
        <f>IFERROR(VLOOKUP(Tabla1[[#This Row],[CANTIDAD UND COMERCIALES]],TAB_REF!$H$3:$I$1003,2,0)&amp;" ("&amp;Tabla1[[#This Row],[CANTIDAD UND COMERCIALES]]&amp;")"&amp;"_"&amp;Tabla1[[#This Row],[CANTIDAD]],"")</f>
        <v>Cinco (5)_Frasco x 30 mL</v>
      </c>
    </row>
    <row r="431" spans="2:31" x14ac:dyDescent="0.25">
      <c r="B431" s="10">
        <v>159</v>
      </c>
      <c r="C431" s="10" t="s">
        <v>2149</v>
      </c>
      <c r="D431" s="10" t="s">
        <v>2162</v>
      </c>
      <c r="E431" s="10" t="s">
        <v>2150</v>
      </c>
      <c r="F431" s="3" t="s">
        <v>2192</v>
      </c>
      <c r="G431" s="21" t="s">
        <v>2152</v>
      </c>
      <c r="H431" s="10" t="s">
        <v>2151</v>
      </c>
      <c r="I431" s="10" t="s">
        <v>2116</v>
      </c>
      <c r="J431" s="10" t="s">
        <v>1550</v>
      </c>
      <c r="K431" s="10" t="s">
        <v>3044</v>
      </c>
      <c r="L431" s="11">
        <v>202124100570542</v>
      </c>
      <c r="M431" s="20">
        <v>44292</v>
      </c>
      <c r="N431" s="20" t="str">
        <f>UPPER(TEXT(Tabla1[[#This Row],[FECHA RADICADO ENTRADA]],"MMM"))</f>
        <v>ABR</v>
      </c>
      <c r="O431" s="11">
        <v>202124110559001</v>
      </c>
      <c r="P431" s="20">
        <v>44298</v>
      </c>
      <c r="Q431" s="20" t="str">
        <f>UPPER(TEXT(Tabla1[[#This Row],[FECHA RADICADO ENTRADA]],"MMM"))</f>
        <v>ABR</v>
      </c>
      <c r="R431" s="10">
        <f t="shared" si="6"/>
        <v>-6</v>
      </c>
      <c r="S431" s="10" t="s">
        <v>2154</v>
      </c>
      <c r="U431" s="10" t="s">
        <v>2153</v>
      </c>
      <c r="V431" s="20">
        <v>43829</v>
      </c>
      <c r="W431" s="10" t="s">
        <v>63</v>
      </c>
      <c r="X431" s="10">
        <v>800</v>
      </c>
      <c r="Y431" s="11">
        <f>IFERROR(INT(Tabla1[[#This Row],[CANTIDAD UND FARMACEUTICAS]]/(VLOOKUP(Tabla1[[#This Row],[MEDICAMENTO]],TAB_REF!$K$3:$L$27,2,0))),"")</f>
        <v>80</v>
      </c>
      <c r="Z431" s="10" t="str">
        <f>IFERROR(VLOOKUP(Tabla1[[#This Row],[MEDICAMENTO]],TAB_REF!$B$3:$F$27,2,0), "")</f>
        <v xml:space="preserve">Morfina HCl </v>
      </c>
      <c r="AA431" s="10" t="str">
        <f>IFERROR(VLOOKUP(Tabla1[[#This Row],[MEDICAMENTO]],TAB_REF!$B$3:$F$27,3,0), "")</f>
        <v xml:space="preserve">10 mg/mL </v>
      </c>
      <c r="AB431" s="10" t="str">
        <f>IFERROR(VLOOKUP(Tabla1[[#This Row],[MEDICAMENTO]],TAB_REF!$B$3:$F$27,4,0), "")</f>
        <v>Solución Inyectable</v>
      </c>
      <c r="AC431" s="10" t="str">
        <f>IFERROR(VLOOKUP(Tabla1[[#This Row],[MEDICAMENTO]],TAB_REF!$B$3:$F$27,5,0), "")</f>
        <v>Caja x 10 unidades</v>
      </c>
      <c r="AD431" s="10" t="str">
        <f>IFERROR(VLOOKUP(Tabla1[[#This Row],[CANTIDAD UND COMERCIALES]],TAB_REF!$H$3:$I$1003,2,0)&amp;" ("&amp;Tabla1[[#This Row],[CANTIDAD UND COMERCIALES]]&amp;")"&amp;"_"&amp;Tabla1[[#This Row],[CANTIDAD]],"")</f>
        <v>Ochenta (80)_Caja x 10 unidades</v>
      </c>
    </row>
    <row r="432" spans="2:31" x14ac:dyDescent="0.25">
      <c r="B432" s="10">
        <v>159</v>
      </c>
      <c r="C432" s="10" t="s">
        <v>2149</v>
      </c>
      <c r="D432" s="10" t="s">
        <v>2162</v>
      </c>
      <c r="E432" s="10" t="s">
        <v>2150</v>
      </c>
      <c r="F432" s="3" t="s">
        <v>2192</v>
      </c>
      <c r="G432" s="21" t="s">
        <v>2152</v>
      </c>
      <c r="H432" s="10" t="s">
        <v>3041</v>
      </c>
      <c r="I432" s="10" t="s">
        <v>2116</v>
      </c>
      <c r="J432" s="10" t="s">
        <v>1550</v>
      </c>
      <c r="K432" s="10" t="s">
        <v>3044</v>
      </c>
      <c r="L432" s="11">
        <v>202124100570542</v>
      </c>
      <c r="M432" s="20">
        <v>44292</v>
      </c>
      <c r="N432" s="20" t="str">
        <f>UPPER(TEXT(Tabla1[[#This Row],[FECHA RADICADO ENTRADA]],"MMM"))</f>
        <v>ABR</v>
      </c>
      <c r="O432" s="11">
        <v>202124110559001</v>
      </c>
      <c r="P432" s="20">
        <v>44298</v>
      </c>
      <c r="Q432" s="20" t="str">
        <f>UPPER(TEXT(Tabla1[[#This Row],[FECHA RADICADO ENTRADA]],"MMM"))</f>
        <v>ABR</v>
      </c>
      <c r="R432" s="10">
        <f t="shared" si="6"/>
        <v>-6</v>
      </c>
      <c r="S432" s="10" t="s">
        <v>2154</v>
      </c>
      <c r="U432" s="10" t="s">
        <v>2153</v>
      </c>
      <c r="V432" s="20">
        <v>43829</v>
      </c>
      <c r="W432" s="10" t="s">
        <v>37</v>
      </c>
      <c r="X432" s="10">
        <v>800</v>
      </c>
      <c r="Y432" s="11">
        <f>IFERROR(INT(Tabla1[[#This Row],[CANTIDAD UND FARMACEUTICAS]]/(VLOOKUP(Tabla1[[#This Row],[MEDICAMENTO]],TAB_REF!$K$3:$L$27,2,0))),"")</f>
        <v>80</v>
      </c>
      <c r="Z432" s="10" t="str">
        <f>IFERROR(VLOOKUP(Tabla1[[#This Row],[MEDICAMENTO]],TAB_REF!$B$3:$F$27,2,0), "")</f>
        <v xml:space="preserve">Hidromorfona HCl </v>
      </c>
      <c r="AA432" s="10" t="str">
        <f>IFERROR(VLOOKUP(Tabla1[[#This Row],[MEDICAMENTO]],TAB_REF!$B$3:$F$27,3,0), "")</f>
        <v xml:space="preserve">2 mg/mL </v>
      </c>
      <c r="AB432" s="10" t="str">
        <f>IFERROR(VLOOKUP(Tabla1[[#This Row],[MEDICAMENTO]],TAB_REF!$B$3:$F$27,4,0), "")</f>
        <v>Solución Inyectable</v>
      </c>
      <c r="AC432" s="10" t="str">
        <f>IFERROR(VLOOKUP(Tabla1[[#This Row],[MEDICAMENTO]],TAB_REF!$B$3:$F$27,5,0), "")</f>
        <v>Caja x 10 unidades</v>
      </c>
      <c r="AD432" s="10" t="str">
        <f>IFERROR(VLOOKUP(Tabla1[[#This Row],[CANTIDAD UND COMERCIALES]],TAB_REF!$H$3:$I$1003,2,0)&amp;" ("&amp;Tabla1[[#This Row],[CANTIDAD UND COMERCIALES]]&amp;")"&amp;"_"&amp;Tabla1[[#This Row],[CANTIDAD]],"")</f>
        <v>Ochenta (80)_Caja x 10 unidades</v>
      </c>
    </row>
    <row r="433" spans="2:30" x14ac:dyDescent="0.25">
      <c r="B433" s="10">
        <v>159</v>
      </c>
      <c r="C433" s="10" t="s">
        <v>2149</v>
      </c>
      <c r="D433" s="10" t="s">
        <v>2162</v>
      </c>
      <c r="E433" s="10" t="s">
        <v>2150</v>
      </c>
      <c r="F433" s="3" t="s">
        <v>2192</v>
      </c>
      <c r="G433" s="21" t="s">
        <v>2152</v>
      </c>
      <c r="H433" s="10" t="s">
        <v>3042</v>
      </c>
      <c r="I433" s="10" t="s">
        <v>2116</v>
      </c>
      <c r="J433" s="10" t="s">
        <v>1550</v>
      </c>
      <c r="K433" s="10" t="s">
        <v>3044</v>
      </c>
      <c r="L433" s="11">
        <v>202124100570542</v>
      </c>
      <c r="M433" s="20">
        <v>44292</v>
      </c>
      <c r="N433" s="20" t="str">
        <f>UPPER(TEXT(Tabla1[[#This Row],[FECHA RADICADO ENTRADA]],"MMM"))</f>
        <v>ABR</v>
      </c>
      <c r="O433" s="11">
        <v>202124110559001</v>
      </c>
      <c r="P433" s="20">
        <v>44298</v>
      </c>
      <c r="Q433" s="20" t="str">
        <f>UPPER(TEXT(Tabla1[[#This Row],[FECHA RADICADO ENTRADA]],"MMM"))</f>
        <v>ABR</v>
      </c>
      <c r="R433" s="10">
        <f t="shared" si="6"/>
        <v>-6</v>
      </c>
      <c r="S433" s="10" t="s">
        <v>2154</v>
      </c>
      <c r="U433" s="10" t="s">
        <v>2153</v>
      </c>
      <c r="V433" s="20">
        <v>43829</v>
      </c>
      <c r="W433" s="10" t="s">
        <v>47</v>
      </c>
      <c r="X433" s="10">
        <v>150</v>
      </c>
      <c r="Y433" s="11">
        <f>IFERROR(INT(Tabla1[[#This Row],[CANTIDAD UND FARMACEUTICAS]]/(VLOOKUP(Tabla1[[#This Row],[MEDICAMENTO]],TAB_REF!$K$3:$L$27,2,0))),"")</f>
        <v>5</v>
      </c>
      <c r="Z433" s="10" t="str">
        <f>IFERROR(VLOOKUP(Tabla1[[#This Row],[MEDICAMENTO]],TAB_REF!$B$3:$F$27,2,0), "")</f>
        <v xml:space="preserve">Metadona HCl </v>
      </c>
      <c r="AA433" s="10" t="str">
        <f>IFERROR(VLOOKUP(Tabla1[[#This Row],[MEDICAMENTO]],TAB_REF!$B$3:$F$27,3,0), "")</f>
        <v xml:space="preserve">40 mg </v>
      </c>
      <c r="AB433" s="10" t="str">
        <f>IFERROR(VLOOKUP(Tabla1[[#This Row],[MEDICAMENTO]],TAB_REF!$B$3:$F$27,4,0), "")</f>
        <v>Tabletas NACIONAL</v>
      </c>
      <c r="AC433" s="10" t="str">
        <f>IFERROR(VLOOKUP(Tabla1[[#This Row],[MEDICAMENTO]],TAB_REF!$B$3:$F$27,5,0), "")</f>
        <v>Caja x 30 unidades</v>
      </c>
      <c r="AD433" s="10" t="str">
        <f>IFERROR(VLOOKUP(Tabla1[[#This Row],[CANTIDAD UND COMERCIALES]],TAB_REF!$H$3:$I$1003,2,0)&amp;" ("&amp;Tabla1[[#This Row],[CANTIDAD UND COMERCIALES]]&amp;")"&amp;"_"&amp;Tabla1[[#This Row],[CANTIDAD]],"")</f>
        <v>Cinco (5)_Caja x 30 unidades</v>
      </c>
    </row>
    <row r="434" spans="2:30" x14ac:dyDescent="0.25">
      <c r="B434" s="10">
        <v>159</v>
      </c>
      <c r="C434" s="10" t="s">
        <v>2149</v>
      </c>
      <c r="D434" s="10" t="s">
        <v>2162</v>
      </c>
      <c r="E434" s="10" t="s">
        <v>2150</v>
      </c>
      <c r="F434" s="3" t="s">
        <v>2192</v>
      </c>
      <c r="G434" s="21" t="s">
        <v>2152</v>
      </c>
      <c r="H434" s="10" t="s">
        <v>3043</v>
      </c>
      <c r="I434" s="10" t="s">
        <v>2116</v>
      </c>
      <c r="J434" s="10" t="s">
        <v>1550</v>
      </c>
      <c r="K434" s="10" t="s">
        <v>3044</v>
      </c>
      <c r="L434" s="11">
        <v>202124100570542</v>
      </c>
      <c r="M434" s="20">
        <v>44292</v>
      </c>
      <c r="N434" s="20" t="str">
        <f>UPPER(TEXT(Tabla1[[#This Row],[FECHA RADICADO ENTRADA]],"MMM"))</f>
        <v>ABR</v>
      </c>
      <c r="O434" s="11">
        <v>202124110559001</v>
      </c>
      <c r="P434" s="20">
        <v>44298</v>
      </c>
      <c r="Q434" s="20" t="str">
        <f>UPPER(TEXT(Tabla1[[#This Row],[FECHA RADICADO ENTRADA]],"MMM"))</f>
        <v>ABR</v>
      </c>
      <c r="R434" s="10">
        <f t="shared" si="6"/>
        <v>-6</v>
      </c>
      <c r="S434" s="10" t="s">
        <v>2154</v>
      </c>
      <c r="U434" s="10" t="s">
        <v>2153</v>
      </c>
      <c r="V434" s="20">
        <v>43829</v>
      </c>
      <c r="W434" s="10" t="s">
        <v>45</v>
      </c>
      <c r="X434" s="10">
        <v>150</v>
      </c>
      <c r="Y434" s="11">
        <f>IFERROR(INT(Tabla1[[#This Row],[CANTIDAD UND FARMACEUTICAS]]/(VLOOKUP(Tabla1[[#This Row],[MEDICAMENTO]],TAB_REF!$K$3:$L$27,2,0))),"")</f>
        <v>5</v>
      </c>
      <c r="Z434" s="10" t="str">
        <f>IFERROR(VLOOKUP(Tabla1[[#This Row],[MEDICAMENTO]],TAB_REF!$B$3:$F$27,2,0), "")</f>
        <v xml:space="preserve">Metadona HCl </v>
      </c>
      <c r="AA434" s="10" t="str">
        <f>IFERROR(VLOOKUP(Tabla1[[#This Row],[MEDICAMENTO]],TAB_REF!$B$3:$F$27,3,0), "")</f>
        <v xml:space="preserve">10 mg </v>
      </c>
      <c r="AB434" s="10" t="str">
        <f>IFERROR(VLOOKUP(Tabla1[[#This Row],[MEDICAMENTO]],TAB_REF!$B$3:$F$27,4,0), "")</f>
        <v>Tabletas NACIONAL</v>
      </c>
      <c r="AC434" s="10" t="str">
        <f>IFERROR(VLOOKUP(Tabla1[[#This Row],[MEDICAMENTO]],TAB_REF!$B$3:$F$27,5,0), "")</f>
        <v>Caja x 30 unidades</v>
      </c>
      <c r="AD434" s="10" t="str">
        <f>IFERROR(VLOOKUP(Tabla1[[#This Row],[CANTIDAD UND COMERCIALES]],TAB_REF!$H$3:$I$1003,2,0)&amp;" ("&amp;Tabla1[[#This Row],[CANTIDAD UND COMERCIALES]]&amp;")"&amp;"_"&amp;Tabla1[[#This Row],[CANTIDAD]],"")</f>
        <v>Cinco (5)_Caja x 30 unidades</v>
      </c>
    </row>
    <row r="435" spans="2:30" x14ac:dyDescent="0.25">
      <c r="B435" s="10">
        <v>160</v>
      </c>
      <c r="C435" s="10" t="s">
        <v>2850</v>
      </c>
      <c r="D435" s="10" t="s">
        <v>2175</v>
      </c>
      <c r="E435" s="10" t="s">
        <v>2851</v>
      </c>
      <c r="F435" s="10" t="s">
        <v>2929</v>
      </c>
      <c r="G435" s="10" t="s">
        <v>2930</v>
      </c>
      <c r="H435" s="10" t="s">
        <v>2853</v>
      </c>
      <c r="I435" s="10" t="s">
        <v>2110</v>
      </c>
      <c r="J435" s="10" t="s">
        <v>1235</v>
      </c>
      <c r="K435" s="10" t="s">
        <v>3045</v>
      </c>
      <c r="L435" s="11">
        <v>202124100578142</v>
      </c>
      <c r="M435" s="20">
        <v>44293</v>
      </c>
      <c r="N435" s="20" t="str">
        <f>UPPER(TEXT(Tabla1[[#This Row],[FECHA RADICADO ENTRADA]],"MMM"))</f>
        <v>ABR</v>
      </c>
      <c r="O435" s="11">
        <v>202124110559031</v>
      </c>
      <c r="P435" s="20">
        <v>44298</v>
      </c>
      <c r="Q435" s="20" t="str">
        <f>UPPER(TEXT(Tabla1[[#This Row],[FECHA RADICADO ENTRADA]],"MMM"))</f>
        <v>ABR</v>
      </c>
      <c r="R435" s="10">
        <f t="shared" si="6"/>
        <v>-5</v>
      </c>
      <c r="S435" s="10" t="s">
        <v>2154</v>
      </c>
      <c r="U435" s="10" t="s">
        <v>2932</v>
      </c>
      <c r="V435" s="20">
        <v>44235</v>
      </c>
      <c r="W435" s="10" t="s">
        <v>45</v>
      </c>
      <c r="X435" s="10">
        <v>100</v>
      </c>
      <c r="Y435" s="11">
        <f>IFERROR(INT(Tabla1[[#This Row],[CANTIDAD UND FARMACEUTICAS]]/(VLOOKUP(Tabla1[[#This Row],[MEDICAMENTO]],TAB_REF!$K$3:$L$27,2,0))),"")</f>
        <v>3</v>
      </c>
      <c r="Z435" s="10" t="str">
        <f>IFERROR(VLOOKUP(Tabla1[[#This Row],[MEDICAMENTO]],TAB_REF!$B$3:$F$27,2,0), "")</f>
        <v xml:space="preserve">Metadona HCl </v>
      </c>
      <c r="AA435" s="10" t="str">
        <f>IFERROR(VLOOKUP(Tabla1[[#This Row],[MEDICAMENTO]],TAB_REF!$B$3:$F$27,3,0), "")</f>
        <v xml:space="preserve">10 mg </v>
      </c>
      <c r="AB435" s="10" t="str">
        <f>IFERROR(VLOOKUP(Tabla1[[#This Row],[MEDICAMENTO]],TAB_REF!$B$3:$F$27,4,0), "")</f>
        <v>Tabletas NACIONAL</v>
      </c>
      <c r="AC435" s="10" t="str">
        <f>IFERROR(VLOOKUP(Tabla1[[#This Row],[MEDICAMENTO]],TAB_REF!$B$3:$F$27,5,0), "")</f>
        <v>Caja x 30 unidades</v>
      </c>
      <c r="AD435" s="10" t="str">
        <f>IFERROR(VLOOKUP(Tabla1[[#This Row],[CANTIDAD UND COMERCIALES]],TAB_REF!$H$3:$I$1003,2,0)&amp;" ("&amp;Tabla1[[#This Row],[CANTIDAD UND COMERCIALES]]&amp;")"&amp;"_"&amp;Tabla1[[#This Row],[CANTIDAD]],"")</f>
        <v>Tres (3)_Caja x 30 unidades</v>
      </c>
    </row>
    <row r="436" spans="2:30" x14ac:dyDescent="0.25">
      <c r="B436" s="10">
        <v>160</v>
      </c>
      <c r="C436" s="10" t="s">
        <v>2850</v>
      </c>
      <c r="D436" s="10" t="s">
        <v>2175</v>
      </c>
      <c r="E436" s="10" t="s">
        <v>2851</v>
      </c>
      <c r="F436" s="10" t="s">
        <v>2929</v>
      </c>
      <c r="G436" s="10" t="s">
        <v>2930</v>
      </c>
      <c r="H436" s="10" t="s">
        <v>2853</v>
      </c>
      <c r="I436" s="10" t="s">
        <v>2110</v>
      </c>
      <c r="J436" s="10" t="s">
        <v>1235</v>
      </c>
      <c r="K436" s="10" t="s">
        <v>3045</v>
      </c>
      <c r="L436" s="11">
        <v>202124100578142</v>
      </c>
      <c r="M436" s="20">
        <v>44293</v>
      </c>
      <c r="N436" s="20" t="str">
        <f>UPPER(TEXT(Tabla1[[#This Row],[FECHA RADICADO ENTRADA]],"MMM"))</f>
        <v>ABR</v>
      </c>
      <c r="O436" s="11">
        <v>202124110559031</v>
      </c>
      <c r="P436" s="20">
        <v>44298</v>
      </c>
      <c r="Q436" s="20" t="str">
        <f>UPPER(TEXT(Tabla1[[#This Row],[FECHA RADICADO ENTRADA]],"MMM"))</f>
        <v>ABR</v>
      </c>
      <c r="R436" s="10">
        <f t="shared" si="6"/>
        <v>-5</v>
      </c>
      <c r="S436" s="10" t="s">
        <v>2154</v>
      </c>
      <c r="U436" s="10" t="s">
        <v>2932</v>
      </c>
      <c r="V436" s="20">
        <v>44235</v>
      </c>
      <c r="W436" s="10" t="s">
        <v>37</v>
      </c>
      <c r="X436" s="10">
        <v>800</v>
      </c>
      <c r="Y436" s="11">
        <f>IFERROR(INT(Tabla1[[#This Row],[CANTIDAD UND FARMACEUTICAS]]/(VLOOKUP(Tabla1[[#This Row],[MEDICAMENTO]],TAB_REF!$K$3:$L$27,2,0))),"")</f>
        <v>80</v>
      </c>
      <c r="Z436" s="10" t="str">
        <f>IFERROR(VLOOKUP(Tabla1[[#This Row],[MEDICAMENTO]],TAB_REF!$B$3:$F$27,2,0), "")</f>
        <v xml:space="preserve">Hidromorfona HCl </v>
      </c>
      <c r="AA436" s="10" t="str">
        <f>IFERROR(VLOOKUP(Tabla1[[#This Row],[MEDICAMENTO]],TAB_REF!$B$3:$F$27,3,0), "")</f>
        <v xml:space="preserve">2 mg/mL </v>
      </c>
      <c r="AB436" s="10" t="str">
        <f>IFERROR(VLOOKUP(Tabla1[[#This Row],[MEDICAMENTO]],TAB_REF!$B$3:$F$27,4,0), "")</f>
        <v>Solución Inyectable</v>
      </c>
      <c r="AC436" s="10" t="str">
        <f>IFERROR(VLOOKUP(Tabla1[[#This Row],[MEDICAMENTO]],TAB_REF!$B$3:$F$27,5,0), "")</f>
        <v>Caja x 10 unidades</v>
      </c>
      <c r="AD436" s="10" t="str">
        <f>IFERROR(VLOOKUP(Tabla1[[#This Row],[CANTIDAD UND COMERCIALES]],TAB_REF!$H$3:$I$1003,2,0)&amp;" ("&amp;Tabla1[[#This Row],[CANTIDAD UND COMERCIALES]]&amp;")"&amp;"_"&amp;Tabla1[[#This Row],[CANTIDAD]],"")</f>
        <v>Ochenta (80)_Caja x 10 unidades</v>
      </c>
    </row>
    <row r="437" spans="2:30" x14ac:dyDescent="0.25">
      <c r="B437" s="10">
        <v>160</v>
      </c>
      <c r="C437" s="10" t="s">
        <v>2850</v>
      </c>
      <c r="D437" s="10" t="s">
        <v>2175</v>
      </c>
      <c r="E437" s="10" t="s">
        <v>2851</v>
      </c>
      <c r="F437" s="10" t="s">
        <v>2929</v>
      </c>
      <c r="G437" s="10" t="s">
        <v>2930</v>
      </c>
      <c r="H437" s="10" t="s">
        <v>2853</v>
      </c>
      <c r="I437" s="10" t="s">
        <v>2110</v>
      </c>
      <c r="J437" s="10" t="s">
        <v>1235</v>
      </c>
      <c r="K437" s="10" t="s">
        <v>3045</v>
      </c>
      <c r="L437" s="11">
        <v>202124100578142</v>
      </c>
      <c r="M437" s="20">
        <v>44293</v>
      </c>
      <c r="N437" s="20" t="str">
        <f>UPPER(TEXT(Tabla1[[#This Row],[FECHA RADICADO ENTRADA]],"MMM"))</f>
        <v>ABR</v>
      </c>
      <c r="O437" s="11">
        <v>202124110559031</v>
      </c>
      <c r="P437" s="20">
        <v>44298</v>
      </c>
      <c r="Q437" s="20" t="str">
        <f>UPPER(TEXT(Tabla1[[#This Row],[FECHA RADICADO ENTRADA]],"MMM"))</f>
        <v>ABR</v>
      </c>
      <c r="R437" s="10">
        <f t="shared" si="6"/>
        <v>-5</v>
      </c>
      <c r="S437" s="10" t="s">
        <v>2154</v>
      </c>
      <c r="U437" s="10" t="s">
        <v>2932</v>
      </c>
      <c r="V437" s="20">
        <v>44235</v>
      </c>
      <c r="W437" s="10" t="s">
        <v>34</v>
      </c>
      <c r="X437" s="10">
        <v>100</v>
      </c>
      <c r="Y437" s="11">
        <f>IFERROR(INT(Tabla1[[#This Row],[CANTIDAD UND FARMACEUTICAS]]/(VLOOKUP(Tabla1[[#This Row],[MEDICAMENTO]],TAB_REF!$K$3:$L$27,2,0))),"")</f>
        <v>10</v>
      </c>
      <c r="Z437" s="10" t="str">
        <f>IFERROR(VLOOKUP(Tabla1[[#This Row],[MEDICAMENTO]],TAB_REF!$B$3:$F$27,2,0), "")</f>
        <v xml:space="preserve">Fenobarbital Sódico </v>
      </c>
      <c r="AA437" s="10" t="str">
        <f>IFERROR(VLOOKUP(Tabla1[[#This Row],[MEDICAMENTO]],TAB_REF!$B$3:$F$27,3,0), "")</f>
        <v xml:space="preserve">200 mg/Ml </v>
      </c>
      <c r="AB437" s="10" t="str">
        <f>IFERROR(VLOOKUP(Tabla1[[#This Row],[MEDICAMENTO]],TAB_REF!$B$3:$F$27,4,0), "")</f>
        <v>Solución Inyectable</v>
      </c>
      <c r="AC437" s="10" t="str">
        <f>IFERROR(VLOOKUP(Tabla1[[#This Row],[MEDICAMENTO]],TAB_REF!$B$3:$F$27,5,0), "")</f>
        <v>Caja x 10 unidades</v>
      </c>
      <c r="AD437" s="10" t="str">
        <f>IFERROR(VLOOKUP(Tabla1[[#This Row],[CANTIDAD UND COMERCIALES]],TAB_REF!$H$3:$I$1003,2,0)&amp;" ("&amp;Tabla1[[#This Row],[CANTIDAD UND COMERCIALES]]&amp;")"&amp;"_"&amp;Tabla1[[#This Row],[CANTIDAD]],"")</f>
        <v>Diez (10)_Caja x 10 unidades</v>
      </c>
    </row>
    <row r="438" spans="2:30" x14ac:dyDescent="0.25">
      <c r="B438" s="10">
        <v>160</v>
      </c>
      <c r="C438" s="10" t="s">
        <v>2850</v>
      </c>
      <c r="D438" s="10" t="s">
        <v>2175</v>
      </c>
      <c r="E438" s="10" t="s">
        <v>2851</v>
      </c>
      <c r="F438" s="10" t="s">
        <v>2929</v>
      </c>
      <c r="G438" s="10" t="s">
        <v>2930</v>
      </c>
      <c r="H438" s="10" t="s">
        <v>2853</v>
      </c>
      <c r="I438" s="10" t="s">
        <v>2110</v>
      </c>
      <c r="J438" s="10" t="s">
        <v>1235</v>
      </c>
      <c r="K438" s="10" t="s">
        <v>3045</v>
      </c>
      <c r="L438" s="11">
        <v>202124100578142</v>
      </c>
      <c r="M438" s="20">
        <v>44293</v>
      </c>
      <c r="N438" s="20" t="str">
        <f>UPPER(TEXT(Tabla1[[#This Row],[FECHA RADICADO ENTRADA]],"MMM"))</f>
        <v>ABR</v>
      </c>
      <c r="O438" s="11">
        <v>202124110559031</v>
      </c>
      <c r="P438" s="20">
        <v>44298</v>
      </c>
      <c r="Q438" s="20" t="str">
        <f>UPPER(TEXT(Tabla1[[#This Row],[FECHA RADICADO ENTRADA]],"MMM"))</f>
        <v>ABR</v>
      </c>
      <c r="R438" s="10">
        <f t="shared" si="6"/>
        <v>-5</v>
      </c>
      <c r="S438" s="10" t="s">
        <v>2154</v>
      </c>
      <c r="U438" s="10" t="s">
        <v>2932</v>
      </c>
      <c r="V438" s="20">
        <v>44235</v>
      </c>
      <c r="W438" s="10" t="s">
        <v>28</v>
      </c>
      <c r="X438" s="10">
        <v>5</v>
      </c>
      <c r="Y438" s="11">
        <f>IFERROR(INT(Tabla1[[#This Row],[CANTIDAD UND FARMACEUTICAS]]/(VLOOKUP(Tabla1[[#This Row],[MEDICAMENTO]],TAB_REF!$K$3:$L$27,2,0))),"")</f>
        <v>5</v>
      </c>
      <c r="Z438" s="10" t="str">
        <f>IFERROR(VLOOKUP(Tabla1[[#This Row],[MEDICAMENTO]],TAB_REF!$B$3:$F$27,2,0), "")</f>
        <v xml:space="preserve">Fenobarbital </v>
      </c>
      <c r="AA438" s="10" t="str">
        <f>IFERROR(VLOOKUP(Tabla1[[#This Row],[MEDICAMENTO]],TAB_REF!$B$3:$F$27,3,0), "")</f>
        <v xml:space="preserve">0,4%. </v>
      </c>
      <c r="AB438" s="10" t="str">
        <f>IFERROR(VLOOKUP(Tabla1[[#This Row],[MEDICAMENTO]],TAB_REF!$B$3:$F$27,4,0), "")</f>
        <v>Solución Oral</v>
      </c>
      <c r="AC438" s="10" t="str">
        <f>IFERROR(VLOOKUP(Tabla1[[#This Row],[MEDICAMENTO]],TAB_REF!$B$3:$F$27,5,0), "")</f>
        <v>Frasco x 120 mL</v>
      </c>
      <c r="AD438" s="10" t="str">
        <f>IFERROR(VLOOKUP(Tabla1[[#This Row],[CANTIDAD UND COMERCIALES]],TAB_REF!$H$3:$I$1003,2,0)&amp;" ("&amp;Tabla1[[#This Row],[CANTIDAD UND COMERCIALES]]&amp;")"&amp;"_"&amp;Tabla1[[#This Row],[CANTIDAD]],"")</f>
        <v>Cinco (5)_Frasco x 120 mL</v>
      </c>
    </row>
    <row r="439" spans="2:30" x14ac:dyDescent="0.25">
      <c r="B439" s="10">
        <v>161</v>
      </c>
      <c r="C439" s="10" t="s">
        <v>3046</v>
      </c>
      <c r="D439" s="10" t="s">
        <v>2312</v>
      </c>
      <c r="E439" s="10" t="s">
        <v>3047</v>
      </c>
      <c r="F439" s="10" t="s">
        <v>3048</v>
      </c>
      <c r="G439" s="21" t="s">
        <v>3049</v>
      </c>
      <c r="H439" s="10" t="s">
        <v>3050</v>
      </c>
      <c r="I439" s="10" t="s">
        <v>2116</v>
      </c>
      <c r="J439" s="10" t="s">
        <v>2116</v>
      </c>
      <c r="K439" s="10" t="s">
        <v>3051</v>
      </c>
      <c r="L439" s="11">
        <v>202124100581722</v>
      </c>
      <c r="M439" s="20">
        <v>44293</v>
      </c>
      <c r="N439" s="20" t="str">
        <f>UPPER(TEXT(Tabla1[[#This Row],[FECHA RADICADO ENTRADA]],"MMM"))</f>
        <v>ABR</v>
      </c>
      <c r="O439" s="11">
        <v>202124110559061</v>
      </c>
      <c r="P439" s="20">
        <v>44298</v>
      </c>
      <c r="Q439" s="20" t="str">
        <f>UPPER(TEXT(Tabla1[[#This Row],[FECHA RADICADO ENTRADA]],"MMM"))</f>
        <v>ABR</v>
      </c>
      <c r="R439" s="10">
        <f t="shared" si="6"/>
        <v>-5</v>
      </c>
      <c r="S439" s="10" t="s">
        <v>2145</v>
      </c>
      <c r="T439" s="10" t="s">
        <v>2808</v>
      </c>
      <c r="U439" s="10" t="s">
        <v>2164</v>
      </c>
      <c r="V439" s="10" t="s">
        <v>2164</v>
      </c>
      <c r="W439" s="10" t="s">
        <v>41</v>
      </c>
      <c r="X439" s="10">
        <v>0</v>
      </c>
      <c r="Y439" s="11">
        <f>IFERROR(INT(Tabla1[[#This Row],[CANTIDAD UND FARMACEUTICAS]]/(VLOOKUP(Tabla1[[#This Row],[MEDICAMENTO]],TAB_REF!$K$3:$L$27,2,0))),"")</f>
        <v>0</v>
      </c>
      <c r="Z439" s="10" t="str">
        <f>IFERROR(VLOOKUP(Tabla1[[#This Row],[MEDICAMENTO]],TAB_REF!$B$3:$F$27,2,0), "")</f>
        <v xml:space="preserve">Meperidina HCl </v>
      </c>
      <c r="AA439" s="10" t="str">
        <f>IFERROR(VLOOKUP(Tabla1[[#This Row],[MEDICAMENTO]],TAB_REF!$B$3:$F$27,3,0), "")</f>
        <v xml:space="preserve">100 mg/2mL </v>
      </c>
      <c r="AB439" s="10" t="str">
        <f>IFERROR(VLOOKUP(Tabla1[[#This Row],[MEDICAMENTO]],TAB_REF!$B$3:$F$27,4,0), "")</f>
        <v>Solución Inyectable</v>
      </c>
      <c r="AC439" s="10" t="str">
        <f>IFERROR(VLOOKUP(Tabla1[[#This Row],[MEDICAMENTO]],TAB_REF!$B$3:$F$27,5,0), "")</f>
        <v>Caja 10 ampollas</v>
      </c>
      <c r="AD439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440" spans="2:30" x14ac:dyDescent="0.25">
      <c r="B440" s="10">
        <v>161</v>
      </c>
      <c r="C440" s="10" t="s">
        <v>3046</v>
      </c>
      <c r="D440" s="10" t="s">
        <v>2312</v>
      </c>
      <c r="E440" s="10" t="s">
        <v>3047</v>
      </c>
      <c r="F440" s="10" t="s">
        <v>3048</v>
      </c>
      <c r="G440" s="21" t="s">
        <v>3049</v>
      </c>
      <c r="H440" s="10" t="s">
        <v>3050</v>
      </c>
      <c r="I440" s="10" t="s">
        <v>2116</v>
      </c>
      <c r="J440" s="10" t="s">
        <v>2116</v>
      </c>
      <c r="K440" s="10" t="s">
        <v>3051</v>
      </c>
      <c r="L440" s="11">
        <v>202124100581722</v>
      </c>
      <c r="M440" s="20">
        <v>44293</v>
      </c>
      <c r="N440" s="20" t="str">
        <f>UPPER(TEXT(Tabla1[[#This Row],[FECHA RADICADO ENTRADA]],"MMM"))</f>
        <v>ABR</v>
      </c>
      <c r="O440" s="11">
        <v>202124110559061</v>
      </c>
      <c r="P440" s="20">
        <v>44298</v>
      </c>
      <c r="Q440" s="20" t="str">
        <f>UPPER(TEXT(Tabla1[[#This Row],[FECHA RADICADO ENTRADA]],"MMM"))</f>
        <v>ABR</v>
      </c>
      <c r="R440" s="10">
        <f t="shared" si="6"/>
        <v>-5</v>
      </c>
      <c r="S440" s="10" t="s">
        <v>2145</v>
      </c>
      <c r="T440" s="10" t="s">
        <v>2808</v>
      </c>
      <c r="U440" s="10" t="s">
        <v>2164</v>
      </c>
      <c r="V440" s="10" t="s">
        <v>2164</v>
      </c>
      <c r="W440" s="10" t="s">
        <v>63</v>
      </c>
      <c r="X440" s="10">
        <v>0</v>
      </c>
      <c r="Y440" s="11">
        <f>IFERROR(INT(Tabla1[[#This Row],[CANTIDAD UND FARMACEUTICAS]]/(VLOOKUP(Tabla1[[#This Row],[MEDICAMENTO]],TAB_REF!$K$3:$L$27,2,0))),"")</f>
        <v>0</v>
      </c>
      <c r="Z440" s="10" t="str">
        <f>IFERROR(VLOOKUP(Tabla1[[#This Row],[MEDICAMENTO]],TAB_REF!$B$3:$F$27,2,0), "")</f>
        <v xml:space="preserve">Morfina HCl </v>
      </c>
      <c r="AA440" s="10" t="str">
        <f>IFERROR(VLOOKUP(Tabla1[[#This Row],[MEDICAMENTO]],TAB_REF!$B$3:$F$27,3,0), "")</f>
        <v xml:space="preserve">10 mg/mL </v>
      </c>
      <c r="AB440" s="10" t="str">
        <f>IFERROR(VLOOKUP(Tabla1[[#This Row],[MEDICAMENTO]],TAB_REF!$B$3:$F$27,4,0), "")</f>
        <v>Solución Inyectable</v>
      </c>
      <c r="AC440" s="10" t="str">
        <f>IFERROR(VLOOKUP(Tabla1[[#This Row],[MEDICAMENTO]],TAB_REF!$B$3:$F$27,5,0), "")</f>
        <v>Caja x 10 unidades</v>
      </c>
      <c r="AD440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441" spans="2:30" x14ac:dyDescent="0.25">
      <c r="B441" s="10">
        <v>162</v>
      </c>
      <c r="C441" s="10" t="s">
        <v>3052</v>
      </c>
      <c r="D441" s="10" t="s">
        <v>2175</v>
      </c>
      <c r="E441" s="10" t="s">
        <v>3053</v>
      </c>
      <c r="F441" s="10" t="s">
        <v>3054</v>
      </c>
      <c r="G441" s="21" t="s">
        <v>3055</v>
      </c>
      <c r="H441" s="10" t="s">
        <v>3056</v>
      </c>
      <c r="I441" s="10" t="s">
        <v>2116</v>
      </c>
      <c r="J441" s="10" t="s">
        <v>1550</v>
      </c>
      <c r="K441" s="10" t="s">
        <v>3057</v>
      </c>
      <c r="L441" s="11">
        <v>202124100590142</v>
      </c>
      <c r="M441" s="20">
        <v>44294</v>
      </c>
      <c r="N441" s="20" t="str">
        <f>UPPER(TEXT(Tabla1[[#This Row],[FECHA RADICADO ENTRADA]],"MMM"))</f>
        <v>ABR</v>
      </c>
      <c r="O441" s="11">
        <v>202124110559081</v>
      </c>
      <c r="P441" s="20">
        <v>44298</v>
      </c>
      <c r="Q441" s="20" t="str">
        <f>UPPER(TEXT(Tabla1[[#This Row],[FECHA RADICADO ENTRADA]],"MMM"))</f>
        <v>ABR</v>
      </c>
      <c r="R441" s="10">
        <f t="shared" si="6"/>
        <v>-4</v>
      </c>
      <c r="S441" s="10" t="s">
        <v>2154</v>
      </c>
      <c r="U441" s="10" t="s">
        <v>3058</v>
      </c>
      <c r="V441" s="20">
        <v>43819</v>
      </c>
      <c r="W441" s="10" t="s">
        <v>63</v>
      </c>
      <c r="X441" s="10">
        <v>100</v>
      </c>
      <c r="Y441" s="11">
        <f>IFERROR(INT(Tabla1[[#This Row],[CANTIDAD UND FARMACEUTICAS]]/(VLOOKUP(Tabla1[[#This Row],[MEDICAMENTO]],TAB_REF!$K$3:$L$27,2,0))),"")</f>
        <v>10</v>
      </c>
      <c r="Z441" s="10" t="str">
        <f>IFERROR(VLOOKUP(Tabla1[[#This Row],[MEDICAMENTO]],TAB_REF!$B$3:$F$27,2,0), "")</f>
        <v xml:space="preserve">Morfina HCl </v>
      </c>
      <c r="AA441" s="10" t="str">
        <f>IFERROR(VLOOKUP(Tabla1[[#This Row],[MEDICAMENTO]],TAB_REF!$B$3:$F$27,3,0), "")</f>
        <v xml:space="preserve">10 mg/mL </v>
      </c>
      <c r="AB441" s="10" t="str">
        <f>IFERROR(VLOOKUP(Tabla1[[#This Row],[MEDICAMENTO]],TAB_REF!$B$3:$F$27,4,0), "")</f>
        <v>Solución Inyectable</v>
      </c>
      <c r="AC441" s="10" t="str">
        <f>IFERROR(VLOOKUP(Tabla1[[#This Row],[MEDICAMENTO]],TAB_REF!$B$3:$F$27,5,0), "")</f>
        <v>Caja x 10 unidades</v>
      </c>
      <c r="AD441" s="10" t="str">
        <f>IFERROR(VLOOKUP(Tabla1[[#This Row],[CANTIDAD UND COMERCIALES]],TAB_REF!$H$3:$I$1003,2,0)&amp;" ("&amp;Tabla1[[#This Row],[CANTIDAD UND COMERCIALES]]&amp;")"&amp;"_"&amp;Tabla1[[#This Row],[CANTIDAD]],"")</f>
        <v>Diez (10)_Caja x 10 unidades</v>
      </c>
    </row>
    <row r="442" spans="2:30" x14ac:dyDescent="0.25">
      <c r="B442" s="10">
        <v>162</v>
      </c>
      <c r="C442" s="10" t="s">
        <v>3052</v>
      </c>
      <c r="D442" s="10" t="s">
        <v>2175</v>
      </c>
      <c r="E442" s="10" t="s">
        <v>3053</v>
      </c>
      <c r="F442" s="10" t="s">
        <v>3054</v>
      </c>
      <c r="G442" s="21" t="s">
        <v>3055</v>
      </c>
      <c r="H442" s="10" t="s">
        <v>3056</v>
      </c>
      <c r="I442" s="10" t="s">
        <v>2116</v>
      </c>
      <c r="J442" s="10" t="s">
        <v>1550</v>
      </c>
      <c r="K442" s="10" t="s">
        <v>3057</v>
      </c>
      <c r="L442" s="11">
        <v>202124100590142</v>
      </c>
      <c r="M442" s="20">
        <v>44294</v>
      </c>
      <c r="N442" s="20" t="str">
        <f>UPPER(TEXT(Tabla1[[#This Row],[FECHA RADICADO ENTRADA]],"MMM"))</f>
        <v>ABR</v>
      </c>
      <c r="O442" s="11">
        <v>202124110559081</v>
      </c>
      <c r="P442" s="20">
        <v>44298</v>
      </c>
      <c r="Q442" s="20" t="str">
        <f>UPPER(TEXT(Tabla1[[#This Row],[FECHA RADICADO ENTRADA]],"MMM"))</f>
        <v>ABR</v>
      </c>
      <c r="R442" s="10">
        <f t="shared" si="6"/>
        <v>-4</v>
      </c>
      <c r="S442" s="10" t="s">
        <v>2154</v>
      </c>
      <c r="U442" s="10" t="s">
        <v>3058</v>
      </c>
      <c r="V442" s="20">
        <v>43819</v>
      </c>
      <c r="W442" s="10" t="s">
        <v>37</v>
      </c>
      <c r="X442" s="10">
        <v>50</v>
      </c>
      <c r="Y442" s="11">
        <f>IFERROR(INT(Tabla1[[#This Row],[CANTIDAD UND FARMACEUTICAS]]/(VLOOKUP(Tabla1[[#This Row],[MEDICAMENTO]],TAB_REF!$K$3:$L$27,2,0))),"")</f>
        <v>5</v>
      </c>
      <c r="Z442" s="10" t="str">
        <f>IFERROR(VLOOKUP(Tabla1[[#This Row],[MEDICAMENTO]],TAB_REF!$B$3:$F$27,2,0), "")</f>
        <v xml:space="preserve">Hidromorfona HCl </v>
      </c>
      <c r="AA442" s="10" t="str">
        <f>IFERROR(VLOOKUP(Tabla1[[#This Row],[MEDICAMENTO]],TAB_REF!$B$3:$F$27,3,0), "")</f>
        <v xml:space="preserve">2 mg/mL </v>
      </c>
      <c r="AB442" s="10" t="str">
        <f>IFERROR(VLOOKUP(Tabla1[[#This Row],[MEDICAMENTO]],TAB_REF!$B$3:$F$27,4,0), "")</f>
        <v>Solución Inyectable</v>
      </c>
      <c r="AC442" s="10" t="str">
        <f>IFERROR(VLOOKUP(Tabla1[[#This Row],[MEDICAMENTO]],TAB_REF!$B$3:$F$27,5,0), "")</f>
        <v>Caja x 10 unidades</v>
      </c>
      <c r="AD442" s="10" t="str">
        <f>IFERROR(VLOOKUP(Tabla1[[#This Row],[CANTIDAD UND COMERCIALES]],TAB_REF!$H$3:$I$1003,2,0)&amp;" ("&amp;Tabla1[[#This Row],[CANTIDAD UND COMERCIALES]]&amp;")"&amp;"_"&amp;Tabla1[[#This Row],[CANTIDAD]],"")</f>
        <v>Cinco (5)_Caja x 10 unidades</v>
      </c>
    </row>
    <row r="443" spans="2:30" x14ac:dyDescent="0.25">
      <c r="B443" s="10">
        <v>162</v>
      </c>
      <c r="C443" s="10" t="s">
        <v>3052</v>
      </c>
      <c r="D443" s="10" t="s">
        <v>2175</v>
      </c>
      <c r="E443" s="10" t="s">
        <v>3053</v>
      </c>
      <c r="F443" s="10" t="s">
        <v>3054</v>
      </c>
      <c r="G443" s="21" t="s">
        <v>3055</v>
      </c>
      <c r="H443" s="10" t="s">
        <v>3056</v>
      </c>
      <c r="I443" s="10" t="s">
        <v>2116</v>
      </c>
      <c r="J443" s="10" t="s">
        <v>1550</v>
      </c>
      <c r="K443" s="10" t="s">
        <v>3057</v>
      </c>
      <c r="L443" s="11">
        <v>202124100590142</v>
      </c>
      <c r="M443" s="20">
        <v>44294</v>
      </c>
      <c r="N443" s="20" t="str">
        <f>UPPER(TEXT(Tabla1[[#This Row],[FECHA RADICADO ENTRADA]],"MMM"))</f>
        <v>ABR</v>
      </c>
      <c r="O443" s="11">
        <v>202124110559081</v>
      </c>
      <c r="P443" s="20">
        <v>44298</v>
      </c>
      <c r="Q443" s="20" t="str">
        <f>UPPER(TEXT(Tabla1[[#This Row],[FECHA RADICADO ENTRADA]],"MMM"))</f>
        <v>ABR</v>
      </c>
      <c r="R443" s="10">
        <f t="shared" si="6"/>
        <v>-4</v>
      </c>
      <c r="S443" s="10" t="s">
        <v>2154</v>
      </c>
      <c r="U443" s="10" t="s">
        <v>3058</v>
      </c>
      <c r="V443" s="20">
        <v>43819</v>
      </c>
      <c r="W443" s="10" t="s">
        <v>41</v>
      </c>
      <c r="X443" s="10">
        <v>50</v>
      </c>
      <c r="Y443" s="11">
        <f>IFERROR(INT(Tabla1[[#This Row],[CANTIDAD UND FARMACEUTICAS]]/(VLOOKUP(Tabla1[[#This Row],[MEDICAMENTO]],TAB_REF!$K$3:$L$27,2,0))),"")</f>
        <v>5</v>
      </c>
      <c r="Z443" s="10" t="str">
        <f>IFERROR(VLOOKUP(Tabla1[[#This Row],[MEDICAMENTO]],TAB_REF!$B$3:$F$27,2,0), "")</f>
        <v xml:space="preserve">Meperidina HCl </v>
      </c>
      <c r="AA443" s="10" t="str">
        <f>IFERROR(VLOOKUP(Tabla1[[#This Row],[MEDICAMENTO]],TAB_REF!$B$3:$F$27,3,0), "")</f>
        <v xml:space="preserve">100 mg/2mL </v>
      </c>
      <c r="AB443" s="10" t="str">
        <f>IFERROR(VLOOKUP(Tabla1[[#This Row],[MEDICAMENTO]],TAB_REF!$B$3:$F$27,4,0), "")</f>
        <v>Solución Inyectable</v>
      </c>
      <c r="AC443" s="10" t="str">
        <f>IFERROR(VLOOKUP(Tabla1[[#This Row],[MEDICAMENTO]],TAB_REF!$B$3:$F$27,5,0), "")</f>
        <v>Caja 10 ampollas</v>
      </c>
      <c r="AD443" s="10" t="str">
        <f>IFERROR(VLOOKUP(Tabla1[[#This Row],[CANTIDAD UND COMERCIALES]],TAB_REF!$H$3:$I$1003,2,0)&amp;" ("&amp;Tabla1[[#This Row],[CANTIDAD UND COMERCIALES]]&amp;")"&amp;"_"&amp;Tabla1[[#This Row],[CANTIDAD]],"")</f>
        <v>Cinco (5)_Caja 10 ampollas</v>
      </c>
    </row>
    <row r="444" spans="2:30" x14ac:dyDescent="0.25">
      <c r="B444" s="10">
        <v>163</v>
      </c>
      <c r="C444" s="10" t="s">
        <v>3059</v>
      </c>
      <c r="D444" s="10" t="s">
        <v>3060</v>
      </c>
      <c r="E444" s="10" t="s">
        <v>2905</v>
      </c>
      <c r="F444" s="10" t="s">
        <v>2906</v>
      </c>
      <c r="G444" s="21" t="s">
        <v>3061</v>
      </c>
      <c r="H444" s="10" t="s">
        <v>3062</v>
      </c>
      <c r="I444" s="10" t="s">
        <v>2113</v>
      </c>
      <c r="J444" s="10" t="s">
        <v>1442</v>
      </c>
      <c r="K444" s="10" t="s">
        <v>3063</v>
      </c>
      <c r="L444" s="11">
        <v>202124100601282</v>
      </c>
      <c r="M444" s="20">
        <v>44295</v>
      </c>
      <c r="N444" s="20" t="str">
        <f>UPPER(TEXT(Tabla1[[#This Row],[FECHA RADICADO ENTRADA]],"MMM"))</f>
        <v>ABR</v>
      </c>
      <c r="O444" s="11">
        <v>202124110559101</v>
      </c>
      <c r="P444" s="20">
        <v>44298</v>
      </c>
      <c r="Q444" s="20" t="str">
        <f>UPPER(TEXT(Tabla1[[#This Row],[FECHA RADICADO ENTRADA]],"MMM"))</f>
        <v>ABR</v>
      </c>
      <c r="R444" s="10">
        <f t="shared" si="6"/>
        <v>-3</v>
      </c>
      <c r="S444" s="10" t="s">
        <v>2154</v>
      </c>
      <c r="U444" s="10" t="s">
        <v>3064</v>
      </c>
      <c r="V444" s="20">
        <v>44169</v>
      </c>
      <c r="W444" s="10" t="s">
        <v>60</v>
      </c>
      <c r="X444" s="10">
        <v>1</v>
      </c>
      <c r="Y444" s="11">
        <f>IFERROR(INT(Tabla1[[#This Row],[CANTIDAD UND FARMACEUTICAS]]/(VLOOKUP(Tabla1[[#This Row],[MEDICAMENTO]],TAB_REF!$K$3:$L$27,2,0))),"")</f>
        <v>1</v>
      </c>
      <c r="Z444" s="10" t="str">
        <f>IFERROR(VLOOKUP(Tabla1[[#This Row],[MEDICAMENTO]],TAB_REF!$B$3:$F$27,2,0), "")</f>
        <v xml:space="preserve">Morfina HCl </v>
      </c>
      <c r="AA444" s="10" t="str">
        <f>IFERROR(VLOOKUP(Tabla1[[#This Row],[MEDICAMENTO]],TAB_REF!$B$3:$F$27,3,0), "")</f>
        <v xml:space="preserve">3%. </v>
      </c>
      <c r="AB444" s="10" t="str">
        <f>IFERROR(VLOOKUP(Tabla1[[#This Row],[MEDICAMENTO]],TAB_REF!$B$3:$F$27,4,0), "")</f>
        <v>Solución Oral</v>
      </c>
      <c r="AC444" s="10" t="str">
        <f>IFERROR(VLOOKUP(Tabla1[[#This Row],[MEDICAMENTO]],TAB_REF!$B$3:$F$27,5,0), "")</f>
        <v>Frasco x 30 mL</v>
      </c>
      <c r="AD444" s="10" t="str">
        <f>IFERROR(VLOOKUP(Tabla1[[#This Row],[CANTIDAD UND COMERCIALES]],TAB_REF!$H$3:$I$1003,2,0)&amp;" ("&amp;Tabla1[[#This Row],[CANTIDAD UND COMERCIALES]]&amp;")"&amp;"_"&amp;Tabla1[[#This Row],[CANTIDAD]],"")</f>
        <v>Uno (1)_Frasco x 30 mL</v>
      </c>
    </row>
    <row r="445" spans="2:30" x14ac:dyDescent="0.25">
      <c r="B445" s="10">
        <v>164</v>
      </c>
      <c r="C445" s="10" t="s">
        <v>3065</v>
      </c>
      <c r="D445" s="10" t="s">
        <v>2162</v>
      </c>
      <c r="E445" s="10" t="s">
        <v>3066</v>
      </c>
      <c r="F445" s="10" t="s">
        <v>3067</v>
      </c>
      <c r="G445" s="21" t="s">
        <v>3068</v>
      </c>
      <c r="H445" s="10" t="s">
        <v>3069</v>
      </c>
      <c r="I445" s="10" t="s">
        <v>2116</v>
      </c>
      <c r="J445" s="10" t="s">
        <v>1550</v>
      </c>
      <c r="K445" s="10" t="s">
        <v>3070</v>
      </c>
      <c r="L445" s="11">
        <v>202124100602412</v>
      </c>
      <c r="M445" s="20">
        <v>44295</v>
      </c>
      <c r="N445" s="20" t="str">
        <f>UPPER(TEXT(Tabla1[[#This Row],[FECHA RADICADO ENTRADA]],"MMM"))</f>
        <v>ABR</v>
      </c>
      <c r="O445" s="11">
        <v>202124110559121</v>
      </c>
      <c r="P445" s="20">
        <v>44298</v>
      </c>
      <c r="Q445" s="20" t="str">
        <f>UPPER(TEXT(Tabla1[[#This Row],[FECHA RADICADO ENTRADA]],"MMM"))</f>
        <v>ABR</v>
      </c>
      <c r="R445" s="10">
        <f t="shared" si="6"/>
        <v>-3</v>
      </c>
      <c r="S445" s="10" t="s">
        <v>2154</v>
      </c>
      <c r="U445" s="10" t="s">
        <v>3071</v>
      </c>
      <c r="V445" s="20">
        <v>44551</v>
      </c>
      <c r="W445" s="10" t="s">
        <v>63</v>
      </c>
      <c r="X445" s="10">
        <v>100</v>
      </c>
      <c r="Y445" s="11">
        <f>IFERROR(INT(Tabla1[[#This Row],[CANTIDAD UND FARMACEUTICAS]]/(VLOOKUP(Tabla1[[#This Row],[MEDICAMENTO]],TAB_REF!$K$3:$L$27,2,0))),"")</f>
        <v>10</v>
      </c>
      <c r="Z445" s="10" t="str">
        <f>IFERROR(VLOOKUP(Tabla1[[#This Row],[MEDICAMENTO]],TAB_REF!$B$3:$F$27,2,0), "")</f>
        <v xml:space="preserve">Morfina HCl </v>
      </c>
      <c r="AA445" s="10" t="str">
        <f>IFERROR(VLOOKUP(Tabla1[[#This Row],[MEDICAMENTO]],TAB_REF!$B$3:$F$27,3,0), "")</f>
        <v xml:space="preserve">10 mg/mL </v>
      </c>
      <c r="AB445" s="10" t="str">
        <f>IFERROR(VLOOKUP(Tabla1[[#This Row],[MEDICAMENTO]],TAB_REF!$B$3:$F$27,4,0), "")</f>
        <v>Solución Inyectable</v>
      </c>
      <c r="AC445" s="10" t="str">
        <f>IFERROR(VLOOKUP(Tabla1[[#This Row],[MEDICAMENTO]],TAB_REF!$B$3:$F$27,5,0), "")</f>
        <v>Caja x 10 unidades</v>
      </c>
      <c r="AD445" s="10" t="str">
        <f>IFERROR(VLOOKUP(Tabla1[[#This Row],[CANTIDAD UND COMERCIALES]],TAB_REF!$H$3:$I$1003,2,0)&amp;" ("&amp;Tabla1[[#This Row],[CANTIDAD UND COMERCIALES]]&amp;")"&amp;"_"&amp;Tabla1[[#This Row],[CANTIDAD]],"")</f>
        <v>Diez (10)_Caja x 10 unidades</v>
      </c>
    </row>
    <row r="446" spans="2:30" x14ac:dyDescent="0.25">
      <c r="B446" s="10">
        <v>165</v>
      </c>
      <c r="C446" s="10" t="s">
        <v>2654</v>
      </c>
      <c r="D446" s="10" t="s">
        <v>3072</v>
      </c>
      <c r="E446" s="10" t="s">
        <v>2655</v>
      </c>
      <c r="F446" s="10" t="s">
        <v>2656</v>
      </c>
      <c r="G446" s="10" t="s">
        <v>2657</v>
      </c>
      <c r="H446" s="10" t="s">
        <v>2658</v>
      </c>
      <c r="I446" s="10" t="s">
        <v>2122</v>
      </c>
      <c r="J446" s="10" t="s">
        <v>1748</v>
      </c>
      <c r="K446" s="10" t="s">
        <v>3073</v>
      </c>
      <c r="L446" s="11">
        <v>202124100597312</v>
      </c>
      <c r="M446" s="20">
        <v>44295</v>
      </c>
      <c r="N446" s="20" t="str">
        <f>UPPER(TEXT(Tabla1[[#This Row],[FECHA RADICADO ENTRADA]],"MMM"))</f>
        <v>ABR</v>
      </c>
      <c r="O446" s="11">
        <v>202124110595201</v>
      </c>
      <c r="P446" s="20">
        <v>44305</v>
      </c>
      <c r="Q446" s="20" t="str">
        <f>UPPER(TEXT(Tabla1[[#This Row],[FECHA RADICADO ENTRADA]],"MMM"))</f>
        <v>ABR</v>
      </c>
      <c r="R446" s="10">
        <f t="shared" si="6"/>
        <v>-10</v>
      </c>
      <c r="S446" s="10" t="s">
        <v>2145</v>
      </c>
      <c r="T446" s="10" t="s">
        <v>3074</v>
      </c>
      <c r="U446" s="10" t="s">
        <v>2164</v>
      </c>
      <c r="V446" s="20" t="s">
        <v>2164</v>
      </c>
      <c r="W446" s="10" t="s">
        <v>34</v>
      </c>
      <c r="X446" s="10">
        <v>0</v>
      </c>
      <c r="Y446" s="11">
        <f>IFERROR(INT(Tabla1[[#This Row],[CANTIDAD UND FARMACEUTICAS]]/(VLOOKUP(Tabla1[[#This Row],[MEDICAMENTO]],TAB_REF!$K$3:$L$27,2,0))),"")</f>
        <v>0</v>
      </c>
      <c r="Z446" s="10" t="str">
        <f>IFERROR(VLOOKUP(Tabla1[[#This Row],[MEDICAMENTO]],TAB_REF!$B$3:$F$27,2,0), "")</f>
        <v xml:space="preserve">Fenobarbital Sódico </v>
      </c>
      <c r="AA446" s="10" t="str">
        <f>IFERROR(VLOOKUP(Tabla1[[#This Row],[MEDICAMENTO]],TAB_REF!$B$3:$F$27,3,0), "")</f>
        <v xml:space="preserve">200 mg/Ml </v>
      </c>
      <c r="AB446" s="10" t="str">
        <f>IFERROR(VLOOKUP(Tabla1[[#This Row],[MEDICAMENTO]],TAB_REF!$B$3:$F$27,4,0), "")</f>
        <v>Solución Inyectable</v>
      </c>
      <c r="AC446" s="10" t="str">
        <f>IFERROR(VLOOKUP(Tabla1[[#This Row],[MEDICAMENTO]],TAB_REF!$B$3:$F$27,5,0), "")</f>
        <v>Caja x 10 unidades</v>
      </c>
      <c r="AD446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447" spans="2:30" x14ac:dyDescent="0.25">
      <c r="B447" s="10">
        <v>166</v>
      </c>
      <c r="C447" s="10" t="s">
        <v>3075</v>
      </c>
      <c r="D447" s="10" t="s">
        <v>3076</v>
      </c>
      <c r="E447" s="10" t="s">
        <v>2856</v>
      </c>
      <c r="F447" s="10" t="s">
        <v>2567</v>
      </c>
      <c r="G447" s="38" t="s">
        <v>2568</v>
      </c>
      <c r="H447" s="10" t="s">
        <v>2569</v>
      </c>
      <c r="I447" s="10" t="s">
        <v>2110</v>
      </c>
      <c r="J447" s="10" t="s">
        <v>1235</v>
      </c>
      <c r="K447" s="10" t="s">
        <v>3077</v>
      </c>
      <c r="L447" s="11">
        <v>202124100607472</v>
      </c>
      <c r="M447" s="20">
        <v>44298</v>
      </c>
      <c r="N447" s="20" t="str">
        <f>UPPER(TEXT(Tabla1[[#This Row],[FECHA RADICADO ENTRADA]],"MMM"))</f>
        <v>ABR</v>
      </c>
      <c r="O447" s="11">
        <v>202124110595311</v>
      </c>
      <c r="P447" s="20">
        <v>44305</v>
      </c>
      <c r="Q447" s="20" t="str">
        <f>UPPER(TEXT(Tabla1[[#This Row],[FECHA RADICADO ENTRADA]],"MMM"))</f>
        <v>ABR</v>
      </c>
      <c r="R447" s="10">
        <f t="shared" si="6"/>
        <v>-7</v>
      </c>
      <c r="S447" s="10" t="s">
        <v>2154</v>
      </c>
      <c r="U447" s="10" t="s">
        <v>2570</v>
      </c>
      <c r="V447" s="20">
        <v>44095</v>
      </c>
      <c r="W447" s="10" t="s">
        <v>63</v>
      </c>
      <c r="X447" s="10">
        <v>150</v>
      </c>
      <c r="Y447" s="11">
        <f>IFERROR(INT(Tabla1[[#This Row],[CANTIDAD UND FARMACEUTICAS]]/(VLOOKUP(Tabla1[[#This Row],[MEDICAMENTO]],TAB_REF!$K$3:$L$27,2,0))),"")</f>
        <v>15</v>
      </c>
      <c r="Z447" s="10" t="str">
        <f>IFERROR(VLOOKUP(Tabla1[[#This Row],[MEDICAMENTO]],TAB_REF!$B$3:$F$27,2,0), "")</f>
        <v xml:space="preserve">Morfina HCl </v>
      </c>
      <c r="AA447" s="10" t="str">
        <f>IFERROR(VLOOKUP(Tabla1[[#This Row],[MEDICAMENTO]],TAB_REF!$B$3:$F$27,3,0), "")</f>
        <v xml:space="preserve">10 mg/mL </v>
      </c>
      <c r="AB447" s="10" t="str">
        <f>IFERROR(VLOOKUP(Tabla1[[#This Row],[MEDICAMENTO]],TAB_REF!$B$3:$F$27,4,0), "")</f>
        <v>Solución Inyectable</v>
      </c>
      <c r="AC447" s="10" t="str">
        <f>IFERROR(VLOOKUP(Tabla1[[#This Row],[MEDICAMENTO]],TAB_REF!$B$3:$F$27,5,0), "")</f>
        <v>Caja x 10 unidades</v>
      </c>
      <c r="AD447" s="10" t="str">
        <f>IFERROR(VLOOKUP(Tabla1[[#This Row],[CANTIDAD UND COMERCIALES]],TAB_REF!$H$3:$I$1003,2,0)&amp;" ("&amp;Tabla1[[#This Row],[CANTIDAD UND COMERCIALES]]&amp;")"&amp;"_"&amp;Tabla1[[#This Row],[CANTIDAD]],"")</f>
        <v>Quince (15)_Caja x 10 unidades</v>
      </c>
    </row>
    <row r="448" spans="2:30" x14ac:dyDescent="0.25">
      <c r="B448" s="10">
        <v>166</v>
      </c>
      <c r="C448" s="10" t="s">
        <v>3075</v>
      </c>
      <c r="D448" s="10" t="s">
        <v>3076</v>
      </c>
      <c r="E448" s="10" t="s">
        <v>2856</v>
      </c>
      <c r="F448" s="10" t="s">
        <v>2567</v>
      </c>
      <c r="G448" s="38" t="s">
        <v>2568</v>
      </c>
      <c r="H448" s="10" t="s">
        <v>2569</v>
      </c>
      <c r="I448" s="10" t="s">
        <v>2110</v>
      </c>
      <c r="J448" s="10" t="s">
        <v>1235</v>
      </c>
      <c r="K448" s="10" t="s">
        <v>3077</v>
      </c>
      <c r="L448" s="11">
        <v>202124100607472</v>
      </c>
      <c r="M448" s="20">
        <v>44298</v>
      </c>
      <c r="N448" s="20" t="str">
        <f>UPPER(TEXT(Tabla1[[#This Row],[FECHA RADICADO ENTRADA]],"MMM"))</f>
        <v>ABR</v>
      </c>
      <c r="O448" s="11">
        <v>202124110595311</v>
      </c>
      <c r="P448" s="20">
        <v>44305</v>
      </c>
      <c r="Q448" s="20" t="str">
        <f>UPPER(TEXT(Tabla1[[#This Row],[FECHA RADICADO ENTRADA]],"MMM"))</f>
        <v>ABR</v>
      </c>
      <c r="R448" s="10">
        <f t="shared" si="6"/>
        <v>-7</v>
      </c>
      <c r="S448" s="10" t="s">
        <v>2154</v>
      </c>
      <c r="U448" s="10" t="s">
        <v>2570</v>
      </c>
      <c r="V448" s="20">
        <v>44095</v>
      </c>
      <c r="W448" s="10" t="s">
        <v>41</v>
      </c>
      <c r="X448" s="10">
        <v>100</v>
      </c>
      <c r="Y448" s="11">
        <f>IFERROR(INT(Tabla1[[#This Row],[CANTIDAD UND FARMACEUTICAS]]/(VLOOKUP(Tabla1[[#This Row],[MEDICAMENTO]],TAB_REF!$K$3:$L$27,2,0))),"")</f>
        <v>10</v>
      </c>
      <c r="Z448" s="10" t="str">
        <f>IFERROR(VLOOKUP(Tabla1[[#This Row],[MEDICAMENTO]],TAB_REF!$B$3:$F$27,2,0), "")</f>
        <v xml:space="preserve">Meperidina HCl </v>
      </c>
      <c r="AA448" s="10" t="str">
        <f>IFERROR(VLOOKUP(Tabla1[[#This Row],[MEDICAMENTO]],TAB_REF!$B$3:$F$27,3,0), "")</f>
        <v xml:space="preserve">100 mg/2mL </v>
      </c>
      <c r="AB448" s="10" t="str">
        <f>IFERROR(VLOOKUP(Tabla1[[#This Row],[MEDICAMENTO]],TAB_REF!$B$3:$F$27,4,0), "")</f>
        <v>Solución Inyectable</v>
      </c>
      <c r="AC448" s="10" t="str">
        <f>IFERROR(VLOOKUP(Tabla1[[#This Row],[MEDICAMENTO]],TAB_REF!$B$3:$F$27,5,0), "")</f>
        <v>Caja 10 ampollas</v>
      </c>
      <c r="AD448" s="10" t="str">
        <f>IFERROR(VLOOKUP(Tabla1[[#This Row],[CANTIDAD UND COMERCIALES]],TAB_REF!$H$3:$I$1003,2,0)&amp;" ("&amp;Tabla1[[#This Row],[CANTIDAD UND COMERCIALES]]&amp;")"&amp;"_"&amp;Tabla1[[#This Row],[CANTIDAD]],"")</f>
        <v>Diez (10)_Caja 10 ampollas</v>
      </c>
    </row>
    <row r="449" spans="2:30" x14ac:dyDescent="0.25">
      <c r="B449" s="10">
        <v>167</v>
      </c>
      <c r="C449" s="10" t="s">
        <v>2217</v>
      </c>
      <c r="D449" s="10" t="s">
        <v>2162</v>
      </c>
      <c r="E449" s="10" t="s">
        <v>2674</v>
      </c>
      <c r="F449" s="10" t="s">
        <v>2897</v>
      </c>
      <c r="G449" s="10" t="s">
        <v>2676</v>
      </c>
      <c r="H449" s="10" t="s">
        <v>2677</v>
      </c>
      <c r="I449" s="10" t="s">
        <v>2122</v>
      </c>
      <c r="J449" s="10" t="s">
        <v>1742</v>
      </c>
      <c r="K449" s="10" t="s">
        <v>3078</v>
      </c>
      <c r="L449" s="11">
        <v>202124100611762</v>
      </c>
      <c r="M449" s="20">
        <v>44298</v>
      </c>
      <c r="N449" s="20" t="str">
        <f>UPPER(TEXT(Tabla1[[#This Row],[FECHA RADICADO ENTRADA]],"MMM"))</f>
        <v>ABR</v>
      </c>
      <c r="O449" s="11">
        <v>202124110595441</v>
      </c>
      <c r="P449" s="20">
        <v>44305</v>
      </c>
      <c r="Q449" s="20" t="str">
        <f>UPPER(TEXT(Tabla1[[#This Row],[FECHA RADICADO ENTRADA]],"MMM"))</f>
        <v>ABR</v>
      </c>
      <c r="R449" s="10">
        <f t="shared" si="6"/>
        <v>-7</v>
      </c>
      <c r="S449" s="10" t="s">
        <v>2154</v>
      </c>
      <c r="U449" s="10" t="s">
        <v>2679</v>
      </c>
      <c r="V449" s="20">
        <v>43767</v>
      </c>
      <c r="W449" s="10" t="s">
        <v>60</v>
      </c>
      <c r="X449" s="10">
        <v>7</v>
      </c>
      <c r="Y449" s="11">
        <f>IFERROR(INT(Tabla1[[#This Row],[CANTIDAD UND FARMACEUTICAS]]/(VLOOKUP(Tabla1[[#This Row],[MEDICAMENTO]],TAB_REF!$K$3:$L$27,2,0))),"")</f>
        <v>7</v>
      </c>
      <c r="Z449" s="10" t="str">
        <f>IFERROR(VLOOKUP(Tabla1[[#This Row],[MEDICAMENTO]],TAB_REF!$B$3:$F$27,2,0), "")</f>
        <v xml:space="preserve">Morfina HCl </v>
      </c>
      <c r="AA449" s="10" t="str">
        <f>IFERROR(VLOOKUP(Tabla1[[#This Row],[MEDICAMENTO]],TAB_REF!$B$3:$F$27,3,0), "")</f>
        <v xml:space="preserve">3%. </v>
      </c>
      <c r="AB449" s="10" t="str">
        <f>IFERROR(VLOOKUP(Tabla1[[#This Row],[MEDICAMENTO]],TAB_REF!$B$3:$F$27,4,0), "")</f>
        <v>Solución Oral</v>
      </c>
      <c r="AC449" s="10" t="str">
        <f>IFERROR(VLOOKUP(Tabla1[[#This Row],[MEDICAMENTO]],TAB_REF!$B$3:$F$27,5,0), "")</f>
        <v>Frasco x 30 mL</v>
      </c>
      <c r="AD449" s="10" t="str">
        <f>IFERROR(VLOOKUP(Tabla1[[#This Row],[CANTIDAD UND COMERCIALES]],TAB_REF!$H$3:$I$1003,2,0)&amp;" ("&amp;Tabla1[[#This Row],[CANTIDAD UND COMERCIALES]]&amp;")"&amp;"_"&amp;Tabla1[[#This Row],[CANTIDAD]],"")</f>
        <v>Siete (7)_Frasco x 30 mL</v>
      </c>
    </row>
    <row r="450" spans="2:30" x14ac:dyDescent="0.25">
      <c r="B450" s="10">
        <v>167</v>
      </c>
      <c r="C450" s="10" t="s">
        <v>2217</v>
      </c>
      <c r="D450" s="10" t="s">
        <v>2162</v>
      </c>
      <c r="E450" s="10" t="s">
        <v>2674</v>
      </c>
      <c r="F450" s="10" t="s">
        <v>2897</v>
      </c>
      <c r="G450" s="10" t="s">
        <v>2676</v>
      </c>
      <c r="H450" s="10" t="s">
        <v>2677</v>
      </c>
      <c r="I450" s="10" t="s">
        <v>2122</v>
      </c>
      <c r="J450" s="10" t="s">
        <v>1742</v>
      </c>
      <c r="K450" s="10" t="s">
        <v>3078</v>
      </c>
      <c r="L450" s="11">
        <v>202124100611762</v>
      </c>
      <c r="M450" s="20">
        <v>44298</v>
      </c>
      <c r="N450" s="20" t="str">
        <f>UPPER(TEXT(Tabla1[[#This Row],[FECHA RADICADO ENTRADA]],"MMM"))</f>
        <v>ABR</v>
      </c>
      <c r="O450" s="11">
        <v>202124110595441</v>
      </c>
      <c r="P450" s="20">
        <v>44305</v>
      </c>
      <c r="Q450" s="20" t="str">
        <f>UPPER(TEXT(Tabla1[[#This Row],[FECHA RADICADO ENTRADA]],"MMM"))</f>
        <v>ABR</v>
      </c>
      <c r="R450" s="10">
        <f t="shared" ref="R450:R513" si="7">_xlfn.DAYS(M450,P450)</f>
        <v>-7</v>
      </c>
      <c r="S450" s="10" t="s">
        <v>2154</v>
      </c>
      <c r="U450" s="10" t="s">
        <v>2679</v>
      </c>
      <c r="V450" s="20">
        <v>43767</v>
      </c>
      <c r="W450" s="10" t="s">
        <v>48</v>
      </c>
      <c r="X450" s="10">
        <v>60</v>
      </c>
      <c r="Y450" s="11">
        <f>IFERROR(INT(Tabla1[[#This Row],[CANTIDAD UND FARMACEUTICAS]]/(VLOOKUP(Tabla1[[#This Row],[MEDICAMENTO]],TAB_REF!$K$3:$L$27,2,0))),"")</f>
        <v>2</v>
      </c>
      <c r="Z450" s="10" t="str">
        <f>IFERROR(VLOOKUP(Tabla1[[#This Row],[MEDICAMENTO]],TAB_REF!$B$3:$F$27,2,0), "")</f>
        <v xml:space="preserve">Metilfenidato HCl </v>
      </c>
      <c r="AA450" s="10" t="str">
        <f>IFERROR(VLOOKUP(Tabla1[[#This Row],[MEDICAMENTO]],TAB_REF!$B$3:$F$27,3,0), "")</f>
        <v xml:space="preserve">10 mg </v>
      </c>
      <c r="AB450" s="10" t="str">
        <f>IFERROR(VLOOKUP(Tabla1[[#This Row],[MEDICAMENTO]],TAB_REF!$B$3:$F$27,4,0), "")</f>
        <v>Comprimidos</v>
      </c>
      <c r="AC450" s="10" t="str">
        <f>IFERROR(VLOOKUP(Tabla1[[#This Row],[MEDICAMENTO]],TAB_REF!$B$3:$F$27,5,0), "")</f>
        <v>Caja x 30 unidades</v>
      </c>
      <c r="AD450" s="10" t="str">
        <f>IFERROR(VLOOKUP(Tabla1[[#This Row],[CANTIDAD UND COMERCIALES]],TAB_REF!$H$3:$I$1003,2,0)&amp;" ("&amp;Tabla1[[#This Row],[CANTIDAD UND COMERCIALES]]&amp;")"&amp;"_"&amp;Tabla1[[#This Row],[CANTIDAD]],"")</f>
        <v>Dos (2)_Caja x 30 unidades</v>
      </c>
    </row>
    <row r="451" spans="2:30" x14ac:dyDescent="0.25">
      <c r="B451" s="24">
        <v>168</v>
      </c>
      <c r="C451" s="10" t="s">
        <v>2149</v>
      </c>
      <c r="D451" s="10" t="s">
        <v>2162</v>
      </c>
      <c r="E451" s="10" t="s">
        <v>2235</v>
      </c>
      <c r="F451" s="10" t="s">
        <v>2236</v>
      </c>
      <c r="G451" s="10" t="s">
        <v>2193</v>
      </c>
      <c r="H451" s="10" t="s">
        <v>3079</v>
      </c>
      <c r="I451" s="10" t="s">
        <v>2116</v>
      </c>
      <c r="J451" s="10" t="s">
        <v>1550</v>
      </c>
      <c r="K451" s="10" t="s">
        <v>3080</v>
      </c>
      <c r="L451" s="11">
        <v>202124100612142</v>
      </c>
      <c r="M451" s="20">
        <v>44298</v>
      </c>
      <c r="N451" s="20" t="str">
        <f>UPPER(TEXT(Tabla1[[#This Row],[FECHA RADICADO ENTRADA]],"MMM"))</f>
        <v>ABR</v>
      </c>
      <c r="O451" s="11">
        <v>202124110607981</v>
      </c>
      <c r="P451" s="20">
        <v>44306</v>
      </c>
      <c r="Q451" s="20" t="str">
        <f>UPPER(TEXT(Tabla1[[#This Row],[FECHA RADICADO ENTRADA]],"MMM"))</f>
        <v>ABR</v>
      </c>
      <c r="R451" s="10">
        <f t="shared" si="7"/>
        <v>-8</v>
      </c>
      <c r="S451" s="10" t="s">
        <v>2154</v>
      </c>
      <c r="U451" s="10" t="s">
        <v>3086</v>
      </c>
      <c r="V451" s="20">
        <v>43829</v>
      </c>
      <c r="W451" s="10" t="s">
        <v>63</v>
      </c>
      <c r="X451" s="10">
        <v>600</v>
      </c>
      <c r="Y451" s="11">
        <f>IFERROR(INT(Tabla1[[#This Row],[CANTIDAD UND FARMACEUTICAS]]/(VLOOKUP(Tabla1[[#This Row],[MEDICAMENTO]],TAB_REF!$K$3:$L$27,2,0))),"")</f>
        <v>60</v>
      </c>
      <c r="Z451" s="10" t="str">
        <f>IFERROR(VLOOKUP(Tabla1[[#This Row],[MEDICAMENTO]],TAB_REF!$B$3:$F$27,2,0), "")</f>
        <v xml:space="preserve">Morfina HCl </v>
      </c>
      <c r="AA451" s="10" t="str">
        <f>IFERROR(VLOOKUP(Tabla1[[#This Row],[MEDICAMENTO]],TAB_REF!$B$3:$F$27,3,0), "")</f>
        <v xml:space="preserve">10 mg/mL </v>
      </c>
      <c r="AB451" s="10" t="str">
        <f>IFERROR(VLOOKUP(Tabla1[[#This Row],[MEDICAMENTO]],TAB_REF!$B$3:$F$27,4,0), "")</f>
        <v>Solución Inyectable</v>
      </c>
      <c r="AC451" s="10" t="str">
        <f>IFERROR(VLOOKUP(Tabla1[[#This Row],[MEDICAMENTO]],TAB_REF!$B$3:$F$27,5,0), "")</f>
        <v>Caja x 10 unidades</v>
      </c>
      <c r="AD451" s="10" t="str">
        <f>IFERROR(VLOOKUP(Tabla1[[#This Row],[CANTIDAD UND COMERCIALES]],TAB_REF!$H$3:$I$1003,2,0)&amp;" ("&amp;Tabla1[[#This Row],[CANTIDAD UND COMERCIALES]]&amp;")"&amp;"_"&amp;Tabla1[[#This Row],[CANTIDAD]],"")</f>
        <v>Sesenta (60)_Caja x 10 unidades</v>
      </c>
    </row>
    <row r="452" spans="2:30" x14ac:dyDescent="0.25">
      <c r="B452" s="24">
        <v>168</v>
      </c>
      <c r="C452" s="10" t="s">
        <v>2149</v>
      </c>
      <c r="D452" s="10" t="s">
        <v>2162</v>
      </c>
      <c r="E452" s="10" t="s">
        <v>2235</v>
      </c>
      <c r="F452" s="10" t="s">
        <v>2236</v>
      </c>
      <c r="G452" s="10" t="s">
        <v>2193</v>
      </c>
      <c r="H452" s="10" t="s">
        <v>3079</v>
      </c>
      <c r="I452" s="10" t="s">
        <v>2116</v>
      </c>
      <c r="J452" s="10" t="s">
        <v>1550</v>
      </c>
      <c r="K452" s="10" t="s">
        <v>3080</v>
      </c>
      <c r="L452" s="11">
        <v>202124100612142</v>
      </c>
      <c r="M452" s="20">
        <v>44298</v>
      </c>
      <c r="N452" s="20" t="str">
        <f>UPPER(TEXT(Tabla1[[#This Row],[FECHA RADICADO ENTRADA]],"MMM"))</f>
        <v>ABR</v>
      </c>
      <c r="O452" s="11">
        <v>202124110607981</v>
      </c>
      <c r="P452" s="20">
        <v>44306</v>
      </c>
      <c r="Q452" s="20" t="str">
        <f>UPPER(TEXT(Tabla1[[#This Row],[FECHA RADICADO ENTRADA]],"MMM"))</f>
        <v>ABR</v>
      </c>
      <c r="R452" s="10">
        <f t="shared" si="7"/>
        <v>-8</v>
      </c>
      <c r="S452" s="10" t="s">
        <v>2145</v>
      </c>
      <c r="T452" s="10" t="s">
        <v>2537</v>
      </c>
      <c r="U452" s="10" t="s">
        <v>3086</v>
      </c>
      <c r="V452" s="20">
        <v>43829</v>
      </c>
      <c r="W452" s="10" t="s">
        <v>37</v>
      </c>
      <c r="X452" s="10">
        <v>0</v>
      </c>
      <c r="Y452" s="11">
        <f>IFERROR(INT(Tabla1[[#This Row],[CANTIDAD UND FARMACEUTICAS]]/(VLOOKUP(Tabla1[[#This Row],[MEDICAMENTO]],TAB_REF!$K$3:$L$27,2,0))),"")</f>
        <v>0</v>
      </c>
      <c r="Z452" s="10" t="str">
        <f>IFERROR(VLOOKUP(Tabla1[[#This Row],[MEDICAMENTO]],TAB_REF!$B$3:$F$27,2,0), "")</f>
        <v xml:space="preserve">Hidromorfona HCl </v>
      </c>
      <c r="AA452" s="10" t="str">
        <f>IFERROR(VLOOKUP(Tabla1[[#This Row],[MEDICAMENTO]],TAB_REF!$B$3:$F$27,3,0), "")</f>
        <v xml:space="preserve">2 mg/mL </v>
      </c>
      <c r="AB452" s="10" t="str">
        <f>IFERROR(VLOOKUP(Tabla1[[#This Row],[MEDICAMENTO]],TAB_REF!$B$3:$F$27,4,0), "")</f>
        <v>Solución Inyectable</v>
      </c>
      <c r="AC452" s="10" t="str">
        <f>IFERROR(VLOOKUP(Tabla1[[#This Row],[MEDICAMENTO]],TAB_REF!$B$3:$F$27,5,0), "")</f>
        <v>Caja x 10 unidades</v>
      </c>
      <c r="AD452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453" spans="2:30" x14ac:dyDescent="0.25">
      <c r="B453" s="24">
        <v>168</v>
      </c>
      <c r="C453" s="10" t="s">
        <v>2149</v>
      </c>
      <c r="D453" s="10" t="s">
        <v>2162</v>
      </c>
      <c r="E453" s="10" t="s">
        <v>2235</v>
      </c>
      <c r="F453" s="10" t="s">
        <v>2236</v>
      </c>
      <c r="G453" s="21" t="s">
        <v>2193</v>
      </c>
      <c r="H453" s="10" t="s">
        <v>3079</v>
      </c>
      <c r="I453" s="10" t="s">
        <v>2116</v>
      </c>
      <c r="J453" s="10" t="s">
        <v>1550</v>
      </c>
      <c r="K453" s="10" t="s">
        <v>3080</v>
      </c>
      <c r="L453" s="11">
        <v>202124100612142</v>
      </c>
      <c r="M453" s="20">
        <v>44298</v>
      </c>
      <c r="N453" s="20" t="str">
        <f>UPPER(TEXT(Tabla1[[#This Row],[FECHA RADICADO ENTRADA]],"MMM"))</f>
        <v>ABR</v>
      </c>
      <c r="O453" s="11">
        <v>202124110607981</v>
      </c>
      <c r="P453" s="20">
        <v>44306</v>
      </c>
      <c r="Q453" s="20" t="str">
        <f>UPPER(TEXT(Tabla1[[#This Row],[FECHA RADICADO ENTRADA]],"MMM"))</f>
        <v>ABR</v>
      </c>
      <c r="R453" s="10">
        <f t="shared" si="7"/>
        <v>-8</v>
      </c>
      <c r="S453" s="10" t="s">
        <v>2154</v>
      </c>
      <c r="U453" s="10" t="s">
        <v>3086</v>
      </c>
      <c r="V453" s="20">
        <v>43829</v>
      </c>
      <c r="W453" s="10" t="s">
        <v>38</v>
      </c>
      <c r="X453" s="10">
        <v>3000</v>
      </c>
      <c r="Y453" s="11">
        <f>IFERROR(INT(Tabla1[[#This Row],[CANTIDAD UND FARMACEUTICAS]]/(VLOOKUP(Tabla1[[#This Row],[MEDICAMENTO]],TAB_REF!$K$3:$L$27,2,0))),"")</f>
        <v>150</v>
      </c>
      <c r="Z453" s="10" t="str">
        <f>IFERROR(VLOOKUP(Tabla1[[#This Row],[MEDICAMENTO]],TAB_REF!$B$3:$F$27,2,0), "")</f>
        <v xml:space="preserve">Hidromorfona HCl </v>
      </c>
      <c r="AA453" s="10" t="str">
        <f>IFERROR(VLOOKUP(Tabla1[[#This Row],[MEDICAMENTO]],TAB_REF!$B$3:$F$27,3,0), "")</f>
        <v xml:space="preserve">2,5 mg </v>
      </c>
      <c r="AB453" s="10" t="str">
        <f>IFERROR(VLOOKUP(Tabla1[[#This Row],[MEDICAMENTO]],TAB_REF!$B$3:$F$27,4,0), "")</f>
        <v>Tabletas</v>
      </c>
      <c r="AC453" s="10" t="str">
        <f>IFERROR(VLOOKUP(Tabla1[[#This Row],[MEDICAMENTO]],TAB_REF!$B$3:$F$27,5,0), "")</f>
        <v>Caja x 20 unidades</v>
      </c>
      <c r="AD453" s="10" t="str">
        <f>IFERROR(VLOOKUP(Tabla1[[#This Row],[CANTIDAD UND COMERCIALES]],TAB_REF!$H$3:$I$1003,2,0)&amp;" ("&amp;Tabla1[[#This Row],[CANTIDAD UND COMERCIALES]]&amp;")"&amp;"_"&amp;Tabla1[[#This Row],[CANTIDAD]],"")</f>
        <v>Ciento Cincuenta (150)_Caja x 20 unidades</v>
      </c>
    </row>
    <row r="454" spans="2:30" x14ac:dyDescent="0.25">
      <c r="B454" s="10">
        <v>169</v>
      </c>
      <c r="C454" s="10" t="s">
        <v>3081</v>
      </c>
      <c r="D454" s="10" t="s">
        <v>2162</v>
      </c>
      <c r="E454" s="10" t="s">
        <v>2799</v>
      </c>
      <c r="F454" s="10" t="s">
        <v>2697</v>
      </c>
      <c r="G454" s="10" t="s">
        <v>2698</v>
      </c>
      <c r="H454" s="10" t="s">
        <v>3082</v>
      </c>
      <c r="I454" s="10" t="s">
        <v>2122</v>
      </c>
      <c r="J454" s="10" t="s">
        <v>1742</v>
      </c>
      <c r="K454" s="10" t="s">
        <v>2947</v>
      </c>
      <c r="L454" s="11">
        <v>202124100617352</v>
      </c>
      <c r="M454" s="20">
        <v>44298</v>
      </c>
      <c r="N454" s="20" t="str">
        <f>UPPER(TEXT(Tabla1[[#This Row],[FECHA RADICADO ENTRADA]],"MMM"))</f>
        <v>ABR</v>
      </c>
      <c r="O454" s="11">
        <v>202124110595521</v>
      </c>
      <c r="P454" s="20">
        <v>44305</v>
      </c>
      <c r="Q454" s="20" t="str">
        <f>UPPER(TEXT(Tabla1[[#This Row],[FECHA RADICADO ENTRADA]],"MMM"))</f>
        <v>ABR</v>
      </c>
      <c r="R454" s="10">
        <f t="shared" si="7"/>
        <v>-7</v>
      </c>
      <c r="S454" s="10" t="s">
        <v>2154</v>
      </c>
      <c r="U454" s="10" t="s">
        <v>3083</v>
      </c>
      <c r="V454" s="20">
        <v>44194</v>
      </c>
      <c r="W454" s="10" t="s">
        <v>32</v>
      </c>
      <c r="X454" s="10">
        <f>60*30</f>
        <v>1800</v>
      </c>
      <c r="Y454" s="11">
        <f>IFERROR(INT(Tabla1[[#This Row],[CANTIDAD UND FARMACEUTICAS]]/(VLOOKUP(Tabla1[[#This Row],[MEDICAMENTO]],TAB_REF!$K$3:$L$27,2,0))),"")</f>
        <v>60</v>
      </c>
      <c r="Z454" s="10" t="str">
        <f>IFERROR(VLOOKUP(Tabla1[[#This Row],[MEDICAMENTO]],TAB_REF!$B$3:$F$27,2,0), "")</f>
        <v xml:space="preserve">Fenobarbital </v>
      </c>
      <c r="AA454" s="10" t="str">
        <f>IFERROR(VLOOKUP(Tabla1[[#This Row],[MEDICAMENTO]],TAB_REF!$B$3:$F$27,3,0), "")</f>
        <v xml:space="preserve">100 mg </v>
      </c>
      <c r="AB454" s="10" t="str">
        <f>IFERROR(VLOOKUP(Tabla1[[#This Row],[MEDICAMENTO]],TAB_REF!$B$3:$F$27,4,0), "")</f>
        <v>Tabletas</v>
      </c>
      <c r="AC454" s="10" t="str">
        <f>IFERROR(VLOOKUP(Tabla1[[#This Row],[MEDICAMENTO]],TAB_REF!$B$3:$F$27,5,0), "")</f>
        <v>Caja x 30 unidades</v>
      </c>
      <c r="AD454" s="10" t="str">
        <f>IFERROR(VLOOKUP(Tabla1[[#This Row],[CANTIDAD UND COMERCIALES]],TAB_REF!$H$3:$I$1003,2,0)&amp;" ("&amp;Tabla1[[#This Row],[CANTIDAD UND COMERCIALES]]&amp;")"&amp;"_"&amp;Tabla1[[#This Row],[CANTIDAD]],"")</f>
        <v>Sesenta (60)_Caja x 30 unidades</v>
      </c>
    </row>
    <row r="455" spans="2:30" x14ac:dyDescent="0.25">
      <c r="B455" s="10">
        <v>169</v>
      </c>
      <c r="C455" s="10" t="s">
        <v>3081</v>
      </c>
      <c r="D455" s="10" t="s">
        <v>2162</v>
      </c>
      <c r="E455" s="10" t="s">
        <v>2799</v>
      </c>
      <c r="F455" s="10" t="s">
        <v>2697</v>
      </c>
      <c r="G455" s="10" t="s">
        <v>2698</v>
      </c>
      <c r="H455" s="10" t="s">
        <v>3082</v>
      </c>
      <c r="I455" s="10" t="s">
        <v>2122</v>
      </c>
      <c r="J455" s="10" t="s">
        <v>1742</v>
      </c>
      <c r="K455" s="10" t="s">
        <v>2947</v>
      </c>
      <c r="L455" s="11">
        <v>202124100617352</v>
      </c>
      <c r="M455" s="20">
        <v>44298</v>
      </c>
      <c r="N455" s="20" t="str">
        <f>UPPER(TEXT(Tabla1[[#This Row],[FECHA RADICADO ENTRADA]],"MMM"))</f>
        <v>ABR</v>
      </c>
      <c r="O455" s="11">
        <v>202124110595521</v>
      </c>
      <c r="P455" s="20">
        <v>44305</v>
      </c>
      <c r="Q455" s="20" t="str">
        <f>UPPER(TEXT(Tabla1[[#This Row],[FECHA RADICADO ENTRADA]],"MMM"))</f>
        <v>ABR</v>
      </c>
      <c r="R455" s="10">
        <f t="shared" si="7"/>
        <v>-7</v>
      </c>
      <c r="S455" s="10" t="s">
        <v>2154</v>
      </c>
      <c r="U455" s="10" t="s">
        <v>3083</v>
      </c>
      <c r="V455" s="20">
        <v>44194</v>
      </c>
      <c r="W455" s="10" t="s">
        <v>28</v>
      </c>
      <c r="X455" s="10">
        <v>4</v>
      </c>
      <c r="Y455" s="11">
        <f>IFERROR(INT(Tabla1[[#This Row],[CANTIDAD UND FARMACEUTICAS]]/(VLOOKUP(Tabla1[[#This Row],[MEDICAMENTO]],TAB_REF!$K$3:$L$27,2,0))),"")</f>
        <v>4</v>
      </c>
      <c r="Z455" s="10" t="str">
        <f>IFERROR(VLOOKUP(Tabla1[[#This Row],[MEDICAMENTO]],TAB_REF!$B$3:$F$27,2,0), "")</f>
        <v xml:space="preserve">Fenobarbital </v>
      </c>
      <c r="AA455" s="10" t="str">
        <f>IFERROR(VLOOKUP(Tabla1[[#This Row],[MEDICAMENTO]],TAB_REF!$B$3:$F$27,3,0), "")</f>
        <v xml:space="preserve">0,4%. </v>
      </c>
      <c r="AB455" s="10" t="str">
        <f>IFERROR(VLOOKUP(Tabla1[[#This Row],[MEDICAMENTO]],TAB_REF!$B$3:$F$27,4,0), "")</f>
        <v>Solución Oral</v>
      </c>
      <c r="AC455" s="10" t="str">
        <f>IFERROR(VLOOKUP(Tabla1[[#This Row],[MEDICAMENTO]],TAB_REF!$B$3:$F$27,5,0), "")</f>
        <v>Frasco x 120 mL</v>
      </c>
      <c r="AD455" s="10" t="str">
        <f>IFERROR(VLOOKUP(Tabla1[[#This Row],[CANTIDAD UND COMERCIALES]],TAB_REF!$H$3:$I$1003,2,0)&amp;" ("&amp;Tabla1[[#This Row],[CANTIDAD UND COMERCIALES]]&amp;")"&amp;"_"&amp;Tabla1[[#This Row],[CANTIDAD]],"")</f>
        <v>Cuatro (4)_Frasco x 120 mL</v>
      </c>
    </row>
    <row r="456" spans="2:30" x14ac:dyDescent="0.25">
      <c r="B456" s="10">
        <v>169</v>
      </c>
      <c r="C456" s="10" t="s">
        <v>3081</v>
      </c>
      <c r="D456" s="10" t="s">
        <v>2162</v>
      </c>
      <c r="E456" s="10" t="s">
        <v>2799</v>
      </c>
      <c r="F456" s="10" t="s">
        <v>2697</v>
      </c>
      <c r="G456" s="10" t="s">
        <v>2698</v>
      </c>
      <c r="H456" s="10" t="s">
        <v>3082</v>
      </c>
      <c r="I456" s="10" t="s">
        <v>2122</v>
      </c>
      <c r="J456" s="10" t="s">
        <v>1742</v>
      </c>
      <c r="K456" s="10" t="s">
        <v>2947</v>
      </c>
      <c r="L456" s="11">
        <v>202124100617352</v>
      </c>
      <c r="M456" s="20">
        <v>44298</v>
      </c>
      <c r="N456" s="20" t="str">
        <f>UPPER(TEXT(Tabla1[[#This Row],[FECHA RADICADO ENTRADA]],"MMM"))</f>
        <v>ABR</v>
      </c>
      <c r="O456" s="11">
        <v>202124110595521</v>
      </c>
      <c r="P456" s="20">
        <v>44305</v>
      </c>
      <c r="Q456" s="20" t="str">
        <f>UPPER(TEXT(Tabla1[[#This Row],[FECHA RADICADO ENTRADA]],"MMM"))</f>
        <v>ABR</v>
      </c>
      <c r="R456" s="10">
        <f t="shared" si="7"/>
        <v>-7</v>
      </c>
      <c r="S456" s="10" t="s">
        <v>2154</v>
      </c>
      <c r="U456" s="10" t="s">
        <v>3083</v>
      </c>
      <c r="V456" s="20">
        <v>44194</v>
      </c>
      <c r="W456" s="10" t="s">
        <v>33</v>
      </c>
      <c r="X456" s="10">
        <v>120</v>
      </c>
      <c r="Y456" s="11">
        <f>IFERROR(INT(Tabla1[[#This Row],[CANTIDAD UND FARMACEUTICAS]]/(VLOOKUP(Tabla1[[#This Row],[MEDICAMENTO]],TAB_REF!$K$3:$L$27,2,0))),"")</f>
        <v>4</v>
      </c>
      <c r="Z456" s="10" t="str">
        <f>IFERROR(VLOOKUP(Tabla1[[#This Row],[MEDICAMENTO]],TAB_REF!$B$3:$F$27,2,0), "")</f>
        <v xml:space="preserve">Fenobarbital </v>
      </c>
      <c r="AA456" s="10" t="str">
        <f>IFERROR(VLOOKUP(Tabla1[[#This Row],[MEDICAMENTO]],TAB_REF!$B$3:$F$27,3,0), "")</f>
        <v xml:space="preserve">50 mg </v>
      </c>
      <c r="AB456" s="10" t="str">
        <f>IFERROR(VLOOKUP(Tabla1[[#This Row],[MEDICAMENTO]],TAB_REF!$B$3:$F$27,4,0), "")</f>
        <v>Tabletas</v>
      </c>
      <c r="AC456" s="10" t="str">
        <f>IFERROR(VLOOKUP(Tabla1[[#This Row],[MEDICAMENTO]],TAB_REF!$B$3:$F$27,5,0), "")</f>
        <v>Caja x 30 unidades</v>
      </c>
      <c r="AD456" s="10" t="str">
        <f>IFERROR(VLOOKUP(Tabla1[[#This Row],[CANTIDAD UND COMERCIALES]],TAB_REF!$H$3:$I$1003,2,0)&amp;" ("&amp;Tabla1[[#This Row],[CANTIDAD UND COMERCIALES]]&amp;")"&amp;"_"&amp;Tabla1[[#This Row],[CANTIDAD]],"")</f>
        <v>Cuatro (4)_Caja x 30 unidades</v>
      </c>
    </row>
    <row r="457" spans="2:30" x14ac:dyDescent="0.25">
      <c r="B457" s="10">
        <v>169</v>
      </c>
      <c r="C457" s="10" t="s">
        <v>3081</v>
      </c>
      <c r="D457" s="10" t="s">
        <v>2162</v>
      </c>
      <c r="E457" s="10" t="s">
        <v>2799</v>
      </c>
      <c r="F457" s="10" t="s">
        <v>2697</v>
      </c>
      <c r="G457" s="10" t="s">
        <v>2698</v>
      </c>
      <c r="H457" s="10" t="s">
        <v>3082</v>
      </c>
      <c r="I457" s="10" t="s">
        <v>2122</v>
      </c>
      <c r="J457" s="10" t="s">
        <v>1742</v>
      </c>
      <c r="K457" s="10" t="s">
        <v>2947</v>
      </c>
      <c r="L457" s="11">
        <v>202124100617352</v>
      </c>
      <c r="M457" s="20">
        <v>44298</v>
      </c>
      <c r="N457" s="20" t="str">
        <f>UPPER(TEXT(Tabla1[[#This Row],[FECHA RADICADO ENTRADA]],"MMM"))</f>
        <v>ABR</v>
      </c>
      <c r="O457" s="11">
        <v>202124110595521</v>
      </c>
      <c r="P457" s="20">
        <v>44305</v>
      </c>
      <c r="Q457" s="20" t="str">
        <f>UPPER(TEXT(Tabla1[[#This Row],[FECHA RADICADO ENTRADA]],"MMM"))</f>
        <v>ABR</v>
      </c>
      <c r="R457" s="10">
        <f t="shared" si="7"/>
        <v>-7</v>
      </c>
      <c r="S457" s="10" t="s">
        <v>2154</v>
      </c>
      <c r="U457" s="10" t="s">
        <v>3083</v>
      </c>
      <c r="V457" s="20">
        <v>44194</v>
      </c>
      <c r="W457" s="10" t="s">
        <v>48</v>
      </c>
      <c r="X457" s="10">
        <v>60</v>
      </c>
      <c r="Y457" s="11">
        <f>IFERROR(INT(Tabla1[[#This Row],[CANTIDAD UND FARMACEUTICAS]]/(VLOOKUP(Tabla1[[#This Row],[MEDICAMENTO]],TAB_REF!$K$3:$L$27,2,0))),"")</f>
        <v>2</v>
      </c>
      <c r="Z457" s="10" t="str">
        <f>IFERROR(VLOOKUP(Tabla1[[#This Row],[MEDICAMENTO]],TAB_REF!$B$3:$F$27,2,0), "")</f>
        <v xml:space="preserve">Metilfenidato HCl </v>
      </c>
      <c r="AA457" s="10" t="str">
        <f>IFERROR(VLOOKUP(Tabla1[[#This Row],[MEDICAMENTO]],TAB_REF!$B$3:$F$27,3,0), "")</f>
        <v xml:space="preserve">10 mg </v>
      </c>
      <c r="AB457" s="10" t="str">
        <f>IFERROR(VLOOKUP(Tabla1[[#This Row],[MEDICAMENTO]],TAB_REF!$B$3:$F$27,4,0), "")</f>
        <v>Comprimidos</v>
      </c>
      <c r="AC457" s="10" t="str">
        <f>IFERROR(VLOOKUP(Tabla1[[#This Row],[MEDICAMENTO]],TAB_REF!$B$3:$F$27,5,0), "")</f>
        <v>Caja x 30 unidades</v>
      </c>
      <c r="AD457" s="10" t="str">
        <f>IFERROR(VLOOKUP(Tabla1[[#This Row],[CANTIDAD UND COMERCIALES]],TAB_REF!$H$3:$I$1003,2,0)&amp;" ("&amp;Tabla1[[#This Row],[CANTIDAD UND COMERCIALES]]&amp;")"&amp;"_"&amp;Tabla1[[#This Row],[CANTIDAD]],"")</f>
        <v>Dos (2)_Caja x 30 unidades</v>
      </c>
    </row>
    <row r="458" spans="2:30" x14ac:dyDescent="0.25">
      <c r="B458" s="10">
        <v>170</v>
      </c>
      <c r="C458" s="10" t="s">
        <v>3084</v>
      </c>
      <c r="D458" s="10" t="s">
        <v>3076</v>
      </c>
      <c r="E458" s="10" t="s">
        <v>2251</v>
      </c>
      <c r="F458" s="10" t="s">
        <v>2252</v>
      </c>
      <c r="G458" s="10" t="s">
        <v>2253</v>
      </c>
      <c r="H458" s="10" t="s">
        <v>2254</v>
      </c>
      <c r="I458" s="10" t="s">
        <v>2122</v>
      </c>
      <c r="J458" s="10" t="s">
        <v>1742</v>
      </c>
      <c r="K458" s="10" t="s">
        <v>3085</v>
      </c>
      <c r="L458" s="11">
        <v>202124100617782</v>
      </c>
      <c r="M458" s="20">
        <v>44298</v>
      </c>
      <c r="N458" s="20" t="str">
        <f>UPPER(TEXT(Tabla1[[#This Row],[FECHA RADICADO ENTRADA]],"MMM"))</f>
        <v>ABR</v>
      </c>
      <c r="O458" s="11">
        <v>202124110595561</v>
      </c>
      <c r="P458" s="20">
        <v>44305</v>
      </c>
      <c r="Q458" s="20" t="str">
        <f>UPPER(TEXT(Tabla1[[#This Row],[FECHA RADICADO ENTRADA]],"MMM"))</f>
        <v>ABR</v>
      </c>
      <c r="R458" s="10">
        <f t="shared" si="7"/>
        <v>-7</v>
      </c>
      <c r="S458" s="10" t="s">
        <v>2154</v>
      </c>
      <c r="U458" s="10" t="s">
        <v>2255</v>
      </c>
      <c r="V458" s="20">
        <v>44036</v>
      </c>
      <c r="W458" s="10" t="s">
        <v>63</v>
      </c>
      <c r="X458" s="10">
        <v>300</v>
      </c>
      <c r="Y458" s="11">
        <f>IFERROR(INT(Tabla1[[#This Row],[CANTIDAD UND FARMACEUTICAS]]/(VLOOKUP(Tabla1[[#This Row],[MEDICAMENTO]],TAB_REF!$K$3:$L$27,2,0))),"")</f>
        <v>30</v>
      </c>
      <c r="Z458" s="10" t="str">
        <f>IFERROR(VLOOKUP(Tabla1[[#This Row],[MEDICAMENTO]],TAB_REF!$B$3:$F$27,2,0), "")</f>
        <v xml:space="preserve">Morfina HCl </v>
      </c>
      <c r="AA458" s="10" t="str">
        <f>IFERROR(VLOOKUP(Tabla1[[#This Row],[MEDICAMENTO]],TAB_REF!$B$3:$F$27,3,0), "")</f>
        <v xml:space="preserve">10 mg/mL </v>
      </c>
      <c r="AB458" s="10" t="str">
        <f>IFERROR(VLOOKUP(Tabla1[[#This Row],[MEDICAMENTO]],TAB_REF!$B$3:$F$27,4,0), "")</f>
        <v>Solución Inyectable</v>
      </c>
      <c r="AC458" s="10" t="str">
        <f>IFERROR(VLOOKUP(Tabla1[[#This Row],[MEDICAMENTO]],TAB_REF!$B$3:$F$27,5,0), "")</f>
        <v>Caja x 10 unidades</v>
      </c>
      <c r="AD458" s="10" t="str">
        <f>IFERROR(VLOOKUP(Tabla1[[#This Row],[CANTIDAD UND COMERCIALES]],TAB_REF!$H$3:$I$1003,2,0)&amp;" ("&amp;Tabla1[[#This Row],[CANTIDAD UND COMERCIALES]]&amp;")"&amp;"_"&amp;Tabla1[[#This Row],[CANTIDAD]],"")</f>
        <v>Treinta (30)_Caja x 10 unidades</v>
      </c>
    </row>
    <row r="459" spans="2:30" x14ac:dyDescent="0.25">
      <c r="B459" s="10">
        <v>170</v>
      </c>
      <c r="C459" s="10" t="s">
        <v>3084</v>
      </c>
      <c r="D459" s="10" t="s">
        <v>3076</v>
      </c>
      <c r="E459" s="10" t="s">
        <v>2251</v>
      </c>
      <c r="F459" s="10" t="s">
        <v>2252</v>
      </c>
      <c r="G459" s="10" t="s">
        <v>2253</v>
      </c>
      <c r="H459" s="10" t="s">
        <v>2254</v>
      </c>
      <c r="I459" s="10" t="s">
        <v>2122</v>
      </c>
      <c r="J459" s="10" t="s">
        <v>1742</v>
      </c>
      <c r="K459" s="10" t="s">
        <v>3085</v>
      </c>
      <c r="L459" s="11">
        <v>202124100617782</v>
      </c>
      <c r="M459" s="20">
        <v>44298</v>
      </c>
      <c r="N459" s="20" t="str">
        <f>UPPER(TEXT(Tabla1[[#This Row],[FECHA RADICADO ENTRADA]],"MMM"))</f>
        <v>ABR</v>
      </c>
      <c r="O459" s="11">
        <v>202124110595561</v>
      </c>
      <c r="P459" s="20">
        <v>44305</v>
      </c>
      <c r="Q459" s="20" t="str">
        <f>UPPER(TEXT(Tabla1[[#This Row],[FECHA RADICADO ENTRADA]],"MMM"))</f>
        <v>ABR</v>
      </c>
      <c r="R459" s="10">
        <f t="shared" si="7"/>
        <v>-7</v>
      </c>
      <c r="S459" s="10" t="s">
        <v>2154</v>
      </c>
      <c r="U459" s="10" t="s">
        <v>2255</v>
      </c>
      <c r="V459" s="20">
        <v>44036</v>
      </c>
      <c r="W459" s="10" t="s">
        <v>34</v>
      </c>
      <c r="X459" s="10">
        <v>100</v>
      </c>
      <c r="Y459" s="11">
        <f>IFERROR(INT(Tabla1[[#This Row],[CANTIDAD UND FARMACEUTICAS]]/(VLOOKUP(Tabla1[[#This Row],[MEDICAMENTO]],TAB_REF!$K$3:$L$27,2,0))),"")</f>
        <v>10</v>
      </c>
      <c r="Z459" s="10" t="str">
        <f>IFERROR(VLOOKUP(Tabla1[[#This Row],[MEDICAMENTO]],TAB_REF!$B$3:$F$27,2,0), "")</f>
        <v xml:space="preserve">Fenobarbital Sódico </v>
      </c>
      <c r="AA459" s="10" t="str">
        <f>IFERROR(VLOOKUP(Tabla1[[#This Row],[MEDICAMENTO]],TAB_REF!$B$3:$F$27,3,0), "")</f>
        <v xml:space="preserve">200 mg/Ml </v>
      </c>
      <c r="AB459" s="10" t="str">
        <f>IFERROR(VLOOKUP(Tabla1[[#This Row],[MEDICAMENTO]],TAB_REF!$B$3:$F$27,4,0), "")</f>
        <v>Solución Inyectable</v>
      </c>
      <c r="AC459" s="10" t="str">
        <f>IFERROR(VLOOKUP(Tabla1[[#This Row],[MEDICAMENTO]],TAB_REF!$B$3:$F$27,5,0), "")</f>
        <v>Caja x 10 unidades</v>
      </c>
      <c r="AD459" s="10" t="str">
        <f>IFERROR(VLOOKUP(Tabla1[[#This Row],[CANTIDAD UND COMERCIALES]],TAB_REF!$H$3:$I$1003,2,0)&amp;" ("&amp;Tabla1[[#This Row],[CANTIDAD UND COMERCIALES]]&amp;")"&amp;"_"&amp;Tabla1[[#This Row],[CANTIDAD]],"")</f>
        <v>Diez (10)_Caja x 10 unidades</v>
      </c>
    </row>
    <row r="460" spans="2:30" x14ac:dyDescent="0.25">
      <c r="B460" s="10">
        <v>170</v>
      </c>
      <c r="C460" s="10" t="s">
        <v>3084</v>
      </c>
      <c r="D460" s="10" t="s">
        <v>3076</v>
      </c>
      <c r="E460" s="10" t="s">
        <v>2251</v>
      </c>
      <c r="F460" s="10" t="s">
        <v>2252</v>
      </c>
      <c r="G460" s="10" t="s">
        <v>2253</v>
      </c>
      <c r="H460" s="10" t="s">
        <v>2254</v>
      </c>
      <c r="I460" s="10" t="s">
        <v>2122</v>
      </c>
      <c r="J460" s="10" t="s">
        <v>1742</v>
      </c>
      <c r="K460" s="10" t="s">
        <v>3085</v>
      </c>
      <c r="L460" s="11">
        <v>202124100617782</v>
      </c>
      <c r="M460" s="20">
        <v>44298</v>
      </c>
      <c r="N460" s="20" t="str">
        <f>UPPER(TEXT(Tabla1[[#This Row],[FECHA RADICADO ENTRADA]],"MMM"))</f>
        <v>ABR</v>
      </c>
      <c r="O460" s="11">
        <v>202124110595561</v>
      </c>
      <c r="P460" s="20">
        <v>44305</v>
      </c>
      <c r="Q460" s="20" t="str">
        <f>UPPER(TEXT(Tabla1[[#This Row],[FECHA RADICADO ENTRADA]],"MMM"))</f>
        <v>ABR</v>
      </c>
      <c r="R460" s="10">
        <f t="shared" si="7"/>
        <v>-7</v>
      </c>
      <c r="S460" s="10" t="s">
        <v>2154</v>
      </c>
      <c r="U460" s="10" t="s">
        <v>2255</v>
      </c>
      <c r="V460" s="20">
        <v>44036</v>
      </c>
      <c r="W460" s="10" t="s">
        <v>32</v>
      </c>
      <c r="X460" s="10">
        <v>60</v>
      </c>
      <c r="Y460" s="11">
        <f>IFERROR(INT(Tabla1[[#This Row],[CANTIDAD UND FARMACEUTICAS]]/(VLOOKUP(Tabla1[[#This Row],[MEDICAMENTO]],TAB_REF!$K$3:$L$27,2,0))),"")</f>
        <v>2</v>
      </c>
      <c r="Z460" s="10" t="str">
        <f>IFERROR(VLOOKUP(Tabla1[[#This Row],[MEDICAMENTO]],TAB_REF!$B$3:$F$27,2,0), "")</f>
        <v xml:space="preserve">Fenobarbital </v>
      </c>
      <c r="AA460" s="10" t="str">
        <f>IFERROR(VLOOKUP(Tabla1[[#This Row],[MEDICAMENTO]],TAB_REF!$B$3:$F$27,3,0), "")</f>
        <v xml:space="preserve">100 mg </v>
      </c>
      <c r="AB460" s="10" t="str">
        <f>IFERROR(VLOOKUP(Tabla1[[#This Row],[MEDICAMENTO]],TAB_REF!$B$3:$F$27,4,0), "")</f>
        <v>Tabletas</v>
      </c>
      <c r="AC460" s="10" t="str">
        <f>IFERROR(VLOOKUP(Tabla1[[#This Row],[MEDICAMENTO]],TAB_REF!$B$3:$F$27,5,0), "")</f>
        <v>Caja x 30 unidades</v>
      </c>
      <c r="AD460" s="10" t="str">
        <f>IFERROR(VLOOKUP(Tabla1[[#This Row],[CANTIDAD UND COMERCIALES]],TAB_REF!$H$3:$I$1003,2,0)&amp;" ("&amp;Tabla1[[#This Row],[CANTIDAD UND COMERCIALES]]&amp;")"&amp;"_"&amp;Tabla1[[#This Row],[CANTIDAD]],"")</f>
        <v>Dos (2)_Caja x 30 unidades</v>
      </c>
    </row>
    <row r="461" spans="2:30" x14ac:dyDescent="0.25">
      <c r="B461" s="10">
        <v>171</v>
      </c>
      <c r="C461" s="10" t="s">
        <v>3087</v>
      </c>
      <c r="D461" s="10" t="s">
        <v>2546</v>
      </c>
      <c r="E461" s="10" t="s">
        <v>3088</v>
      </c>
      <c r="F461" s="10" t="s">
        <v>3089</v>
      </c>
      <c r="G461" s="21" t="s">
        <v>3090</v>
      </c>
      <c r="H461" s="10" t="s">
        <v>3091</v>
      </c>
      <c r="I461" s="10" t="s">
        <v>2113</v>
      </c>
      <c r="J461" s="10" t="s">
        <v>1442</v>
      </c>
      <c r="K461" s="10" t="s">
        <v>3092</v>
      </c>
      <c r="L461" s="11">
        <v>202124100619842</v>
      </c>
      <c r="M461" s="20">
        <v>44298</v>
      </c>
      <c r="N461" s="20" t="str">
        <f>UPPER(TEXT(Tabla1[[#This Row],[FECHA RADICADO ENTRADA]],"MMM"))</f>
        <v>ABR</v>
      </c>
      <c r="O461" s="11">
        <v>202124110608001</v>
      </c>
      <c r="P461" s="20">
        <v>44306</v>
      </c>
      <c r="Q461" s="20" t="str">
        <f>UPPER(TEXT(Tabla1[[#This Row],[FECHA RADICADO ENTRADA]],"MMM"))</f>
        <v>ABR</v>
      </c>
      <c r="R461" s="10">
        <f t="shared" si="7"/>
        <v>-8</v>
      </c>
      <c r="S461" s="10" t="s">
        <v>2145</v>
      </c>
      <c r="T461" s="10" t="s">
        <v>3093</v>
      </c>
      <c r="U461" s="10" t="s">
        <v>3094</v>
      </c>
      <c r="V461" s="20">
        <v>44165</v>
      </c>
      <c r="W461" s="10" t="s">
        <v>58</v>
      </c>
      <c r="X461" s="10">
        <v>0</v>
      </c>
      <c r="Y461" s="11">
        <f>IFERROR(INT(Tabla1[[#This Row],[CANTIDAD UND FARMACEUTICAS]]/(VLOOKUP(Tabla1[[#This Row],[MEDICAMENTO]],TAB_REF!$K$3:$L$27,2,0))),"")</f>
        <v>0</v>
      </c>
      <c r="Z461" s="10" t="str">
        <f>IFERROR(VLOOKUP(Tabla1[[#This Row],[MEDICAMENTO]],TAB_REF!$B$3:$F$27,2,0), "")</f>
        <v xml:space="preserve">Morfina HCl </v>
      </c>
      <c r="AA461" s="10" t="str">
        <f>IFERROR(VLOOKUP(Tabla1[[#This Row],[MEDICAMENTO]],TAB_REF!$B$3:$F$27,3,0), "")</f>
        <v xml:space="preserve">3%. </v>
      </c>
      <c r="AB461" s="10" t="str">
        <f>IFERROR(VLOOKUP(Tabla1[[#This Row],[MEDICAMENTO]],TAB_REF!$B$3:$F$27,4,0), "")</f>
        <v>Solución Inyectable</v>
      </c>
      <c r="AC461" s="10" t="str">
        <f>IFERROR(VLOOKUP(Tabla1[[#This Row],[MEDICAMENTO]],TAB_REF!$B$3:$F$27,5,0), "")</f>
        <v>Vial X 20 mL c/u</v>
      </c>
      <c r="AD461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462" spans="2:30" x14ac:dyDescent="0.25">
      <c r="B462" s="10">
        <v>172</v>
      </c>
      <c r="C462" s="10" t="s">
        <v>2814</v>
      </c>
      <c r="D462" s="10" t="s">
        <v>2162</v>
      </c>
      <c r="E462" s="10" t="s">
        <v>2901</v>
      </c>
      <c r="F462" s="10" t="s">
        <v>2815</v>
      </c>
      <c r="G462" s="10" t="s">
        <v>2816</v>
      </c>
      <c r="H462" s="10" t="s">
        <v>2817</v>
      </c>
      <c r="I462" s="10" t="s">
        <v>2110</v>
      </c>
      <c r="J462" s="10" t="s">
        <v>1235</v>
      </c>
      <c r="K462" s="10" t="s">
        <v>2818</v>
      </c>
      <c r="L462" s="11">
        <v>202124100624872</v>
      </c>
      <c r="M462" s="20">
        <v>44299</v>
      </c>
      <c r="N462" s="20" t="str">
        <f>UPPER(TEXT(Tabla1[[#This Row],[FECHA RADICADO ENTRADA]],"MMM"))</f>
        <v>ABR</v>
      </c>
      <c r="O462" s="11">
        <v>202124110608041</v>
      </c>
      <c r="P462" s="20">
        <v>44306</v>
      </c>
      <c r="Q462" s="20" t="str">
        <f>UPPER(TEXT(Tabla1[[#This Row],[FECHA RADICADO ENTRADA]],"MMM"))</f>
        <v>ABR</v>
      </c>
      <c r="R462" s="10">
        <f t="shared" si="7"/>
        <v>-7</v>
      </c>
      <c r="S462" s="10" t="s">
        <v>2154</v>
      </c>
      <c r="U462" s="10" t="s">
        <v>2819</v>
      </c>
      <c r="V462" s="20">
        <v>43557</v>
      </c>
      <c r="W462" s="10" t="s">
        <v>32</v>
      </c>
      <c r="X462" s="10">
        <v>1500</v>
      </c>
      <c r="Y462" s="11">
        <f>IFERROR(INT(Tabla1[[#This Row],[CANTIDAD UND FARMACEUTICAS]]/(VLOOKUP(Tabla1[[#This Row],[MEDICAMENTO]],TAB_REF!$K$3:$L$27,2,0))),"")</f>
        <v>50</v>
      </c>
      <c r="Z462" s="10" t="str">
        <f>IFERROR(VLOOKUP(Tabla1[[#This Row],[MEDICAMENTO]],TAB_REF!$B$3:$F$27,2,0), "")</f>
        <v xml:space="preserve">Fenobarbital </v>
      </c>
      <c r="AA462" s="10" t="str">
        <f>IFERROR(VLOOKUP(Tabla1[[#This Row],[MEDICAMENTO]],TAB_REF!$B$3:$F$27,3,0), "")</f>
        <v xml:space="preserve">100 mg </v>
      </c>
      <c r="AB462" s="10" t="str">
        <f>IFERROR(VLOOKUP(Tabla1[[#This Row],[MEDICAMENTO]],TAB_REF!$B$3:$F$27,4,0), "")</f>
        <v>Tabletas</v>
      </c>
      <c r="AC462" s="10" t="str">
        <f>IFERROR(VLOOKUP(Tabla1[[#This Row],[MEDICAMENTO]],TAB_REF!$B$3:$F$27,5,0), "")</f>
        <v>Caja x 30 unidades</v>
      </c>
      <c r="AD462" s="10" t="str">
        <f>IFERROR(VLOOKUP(Tabla1[[#This Row],[CANTIDAD UND COMERCIALES]],TAB_REF!$H$3:$I$1003,2,0)&amp;" ("&amp;Tabla1[[#This Row],[CANTIDAD UND COMERCIALES]]&amp;")"&amp;"_"&amp;Tabla1[[#This Row],[CANTIDAD]],"")</f>
        <v>Cincuenta (50)_Caja x 30 unidades</v>
      </c>
    </row>
    <row r="463" spans="2:30" x14ac:dyDescent="0.25">
      <c r="B463" s="10">
        <v>172</v>
      </c>
      <c r="C463" s="10" t="s">
        <v>2814</v>
      </c>
      <c r="D463" s="10" t="s">
        <v>2162</v>
      </c>
      <c r="E463" s="10" t="s">
        <v>2901</v>
      </c>
      <c r="F463" s="10" t="s">
        <v>2815</v>
      </c>
      <c r="G463" s="10" t="s">
        <v>2816</v>
      </c>
      <c r="H463" s="10" t="s">
        <v>2817</v>
      </c>
      <c r="I463" s="10" t="s">
        <v>2110</v>
      </c>
      <c r="J463" s="10" t="s">
        <v>1235</v>
      </c>
      <c r="K463" s="10" t="s">
        <v>2818</v>
      </c>
      <c r="L463" s="11">
        <v>202124100624872</v>
      </c>
      <c r="M463" s="20">
        <v>44299</v>
      </c>
      <c r="N463" s="20" t="str">
        <f>UPPER(TEXT(Tabla1[[#This Row],[FECHA RADICADO ENTRADA]],"MMM"))</f>
        <v>ABR</v>
      </c>
      <c r="O463" s="11">
        <v>202124110608041</v>
      </c>
      <c r="P463" s="20">
        <v>44306</v>
      </c>
      <c r="Q463" s="20" t="str">
        <f>UPPER(TEXT(Tabla1[[#This Row],[FECHA RADICADO ENTRADA]],"MMM"))</f>
        <v>ABR</v>
      </c>
      <c r="R463" s="10">
        <f t="shared" si="7"/>
        <v>-7</v>
      </c>
      <c r="S463" s="10" t="s">
        <v>2154</v>
      </c>
      <c r="U463" s="10" t="s">
        <v>2819</v>
      </c>
      <c r="V463" s="20">
        <v>43557</v>
      </c>
      <c r="W463" s="10" t="s">
        <v>60</v>
      </c>
      <c r="X463" s="10">
        <v>5</v>
      </c>
      <c r="Y463" s="11">
        <f>IFERROR(INT(Tabla1[[#This Row],[CANTIDAD UND FARMACEUTICAS]]/(VLOOKUP(Tabla1[[#This Row],[MEDICAMENTO]],TAB_REF!$K$3:$L$27,2,0))),"")</f>
        <v>5</v>
      </c>
      <c r="Z463" s="10" t="str">
        <f>IFERROR(VLOOKUP(Tabla1[[#This Row],[MEDICAMENTO]],TAB_REF!$B$3:$F$27,2,0), "")</f>
        <v xml:space="preserve">Morfina HCl </v>
      </c>
      <c r="AA463" s="10" t="str">
        <f>IFERROR(VLOOKUP(Tabla1[[#This Row],[MEDICAMENTO]],TAB_REF!$B$3:$F$27,3,0), "")</f>
        <v xml:space="preserve">3%. </v>
      </c>
      <c r="AB463" s="10" t="str">
        <f>IFERROR(VLOOKUP(Tabla1[[#This Row],[MEDICAMENTO]],TAB_REF!$B$3:$F$27,4,0), "")</f>
        <v>Solución Oral</v>
      </c>
      <c r="AC463" s="10" t="str">
        <f>IFERROR(VLOOKUP(Tabla1[[#This Row],[MEDICAMENTO]],TAB_REF!$B$3:$F$27,5,0), "")</f>
        <v>Frasco x 30 mL</v>
      </c>
      <c r="AD463" s="10" t="str">
        <f>IFERROR(VLOOKUP(Tabla1[[#This Row],[CANTIDAD UND COMERCIALES]],TAB_REF!$H$3:$I$1003,2,0)&amp;" ("&amp;Tabla1[[#This Row],[CANTIDAD UND COMERCIALES]]&amp;")"&amp;"_"&amp;Tabla1[[#This Row],[CANTIDAD]],"")</f>
        <v>Cinco (5)_Frasco x 30 mL</v>
      </c>
    </row>
    <row r="464" spans="2:30" x14ac:dyDescent="0.25">
      <c r="B464" s="10">
        <v>173</v>
      </c>
      <c r="C464" s="10" t="s">
        <v>2957</v>
      </c>
      <c r="D464" s="10" t="s">
        <v>2175</v>
      </c>
      <c r="E464" s="10" t="s">
        <v>2958</v>
      </c>
      <c r="F464" s="10" t="s">
        <v>3095</v>
      </c>
      <c r="G464" s="10" t="s">
        <v>2959</v>
      </c>
      <c r="H464" s="10" t="s">
        <v>2960</v>
      </c>
      <c r="I464" s="10" t="s">
        <v>2123</v>
      </c>
      <c r="J464" s="10" t="s">
        <v>1770</v>
      </c>
      <c r="K464" s="10" t="s">
        <v>3096</v>
      </c>
      <c r="L464" s="11">
        <v>202124100625352</v>
      </c>
      <c r="M464" s="20">
        <v>44299</v>
      </c>
      <c r="N464" s="20" t="str">
        <f>UPPER(TEXT(Tabla1[[#This Row],[FECHA RADICADO ENTRADA]],"MMM"))</f>
        <v>ABR</v>
      </c>
      <c r="O464" s="11">
        <v>202124110608051</v>
      </c>
      <c r="P464" s="20">
        <v>44306</v>
      </c>
      <c r="Q464" s="20" t="str">
        <f>UPPER(TEXT(Tabla1[[#This Row],[FECHA RADICADO ENTRADA]],"MMM"))</f>
        <v>ABR</v>
      </c>
      <c r="R464" s="10">
        <f t="shared" si="7"/>
        <v>-7</v>
      </c>
      <c r="S464" s="10" t="s">
        <v>2154</v>
      </c>
      <c r="U464" s="10" t="s">
        <v>3097</v>
      </c>
      <c r="V464" s="20">
        <v>42885</v>
      </c>
      <c r="W464" s="10" t="s">
        <v>28</v>
      </c>
      <c r="X464" s="10">
        <v>20</v>
      </c>
      <c r="Y464" s="11">
        <f>IFERROR(INT(Tabla1[[#This Row],[CANTIDAD UND FARMACEUTICAS]]/(VLOOKUP(Tabla1[[#This Row],[MEDICAMENTO]],TAB_REF!$K$3:$L$27,2,0))),"")</f>
        <v>20</v>
      </c>
      <c r="Z464" s="10" t="str">
        <f>IFERROR(VLOOKUP(Tabla1[[#This Row],[MEDICAMENTO]],TAB_REF!$B$3:$F$27,2,0), "")</f>
        <v xml:space="preserve">Fenobarbital </v>
      </c>
      <c r="AA464" s="10" t="str">
        <f>IFERROR(VLOOKUP(Tabla1[[#This Row],[MEDICAMENTO]],TAB_REF!$B$3:$F$27,3,0), "")</f>
        <v xml:space="preserve">0,4%. </v>
      </c>
      <c r="AB464" s="10" t="str">
        <f>IFERROR(VLOOKUP(Tabla1[[#This Row],[MEDICAMENTO]],TAB_REF!$B$3:$F$27,4,0), "")</f>
        <v>Solución Oral</v>
      </c>
      <c r="AC464" s="10" t="str">
        <f>IFERROR(VLOOKUP(Tabla1[[#This Row],[MEDICAMENTO]],TAB_REF!$B$3:$F$27,5,0), "")</f>
        <v>Frasco x 120 mL</v>
      </c>
      <c r="AD464" s="10" t="str">
        <f>IFERROR(VLOOKUP(Tabla1[[#This Row],[CANTIDAD UND COMERCIALES]],TAB_REF!$H$3:$I$1003,2,0)&amp;" ("&amp;Tabla1[[#This Row],[CANTIDAD UND COMERCIALES]]&amp;")"&amp;"_"&amp;Tabla1[[#This Row],[CANTIDAD]],"")</f>
        <v>Veinte (20)_Frasco x 120 mL</v>
      </c>
    </row>
    <row r="465" spans="2:30" x14ac:dyDescent="0.25">
      <c r="B465" s="10">
        <v>173</v>
      </c>
      <c r="C465" s="10" t="s">
        <v>2957</v>
      </c>
      <c r="D465" s="10" t="s">
        <v>2175</v>
      </c>
      <c r="E465" s="10" t="s">
        <v>2958</v>
      </c>
      <c r="F465" s="10" t="s">
        <v>3095</v>
      </c>
      <c r="G465" s="10" t="s">
        <v>2959</v>
      </c>
      <c r="H465" s="10" t="s">
        <v>2960</v>
      </c>
      <c r="I465" s="10" t="s">
        <v>2123</v>
      </c>
      <c r="J465" s="10" t="s">
        <v>1770</v>
      </c>
      <c r="K465" s="10" t="s">
        <v>3096</v>
      </c>
      <c r="L465" s="11">
        <v>202124100625352</v>
      </c>
      <c r="M465" s="20">
        <v>44299</v>
      </c>
      <c r="N465" s="20" t="str">
        <f>UPPER(TEXT(Tabla1[[#This Row],[FECHA RADICADO ENTRADA]],"MMM"))</f>
        <v>ABR</v>
      </c>
      <c r="O465" s="11">
        <v>202124110608051</v>
      </c>
      <c r="P465" s="20">
        <v>44306</v>
      </c>
      <c r="Q465" s="20" t="str">
        <f>UPPER(TEXT(Tabla1[[#This Row],[FECHA RADICADO ENTRADA]],"MMM"))</f>
        <v>ABR</v>
      </c>
      <c r="R465" s="10">
        <f t="shared" si="7"/>
        <v>-7</v>
      </c>
      <c r="S465" s="10" t="s">
        <v>2154</v>
      </c>
      <c r="U465" s="10" t="s">
        <v>3097</v>
      </c>
      <c r="V465" s="20">
        <v>42885</v>
      </c>
      <c r="W465" s="10" t="s">
        <v>30</v>
      </c>
      <c r="X465" s="10">
        <v>300</v>
      </c>
      <c r="Y465" s="11">
        <f>IFERROR(INT(Tabla1[[#This Row],[CANTIDAD UND FARMACEUTICAS]]/(VLOOKUP(Tabla1[[#This Row],[MEDICAMENTO]],TAB_REF!$K$3:$L$27,2,0))),"")</f>
        <v>10</v>
      </c>
      <c r="Z465" s="10" t="str">
        <f>IFERROR(VLOOKUP(Tabla1[[#This Row],[MEDICAMENTO]],TAB_REF!$B$3:$F$27,2,0), "")</f>
        <v xml:space="preserve">Fenobarbital </v>
      </c>
      <c r="AA465" s="10" t="str">
        <f>IFERROR(VLOOKUP(Tabla1[[#This Row],[MEDICAMENTO]],TAB_REF!$B$3:$F$27,3,0), "")</f>
        <v xml:space="preserve">10 mg </v>
      </c>
      <c r="AB465" s="10" t="str">
        <f>IFERROR(VLOOKUP(Tabla1[[#This Row],[MEDICAMENTO]],TAB_REF!$B$3:$F$27,4,0), "")</f>
        <v>Tabletas</v>
      </c>
      <c r="AC465" s="10" t="str">
        <f>IFERROR(VLOOKUP(Tabla1[[#This Row],[MEDICAMENTO]],TAB_REF!$B$3:$F$27,5,0), "")</f>
        <v>Caja x 30 unidades</v>
      </c>
      <c r="AD465" s="10" t="str">
        <f>IFERROR(VLOOKUP(Tabla1[[#This Row],[CANTIDAD UND COMERCIALES]],TAB_REF!$H$3:$I$1003,2,0)&amp;" ("&amp;Tabla1[[#This Row],[CANTIDAD UND COMERCIALES]]&amp;")"&amp;"_"&amp;Tabla1[[#This Row],[CANTIDAD]],"")</f>
        <v>Diez (10)_Caja x 30 unidades</v>
      </c>
    </row>
    <row r="466" spans="2:30" x14ac:dyDescent="0.25">
      <c r="B466" s="10">
        <v>173</v>
      </c>
      <c r="C466" s="10" t="s">
        <v>2957</v>
      </c>
      <c r="D466" s="10" t="s">
        <v>2175</v>
      </c>
      <c r="E466" s="10" t="s">
        <v>2958</v>
      </c>
      <c r="F466" s="10" t="s">
        <v>3095</v>
      </c>
      <c r="G466" s="10" t="s">
        <v>2959</v>
      </c>
      <c r="H466" s="10" t="s">
        <v>2960</v>
      </c>
      <c r="I466" s="10" t="s">
        <v>2123</v>
      </c>
      <c r="J466" s="10" t="s">
        <v>1770</v>
      </c>
      <c r="K466" s="10" t="s">
        <v>3096</v>
      </c>
      <c r="L466" s="11">
        <v>202124100625352</v>
      </c>
      <c r="M466" s="20">
        <v>44299</v>
      </c>
      <c r="N466" s="20" t="str">
        <f>UPPER(TEXT(Tabla1[[#This Row],[FECHA RADICADO ENTRADA]],"MMM"))</f>
        <v>ABR</v>
      </c>
      <c r="O466" s="11">
        <v>202124110608051</v>
      </c>
      <c r="P466" s="20">
        <v>44306</v>
      </c>
      <c r="Q466" s="20" t="str">
        <f>UPPER(TEXT(Tabla1[[#This Row],[FECHA RADICADO ENTRADA]],"MMM"))</f>
        <v>ABR</v>
      </c>
      <c r="R466" s="10">
        <f t="shared" si="7"/>
        <v>-7</v>
      </c>
      <c r="S466" s="10" t="s">
        <v>2154</v>
      </c>
      <c r="U466" s="10" t="s">
        <v>3097</v>
      </c>
      <c r="V466" s="20">
        <v>42885</v>
      </c>
      <c r="W466" s="10" t="s">
        <v>32</v>
      </c>
      <c r="X466" s="10">
        <f>800*30</f>
        <v>24000</v>
      </c>
      <c r="Y466" s="11">
        <f>IFERROR(INT(Tabla1[[#This Row],[CANTIDAD UND FARMACEUTICAS]]/(VLOOKUP(Tabla1[[#This Row],[MEDICAMENTO]],TAB_REF!$K$3:$L$27,2,0))),"")</f>
        <v>800</v>
      </c>
      <c r="Z466" s="10" t="str">
        <f>IFERROR(VLOOKUP(Tabla1[[#This Row],[MEDICAMENTO]],TAB_REF!$B$3:$F$27,2,0), "")</f>
        <v xml:space="preserve">Fenobarbital </v>
      </c>
      <c r="AA466" s="10" t="str">
        <f>IFERROR(VLOOKUP(Tabla1[[#This Row],[MEDICAMENTO]],TAB_REF!$B$3:$F$27,3,0), "")</f>
        <v xml:space="preserve">100 mg </v>
      </c>
      <c r="AB466" s="10" t="str">
        <f>IFERROR(VLOOKUP(Tabla1[[#This Row],[MEDICAMENTO]],TAB_REF!$B$3:$F$27,4,0), "")</f>
        <v>Tabletas</v>
      </c>
      <c r="AC466" s="10" t="str">
        <f>IFERROR(VLOOKUP(Tabla1[[#This Row],[MEDICAMENTO]],TAB_REF!$B$3:$F$27,5,0), "")</f>
        <v>Caja x 30 unidades</v>
      </c>
      <c r="AD466" s="10" t="str">
        <f>IFERROR(VLOOKUP(Tabla1[[#This Row],[CANTIDAD UND COMERCIALES]],TAB_REF!$H$3:$I$1003,2,0)&amp;" ("&amp;Tabla1[[#This Row],[CANTIDAD UND COMERCIALES]]&amp;")"&amp;"_"&amp;Tabla1[[#This Row],[CANTIDAD]],"")</f>
        <v>Ochocientos (800)_Caja x 30 unidades</v>
      </c>
    </row>
    <row r="467" spans="2:30" x14ac:dyDescent="0.25">
      <c r="B467" s="10">
        <v>173</v>
      </c>
      <c r="C467" s="10" t="s">
        <v>2957</v>
      </c>
      <c r="D467" s="10" t="s">
        <v>2175</v>
      </c>
      <c r="E467" s="10" t="s">
        <v>2958</v>
      </c>
      <c r="F467" s="10" t="s">
        <v>3095</v>
      </c>
      <c r="G467" s="10" t="s">
        <v>2959</v>
      </c>
      <c r="H467" s="10" t="s">
        <v>2960</v>
      </c>
      <c r="I467" s="10" t="s">
        <v>2123</v>
      </c>
      <c r="J467" s="10" t="s">
        <v>1770</v>
      </c>
      <c r="K467" s="10" t="s">
        <v>3096</v>
      </c>
      <c r="L467" s="11">
        <v>202124100625352</v>
      </c>
      <c r="M467" s="20">
        <v>44299</v>
      </c>
      <c r="N467" s="20" t="str">
        <f>UPPER(TEXT(Tabla1[[#This Row],[FECHA RADICADO ENTRADA]],"MMM"))</f>
        <v>ABR</v>
      </c>
      <c r="O467" s="11">
        <v>202124110608051</v>
      </c>
      <c r="P467" s="20">
        <v>44306</v>
      </c>
      <c r="Q467" s="20" t="str">
        <f>UPPER(TEXT(Tabla1[[#This Row],[FECHA RADICADO ENTRADA]],"MMM"))</f>
        <v>ABR</v>
      </c>
      <c r="R467" s="10">
        <f t="shared" si="7"/>
        <v>-7</v>
      </c>
      <c r="S467" s="10" t="s">
        <v>2154</v>
      </c>
      <c r="U467" s="10" t="s">
        <v>3097</v>
      </c>
      <c r="V467" s="20">
        <v>42885</v>
      </c>
      <c r="W467" s="10" t="s">
        <v>33</v>
      </c>
      <c r="X467" s="10">
        <v>300</v>
      </c>
      <c r="Y467" s="11">
        <f>IFERROR(INT(Tabla1[[#This Row],[CANTIDAD UND FARMACEUTICAS]]/(VLOOKUP(Tabla1[[#This Row],[MEDICAMENTO]],TAB_REF!$K$3:$L$27,2,0))),"")</f>
        <v>10</v>
      </c>
      <c r="Z467" s="10" t="str">
        <f>IFERROR(VLOOKUP(Tabla1[[#This Row],[MEDICAMENTO]],TAB_REF!$B$3:$F$27,2,0), "")</f>
        <v xml:space="preserve">Fenobarbital </v>
      </c>
      <c r="AA467" s="10" t="str">
        <f>IFERROR(VLOOKUP(Tabla1[[#This Row],[MEDICAMENTO]],TAB_REF!$B$3:$F$27,3,0), "")</f>
        <v xml:space="preserve">50 mg </v>
      </c>
      <c r="AB467" s="10" t="str">
        <f>IFERROR(VLOOKUP(Tabla1[[#This Row],[MEDICAMENTO]],TAB_REF!$B$3:$F$27,4,0), "")</f>
        <v>Tabletas</v>
      </c>
      <c r="AC467" s="10" t="str">
        <f>IFERROR(VLOOKUP(Tabla1[[#This Row],[MEDICAMENTO]],TAB_REF!$B$3:$F$27,5,0), "")</f>
        <v>Caja x 30 unidades</v>
      </c>
      <c r="AD467" s="10" t="str">
        <f>IFERROR(VLOOKUP(Tabla1[[#This Row],[CANTIDAD UND COMERCIALES]],TAB_REF!$H$3:$I$1003,2,0)&amp;" ("&amp;Tabla1[[#This Row],[CANTIDAD UND COMERCIALES]]&amp;")"&amp;"_"&amp;Tabla1[[#This Row],[CANTIDAD]],"")</f>
        <v>Diez (10)_Caja x 30 unidades</v>
      </c>
    </row>
    <row r="468" spans="2:30" x14ac:dyDescent="0.25">
      <c r="B468" s="10">
        <v>173</v>
      </c>
      <c r="C468" s="10" t="s">
        <v>2957</v>
      </c>
      <c r="D468" s="10" t="s">
        <v>2175</v>
      </c>
      <c r="E468" s="10" t="s">
        <v>2958</v>
      </c>
      <c r="F468" s="10" t="s">
        <v>3095</v>
      </c>
      <c r="G468" s="10" t="s">
        <v>2959</v>
      </c>
      <c r="H468" s="10" t="s">
        <v>2960</v>
      </c>
      <c r="I468" s="10" t="s">
        <v>2123</v>
      </c>
      <c r="J468" s="10" t="s">
        <v>1770</v>
      </c>
      <c r="K468" s="10" t="s">
        <v>3096</v>
      </c>
      <c r="L468" s="11">
        <v>202124100625352</v>
      </c>
      <c r="M468" s="20">
        <v>44299</v>
      </c>
      <c r="N468" s="20" t="str">
        <f>UPPER(TEXT(Tabla1[[#This Row],[FECHA RADICADO ENTRADA]],"MMM"))</f>
        <v>ABR</v>
      </c>
      <c r="O468" s="11">
        <v>202124110608051</v>
      </c>
      <c r="P468" s="20">
        <v>44306</v>
      </c>
      <c r="Q468" s="20" t="str">
        <f>UPPER(TEXT(Tabla1[[#This Row],[FECHA RADICADO ENTRADA]],"MMM"))</f>
        <v>ABR</v>
      </c>
      <c r="R468" s="10">
        <f t="shared" si="7"/>
        <v>-7</v>
      </c>
      <c r="S468" s="10" t="s">
        <v>2154</v>
      </c>
      <c r="U468" s="10" t="s">
        <v>3097</v>
      </c>
      <c r="V468" s="20">
        <v>42885</v>
      </c>
      <c r="W468" s="10" t="s">
        <v>38</v>
      </c>
      <c r="X468" s="10">
        <v>4000</v>
      </c>
      <c r="Y468" s="11">
        <f>IFERROR(INT(Tabla1[[#This Row],[CANTIDAD UND FARMACEUTICAS]]/(VLOOKUP(Tabla1[[#This Row],[MEDICAMENTO]],TAB_REF!$K$3:$L$27,2,0))),"")</f>
        <v>200</v>
      </c>
      <c r="Z468" s="10" t="str">
        <f>IFERROR(VLOOKUP(Tabla1[[#This Row],[MEDICAMENTO]],TAB_REF!$B$3:$F$27,2,0), "")</f>
        <v xml:space="preserve">Hidromorfona HCl </v>
      </c>
      <c r="AA468" s="10" t="str">
        <f>IFERROR(VLOOKUP(Tabla1[[#This Row],[MEDICAMENTO]],TAB_REF!$B$3:$F$27,3,0), "")</f>
        <v xml:space="preserve">2,5 mg </v>
      </c>
      <c r="AB468" s="10" t="str">
        <f>IFERROR(VLOOKUP(Tabla1[[#This Row],[MEDICAMENTO]],TAB_REF!$B$3:$F$27,4,0), "")</f>
        <v>Tabletas</v>
      </c>
      <c r="AC468" s="10" t="str">
        <f>IFERROR(VLOOKUP(Tabla1[[#This Row],[MEDICAMENTO]],TAB_REF!$B$3:$F$27,5,0), "")</f>
        <v>Caja x 20 unidades</v>
      </c>
      <c r="AD468" s="10" t="str">
        <f>IFERROR(VLOOKUP(Tabla1[[#This Row],[CANTIDAD UND COMERCIALES]],TAB_REF!$H$3:$I$1003,2,0)&amp;" ("&amp;Tabla1[[#This Row],[CANTIDAD UND COMERCIALES]]&amp;")"&amp;"_"&amp;Tabla1[[#This Row],[CANTIDAD]],"")</f>
        <v>Doscientos (200)_Caja x 20 unidades</v>
      </c>
    </row>
    <row r="469" spans="2:30" x14ac:dyDescent="0.25">
      <c r="B469" s="10">
        <v>173</v>
      </c>
      <c r="C469" s="10" t="s">
        <v>2957</v>
      </c>
      <c r="D469" s="10" t="s">
        <v>2175</v>
      </c>
      <c r="E469" s="10" t="s">
        <v>2958</v>
      </c>
      <c r="F469" s="10" t="s">
        <v>3095</v>
      </c>
      <c r="G469" s="10" t="s">
        <v>2959</v>
      </c>
      <c r="H469" s="10" t="s">
        <v>2960</v>
      </c>
      <c r="I469" s="10" t="s">
        <v>2123</v>
      </c>
      <c r="J469" s="10" t="s">
        <v>1770</v>
      </c>
      <c r="K469" s="10" t="s">
        <v>3096</v>
      </c>
      <c r="L469" s="11">
        <v>202124100625352</v>
      </c>
      <c r="M469" s="20">
        <v>44299</v>
      </c>
      <c r="N469" s="20" t="str">
        <f>UPPER(TEXT(Tabla1[[#This Row],[FECHA RADICADO ENTRADA]],"MMM"))</f>
        <v>ABR</v>
      </c>
      <c r="O469" s="11">
        <v>202124110608051</v>
      </c>
      <c r="P469" s="20">
        <v>44306</v>
      </c>
      <c r="Q469" s="20" t="str">
        <f>UPPER(TEXT(Tabla1[[#This Row],[FECHA RADICADO ENTRADA]],"MMM"))</f>
        <v>ABR</v>
      </c>
      <c r="R469" s="10">
        <f t="shared" si="7"/>
        <v>-7</v>
      </c>
      <c r="S469" s="10" t="s">
        <v>2154</v>
      </c>
      <c r="U469" s="10" t="s">
        <v>3097</v>
      </c>
      <c r="V469" s="20">
        <v>42885</v>
      </c>
      <c r="W469" s="10" t="s">
        <v>45</v>
      </c>
      <c r="X469" s="10">
        <v>240</v>
      </c>
      <c r="Y469" s="11">
        <f>IFERROR(INT(Tabla1[[#This Row],[CANTIDAD UND FARMACEUTICAS]]/(VLOOKUP(Tabla1[[#This Row],[MEDICAMENTO]],TAB_REF!$K$3:$L$27,2,0))),"")</f>
        <v>8</v>
      </c>
      <c r="Z469" s="10" t="str">
        <f>IFERROR(VLOOKUP(Tabla1[[#This Row],[MEDICAMENTO]],TAB_REF!$B$3:$F$27,2,0), "")</f>
        <v xml:space="preserve">Metadona HCl </v>
      </c>
      <c r="AA469" s="10" t="str">
        <f>IFERROR(VLOOKUP(Tabla1[[#This Row],[MEDICAMENTO]],TAB_REF!$B$3:$F$27,3,0), "")</f>
        <v xml:space="preserve">10 mg </v>
      </c>
      <c r="AB469" s="10" t="str">
        <f>IFERROR(VLOOKUP(Tabla1[[#This Row],[MEDICAMENTO]],TAB_REF!$B$3:$F$27,4,0), "")</f>
        <v>Tabletas NACIONAL</v>
      </c>
      <c r="AC469" s="10" t="str">
        <f>IFERROR(VLOOKUP(Tabla1[[#This Row],[MEDICAMENTO]],TAB_REF!$B$3:$F$27,5,0), "")</f>
        <v>Caja x 30 unidades</v>
      </c>
      <c r="AD469" s="10" t="str">
        <f>IFERROR(VLOOKUP(Tabla1[[#This Row],[CANTIDAD UND COMERCIALES]],TAB_REF!$H$3:$I$1003,2,0)&amp;" ("&amp;Tabla1[[#This Row],[CANTIDAD UND COMERCIALES]]&amp;")"&amp;"_"&amp;Tabla1[[#This Row],[CANTIDAD]],"")</f>
        <v>Ocho (8)_Caja x 30 unidades</v>
      </c>
    </row>
    <row r="470" spans="2:30" x14ac:dyDescent="0.25">
      <c r="B470" s="10">
        <v>173</v>
      </c>
      <c r="C470" s="10" t="s">
        <v>2957</v>
      </c>
      <c r="D470" s="10" t="s">
        <v>2175</v>
      </c>
      <c r="E470" s="10" t="s">
        <v>2958</v>
      </c>
      <c r="F470" s="10" t="s">
        <v>3095</v>
      </c>
      <c r="G470" s="10" t="s">
        <v>2959</v>
      </c>
      <c r="H470" s="10" t="s">
        <v>2960</v>
      </c>
      <c r="I470" s="10" t="s">
        <v>2123</v>
      </c>
      <c r="J470" s="10" t="s">
        <v>1770</v>
      </c>
      <c r="K470" s="10" t="s">
        <v>3096</v>
      </c>
      <c r="L470" s="11">
        <v>202124100625352</v>
      </c>
      <c r="M470" s="20">
        <v>44299</v>
      </c>
      <c r="N470" s="20" t="str">
        <f>UPPER(TEXT(Tabla1[[#This Row],[FECHA RADICADO ENTRADA]],"MMM"))</f>
        <v>ABR</v>
      </c>
      <c r="O470" s="11">
        <v>202124110608051</v>
      </c>
      <c r="P470" s="20">
        <v>44306</v>
      </c>
      <c r="Q470" s="20" t="str">
        <f>UPPER(TEXT(Tabla1[[#This Row],[FECHA RADICADO ENTRADA]],"MMM"))</f>
        <v>ABR</v>
      </c>
      <c r="R470" s="10">
        <f t="shared" si="7"/>
        <v>-7</v>
      </c>
      <c r="S470" s="10" t="s">
        <v>2154</v>
      </c>
      <c r="U470" s="10" t="s">
        <v>3097</v>
      </c>
      <c r="V470" s="20">
        <v>42885</v>
      </c>
      <c r="W470" s="10" t="s">
        <v>60</v>
      </c>
      <c r="X470" s="10">
        <v>10</v>
      </c>
      <c r="Y470" s="11">
        <f>IFERROR(INT(Tabla1[[#This Row],[CANTIDAD UND FARMACEUTICAS]]/(VLOOKUP(Tabla1[[#This Row],[MEDICAMENTO]],TAB_REF!$K$3:$L$27,2,0))),"")</f>
        <v>10</v>
      </c>
      <c r="Z470" s="10" t="str">
        <f>IFERROR(VLOOKUP(Tabla1[[#This Row],[MEDICAMENTO]],TAB_REF!$B$3:$F$27,2,0), "")</f>
        <v xml:space="preserve">Morfina HCl </v>
      </c>
      <c r="AA470" s="10" t="str">
        <f>IFERROR(VLOOKUP(Tabla1[[#This Row],[MEDICAMENTO]],TAB_REF!$B$3:$F$27,3,0), "")</f>
        <v xml:space="preserve">3%. </v>
      </c>
      <c r="AB470" s="10" t="str">
        <f>IFERROR(VLOOKUP(Tabla1[[#This Row],[MEDICAMENTO]],TAB_REF!$B$3:$F$27,4,0), "")</f>
        <v>Solución Oral</v>
      </c>
      <c r="AC470" s="10" t="str">
        <f>IFERROR(VLOOKUP(Tabla1[[#This Row],[MEDICAMENTO]],TAB_REF!$B$3:$F$27,5,0), "")</f>
        <v>Frasco x 30 mL</v>
      </c>
      <c r="AD470" s="10" t="str">
        <f>IFERROR(VLOOKUP(Tabla1[[#This Row],[CANTIDAD UND COMERCIALES]],TAB_REF!$H$3:$I$1003,2,0)&amp;" ("&amp;Tabla1[[#This Row],[CANTIDAD UND COMERCIALES]]&amp;")"&amp;"_"&amp;Tabla1[[#This Row],[CANTIDAD]],"")</f>
        <v>Diez (10)_Frasco x 30 mL</v>
      </c>
    </row>
    <row r="471" spans="2:30" x14ac:dyDescent="0.25">
      <c r="B471" s="10">
        <v>174</v>
      </c>
      <c r="C471" s="10" t="s">
        <v>3098</v>
      </c>
      <c r="D471" s="10" t="s">
        <v>3099</v>
      </c>
      <c r="E471" s="10" t="s">
        <v>2610</v>
      </c>
      <c r="F471" s="10" t="s">
        <v>2611</v>
      </c>
      <c r="G471" s="21" t="s">
        <v>2612</v>
      </c>
      <c r="H471" s="10" t="s">
        <v>3100</v>
      </c>
      <c r="I471" s="10" t="s">
        <v>2125</v>
      </c>
      <c r="J471" s="10" t="s">
        <v>1885</v>
      </c>
      <c r="K471" s="10" t="s">
        <v>3101</v>
      </c>
      <c r="L471" s="11">
        <v>202124100625822</v>
      </c>
      <c r="M471" s="20">
        <v>44299</v>
      </c>
      <c r="N471" s="20" t="str">
        <f>UPPER(TEXT(Tabla1[[#This Row],[FECHA RADICADO ENTRADA]],"MMM"))</f>
        <v>ABR</v>
      </c>
      <c r="O471" s="11">
        <v>202124110627221</v>
      </c>
      <c r="P471" s="20">
        <v>44308</v>
      </c>
      <c r="Q471" s="20" t="str">
        <f>UPPER(TEXT(Tabla1[[#This Row],[FECHA RADICADO ENTRADA]],"MMM"))</f>
        <v>ABR</v>
      </c>
      <c r="R471" s="10">
        <f t="shared" si="7"/>
        <v>-9</v>
      </c>
      <c r="S471" s="10" t="s">
        <v>2154</v>
      </c>
      <c r="U471" s="10" t="s">
        <v>2615</v>
      </c>
      <c r="V471" s="20">
        <v>43061</v>
      </c>
      <c r="W471" s="10" t="s">
        <v>28</v>
      </c>
      <c r="X471" s="10">
        <v>4</v>
      </c>
      <c r="Y471" s="11">
        <f>IFERROR(INT(Tabla1[[#This Row],[CANTIDAD UND FARMACEUTICAS]]/(VLOOKUP(Tabla1[[#This Row],[MEDICAMENTO]],TAB_REF!$K$3:$L$27,2,0))),"")</f>
        <v>4</v>
      </c>
      <c r="Z471" s="10" t="str">
        <f>IFERROR(VLOOKUP(Tabla1[[#This Row],[MEDICAMENTO]],TAB_REF!$B$3:$F$27,2,0), "")</f>
        <v xml:space="preserve">Fenobarbital </v>
      </c>
      <c r="AA471" s="10" t="str">
        <f>IFERROR(VLOOKUP(Tabla1[[#This Row],[MEDICAMENTO]],TAB_REF!$B$3:$F$27,3,0), "")</f>
        <v xml:space="preserve">0,4%. </v>
      </c>
      <c r="AB471" s="10" t="str">
        <f>IFERROR(VLOOKUP(Tabla1[[#This Row],[MEDICAMENTO]],TAB_REF!$B$3:$F$27,4,0), "")</f>
        <v>Solución Oral</v>
      </c>
      <c r="AC471" s="10" t="str">
        <f>IFERROR(VLOOKUP(Tabla1[[#This Row],[MEDICAMENTO]],TAB_REF!$B$3:$F$27,5,0), "")</f>
        <v>Frasco x 120 mL</v>
      </c>
      <c r="AD471" s="10" t="str">
        <f>IFERROR(VLOOKUP(Tabla1[[#This Row],[CANTIDAD UND COMERCIALES]],TAB_REF!$H$3:$I$1003,2,0)&amp;" ("&amp;Tabla1[[#This Row],[CANTIDAD UND COMERCIALES]]&amp;")"&amp;"_"&amp;Tabla1[[#This Row],[CANTIDAD]],"")</f>
        <v>Cuatro (4)_Frasco x 120 mL</v>
      </c>
    </row>
    <row r="472" spans="2:30" x14ac:dyDescent="0.25">
      <c r="B472" s="10">
        <v>175</v>
      </c>
      <c r="C472" s="10" t="s">
        <v>3102</v>
      </c>
      <c r="D472" s="10" t="s">
        <v>2175</v>
      </c>
      <c r="E472" s="10" t="s">
        <v>3103</v>
      </c>
      <c r="F472" s="10" t="s">
        <v>3104</v>
      </c>
      <c r="G472" s="21" t="s">
        <v>3105</v>
      </c>
      <c r="H472" s="10" t="s">
        <v>3106</v>
      </c>
      <c r="I472" s="10" t="s">
        <v>2125</v>
      </c>
      <c r="J472" s="10" t="s">
        <v>1887</v>
      </c>
      <c r="K472" s="10" t="s">
        <v>3107</v>
      </c>
      <c r="L472" s="11">
        <v>202124100625872</v>
      </c>
      <c r="M472" s="20">
        <v>44299</v>
      </c>
      <c r="N472" s="20" t="str">
        <f>UPPER(TEXT(Tabla1[[#This Row],[FECHA RADICADO ENTRADA]],"MMM"))</f>
        <v>ABR</v>
      </c>
      <c r="O472" s="11">
        <v>202124110627441</v>
      </c>
      <c r="P472" s="20">
        <v>44308</v>
      </c>
      <c r="Q472" s="20" t="str">
        <f>UPPER(TEXT(Tabla1[[#This Row],[FECHA RADICADO ENTRADA]],"MMM"))</f>
        <v>ABR</v>
      </c>
      <c r="R472" s="10">
        <f t="shared" si="7"/>
        <v>-9</v>
      </c>
      <c r="S472" s="10" t="s">
        <v>2154</v>
      </c>
      <c r="U472" s="10" t="s">
        <v>3108</v>
      </c>
      <c r="V472" s="20">
        <v>44216</v>
      </c>
      <c r="W472" s="10" t="s">
        <v>63</v>
      </c>
      <c r="X472" s="10">
        <v>100</v>
      </c>
      <c r="Y472" s="11">
        <f>IFERROR(INT(Tabla1[[#This Row],[CANTIDAD UND FARMACEUTICAS]]/(VLOOKUP(Tabla1[[#This Row],[MEDICAMENTO]],TAB_REF!$K$3:$L$27,2,0))),"")</f>
        <v>10</v>
      </c>
      <c r="Z472" s="10" t="str">
        <f>IFERROR(VLOOKUP(Tabla1[[#This Row],[MEDICAMENTO]],TAB_REF!$B$3:$F$27,2,0), "")</f>
        <v xml:space="preserve">Morfina HCl </v>
      </c>
      <c r="AA472" s="10" t="str">
        <f>IFERROR(VLOOKUP(Tabla1[[#This Row],[MEDICAMENTO]],TAB_REF!$B$3:$F$27,3,0), "")</f>
        <v xml:space="preserve">10 mg/mL </v>
      </c>
      <c r="AB472" s="10" t="str">
        <f>IFERROR(VLOOKUP(Tabla1[[#This Row],[MEDICAMENTO]],TAB_REF!$B$3:$F$27,4,0), "")</f>
        <v>Solución Inyectable</v>
      </c>
      <c r="AC472" s="10" t="str">
        <f>IFERROR(VLOOKUP(Tabla1[[#This Row],[MEDICAMENTO]],TAB_REF!$B$3:$F$27,5,0), "")</f>
        <v>Caja x 10 unidades</v>
      </c>
      <c r="AD472" s="10" t="str">
        <f>IFERROR(VLOOKUP(Tabla1[[#This Row],[CANTIDAD UND COMERCIALES]],TAB_REF!$H$3:$I$1003,2,0)&amp;" ("&amp;Tabla1[[#This Row],[CANTIDAD UND COMERCIALES]]&amp;")"&amp;"_"&amp;Tabla1[[#This Row],[CANTIDAD]],"")</f>
        <v>Diez (10)_Caja x 10 unidades</v>
      </c>
    </row>
    <row r="473" spans="2:30" x14ac:dyDescent="0.25">
      <c r="B473" s="10">
        <v>175</v>
      </c>
      <c r="C473" s="10" t="s">
        <v>3102</v>
      </c>
      <c r="D473" s="10" t="s">
        <v>2175</v>
      </c>
      <c r="E473" s="10" t="s">
        <v>3103</v>
      </c>
      <c r="F473" s="10" t="s">
        <v>3104</v>
      </c>
      <c r="G473" s="21" t="s">
        <v>3105</v>
      </c>
      <c r="H473" s="10" t="s">
        <v>3106</v>
      </c>
      <c r="I473" s="10" t="s">
        <v>2125</v>
      </c>
      <c r="J473" s="10" t="s">
        <v>1887</v>
      </c>
      <c r="K473" s="10" t="s">
        <v>3107</v>
      </c>
      <c r="L473" s="11">
        <v>202124100625872</v>
      </c>
      <c r="M473" s="20">
        <v>44299</v>
      </c>
      <c r="N473" s="20" t="str">
        <f>UPPER(TEXT(Tabla1[[#This Row],[FECHA RADICADO ENTRADA]],"MMM"))</f>
        <v>ABR</v>
      </c>
      <c r="O473" s="11">
        <v>202124110627441</v>
      </c>
      <c r="P473" s="20">
        <v>44308</v>
      </c>
      <c r="Q473" s="20" t="str">
        <f>UPPER(TEXT(Tabla1[[#This Row],[FECHA RADICADO ENTRADA]],"MMM"))</f>
        <v>ABR</v>
      </c>
      <c r="R473" s="10">
        <f t="shared" si="7"/>
        <v>-9</v>
      </c>
      <c r="S473" s="10" t="s">
        <v>2154</v>
      </c>
      <c r="U473" s="10" t="s">
        <v>3108</v>
      </c>
      <c r="V473" s="20">
        <v>44216</v>
      </c>
      <c r="W473" s="10" t="s">
        <v>28</v>
      </c>
      <c r="X473" s="10">
        <v>10</v>
      </c>
      <c r="Y473" s="11">
        <f>IFERROR(INT(Tabla1[[#This Row],[CANTIDAD UND FARMACEUTICAS]]/(VLOOKUP(Tabla1[[#This Row],[MEDICAMENTO]],TAB_REF!$K$3:$L$27,2,0))),"")</f>
        <v>10</v>
      </c>
      <c r="Z473" s="10" t="str">
        <f>IFERROR(VLOOKUP(Tabla1[[#This Row],[MEDICAMENTO]],TAB_REF!$B$3:$F$27,2,0), "")</f>
        <v xml:space="preserve">Fenobarbital </v>
      </c>
      <c r="AA473" s="10" t="str">
        <f>IFERROR(VLOOKUP(Tabla1[[#This Row],[MEDICAMENTO]],TAB_REF!$B$3:$F$27,3,0), "")</f>
        <v xml:space="preserve">0,4%. </v>
      </c>
      <c r="AB473" s="10" t="str">
        <f>IFERROR(VLOOKUP(Tabla1[[#This Row],[MEDICAMENTO]],TAB_REF!$B$3:$F$27,4,0), "")</f>
        <v>Solución Oral</v>
      </c>
      <c r="AC473" s="10" t="str">
        <f>IFERROR(VLOOKUP(Tabla1[[#This Row],[MEDICAMENTO]],TAB_REF!$B$3:$F$27,5,0), "")</f>
        <v>Frasco x 120 mL</v>
      </c>
      <c r="AD473" s="10" t="str">
        <f>IFERROR(VLOOKUP(Tabla1[[#This Row],[CANTIDAD UND COMERCIALES]],TAB_REF!$H$3:$I$1003,2,0)&amp;" ("&amp;Tabla1[[#This Row],[CANTIDAD UND COMERCIALES]]&amp;")"&amp;"_"&amp;Tabla1[[#This Row],[CANTIDAD]],"")</f>
        <v>Diez (10)_Frasco x 120 mL</v>
      </c>
    </row>
    <row r="474" spans="2:30" x14ac:dyDescent="0.25">
      <c r="B474" s="10">
        <v>175</v>
      </c>
      <c r="C474" s="10" t="s">
        <v>3102</v>
      </c>
      <c r="D474" s="10" t="s">
        <v>2175</v>
      </c>
      <c r="E474" s="10" t="s">
        <v>3103</v>
      </c>
      <c r="F474" s="10" t="s">
        <v>3104</v>
      </c>
      <c r="G474" s="21" t="s">
        <v>3105</v>
      </c>
      <c r="H474" s="10" t="s">
        <v>3106</v>
      </c>
      <c r="I474" s="10" t="s">
        <v>2125</v>
      </c>
      <c r="J474" s="10" t="s">
        <v>1887</v>
      </c>
      <c r="K474" s="10" t="s">
        <v>3107</v>
      </c>
      <c r="L474" s="11">
        <v>202124100625872</v>
      </c>
      <c r="M474" s="20">
        <v>44299</v>
      </c>
      <c r="N474" s="20" t="str">
        <f>UPPER(TEXT(Tabla1[[#This Row],[FECHA RADICADO ENTRADA]],"MMM"))</f>
        <v>ABR</v>
      </c>
      <c r="O474" s="11">
        <v>202124110627441</v>
      </c>
      <c r="P474" s="20">
        <v>44308</v>
      </c>
      <c r="Q474" s="20" t="str">
        <f>UPPER(TEXT(Tabla1[[#This Row],[FECHA RADICADO ENTRADA]],"MMM"))</f>
        <v>ABR</v>
      </c>
      <c r="R474" s="10">
        <f t="shared" si="7"/>
        <v>-9</v>
      </c>
      <c r="S474" s="10" t="s">
        <v>2154</v>
      </c>
      <c r="U474" s="10" t="s">
        <v>3108</v>
      </c>
      <c r="V474" s="20">
        <v>44216</v>
      </c>
      <c r="W474" s="10" t="s">
        <v>32</v>
      </c>
      <c r="X474" s="10">
        <f>333*30</f>
        <v>9990</v>
      </c>
      <c r="Y474" s="11">
        <f>IFERROR(INT(Tabla1[[#This Row],[CANTIDAD UND FARMACEUTICAS]]/(VLOOKUP(Tabla1[[#This Row],[MEDICAMENTO]],TAB_REF!$K$3:$L$27,2,0))),"")</f>
        <v>333</v>
      </c>
      <c r="Z474" s="10" t="str">
        <f>IFERROR(VLOOKUP(Tabla1[[#This Row],[MEDICAMENTO]],TAB_REF!$B$3:$F$27,2,0), "")</f>
        <v xml:space="preserve">Fenobarbital </v>
      </c>
      <c r="AA474" s="10" t="str">
        <f>IFERROR(VLOOKUP(Tabla1[[#This Row],[MEDICAMENTO]],TAB_REF!$B$3:$F$27,3,0), "")</f>
        <v xml:space="preserve">100 mg </v>
      </c>
      <c r="AB474" s="10" t="str">
        <f>IFERROR(VLOOKUP(Tabla1[[#This Row],[MEDICAMENTO]],TAB_REF!$B$3:$F$27,4,0), "")</f>
        <v>Tabletas</v>
      </c>
      <c r="AC474" s="10" t="str">
        <f>IFERROR(VLOOKUP(Tabla1[[#This Row],[MEDICAMENTO]],TAB_REF!$B$3:$F$27,5,0), "")</f>
        <v>Caja x 30 unidades</v>
      </c>
      <c r="AD474" s="10" t="str">
        <f>IFERROR(VLOOKUP(Tabla1[[#This Row],[CANTIDAD UND COMERCIALES]],TAB_REF!$H$3:$I$1003,2,0)&amp;" ("&amp;Tabla1[[#This Row],[CANTIDAD UND COMERCIALES]]&amp;")"&amp;"_"&amp;Tabla1[[#This Row],[CANTIDAD]],"")</f>
        <v>Trescientos Treinta Y Tres (333)_Caja x 30 unidades</v>
      </c>
    </row>
    <row r="475" spans="2:30" x14ac:dyDescent="0.25">
      <c r="B475" s="10">
        <v>176</v>
      </c>
      <c r="C475" s="10" t="s">
        <v>2764</v>
      </c>
      <c r="D475" s="10" t="s">
        <v>2175</v>
      </c>
      <c r="E475" s="10" t="s">
        <v>2765</v>
      </c>
      <c r="F475" s="10" t="s">
        <v>2533</v>
      </c>
      <c r="G475" s="10" t="s">
        <v>2737</v>
      </c>
      <c r="H475" s="10" t="s">
        <v>2738</v>
      </c>
      <c r="I475" s="10" t="s">
        <v>2113</v>
      </c>
      <c r="J475" s="10" t="s">
        <v>1442</v>
      </c>
      <c r="K475" s="10" t="s">
        <v>3109</v>
      </c>
      <c r="L475" s="11">
        <v>202124100626002</v>
      </c>
      <c r="M475" s="20">
        <v>44299</v>
      </c>
      <c r="N475" s="20" t="str">
        <f>UPPER(TEXT(Tabla1[[#This Row],[FECHA RADICADO ENTRADA]],"MMM"))</f>
        <v>ABR</v>
      </c>
      <c r="O475" s="11">
        <v>202124110638541</v>
      </c>
      <c r="P475" s="20">
        <v>44312</v>
      </c>
      <c r="Q475" s="20" t="str">
        <f>UPPER(TEXT(Tabla1[[#This Row],[FECHA RADICADO ENTRADA]],"MMM"))</f>
        <v>ABR</v>
      </c>
      <c r="R475" s="10">
        <f t="shared" si="7"/>
        <v>-13</v>
      </c>
      <c r="S475" s="10" t="s">
        <v>2145</v>
      </c>
      <c r="T475" s="10" t="s">
        <v>3131</v>
      </c>
      <c r="U475" s="10" t="s">
        <v>2767</v>
      </c>
      <c r="V475" s="20">
        <v>44223</v>
      </c>
      <c r="W475" s="10" t="s">
        <v>34</v>
      </c>
      <c r="X475" s="10">
        <v>0</v>
      </c>
      <c r="Y475" s="11">
        <f>IFERROR(INT(Tabla1[[#This Row],[CANTIDAD UND FARMACEUTICAS]]/(VLOOKUP(Tabla1[[#This Row],[MEDICAMENTO]],TAB_REF!$K$3:$L$27,2,0))),"")</f>
        <v>0</v>
      </c>
      <c r="Z475" s="10" t="str">
        <f>IFERROR(VLOOKUP(Tabla1[[#This Row],[MEDICAMENTO]],TAB_REF!$B$3:$F$27,2,0), "")</f>
        <v xml:space="preserve">Fenobarbital Sódico </v>
      </c>
      <c r="AA475" s="10" t="str">
        <f>IFERROR(VLOOKUP(Tabla1[[#This Row],[MEDICAMENTO]],TAB_REF!$B$3:$F$27,3,0), "")</f>
        <v xml:space="preserve">200 mg/Ml </v>
      </c>
      <c r="AB475" s="10" t="str">
        <f>IFERROR(VLOOKUP(Tabla1[[#This Row],[MEDICAMENTO]],TAB_REF!$B$3:$F$27,4,0), "")</f>
        <v>Solución Inyectable</v>
      </c>
      <c r="AC475" s="10" t="str">
        <f>IFERROR(VLOOKUP(Tabla1[[#This Row],[MEDICAMENTO]],TAB_REF!$B$3:$F$27,5,0), "")</f>
        <v>Caja x 10 unidades</v>
      </c>
      <c r="AD475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476" spans="2:30" x14ac:dyDescent="0.25">
      <c r="B476" s="10">
        <v>176</v>
      </c>
      <c r="C476" s="10" t="s">
        <v>2764</v>
      </c>
      <c r="D476" s="10" t="s">
        <v>2175</v>
      </c>
      <c r="E476" s="10" t="s">
        <v>2765</v>
      </c>
      <c r="F476" s="10" t="s">
        <v>2533</v>
      </c>
      <c r="G476" s="10" t="s">
        <v>2737</v>
      </c>
      <c r="H476" s="10" t="s">
        <v>2738</v>
      </c>
      <c r="I476" s="10" t="s">
        <v>2113</v>
      </c>
      <c r="J476" s="10" t="s">
        <v>1442</v>
      </c>
      <c r="K476" s="10" t="s">
        <v>3109</v>
      </c>
      <c r="L476" s="11">
        <v>202124100626002</v>
      </c>
      <c r="M476" s="20">
        <v>44299</v>
      </c>
      <c r="N476" s="20" t="str">
        <f>UPPER(TEXT(Tabla1[[#This Row],[FECHA RADICADO ENTRADA]],"MMM"))</f>
        <v>ABR</v>
      </c>
      <c r="O476" s="11">
        <v>202124110638541</v>
      </c>
      <c r="P476" s="20">
        <v>44312</v>
      </c>
      <c r="Q476" s="20" t="str">
        <f>UPPER(TEXT(Tabla1[[#This Row],[FECHA RADICADO ENTRADA]],"MMM"))</f>
        <v>ABR</v>
      </c>
      <c r="R476" s="10">
        <f t="shared" si="7"/>
        <v>-13</v>
      </c>
      <c r="S476" s="10" t="s">
        <v>2145</v>
      </c>
      <c r="T476" s="10" t="s">
        <v>3110</v>
      </c>
      <c r="U476" s="10" t="s">
        <v>2767</v>
      </c>
      <c r="V476" s="20">
        <v>44223</v>
      </c>
      <c r="W476" s="10" t="s">
        <v>37</v>
      </c>
      <c r="X476" s="10">
        <v>0</v>
      </c>
      <c r="Y476" s="11">
        <f>IFERROR(INT(Tabla1[[#This Row],[CANTIDAD UND FARMACEUTICAS]]/(VLOOKUP(Tabla1[[#This Row],[MEDICAMENTO]],TAB_REF!$K$3:$L$27,2,0))),"")</f>
        <v>0</v>
      </c>
      <c r="Z476" s="10" t="str">
        <f>IFERROR(VLOOKUP(Tabla1[[#This Row],[MEDICAMENTO]],TAB_REF!$B$3:$F$27,2,0), "")</f>
        <v xml:space="preserve">Hidromorfona HCl </v>
      </c>
      <c r="AA476" s="10" t="str">
        <f>IFERROR(VLOOKUP(Tabla1[[#This Row],[MEDICAMENTO]],TAB_REF!$B$3:$F$27,3,0), "")</f>
        <v xml:space="preserve">2 mg/mL </v>
      </c>
      <c r="AB476" s="10" t="str">
        <f>IFERROR(VLOOKUP(Tabla1[[#This Row],[MEDICAMENTO]],TAB_REF!$B$3:$F$27,4,0), "")</f>
        <v>Solución Inyectable</v>
      </c>
      <c r="AC476" s="10" t="str">
        <f>IFERROR(VLOOKUP(Tabla1[[#This Row],[MEDICAMENTO]],TAB_REF!$B$3:$F$27,5,0), "")</f>
        <v>Caja x 10 unidades</v>
      </c>
      <c r="AD476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477" spans="2:30" x14ac:dyDescent="0.25">
      <c r="B477" s="10">
        <v>176</v>
      </c>
      <c r="C477" s="10" t="s">
        <v>2764</v>
      </c>
      <c r="D477" s="10" t="s">
        <v>2175</v>
      </c>
      <c r="E477" s="10" t="s">
        <v>2765</v>
      </c>
      <c r="F477" s="10" t="s">
        <v>2533</v>
      </c>
      <c r="G477" s="10" t="s">
        <v>2737</v>
      </c>
      <c r="H477" s="10" t="s">
        <v>2738</v>
      </c>
      <c r="I477" s="10" t="s">
        <v>2113</v>
      </c>
      <c r="J477" s="10" t="s">
        <v>1442</v>
      </c>
      <c r="K477" s="10" t="s">
        <v>3109</v>
      </c>
      <c r="L477" s="11">
        <v>202124100626002</v>
      </c>
      <c r="M477" s="20">
        <v>44299</v>
      </c>
      <c r="N477" s="20" t="str">
        <f>UPPER(TEXT(Tabla1[[#This Row],[FECHA RADICADO ENTRADA]],"MMM"))</f>
        <v>ABR</v>
      </c>
      <c r="O477" s="11">
        <v>202124110638541</v>
      </c>
      <c r="P477" s="20">
        <v>44312</v>
      </c>
      <c r="Q477" s="20" t="str">
        <f>UPPER(TEXT(Tabla1[[#This Row],[FECHA RADICADO ENTRADA]],"MMM"))</f>
        <v>ABR</v>
      </c>
      <c r="R477" s="10">
        <f t="shared" si="7"/>
        <v>-13</v>
      </c>
      <c r="S477" s="10" t="s">
        <v>2145</v>
      </c>
      <c r="T477" s="10" t="s">
        <v>3131</v>
      </c>
      <c r="U477" s="10" t="s">
        <v>2767</v>
      </c>
      <c r="V477" s="20">
        <v>44223</v>
      </c>
      <c r="W477" s="10" t="s">
        <v>63</v>
      </c>
      <c r="X477" s="10">
        <v>0</v>
      </c>
      <c r="Y477" s="11">
        <f>IFERROR(INT(Tabla1[[#This Row],[CANTIDAD UND FARMACEUTICAS]]/(VLOOKUP(Tabla1[[#This Row],[MEDICAMENTO]],TAB_REF!$K$3:$L$27,2,0))),"")</f>
        <v>0</v>
      </c>
      <c r="Z477" s="10" t="str">
        <f>IFERROR(VLOOKUP(Tabla1[[#This Row],[MEDICAMENTO]],TAB_REF!$B$3:$F$27,2,0), "")</f>
        <v xml:space="preserve">Morfina HCl </v>
      </c>
      <c r="AA477" s="10" t="str">
        <f>IFERROR(VLOOKUP(Tabla1[[#This Row],[MEDICAMENTO]],TAB_REF!$B$3:$F$27,3,0), "")</f>
        <v xml:space="preserve">10 mg/mL </v>
      </c>
      <c r="AB477" s="10" t="str">
        <f>IFERROR(VLOOKUP(Tabla1[[#This Row],[MEDICAMENTO]],TAB_REF!$B$3:$F$27,4,0), "")</f>
        <v>Solución Inyectable</v>
      </c>
      <c r="AC477" s="10" t="str">
        <f>IFERROR(VLOOKUP(Tabla1[[#This Row],[MEDICAMENTO]],TAB_REF!$B$3:$F$27,5,0), "")</f>
        <v>Caja x 10 unidades</v>
      </c>
      <c r="AD477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478" spans="2:30" x14ac:dyDescent="0.25">
      <c r="B478" s="10">
        <v>177</v>
      </c>
      <c r="C478" s="10" t="s">
        <v>3059</v>
      </c>
      <c r="D478" s="10" t="s">
        <v>3060</v>
      </c>
      <c r="E478" s="10" t="s">
        <v>2905</v>
      </c>
      <c r="F478" s="10" t="s">
        <v>2906</v>
      </c>
      <c r="G478" s="21" t="s">
        <v>3061</v>
      </c>
      <c r="H478" s="10" t="s">
        <v>3062</v>
      </c>
      <c r="I478" s="10" t="s">
        <v>2113</v>
      </c>
      <c r="J478" s="10" t="s">
        <v>1442</v>
      </c>
      <c r="K478" s="10" t="s">
        <v>3111</v>
      </c>
      <c r="L478" s="11">
        <v>202124100631702</v>
      </c>
      <c r="M478" s="20">
        <v>44300</v>
      </c>
      <c r="N478" s="20" t="str">
        <f>UPPER(TEXT(Tabla1[[#This Row],[FECHA RADICADO ENTRADA]],"MMM"))</f>
        <v>ABR</v>
      </c>
      <c r="O478" s="11">
        <v>202124110638651</v>
      </c>
      <c r="P478" s="20">
        <v>44312</v>
      </c>
      <c r="Q478" s="20" t="str">
        <f>UPPER(TEXT(Tabla1[[#This Row],[FECHA RADICADO ENTRADA]],"MMM"))</f>
        <v>ABR</v>
      </c>
      <c r="R478" s="10">
        <f t="shared" si="7"/>
        <v>-12</v>
      </c>
      <c r="S478" s="10" t="s">
        <v>2154</v>
      </c>
      <c r="U478" s="10" t="s">
        <v>3064</v>
      </c>
      <c r="V478" s="20">
        <v>44169</v>
      </c>
      <c r="W478" s="10" t="s">
        <v>48</v>
      </c>
      <c r="X478" s="10">
        <v>180</v>
      </c>
      <c r="Y478" s="11">
        <f>IFERROR(INT(Tabla1[[#This Row],[CANTIDAD UND FARMACEUTICAS]]/(VLOOKUP(Tabla1[[#This Row],[MEDICAMENTO]],TAB_REF!$K$3:$L$27,2,0))),"")</f>
        <v>6</v>
      </c>
      <c r="Z478" s="10" t="str">
        <f>IFERROR(VLOOKUP(Tabla1[[#This Row],[MEDICAMENTO]],TAB_REF!$B$3:$F$27,2,0), "")</f>
        <v xml:space="preserve">Metilfenidato HCl </v>
      </c>
      <c r="AA478" s="10" t="str">
        <f>IFERROR(VLOOKUP(Tabla1[[#This Row],[MEDICAMENTO]],TAB_REF!$B$3:$F$27,3,0), "")</f>
        <v xml:space="preserve">10 mg </v>
      </c>
      <c r="AB478" s="10" t="str">
        <f>IFERROR(VLOOKUP(Tabla1[[#This Row],[MEDICAMENTO]],TAB_REF!$B$3:$F$27,4,0), "")</f>
        <v>Comprimidos</v>
      </c>
      <c r="AC478" s="10" t="str">
        <f>IFERROR(VLOOKUP(Tabla1[[#This Row],[MEDICAMENTO]],TAB_REF!$B$3:$F$27,5,0), "")</f>
        <v>Caja x 30 unidades</v>
      </c>
      <c r="AD478" s="10" t="str">
        <f>IFERROR(VLOOKUP(Tabla1[[#This Row],[CANTIDAD UND COMERCIALES]],TAB_REF!$H$3:$I$1003,2,0)&amp;" ("&amp;Tabla1[[#This Row],[CANTIDAD UND COMERCIALES]]&amp;")"&amp;"_"&amp;Tabla1[[#This Row],[CANTIDAD]],"")</f>
        <v>Seis (6)_Caja x 30 unidades</v>
      </c>
    </row>
    <row r="479" spans="2:30" x14ac:dyDescent="0.25">
      <c r="B479" s="10">
        <v>177</v>
      </c>
      <c r="C479" s="10" t="s">
        <v>3059</v>
      </c>
      <c r="D479" s="10" t="s">
        <v>3060</v>
      </c>
      <c r="E479" s="10" t="s">
        <v>2905</v>
      </c>
      <c r="F479" s="10" t="s">
        <v>2906</v>
      </c>
      <c r="G479" s="21" t="s">
        <v>3061</v>
      </c>
      <c r="H479" s="10" t="s">
        <v>3062</v>
      </c>
      <c r="I479" s="10" t="s">
        <v>2113</v>
      </c>
      <c r="J479" s="10" t="s">
        <v>1442</v>
      </c>
      <c r="K479" s="10" t="s">
        <v>3111</v>
      </c>
      <c r="L479" s="11">
        <v>202124100631702</v>
      </c>
      <c r="M479" s="20">
        <v>44300</v>
      </c>
      <c r="N479" s="20" t="str">
        <f>UPPER(TEXT(Tabla1[[#This Row],[FECHA RADICADO ENTRADA]],"MMM"))</f>
        <v>ABR</v>
      </c>
      <c r="O479" s="11">
        <v>202124110638651</v>
      </c>
      <c r="P479" s="20">
        <v>44312</v>
      </c>
      <c r="Q479" s="20" t="str">
        <f>UPPER(TEXT(Tabla1[[#This Row],[FECHA RADICADO ENTRADA]],"MMM"))</f>
        <v>ABR</v>
      </c>
      <c r="R479" s="10">
        <f t="shared" si="7"/>
        <v>-12</v>
      </c>
      <c r="S479" s="10" t="s">
        <v>2154</v>
      </c>
      <c r="U479" s="10" t="s">
        <v>3064</v>
      </c>
      <c r="V479" s="20">
        <v>44169</v>
      </c>
      <c r="W479" s="10" t="s">
        <v>57</v>
      </c>
      <c r="X479" s="10">
        <v>60</v>
      </c>
      <c r="Y479" s="11">
        <f>IFERROR(INT(Tabla1[[#This Row],[CANTIDAD UND FARMACEUTICAS]]/(VLOOKUP(Tabla1[[#This Row],[MEDICAMENTO]],TAB_REF!$K$3:$L$27,2,0))),"")</f>
        <v>2</v>
      </c>
      <c r="Z479" s="10" t="str">
        <f>IFERROR(VLOOKUP(Tabla1[[#This Row],[MEDICAMENTO]],TAB_REF!$B$3:$F$27,2,0), "")</f>
        <v xml:space="preserve">Metilfenidato HCl </v>
      </c>
      <c r="AA479" s="10" t="str">
        <f>IFERROR(VLOOKUP(Tabla1[[#This Row],[MEDICAMENTO]],TAB_REF!$B$3:$F$27,3,0), "")</f>
        <v xml:space="preserve">36 mg </v>
      </c>
      <c r="AB479" s="10" t="str">
        <f>IFERROR(VLOOKUP(Tabla1[[#This Row],[MEDICAMENTO]],TAB_REF!$B$3:$F$27,4,0), "")</f>
        <v>Tabletas de Liberación Prolongada</v>
      </c>
      <c r="AC479" s="10" t="str">
        <f>IFERROR(VLOOKUP(Tabla1[[#This Row],[MEDICAMENTO]],TAB_REF!$B$3:$F$27,5,0), "")</f>
        <v>Frasco x 30 unidades</v>
      </c>
      <c r="AD479" s="10" t="str">
        <f>IFERROR(VLOOKUP(Tabla1[[#This Row],[CANTIDAD UND COMERCIALES]],TAB_REF!$H$3:$I$1003,2,0)&amp;" ("&amp;Tabla1[[#This Row],[CANTIDAD UND COMERCIALES]]&amp;")"&amp;"_"&amp;Tabla1[[#This Row],[CANTIDAD]],"")</f>
        <v>Dos (2)_Frasco x 30 unidades</v>
      </c>
    </row>
    <row r="480" spans="2:30" x14ac:dyDescent="0.25">
      <c r="B480" s="10">
        <v>178</v>
      </c>
      <c r="C480" s="10" t="s">
        <v>3112</v>
      </c>
      <c r="D480" s="10" t="s">
        <v>2182</v>
      </c>
      <c r="E480" s="10" t="s">
        <v>3113</v>
      </c>
      <c r="F480" s="10" t="s">
        <v>2164</v>
      </c>
      <c r="G480" s="21" t="s">
        <v>3114</v>
      </c>
      <c r="H480" s="10" t="s">
        <v>2454</v>
      </c>
      <c r="I480" s="10" t="s">
        <v>2123</v>
      </c>
      <c r="J480" s="10" t="s">
        <v>1770</v>
      </c>
      <c r="K480" s="10" t="s">
        <v>2536</v>
      </c>
      <c r="L480" s="11">
        <v>202124100633722</v>
      </c>
      <c r="M480" s="20">
        <v>44300</v>
      </c>
      <c r="N480" s="20" t="str">
        <f>UPPER(TEXT(Tabla1[[#This Row],[FECHA RADICADO ENTRADA]],"MMM"))</f>
        <v>ABR</v>
      </c>
      <c r="O480" s="11">
        <v>202124110638661</v>
      </c>
      <c r="P480" s="20">
        <v>44312</v>
      </c>
      <c r="Q480" s="20" t="str">
        <f>UPPER(TEXT(Tabla1[[#This Row],[FECHA RADICADO ENTRADA]],"MMM"))</f>
        <v>ABR</v>
      </c>
      <c r="R480" s="10">
        <f t="shared" si="7"/>
        <v>-12</v>
      </c>
      <c r="S480" s="10" t="s">
        <v>2145</v>
      </c>
      <c r="T480" s="10" t="s">
        <v>3115</v>
      </c>
      <c r="U480" s="10" t="s">
        <v>2164</v>
      </c>
      <c r="V480" s="20" t="s">
        <v>2164</v>
      </c>
      <c r="X480" s="10">
        <v>0</v>
      </c>
      <c r="Y480" s="10" t="s">
        <v>2164</v>
      </c>
      <c r="Z480" s="10" t="s">
        <v>2164</v>
      </c>
      <c r="AA480" s="10" t="s">
        <v>2164</v>
      </c>
      <c r="AB480" s="10" t="s">
        <v>2164</v>
      </c>
      <c r="AC480" s="10" t="s">
        <v>2164</v>
      </c>
      <c r="AD480" s="10" t="s">
        <v>2164</v>
      </c>
    </row>
    <row r="481" spans="2:30" x14ac:dyDescent="0.25">
      <c r="B481" s="10">
        <v>179</v>
      </c>
      <c r="C481" s="10" t="s">
        <v>2415</v>
      </c>
      <c r="D481" s="10" t="s">
        <v>2182</v>
      </c>
      <c r="E481" s="10" t="s">
        <v>2416</v>
      </c>
      <c r="F481" s="10" t="s">
        <v>2417</v>
      </c>
      <c r="G481" s="10" t="s">
        <v>2418</v>
      </c>
      <c r="H481" s="10" t="s">
        <v>2419</v>
      </c>
      <c r="I481" s="10" t="s">
        <v>2128</v>
      </c>
      <c r="J481" s="10" t="s">
        <v>1942</v>
      </c>
      <c r="K481" s="10" t="s">
        <v>3116</v>
      </c>
      <c r="L481" s="11">
        <v>202124100642302</v>
      </c>
      <c r="M481" s="20">
        <v>44301</v>
      </c>
      <c r="N481" s="20" t="str">
        <f>UPPER(TEXT(Tabla1[[#This Row],[FECHA RADICADO ENTRADA]],"MMM"))</f>
        <v>ABR</v>
      </c>
      <c r="O481" s="11">
        <v>202124110638691</v>
      </c>
      <c r="P481" s="20">
        <v>44312</v>
      </c>
      <c r="Q481" s="20" t="str">
        <f>UPPER(TEXT(Tabla1[[#This Row],[FECHA RADICADO ENTRADA]],"MMM"))</f>
        <v>ABR</v>
      </c>
      <c r="R481" s="10">
        <f t="shared" si="7"/>
        <v>-11</v>
      </c>
      <c r="S481" s="10" t="s">
        <v>2154</v>
      </c>
      <c r="U481" s="10" t="s">
        <v>2435</v>
      </c>
      <c r="V481" s="20">
        <v>43381</v>
      </c>
      <c r="W481" s="10" t="s">
        <v>63</v>
      </c>
      <c r="X481" s="10">
        <v>100</v>
      </c>
      <c r="Y481" s="11">
        <f>IFERROR(INT(Tabla1[[#This Row],[CANTIDAD UND FARMACEUTICAS]]/(VLOOKUP(Tabla1[[#This Row],[MEDICAMENTO]],TAB_REF!$K$3:$L$27,2,0))),"")</f>
        <v>10</v>
      </c>
      <c r="Z481" s="10" t="str">
        <f>IFERROR(VLOOKUP(Tabla1[[#This Row],[MEDICAMENTO]],TAB_REF!$B$3:$F$27,2,0), "")</f>
        <v xml:space="preserve">Morfina HCl </v>
      </c>
      <c r="AA481" s="10" t="str">
        <f>IFERROR(VLOOKUP(Tabla1[[#This Row],[MEDICAMENTO]],TAB_REF!$B$3:$F$27,3,0), "")</f>
        <v xml:space="preserve">10 mg/mL </v>
      </c>
      <c r="AB481" s="10" t="str">
        <f>IFERROR(VLOOKUP(Tabla1[[#This Row],[MEDICAMENTO]],TAB_REF!$B$3:$F$27,4,0), "")</f>
        <v>Solución Inyectable</v>
      </c>
      <c r="AC481" s="10" t="str">
        <f>IFERROR(VLOOKUP(Tabla1[[#This Row],[MEDICAMENTO]],TAB_REF!$B$3:$F$27,5,0), "")</f>
        <v>Caja x 10 unidades</v>
      </c>
      <c r="AD481" s="10" t="str">
        <f>IFERROR(VLOOKUP(Tabla1[[#This Row],[CANTIDAD UND COMERCIALES]],TAB_REF!$H$3:$I$1003,2,0)&amp;" ("&amp;Tabla1[[#This Row],[CANTIDAD UND COMERCIALES]]&amp;")"&amp;"_"&amp;Tabla1[[#This Row],[CANTIDAD]],"")</f>
        <v>Diez (10)_Caja x 10 unidades</v>
      </c>
    </row>
    <row r="482" spans="2:30" x14ac:dyDescent="0.25">
      <c r="B482" s="10">
        <v>180</v>
      </c>
      <c r="C482" s="10" t="s">
        <v>3117</v>
      </c>
      <c r="D482" s="10" t="s">
        <v>2312</v>
      </c>
      <c r="E482" s="10" t="s">
        <v>3118</v>
      </c>
      <c r="F482" s="10" t="s">
        <v>2452</v>
      </c>
      <c r="G482" s="10" t="s">
        <v>3119</v>
      </c>
      <c r="H482" s="10" t="s">
        <v>2454</v>
      </c>
      <c r="I482" s="10" t="s">
        <v>2123</v>
      </c>
      <c r="J482" s="10" t="s">
        <v>1770</v>
      </c>
      <c r="K482" s="10" t="s">
        <v>3120</v>
      </c>
      <c r="L482" s="11">
        <v>202124100642392</v>
      </c>
      <c r="M482" s="20">
        <v>44301</v>
      </c>
      <c r="N482" s="20" t="str">
        <f>UPPER(TEXT(Tabla1[[#This Row],[FECHA RADICADO ENTRADA]],"MMM"))</f>
        <v>ABR</v>
      </c>
      <c r="O482" s="11">
        <v>202124110638731</v>
      </c>
      <c r="P482" s="20">
        <v>44312</v>
      </c>
      <c r="Q482" s="20" t="str">
        <f>UPPER(TEXT(Tabla1[[#This Row],[FECHA RADICADO ENTRADA]],"MMM"))</f>
        <v>ABR</v>
      </c>
      <c r="R482" s="10">
        <f t="shared" si="7"/>
        <v>-11</v>
      </c>
      <c r="S482" s="10" t="s">
        <v>2154</v>
      </c>
      <c r="U482" s="10" t="s">
        <v>3121</v>
      </c>
      <c r="V482" s="20">
        <v>44556</v>
      </c>
      <c r="W482" s="10" t="s">
        <v>33</v>
      </c>
      <c r="X482" s="10">
        <v>1200</v>
      </c>
      <c r="Y482" s="11">
        <f>IFERROR(INT(Tabla1[[#This Row],[CANTIDAD UND FARMACEUTICAS]]/(VLOOKUP(Tabla1[[#This Row],[MEDICAMENTO]],TAB_REF!$K$3:$L$27,2,0))),"")</f>
        <v>40</v>
      </c>
      <c r="Z482" s="10" t="str">
        <f>IFERROR(VLOOKUP(Tabla1[[#This Row],[MEDICAMENTO]],TAB_REF!$B$3:$F$27,2,0), "")</f>
        <v xml:space="preserve">Fenobarbital </v>
      </c>
      <c r="AA482" s="10" t="str">
        <f>IFERROR(VLOOKUP(Tabla1[[#This Row],[MEDICAMENTO]],TAB_REF!$B$3:$F$27,3,0), "")</f>
        <v xml:space="preserve">50 mg </v>
      </c>
      <c r="AB482" s="10" t="str">
        <f>IFERROR(VLOOKUP(Tabla1[[#This Row],[MEDICAMENTO]],TAB_REF!$B$3:$F$27,4,0), "")</f>
        <v>Tabletas</v>
      </c>
      <c r="AC482" s="10" t="str">
        <f>IFERROR(VLOOKUP(Tabla1[[#This Row],[MEDICAMENTO]],TAB_REF!$B$3:$F$27,5,0), "")</f>
        <v>Caja x 30 unidades</v>
      </c>
      <c r="AD482" s="10" t="str">
        <f>IFERROR(VLOOKUP(Tabla1[[#This Row],[CANTIDAD UND COMERCIALES]],TAB_REF!$H$3:$I$1003,2,0)&amp;" ("&amp;Tabla1[[#This Row],[CANTIDAD UND COMERCIALES]]&amp;")"&amp;"_"&amp;Tabla1[[#This Row],[CANTIDAD]],"")</f>
        <v>Cuarenta (40)_Caja x 30 unidades</v>
      </c>
    </row>
    <row r="483" spans="2:30" x14ac:dyDescent="0.25">
      <c r="B483" s="10">
        <v>180</v>
      </c>
      <c r="C483" s="10" t="s">
        <v>3117</v>
      </c>
      <c r="D483" s="10" t="s">
        <v>2312</v>
      </c>
      <c r="E483" s="10" t="s">
        <v>3118</v>
      </c>
      <c r="F483" s="10" t="s">
        <v>2452</v>
      </c>
      <c r="G483" s="10" t="s">
        <v>3119</v>
      </c>
      <c r="H483" s="10" t="s">
        <v>2454</v>
      </c>
      <c r="I483" s="10" t="s">
        <v>2123</v>
      </c>
      <c r="J483" s="10" t="s">
        <v>1770</v>
      </c>
      <c r="K483" s="10" t="s">
        <v>3120</v>
      </c>
      <c r="L483" s="11">
        <v>202124100642392</v>
      </c>
      <c r="M483" s="20">
        <v>44301</v>
      </c>
      <c r="N483" s="20" t="str">
        <f>UPPER(TEXT(Tabla1[[#This Row],[FECHA RADICADO ENTRADA]],"MMM"))</f>
        <v>ABR</v>
      </c>
      <c r="O483" s="11">
        <v>202124110638731</v>
      </c>
      <c r="P483" s="20">
        <v>44312</v>
      </c>
      <c r="Q483" s="20" t="str">
        <f>UPPER(TEXT(Tabla1[[#This Row],[FECHA RADICADO ENTRADA]],"MMM"))</f>
        <v>ABR</v>
      </c>
      <c r="R483" s="10">
        <f t="shared" si="7"/>
        <v>-11</v>
      </c>
      <c r="S483" s="10" t="s">
        <v>2154</v>
      </c>
      <c r="U483" s="10" t="s">
        <v>3121</v>
      </c>
      <c r="V483" s="20">
        <v>44556</v>
      </c>
      <c r="W483" s="10" t="s">
        <v>32</v>
      </c>
      <c r="X483" s="10">
        <v>1200</v>
      </c>
      <c r="Y483" s="11">
        <f>IFERROR(INT(Tabla1[[#This Row],[CANTIDAD UND FARMACEUTICAS]]/(VLOOKUP(Tabla1[[#This Row],[MEDICAMENTO]],TAB_REF!$K$3:$L$27,2,0))),"")</f>
        <v>40</v>
      </c>
      <c r="Z483" s="10" t="str">
        <f>IFERROR(VLOOKUP(Tabla1[[#This Row],[MEDICAMENTO]],TAB_REF!$B$3:$F$27,2,0), "")</f>
        <v xml:space="preserve">Fenobarbital </v>
      </c>
      <c r="AA483" s="10" t="str">
        <f>IFERROR(VLOOKUP(Tabla1[[#This Row],[MEDICAMENTO]],TAB_REF!$B$3:$F$27,3,0), "")</f>
        <v xml:space="preserve">100 mg </v>
      </c>
      <c r="AB483" s="10" t="str">
        <f>IFERROR(VLOOKUP(Tabla1[[#This Row],[MEDICAMENTO]],TAB_REF!$B$3:$F$27,4,0), "")</f>
        <v>Tabletas</v>
      </c>
      <c r="AC483" s="10" t="str">
        <f>IFERROR(VLOOKUP(Tabla1[[#This Row],[MEDICAMENTO]],TAB_REF!$B$3:$F$27,5,0), "")</f>
        <v>Caja x 30 unidades</v>
      </c>
      <c r="AD483" s="10" t="str">
        <f>IFERROR(VLOOKUP(Tabla1[[#This Row],[CANTIDAD UND COMERCIALES]],TAB_REF!$H$3:$I$1003,2,0)&amp;" ("&amp;Tabla1[[#This Row],[CANTIDAD UND COMERCIALES]]&amp;")"&amp;"_"&amp;Tabla1[[#This Row],[CANTIDAD]],"")</f>
        <v>Cuarenta (40)_Caja x 30 unidades</v>
      </c>
    </row>
    <row r="484" spans="2:30" x14ac:dyDescent="0.25">
      <c r="B484" s="10">
        <v>180</v>
      </c>
      <c r="C484" s="10" t="s">
        <v>3117</v>
      </c>
      <c r="D484" s="10" t="s">
        <v>2312</v>
      </c>
      <c r="E484" s="10" t="s">
        <v>3118</v>
      </c>
      <c r="F484" s="10" t="s">
        <v>2452</v>
      </c>
      <c r="G484" s="10" t="s">
        <v>3119</v>
      </c>
      <c r="H484" s="10" t="s">
        <v>2454</v>
      </c>
      <c r="I484" s="10" t="s">
        <v>2123</v>
      </c>
      <c r="J484" s="10" t="s">
        <v>1770</v>
      </c>
      <c r="K484" s="10" t="s">
        <v>3120</v>
      </c>
      <c r="L484" s="11">
        <v>202124100642392</v>
      </c>
      <c r="M484" s="20">
        <v>44301</v>
      </c>
      <c r="N484" s="20" t="str">
        <f>UPPER(TEXT(Tabla1[[#This Row],[FECHA RADICADO ENTRADA]],"MMM"))</f>
        <v>ABR</v>
      </c>
      <c r="O484" s="11">
        <v>202124110638731</v>
      </c>
      <c r="P484" s="20">
        <v>44312</v>
      </c>
      <c r="Q484" s="20" t="str">
        <f>UPPER(TEXT(Tabla1[[#This Row],[FECHA RADICADO ENTRADA]],"MMM"))</f>
        <v>ABR</v>
      </c>
      <c r="R484" s="10">
        <f t="shared" si="7"/>
        <v>-11</v>
      </c>
      <c r="S484" s="10" t="s">
        <v>2154</v>
      </c>
      <c r="U484" s="10" t="s">
        <v>3121</v>
      </c>
      <c r="V484" s="20">
        <v>44556</v>
      </c>
      <c r="W484" s="10" t="s">
        <v>60</v>
      </c>
      <c r="X484" s="10">
        <v>10</v>
      </c>
      <c r="Y484" s="11">
        <f>IFERROR(INT(Tabla1[[#This Row],[CANTIDAD UND FARMACEUTICAS]]/(VLOOKUP(Tabla1[[#This Row],[MEDICAMENTO]],TAB_REF!$K$3:$L$27,2,0))),"")</f>
        <v>10</v>
      </c>
      <c r="Z484" s="10" t="str">
        <f>IFERROR(VLOOKUP(Tabla1[[#This Row],[MEDICAMENTO]],TAB_REF!$B$3:$F$27,2,0), "")</f>
        <v xml:space="preserve">Morfina HCl </v>
      </c>
      <c r="AA484" s="10" t="str">
        <f>IFERROR(VLOOKUP(Tabla1[[#This Row],[MEDICAMENTO]],TAB_REF!$B$3:$F$27,3,0), "")</f>
        <v xml:space="preserve">3%. </v>
      </c>
      <c r="AB484" s="10" t="str">
        <f>IFERROR(VLOOKUP(Tabla1[[#This Row],[MEDICAMENTO]],TAB_REF!$B$3:$F$27,4,0), "")</f>
        <v>Solución Oral</v>
      </c>
      <c r="AC484" s="10" t="str">
        <f>IFERROR(VLOOKUP(Tabla1[[#This Row],[MEDICAMENTO]],TAB_REF!$B$3:$F$27,5,0), "")</f>
        <v>Frasco x 30 mL</v>
      </c>
      <c r="AD484" s="10" t="str">
        <f>IFERROR(VLOOKUP(Tabla1[[#This Row],[CANTIDAD UND COMERCIALES]],TAB_REF!$H$3:$I$1003,2,0)&amp;" ("&amp;Tabla1[[#This Row],[CANTIDAD UND COMERCIALES]]&amp;")"&amp;"_"&amp;Tabla1[[#This Row],[CANTIDAD]],"")</f>
        <v>Diez (10)_Frasco x 30 mL</v>
      </c>
    </row>
    <row r="485" spans="2:30" x14ac:dyDescent="0.25">
      <c r="B485" s="10">
        <v>180</v>
      </c>
      <c r="C485" s="10" t="s">
        <v>3117</v>
      </c>
      <c r="D485" s="10" t="s">
        <v>2312</v>
      </c>
      <c r="E485" s="10" t="s">
        <v>3118</v>
      </c>
      <c r="F485" s="10" t="s">
        <v>2452</v>
      </c>
      <c r="G485" s="10" t="s">
        <v>3119</v>
      </c>
      <c r="H485" s="10" t="s">
        <v>2454</v>
      </c>
      <c r="I485" s="10" t="s">
        <v>2123</v>
      </c>
      <c r="J485" s="10" t="s">
        <v>1770</v>
      </c>
      <c r="K485" s="10" t="s">
        <v>3120</v>
      </c>
      <c r="L485" s="11">
        <v>202124100642392</v>
      </c>
      <c r="M485" s="20">
        <v>44301</v>
      </c>
      <c r="N485" s="20" t="str">
        <f>UPPER(TEXT(Tabla1[[#This Row],[FECHA RADICADO ENTRADA]],"MMM"))</f>
        <v>ABR</v>
      </c>
      <c r="O485" s="11">
        <v>202124110638731</v>
      </c>
      <c r="P485" s="20">
        <v>44312</v>
      </c>
      <c r="Q485" s="20" t="str">
        <f>UPPER(TEXT(Tabla1[[#This Row],[FECHA RADICADO ENTRADA]],"MMM"))</f>
        <v>ABR</v>
      </c>
      <c r="R485" s="10">
        <f t="shared" si="7"/>
        <v>-11</v>
      </c>
      <c r="S485" s="10" t="s">
        <v>2154</v>
      </c>
      <c r="U485" s="10" t="s">
        <v>3121</v>
      </c>
      <c r="V485" s="20">
        <v>44556</v>
      </c>
      <c r="W485" s="10" t="s">
        <v>63</v>
      </c>
      <c r="X485" s="10">
        <v>20</v>
      </c>
      <c r="Y485" s="11">
        <f>IFERROR(INT(Tabla1[[#This Row],[CANTIDAD UND FARMACEUTICAS]]/(VLOOKUP(Tabla1[[#This Row],[MEDICAMENTO]],TAB_REF!$K$3:$L$27,2,0))),"")</f>
        <v>2</v>
      </c>
      <c r="Z485" s="10" t="str">
        <f>IFERROR(VLOOKUP(Tabla1[[#This Row],[MEDICAMENTO]],TAB_REF!$B$3:$F$27,2,0), "")</f>
        <v xml:space="preserve">Morfina HCl </v>
      </c>
      <c r="AA485" s="10" t="str">
        <f>IFERROR(VLOOKUP(Tabla1[[#This Row],[MEDICAMENTO]],TAB_REF!$B$3:$F$27,3,0), "")</f>
        <v xml:space="preserve">10 mg/mL </v>
      </c>
      <c r="AB485" s="10" t="str">
        <f>IFERROR(VLOOKUP(Tabla1[[#This Row],[MEDICAMENTO]],TAB_REF!$B$3:$F$27,4,0), "")</f>
        <v>Solución Inyectable</v>
      </c>
      <c r="AC485" s="10" t="str">
        <f>IFERROR(VLOOKUP(Tabla1[[#This Row],[MEDICAMENTO]],TAB_REF!$B$3:$F$27,5,0), "")</f>
        <v>Caja x 10 unidades</v>
      </c>
      <c r="AD485" s="10" t="str">
        <f>IFERROR(VLOOKUP(Tabla1[[#This Row],[CANTIDAD UND COMERCIALES]],TAB_REF!$H$3:$I$1003,2,0)&amp;" ("&amp;Tabla1[[#This Row],[CANTIDAD UND COMERCIALES]]&amp;")"&amp;"_"&amp;Tabla1[[#This Row],[CANTIDAD]],"")</f>
        <v>Dos (2)_Caja x 10 unidades</v>
      </c>
    </row>
    <row r="486" spans="2:30" x14ac:dyDescent="0.25">
      <c r="B486" s="10">
        <v>180</v>
      </c>
      <c r="C486" s="10" t="s">
        <v>3117</v>
      </c>
      <c r="D486" s="10" t="s">
        <v>2312</v>
      </c>
      <c r="E486" s="10" t="s">
        <v>3118</v>
      </c>
      <c r="F486" s="10" t="s">
        <v>2452</v>
      </c>
      <c r="G486" s="10" t="s">
        <v>3119</v>
      </c>
      <c r="H486" s="10" t="s">
        <v>2454</v>
      </c>
      <c r="I486" s="10" t="s">
        <v>2123</v>
      </c>
      <c r="J486" s="10" t="s">
        <v>1770</v>
      </c>
      <c r="K486" s="10" t="s">
        <v>3120</v>
      </c>
      <c r="L486" s="11">
        <v>202124100642392</v>
      </c>
      <c r="M486" s="20">
        <v>44301</v>
      </c>
      <c r="N486" s="20" t="str">
        <f>UPPER(TEXT(Tabla1[[#This Row],[FECHA RADICADO ENTRADA]],"MMM"))</f>
        <v>ABR</v>
      </c>
      <c r="O486" s="11">
        <v>202124110638731</v>
      </c>
      <c r="P486" s="20">
        <v>44312</v>
      </c>
      <c r="Q486" s="20" t="str">
        <f>UPPER(TEXT(Tabla1[[#This Row],[FECHA RADICADO ENTRADA]],"MMM"))</f>
        <v>ABR</v>
      </c>
      <c r="R486" s="10">
        <f t="shared" si="7"/>
        <v>-11</v>
      </c>
      <c r="S486" s="10" t="s">
        <v>2154</v>
      </c>
      <c r="U486" s="10" t="s">
        <v>3121</v>
      </c>
      <c r="V486" s="20">
        <v>44556</v>
      </c>
      <c r="W486" s="10" t="s">
        <v>48</v>
      </c>
      <c r="X486" s="10">
        <v>900</v>
      </c>
      <c r="Y486" s="11">
        <f>IFERROR(INT(Tabla1[[#This Row],[CANTIDAD UND FARMACEUTICAS]]/(VLOOKUP(Tabla1[[#This Row],[MEDICAMENTO]],TAB_REF!$K$3:$L$27,2,0))),"")</f>
        <v>30</v>
      </c>
      <c r="Z486" s="10" t="str">
        <f>IFERROR(VLOOKUP(Tabla1[[#This Row],[MEDICAMENTO]],TAB_REF!$B$3:$F$27,2,0), "")</f>
        <v xml:space="preserve">Metilfenidato HCl </v>
      </c>
      <c r="AA486" s="10" t="str">
        <f>IFERROR(VLOOKUP(Tabla1[[#This Row],[MEDICAMENTO]],TAB_REF!$B$3:$F$27,3,0), "")</f>
        <v xml:space="preserve">10 mg </v>
      </c>
      <c r="AB486" s="10" t="str">
        <f>IFERROR(VLOOKUP(Tabla1[[#This Row],[MEDICAMENTO]],TAB_REF!$B$3:$F$27,4,0), "")</f>
        <v>Comprimidos</v>
      </c>
      <c r="AC486" s="10" t="str">
        <f>IFERROR(VLOOKUP(Tabla1[[#This Row],[MEDICAMENTO]],TAB_REF!$B$3:$F$27,5,0), "")</f>
        <v>Caja x 30 unidades</v>
      </c>
      <c r="AD486" s="10" t="str">
        <f>IFERROR(VLOOKUP(Tabla1[[#This Row],[CANTIDAD UND COMERCIALES]],TAB_REF!$H$3:$I$1003,2,0)&amp;" ("&amp;Tabla1[[#This Row],[CANTIDAD UND COMERCIALES]]&amp;")"&amp;"_"&amp;Tabla1[[#This Row],[CANTIDAD]],"")</f>
        <v>Treinta (30)_Caja x 30 unidades</v>
      </c>
    </row>
    <row r="487" spans="2:30" x14ac:dyDescent="0.25">
      <c r="B487" s="10">
        <v>180</v>
      </c>
      <c r="C487" s="10" t="s">
        <v>3117</v>
      </c>
      <c r="D487" s="10" t="s">
        <v>2312</v>
      </c>
      <c r="E487" s="10" t="s">
        <v>3118</v>
      </c>
      <c r="F487" s="10" t="s">
        <v>2452</v>
      </c>
      <c r="G487" s="10" t="s">
        <v>3119</v>
      </c>
      <c r="H487" s="10" t="s">
        <v>2454</v>
      </c>
      <c r="I487" s="10" t="s">
        <v>2123</v>
      </c>
      <c r="J487" s="10" t="s">
        <v>1770</v>
      </c>
      <c r="K487" s="10" t="s">
        <v>3120</v>
      </c>
      <c r="L487" s="11">
        <v>202124100642392</v>
      </c>
      <c r="M487" s="20">
        <v>44301</v>
      </c>
      <c r="N487" s="20" t="str">
        <f>UPPER(TEXT(Tabla1[[#This Row],[FECHA RADICADO ENTRADA]],"MMM"))</f>
        <v>ABR</v>
      </c>
      <c r="O487" s="11">
        <v>202124110638731</v>
      </c>
      <c r="P487" s="20">
        <v>44312</v>
      </c>
      <c r="Q487" s="20" t="str">
        <f>UPPER(TEXT(Tabla1[[#This Row],[FECHA RADICADO ENTRADA]],"MMM"))</f>
        <v>ABR</v>
      </c>
      <c r="R487" s="10">
        <f t="shared" si="7"/>
        <v>-11</v>
      </c>
      <c r="S487" s="10" t="s">
        <v>2154</v>
      </c>
      <c r="U487" s="10" t="s">
        <v>3121</v>
      </c>
      <c r="V487" s="20">
        <v>44556</v>
      </c>
      <c r="W487" s="10" t="s">
        <v>28</v>
      </c>
      <c r="X487" s="10">
        <v>3</v>
      </c>
      <c r="Y487" s="11">
        <f>IFERROR(INT(Tabla1[[#This Row],[CANTIDAD UND FARMACEUTICAS]]/(VLOOKUP(Tabla1[[#This Row],[MEDICAMENTO]],TAB_REF!$K$3:$L$27,2,0))),"")</f>
        <v>3</v>
      </c>
      <c r="Z487" s="10" t="str">
        <f>IFERROR(VLOOKUP(Tabla1[[#This Row],[MEDICAMENTO]],TAB_REF!$B$3:$F$27,2,0), "")</f>
        <v xml:space="preserve">Fenobarbital </v>
      </c>
      <c r="AA487" s="10" t="str">
        <f>IFERROR(VLOOKUP(Tabla1[[#This Row],[MEDICAMENTO]],TAB_REF!$B$3:$F$27,3,0), "")</f>
        <v xml:space="preserve">0,4%. </v>
      </c>
      <c r="AB487" s="10" t="str">
        <f>IFERROR(VLOOKUP(Tabla1[[#This Row],[MEDICAMENTO]],TAB_REF!$B$3:$F$27,4,0), "")</f>
        <v>Solución Oral</v>
      </c>
      <c r="AC487" s="10" t="str">
        <f>IFERROR(VLOOKUP(Tabla1[[#This Row],[MEDICAMENTO]],TAB_REF!$B$3:$F$27,5,0), "")</f>
        <v>Frasco x 120 mL</v>
      </c>
      <c r="AD487" s="10" t="str">
        <f>IFERROR(VLOOKUP(Tabla1[[#This Row],[CANTIDAD UND COMERCIALES]],TAB_REF!$H$3:$I$1003,2,0)&amp;" ("&amp;Tabla1[[#This Row],[CANTIDAD UND COMERCIALES]]&amp;")"&amp;"_"&amp;Tabla1[[#This Row],[CANTIDAD]],"")</f>
        <v>Tres (3)_Frasco x 120 mL</v>
      </c>
    </row>
    <row r="488" spans="2:30" x14ac:dyDescent="0.25">
      <c r="B488" s="10">
        <v>181</v>
      </c>
      <c r="C488" s="10" t="s">
        <v>3328</v>
      </c>
      <c r="D488" s="10" t="s">
        <v>2162</v>
      </c>
      <c r="E488" s="10" t="s">
        <v>2978</v>
      </c>
      <c r="F488" s="10" t="s">
        <v>2979</v>
      </c>
      <c r="G488" s="21" t="s">
        <v>2980</v>
      </c>
      <c r="H488" s="10" t="s">
        <v>2164</v>
      </c>
      <c r="I488" s="10" t="s">
        <v>2116</v>
      </c>
      <c r="J488" s="10" t="s">
        <v>1559</v>
      </c>
      <c r="K488" s="10" t="s">
        <v>3122</v>
      </c>
      <c r="L488" s="11">
        <v>202124100646472</v>
      </c>
      <c r="M488" s="20">
        <v>44301</v>
      </c>
      <c r="N488" s="20" t="str">
        <f>UPPER(TEXT(Tabla1[[#This Row],[FECHA RADICADO ENTRADA]],"MMM"))</f>
        <v>ABR</v>
      </c>
      <c r="O488" s="11">
        <v>202124110638741</v>
      </c>
      <c r="P488" s="20">
        <v>44312</v>
      </c>
      <c r="Q488" s="20" t="str">
        <f>UPPER(TEXT(Tabla1[[#This Row],[FECHA RADICADO ENTRADA]],"MMM"))</f>
        <v>ABR</v>
      </c>
      <c r="R488" s="10">
        <f t="shared" si="7"/>
        <v>-11</v>
      </c>
      <c r="S488" s="10" t="s">
        <v>2145</v>
      </c>
      <c r="T488" s="10" t="s">
        <v>3123</v>
      </c>
      <c r="U488" s="10" t="s">
        <v>3124</v>
      </c>
      <c r="V488" s="20" t="s">
        <v>2164</v>
      </c>
      <c r="W488" s="10" t="s">
        <v>63</v>
      </c>
      <c r="X488" s="10">
        <v>0</v>
      </c>
      <c r="Y488" s="11">
        <f>IFERROR(INT(Tabla1[[#This Row],[CANTIDAD UND FARMACEUTICAS]]/(VLOOKUP(Tabla1[[#This Row],[MEDICAMENTO]],TAB_REF!$K$3:$L$27,2,0))),"")</f>
        <v>0</v>
      </c>
      <c r="Z488" s="10" t="str">
        <f>IFERROR(VLOOKUP(Tabla1[[#This Row],[MEDICAMENTO]],TAB_REF!$B$3:$F$27,2,0), "")</f>
        <v xml:space="preserve">Morfina HCl </v>
      </c>
      <c r="AA488" s="10" t="str">
        <f>IFERROR(VLOOKUP(Tabla1[[#This Row],[MEDICAMENTO]],TAB_REF!$B$3:$F$27,3,0), "")</f>
        <v xml:space="preserve">10 mg/mL </v>
      </c>
      <c r="AB488" s="10" t="str">
        <f>IFERROR(VLOOKUP(Tabla1[[#This Row],[MEDICAMENTO]],TAB_REF!$B$3:$F$27,4,0), "")</f>
        <v>Solución Inyectable</v>
      </c>
      <c r="AC488" s="10" t="str">
        <f>IFERROR(VLOOKUP(Tabla1[[#This Row],[MEDICAMENTO]],TAB_REF!$B$3:$F$27,5,0), "")</f>
        <v>Caja x 10 unidades</v>
      </c>
      <c r="AD488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489" spans="2:30" x14ac:dyDescent="0.25">
      <c r="B489" s="10">
        <v>182</v>
      </c>
      <c r="C489" s="10" t="s">
        <v>3125</v>
      </c>
      <c r="D489" s="10" t="s">
        <v>3076</v>
      </c>
      <c r="E489" s="10" t="s">
        <v>3126</v>
      </c>
      <c r="F489" s="10" t="s">
        <v>2697</v>
      </c>
      <c r="G489" s="21" t="s">
        <v>3127</v>
      </c>
      <c r="H489" s="10" t="s">
        <v>3128</v>
      </c>
      <c r="I489" s="10" t="s">
        <v>2121</v>
      </c>
      <c r="K489" s="10" t="s">
        <v>3129</v>
      </c>
      <c r="L489" s="11">
        <v>202124100654852</v>
      </c>
      <c r="M489" s="20">
        <v>44302</v>
      </c>
      <c r="N489" s="20" t="str">
        <f>UPPER(TEXT(Tabla1[[#This Row],[FECHA RADICADO ENTRADA]],"MMM"))</f>
        <v>ABR</v>
      </c>
      <c r="O489" s="11">
        <v>202124110638781</v>
      </c>
      <c r="P489" s="20">
        <v>44312</v>
      </c>
      <c r="Q489" s="20" t="str">
        <f>UPPER(TEXT(Tabla1[[#This Row],[FECHA RADICADO ENTRADA]],"MMM"))</f>
        <v>ABR</v>
      </c>
      <c r="R489" s="10">
        <f t="shared" si="7"/>
        <v>-10</v>
      </c>
      <c r="S489" s="10" t="s">
        <v>2154</v>
      </c>
      <c r="U489" s="10" t="s">
        <v>3130</v>
      </c>
      <c r="V489" s="20">
        <v>44218</v>
      </c>
      <c r="W489" s="10" t="s">
        <v>32</v>
      </c>
      <c r="X489" s="10">
        <f>22*30</f>
        <v>660</v>
      </c>
      <c r="Y489" s="11">
        <f>IFERROR(INT(Tabla1[[#This Row],[CANTIDAD UND FARMACEUTICAS]]/(VLOOKUP(Tabla1[[#This Row],[MEDICAMENTO]],TAB_REF!$K$3:$L$27,2,0))),"")</f>
        <v>22</v>
      </c>
      <c r="Z489" s="10" t="str">
        <f>IFERROR(VLOOKUP(Tabla1[[#This Row],[MEDICAMENTO]],TAB_REF!$B$3:$F$27,2,0), "")</f>
        <v xml:space="preserve">Fenobarbital </v>
      </c>
      <c r="AA489" s="10" t="str">
        <f>IFERROR(VLOOKUP(Tabla1[[#This Row],[MEDICAMENTO]],TAB_REF!$B$3:$F$27,3,0), "")</f>
        <v xml:space="preserve">100 mg </v>
      </c>
      <c r="AB489" s="10" t="str">
        <f>IFERROR(VLOOKUP(Tabla1[[#This Row],[MEDICAMENTO]],TAB_REF!$B$3:$F$27,4,0), "")</f>
        <v>Tabletas</v>
      </c>
      <c r="AC489" s="10" t="str">
        <f>IFERROR(VLOOKUP(Tabla1[[#This Row],[MEDICAMENTO]],TAB_REF!$B$3:$F$27,5,0), "")</f>
        <v>Caja x 30 unidades</v>
      </c>
      <c r="AD489" s="10" t="str">
        <f>IFERROR(VLOOKUP(Tabla1[[#This Row],[CANTIDAD UND COMERCIALES]],TAB_REF!$H$3:$I$1003,2,0)&amp;" ("&amp;Tabla1[[#This Row],[CANTIDAD UND COMERCIALES]]&amp;")"&amp;"_"&amp;Tabla1[[#This Row],[CANTIDAD]],"")</f>
        <v>Veintidos (22)_Caja x 30 unidades</v>
      </c>
    </row>
    <row r="490" spans="2:30" x14ac:dyDescent="0.25">
      <c r="B490" s="10">
        <v>183</v>
      </c>
      <c r="C490" s="10" t="s">
        <v>2355</v>
      </c>
      <c r="D490" s="10" t="s">
        <v>3076</v>
      </c>
      <c r="E490" s="10" t="s">
        <v>2356</v>
      </c>
      <c r="F490" s="10" t="s">
        <v>2357</v>
      </c>
      <c r="G490" s="10" t="s">
        <v>2358</v>
      </c>
      <c r="H490" s="10" t="s">
        <v>2359</v>
      </c>
      <c r="I490" s="10" t="s">
        <v>2122</v>
      </c>
      <c r="J490" s="10" t="s">
        <v>1742</v>
      </c>
      <c r="K490" s="10" t="s">
        <v>3176</v>
      </c>
      <c r="L490" s="11">
        <v>202124100791842</v>
      </c>
      <c r="M490" s="20">
        <v>44321</v>
      </c>
      <c r="N490" s="20" t="str">
        <f>UPPER(TEXT(Tabla1[[#This Row],[FECHA RADICADO ENTRADA]],"MMM"))</f>
        <v>MAY</v>
      </c>
      <c r="O490" s="11">
        <v>202124110704021</v>
      </c>
      <c r="P490" s="20">
        <v>44326</v>
      </c>
      <c r="Q490" s="20" t="str">
        <f>UPPER(TEXT(Tabla1[[#This Row],[FECHA RADICADO ENTRADA]],"MMM"))</f>
        <v>MAY</v>
      </c>
      <c r="R490" s="10">
        <f t="shared" si="7"/>
        <v>-5</v>
      </c>
      <c r="S490" s="10" t="s">
        <v>2154</v>
      </c>
      <c r="U490" s="10" t="s">
        <v>2361</v>
      </c>
      <c r="V490" s="20">
        <v>43376</v>
      </c>
      <c r="W490" s="10" t="s">
        <v>32</v>
      </c>
      <c r="X490" s="10">
        <v>3600</v>
      </c>
      <c r="Y490" s="11">
        <f>IFERROR(INT(Tabla1[[#This Row],[CANTIDAD UND FARMACEUTICAS]]/(VLOOKUP(Tabla1[[#This Row],[MEDICAMENTO]],TAB_REF!$K$3:$L$27,2,0))),"")</f>
        <v>120</v>
      </c>
      <c r="Z490" s="10" t="str">
        <f>IFERROR(VLOOKUP(Tabla1[[#This Row],[MEDICAMENTO]],TAB_REF!$B$3:$F$27,2,0), "")</f>
        <v xml:space="preserve">Fenobarbital </v>
      </c>
      <c r="AA490" s="10" t="str">
        <f>IFERROR(VLOOKUP(Tabla1[[#This Row],[MEDICAMENTO]],TAB_REF!$B$3:$F$27,3,0), "")</f>
        <v xml:space="preserve">100 mg </v>
      </c>
      <c r="AB490" s="10" t="str">
        <f>IFERROR(VLOOKUP(Tabla1[[#This Row],[MEDICAMENTO]],TAB_REF!$B$3:$F$27,4,0), "")</f>
        <v>Tabletas</v>
      </c>
      <c r="AC490" s="10" t="str">
        <f>IFERROR(VLOOKUP(Tabla1[[#This Row],[MEDICAMENTO]],TAB_REF!$B$3:$F$27,5,0), "")</f>
        <v>Caja x 30 unidades</v>
      </c>
      <c r="AD490" s="10" t="str">
        <f>IFERROR(VLOOKUP(Tabla1[[#This Row],[CANTIDAD UND COMERCIALES]],TAB_REF!$H$3:$I$1003,2,0)&amp;" ("&amp;Tabla1[[#This Row],[CANTIDAD UND COMERCIALES]]&amp;")"&amp;"_"&amp;Tabla1[[#This Row],[CANTIDAD]],"")</f>
        <v>Ciento Veinte (120)_Caja x 30 unidades</v>
      </c>
    </row>
    <row r="491" spans="2:30" x14ac:dyDescent="0.25">
      <c r="B491" s="10">
        <v>183</v>
      </c>
      <c r="C491" s="10" t="s">
        <v>2355</v>
      </c>
      <c r="D491" s="10" t="s">
        <v>3076</v>
      </c>
      <c r="E491" s="10" t="s">
        <v>2356</v>
      </c>
      <c r="F491" s="10" t="s">
        <v>2357</v>
      </c>
      <c r="G491" s="10" t="s">
        <v>2358</v>
      </c>
      <c r="H491" s="10" t="s">
        <v>2359</v>
      </c>
      <c r="I491" s="10" t="s">
        <v>2122</v>
      </c>
      <c r="J491" s="10" t="s">
        <v>1742</v>
      </c>
      <c r="K491" s="10" t="s">
        <v>3176</v>
      </c>
      <c r="L491" s="11">
        <v>202124100791842</v>
      </c>
      <c r="M491" s="20">
        <v>44321</v>
      </c>
      <c r="N491" s="20" t="str">
        <f>UPPER(TEXT(Tabla1[[#This Row],[FECHA RADICADO ENTRADA]],"MMM"))</f>
        <v>MAY</v>
      </c>
      <c r="O491" s="11">
        <v>202124110704021</v>
      </c>
      <c r="P491" s="20">
        <v>44326</v>
      </c>
      <c r="Q491" s="20" t="str">
        <f>UPPER(TEXT(Tabla1[[#This Row],[FECHA RADICADO ENTRADA]],"MMM"))</f>
        <v>MAY</v>
      </c>
      <c r="R491" s="10">
        <f t="shared" si="7"/>
        <v>-5</v>
      </c>
      <c r="S491" s="10" t="s">
        <v>2154</v>
      </c>
      <c r="U491" s="10" t="s">
        <v>2361</v>
      </c>
      <c r="V491" s="20">
        <v>43376</v>
      </c>
      <c r="W491" s="10" t="s">
        <v>48</v>
      </c>
      <c r="X491" s="10">
        <v>300</v>
      </c>
      <c r="Y491" s="11">
        <f>IFERROR(INT(Tabla1[[#This Row],[CANTIDAD UND FARMACEUTICAS]]/(VLOOKUP(Tabla1[[#This Row],[MEDICAMENTO]],TAB_REF!$K$3:$L$27,2,0))),"")</f>
        <v>10</v>
      </c>
      <c r="Z491" s="10" t="str">
        <f>IFERROR(VLOOKUP(Tabla1[[#This Row],[MEDICAMENTO]],TAB_REF!$B$3:$F$27,2,0), "")</f>
        <v xml:space="preserve">Metilfenidato HCl </v>
      </c>
      <c r="AA491" s="10" t="str">
        <f>IFERROR(VLOOKUP(Tabla1[[#This Row],[MEDICAMENTO]],TAB_REF!$B$3:$F$27,3,0), "")</f>
        <v xml:space="preserve">10 mg </v>
      </c>
      <c r="AB491" s="10" t="str">
        <f>IFERROR(VLOOKUP(Tabla1[[#This Row],[MEDICAMENTO]],TAB_REF!$B$3:$F$27,4,0), "")</f>
        <v>Comprimidos</v>
      </c>
      <c r="AC491" s="10" t="str">
        <f>IFERROR(VLOOKUP(Tabla1[[#This Row],[MEDICAMENTO]],TAB_REF!$B$3:$F$27,5,0), "")</f>
        <v>Caja x 30 unidades</v>
      </c>
      <c r="AD491" s="10" t="str">
        <f>IFERROR(VLOOKUP(Tabla1[[#This Row],[CANTIDAD UND COMERCIALES]],TAB_REF!$H$3:$I$1003,2,0)&amp;" ("&amp;Tabla1[[#This Row],[CANTIDAD UND COMERCIALES]]&amp;")"&amp;"_"&amp;Tabla1[[#This Row],[CANTIDAD]],"")</f>
        <v>Diez (10)_Caja x 30 unidades</v>
      </c>
    </row>
    <row r="492" spans="2:30" x14ac:dyDescent="0.25">
      <c r="B492" s="10">
        <v>183</v>
      </c>
      <c r="C492" s="10" t="s">
        <v>2355</v>
      </c>
      <c r="D492" s="10" t="s">
        <v>3076</v>
      </c>
      <c r="E492" s="10" t="s">
        <v>2356</v>
      </c>
      <c r="F492" s="10" t="s">
        <v>2357</v>
      </c>
      <c r="G492" s="10" t="s">
        <v>2358</v>
      </c>
      <c r="H492" s="10" t="s">
        <v>2359</v>
      </c>
      <c r="I492" s="10" t="s">
        <v>2122</v>
      </c>
      <c r="J492" s="10" t="s">
        <v>1742</v>
      </c>
      <c r="K492" s="10" t="s">
        <v>3176</v>
      </c>
      <c r="L492" s="11">
        <v>202124100791842</v>
      </c>
      <c r="M492" s="20">
        <v>44321</v>
      </c>
      <c r="N492" s="20" t="str">
        <f>UPPER(TEXT(Tabla1[[#This Row],[FECHA RADICADO ENTRADA]],"MMM"))</f>
        <v>MAY</v>
      </c>
      <c r="O492" s="11">
        <v>202124110704021</v>
      </c>
      <c r="P492" s="20">
        <v>44326</v>
      </c>
      <c r="Q492" s="20" t="str">
        <f>UPPER(TEXT(Tabla1[[#This Row],[FECHA RADICADO ENTRADA]],"MMM"))</f>
        <v>MAY</v>
      </c>
      <c r="R492" s="10">
        <f t="shared" si="7"/>
        <v>-5</v>
      </c>
      <c r="S492" s="10" t="s">
        <v>2154</v>
      </c>
      <c r="U492" s="10" t="s">
        <v>2361</v>
      </c>
      <c r="V492" s="20">
        <v>43376</v>
      </c>
      <c r="W492" s="10" t="s">
        <v>60</v>
      </c>
      <c r="X492" s="10">
        <v>10</v>
      </c>
      <c r="Y492" s="11">
        <f>IFERROR(INT(Tabla1[[#This Row],[CANTIDAD UND FARMACEUTICAS]]/(VLOOKUP(Tabla1[[#This Row],[MEDICAMENTO]],TAB_REF!$K$3:$L$27,2,0))),"")</f>
        <v>10</v>
      </c>
      <c r="Z492" s="10" t="str">
        <f>IFERROR(VLOOKUP(Tabla1[[#This Row],[MEDICAMENTO]],TAB_REF!$B$3:$F$27,2,0), "")</f>
        <v xml:space="preserve">Morfina HCl </v>
      </c>
      <c r="AA492" s="10" t="str">
        <f>IFERROR(VLOOKUP(Tabla1[[#This Row],[MEDICAMENTO]],TAB_REF!$B$3:$F$27,3,0), "")</f>
        <v xml:space="preserve">3%. </v>
      </c>
      <c r="AB492" s="10" t="str">
        <f>IFERROR(VLOOKUP(Tabla1[[#This Row],[MEDICAMENTO]],TAB_REF!$B$3:$F$27,4,0), "")</f>
        <v>Solución Oral</v>
      </c>
      <c r="AC492" s="10" t="str">
        <f>IFERROR(VLOOKUP(Tabla1[[#This Row],[MEDICAMENTO]],TAB_REF!$B$3:$F$27,5,0), "")</f>
        <v>Frasco x 30 mL</v>
      </c>
      <c r="AD492" s="10" t="str">
        <f>IFERROR(VLOOKUP(Tabla1[[#This Row],[CANTIDAD UND COMERCIALES]],TAB_REF!$H$3:$I$1003,2,0)&amp;" ("&amp;Tabla1[[#This Row],[CANTIDAD UND COMERCIALES]]&amp;")"&amp;"_"&amp;Tabla1[[#This Row],[CANTIDAD]],"")</f>
        <v>Diez (10)_Frasco x 30 mL</v>
      </c>
    </row>
    <row r="493" spans="2:30" x14ac:dyDescent="0.25">
      <c r="B493" s="10">
        <v>184</v>
      </c>
      <c r="C493" s="10" t="s">
        <v>3177</v>
      </c>
      <c r="D493" s="10" t="s">
        <v>3231</v>
      </c>
      <c r="E493" s="10" t="s">
        <v>3178</v>
      </c>
      <c r="F493" s="10" t="s">
        <v>2164</v>
      </c>
      <c r="G493" s="10" t="s">
        <v>3172</v>
      </c>
      <c r="H493" s="10" t="s">
        <v>2164</v>
      </c>
      <c r="I493" s="10" t="s">
        <v>2113</v>
      </c>
      <c r="J493" s="10" t="s">
        <v>1442</v>
      </c>
      <c r="K493" s="10" t="s">
        <v>3179</v>
      </c>
      <c r="L493" s="11">
        <v>202124100790182</v>
      </c>
      <c r="M493" s="20">
        <v>44321</v>
      </c>
      <c r="N493" s="20" t="str">
        <f>UPPER(TEXT(Tabla1[[#This Row],[FECHA RADICADO ENTRADA]],"MMM"))</f>
        <v>MAY</v>
      </c>
      <c r="O493" s="11">
        <v>202124110717151</v>
      </c>
      <c r="P493" s="20">
        <v>44334</v>
      </c>
      <c r="Q493" s="20" t="str">
        <f>UPPER(TEXT(Tabla1[[#This Row],[FECHA RADICADO ENTRADA]],"MMM"))</f>
        <v>MAY</v>
      </c>
      <c r="R493" s="10">
        <f t="shared" si="7"/>
        <v>-13</v>
      </c>
      <c r="S493" s="10" t="s">
        <v>3180</v>
      </c>
      <c r="T493" s="10" t="s">
        <v>3181</v>
      </c>
      <c r="U493" s="10" t="s">
        <v>2164</v>
      </c>
      <c r="V493" s="20" t="s">
        <v>2164</v>
      </c>
      <c r="W493" s="10" t="s">
        <v>28</v>
      </c>
      <c r="X493" s="10">
        <v>0</v>
      </c>
      <c r="Y493" s="11">
        <f>IFERROR(INT(Tabla1[[#This Row],[CANTIDAD UND FARMACEUTICAS]]/(VLOOKUP(Tabla1[[#This Row],[MEDICAMENTO]],TAB_REF!$K$3:$L$27,2,0))),"")</f>
        <v>0</v>
      </c>
      <c r="Z493" s="10" t="str">
        <f>IFERROR(VLOOKUP(Tabla1[[#This Row],[MEDICAMENTO]],TAB_REF!$B$3:$F$27,2,0), "")</f>
        <v xml:space="preserve">Fenobarbital </v>
      </c>
      <c r="AA493" s="10" t="str">
        <f>IFERROR(VLOOKUP(Tabla1[[#This Row],[MEDICAMENTO]],TAB_REF!$B$3:$F$27,3,0), "")</f>
        <v xml:space="preserve">0,4%. </v>
      </c>
      <c r="AB493" s="10" t="str">
        <f>IFERROR(VLOOKUP(Tabla1[[#This Row],[MEDICAMENTO]],TAB_REF!$B$3:$F$27,4,0), "")</f>
        <v>Solución Oral</v>
      </c>
      <c r="AC493" s="10" t="str">
        <f>IFERROR(VLOOKUP(Tabla1[[#This Row],[MEDICAMENTO]],TAB_REF!$B$3:$F$27,5,0), "")</f>
        <v>Frasco x 120 mL</v>
      </c>
      <c r="AD493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494" spans="2:30" x14ac:dyDescent="0.25">
      <c r="B494" s="10">
        <v>185</v>
      </c>
      <c r="C494" s="10" t="s">
        <v>3182</v>
      </c>
      <c r="D494" s="10" t="s">
        <v>3183</v>
      </c>
      <c r="E494" s="10" t="s">
        <v>2313</v>
      </c>
      <c r="F494" s="10" t="s">
        <v>2314</v>
      </c>
      <c r="G494" s="10" t="s">
        <v>2315</v>
      </c>
      <c r="H494" s="10" t="s">
        <v>3184</v>
      </c>
      <c r="I494" s="10" t="s">
        <v>2122</v>
      </c>
      <c r="J494" s="10" t="s">
        <v>1742</v>
      </c>
      <c r="K494" s="10" t="s">
        <v>3185</v>
      </c>
      <c r="L494" s="11">
        <v>202124100786122</v>
      </c>
      <c r="M494" s="20">
        <v>44320</v>
      </c>
      <c r="N494" s="20" t="str">
        <f>UPPER(TEXT(Tabla1[[#This Row],[FECHA RADICADO ENTRADA]],"MMM"))</f>
        <v>MAY</v>
      </c>
      <c r="O494" s="11">
        <v>202124110716621</v>
      </c>
      <c r="P494" s="20">
        <v>44326</v>
      </c>
      <c r="Q494" s="20" t="str">
        <f>UPPER(TEXT(Tabla1[[#This Row],[FECHA RADICADO ENTRADA]],"MMM"))</f>
        <v>MAY</v>
      </c>
      <c r="R494" s="10">
        <f t="shared" si="7"/>
        <v>-6</v>
      </c>
      <c r="S494" s="10" t="s">
        <v>2154</v>
      </c>
      <c r="U494" s="10" t="s">
        <v>2317</v>
      </c>
      <c r="V494" s="20">
        <v>43081</v>
      </c>
      <c r="W494" s="10" t="s">
        <v>32</v>
      </c>
      <c r="X494" s="10">
        <v>18000</v>
      </c>
      <c r="Y494" s="11">
        <f>IFERROR(INT(Tabla1[[#This Row],[CANTIDAD UND FARMACEUTICAS]]/(VLOOKUP(Tabla1[[#This Row],[MEDICAMENTO]],TAB_REF!$K$3:$L$27,2,0))),"")</f>
        <v>600</v>
      </c>
      <c r="Z494" s="10" t="str">
        <f>IFERROR(VLOOKUP(Tabla1[[#This Row],[MEDICAMENTO]],TAB_REF!$B$3:$F$27,2,0), "")</f>
        <v xml:space="preserve">Fenobarbital </v>
      </c>
      <c r="AA494" s="10" t="str">
        <f>IFERROR(VLOOKUP(Tabla1[[#This Row],[MEDICAMENTO]],TAB_REF!$B$3:$F$27,3,0), "")</f>
        <v xml:space="preserve">100 mg </v>
      </c>
      <c r="AB494" s="10" t="str">
        <f>IFERROR(VLOOKUP(Tabla1[[#This Row],[MEDICAMENTO]],TAB_REF!$B$3:$F$27,4,0), "")</f>
        <v>Tabletas</v>
      </c>
      <c r="AC494" s="10" t="str">
        <f>IFERROR(VLOOKUP(Tabla1[[#This Row],[MEDICAMENTO]],TAB_REF!$B$3:$F$27,5,0), "")</f>
        <v>Caja x 30 unidades</v>
      </c>
      <c r="AD494" s="10" t="str">
        <f>IFERROR(VLOOKUP(Tabla1[[#This Row],[CANTIDAD UND COMERCIALES]],TAB_REF!$H$3:$I$1003,2,0)&amp;" ("&amp;Tabla1[[#This Row],[CANTIDAD UND COMERCIALES]]&amp;")"&amp;"_"&amp;Tabla1[[#This Row],[CANTIDAD]],"")</f>
        <v>Seiscientos (600)_Caja x 30 unidades</v>
      </c>
    </row>
    <row r="495" spans="2:30" x14ac:dyDescent="0.25">
      <c r="B495" s="10">
        <v>185</v>
      </c>
      <c r="C495" s="10" t="s">
        <v>3182</v>
      </c>
      <c r="D495" s="10" t="s">
        <v>3186</v>
      </c>
      <c r="E495" s="10" t="s">
        <v>2313</v>
      </c>
      <c r="F495" s="10" t="s">
        <v>2314</v>
      </c>
      <c r="G495" s="10" t="s">
        <v>3187</v>
      </c>
      <c r="H495" s="10" t="s">
        <v>3184</v>
      </c>
      <c r="I495" s="10" t="s">
        <v>2122</v>
      </c>
      <c r="J495" s="10" t="s">
        <v>1742</v>
      </c>
      <c r="K495" s="10" t="s">
        <v>3185</v>
      </c>
      <c r="L495" s="11">
        <v>202124100786122</v>
      </c>
      <c r="M495" s="20">
        <v>44320</v>
      </c>
      <c r="N495" s="20" t="str">
        <f>UPPER(TEXT(Tabla1[[#This Row],[FECHA RADICADO ENTRADA]],"MMM"))</f>
        <v>MAY</v>
      </c>
      <c r="O495" s="11">
        <v>202124110716621</v>
      </c>
      <c r="P495" s="20">
        <v>44326</v>
      </c>
      <c r="Q495" s="20" t="str">
        <f>UPPER(TEXT(Tabla1[[#This Row],[FECHA RADICADO ENTRADA]],"MMM"))</f>
        <v>MAY</v>
      </c>
      <c r="R495" s="10">
        <f t="shared" si="7"/>
        <v>-6</v>
      </c>
      <c r="S495" s="10" t="s">
        <v>2154</v>
      </c>
      <c r="U495" s="10" t="s">
        <v>2317</v>
      </c>
      <c r="V495" s="20">
        <v>43081</v>
      </c>
      <c r="W495" s="10" t="s">
        <v>60</v>
      </c>
      <c r="X495" s="10">
        <v>30</v>
      </c>
      <c r="Y495" s="11">
        <f>IFERROR(INT(Tabla1[[#This Row],[CANTIDAD UND FARMACEUTICAS]]/(VLOOKUP(Tabla1[[#This Row],[MEDICAMENTO]],TAB_REF!$K$3:$L$27,2,0))),"")</f>
        <v>30</v>
      </c>
      <c r="Z495" s="10" t="str">
        <f>IFERROR(VLOOKUP(Tabla1[[#This Row],[MEDICAMENTO]],TAB_REF!$B$3:$F$27,2,0), "")</f>
        <v xml:space="preserve">Morfina HCl </v>
      </c>
      <c r="AA495" s="10" t="str">
        <f>IFERROR(VLOOKUP(Tabla1[[#This Row],[MEDICAMENTO]],TAB_REF!$B$3:$F$27,3,0), "")</f>
        <v xml:space="preserve">3%. </v>
      </c>
      <c r="AB495" s="10" t="str">
        <f>IFERROR(VLOOKUP(Tabla1[[#This Row],[MEDICAMENTO]],TAB_REF!$B$3:$F$27,4,0), "")</f>
        <v>Solución Oral</v>
      </c>
      <c r="AC495" s="10" t="str">
        <f>IFERROR(VLOOKUP(Tabla1[[#This Row],[MEDICAMENTO]],TAB_REF!$B$3:$F$27,5,0), "")</f>
        <v>Frasco x 30 mL</v>
      </c>
      <c r="AD495" s="10" t="str">
        <f>IFERROR(VLOOKUP(Tabla1[[#This Row],[CANTIDAD UND COMERCIALES]],TAB_REF!$H$3:$I$1003,2,0)&amp;" ("&amp;Tabla1[[#This Row],[CANTIDAD UND COMERCIALES]]&amp;")"&amp;"_"&amp;Tabla1[[#This Row],[CANTIDAD]],"")</f>
        <v>Treinta (30)_Frasco x 30 mL</v>
      </c>
    </row>
    <row r="496" spans="2:30" x14ac:dyDescent="0.25">
      <c r="B496" s="10">
        <v>186</v>
      </c>
      <c r="C496" s="10" t="s">
        <v>2558</v>
      </c>
      <c r="D496" s="10" t="s">
        <v>2365</v>
      </c>
      <c r="E496" s="10" t="s">
        <v>2559</v>
      </c>
      <c r="F496" s="10" t="s">
        <v>2560</v>
      </c>
      <c r="G496" s="10" t="s">
        <v>2561</v>
      </c>
      <c r="H496" s="10" t="s">
        <v>2562</v>
      </c>
      <c r="I496" s="10" t="s">
        <v>2119</v>
      </c>
      <c r="J496" s="10" t="s">
        <v>1694</v>
      </c>
      <c r="K496" s="10" t="s">
        <v>3188</v>
      </c>
      <c r="L496" s="11">
        <v>202124100785832</v>
      </c>
      <c r="M496" s="20">
        <v>44320</v>
      </c>
      <c r="N496" s="20" t="str">
        <f>UPPER(TEXT(Tabla1[[#This Row],[FECHA RADICADO ENTRADA]],"MMM"))</f>
        <v>MAY</v>
      </c>
      <c r="O496" s="11">
        <v>202124110717231</v>
      </c>
      <c r="P496" s="20">
        <v>44326</v>
      </c>
      <c r="Q496" s="20" t="str">
        <f>UPPER(TEXT(Tabla1[[#This Row],[FECHA RADICADO ENTRADA]],"MMM"))</f>
        <v>MAY</v>
      </c>
      <c r="R496" s="10">
        <f t="shared" si="7"/>
        <v>-6</v>
      </c>
      <c r="S496" s="10" t="s">
        <v>2154</v>
      </c>
      <c r="U496" s="10" t="s">
        <v>3189</v>
      </c>
      <c r="V496" s="20">
        <v>44131</v>
      </c>
      <c r="W496" s="10" t="s">
        <v>63</v>
      </c>
      <c r="X496" s="10">
        <v>300</v>
      </c>
      <c r="Y496" s="11">
        <f>IFERROR(INT(Tabla1[[#This Row],[CANTIDAD UND FARMACEUTICAS]]/(VLOOKUP(Tabla1[[#This Row],[MEDICAMENTO]],TAB_REF!$K$3:$L$27,2,0))),"")</f>
        <v>30</v>
      </c>
      <c r="Z496" s="10" t="str">
        <f>IFERROR(VLOOKUP(Tabla1[[#This Row],[MEDICAMENTO]],TAB_REF!$B$3:$F$27,2,0), "")</f>
        <v xml:space="preserve">Morfina HCl </v>
      </c>
      <c r="AA496" s="10" t="str">
        <f>IFERROR(VLOOKUP(Tabla1[[#This Row],[MEDICAMENTO]],TAB_REF!$B$3:$F$27,3,0), "")</f>
        <v xml:space="preserve">10 mg/mL </v>
      </c>
      <c r="AB496" s="10" t="str">
        <f>IFERROR(VLOOKUP(Tabla1[[#This Row],[MEDICAMENTO]],TAB_REF!$B$3:$F$27,4,0), "")</f>
        <v>Solución Inyectable</v>
      </c>
      <c r="AC496" s="10" t="str">
        <f>IFERROR(VLOOKUP(Tabla1[[#This Row],[MEDICAMENTO]],TAB_REF!$B$3:$F$27,5,0), "")</f>
        <v>Caja x 10 unidades</v>
      </c>
      <c r="AD496" s="10" t="str">
        <f>IFERROR(VLOOKUP(Tabla1[[#This Row],[CANTIDAD UND COMERCIALES]],TAB_REF!$H$3:$I$1003,2,0)&amp;" ("&amp;Tabla1[[#This Row],[CANTIDAD UND COMERCIALES]]&amp;")"&amp;"_"&amp;Tabla1[[#This Row],[CANTIDAD]],"")</f>
        <v>Treinta (30)_Caja x 10 unidades</v>
      </c>
    </row>
    <row r="497" spans="1:30" x14ac:dyDescent="0.25">
      <c r="B497" s="10">
        <v>187</v>
      </c>
      <c r="C497" s="10" t="s">
        <v>2149</v>
      </c>
      <c r="D497" s="10" t="s">
        <v>2162</v>
      </c>
      <c r="E497" s="10" t="s">
        <v>2150</v>
      </c>
      <c r="F497" s="10" t="s">
        <v>2192</v>
      </c>
      <c r="G497" s="10" t="s">
        <v>2152</v>
      </c>
      <c r="H497" s="10" t="s">
        <v>2151</v>
      </c>
      <c r="I497" s="10" t="s">
        <v>2116</v>
      </c>
      <c r="J497" s="10" t="s">
        <v>1550</v>
      </c>
      <c r="K497" s="10" t="s">
        <v>3190</v>
      </c>
      <c r="L497" s="11">
        <v>202124100784112</v>
      </c>
      <c r="M497" s="20">
        <v>44320</v>
      </c>
      <c r="N497" s="20" t="str">
        <f>UPPER(TEXT(Tabla1[[#This Row],[FECHA RADICADO ENTRADA]],"MMM"))</f>
        <v>MAY</v>
      </c>
      <c r="O497" s="11">
        <v>202124110704161</v>
      </c>
      <c r="P497" s="20">
        <v>44322</v>
      </c>
      <c r="Q497" s="20" t="str">
        <f>UPPER(TEXT(Tabla1[[#This Row],[FECHA RADICADO ENTRADA]],"MMM"))</f>
        <v>MAY</v>
      </c>
      <c r="R497" s="10">
        <f t="shared" si="7"/>
        <v>-2</v>
      </c>
      <c r="S497" s="10" t="s">
        <v>2145</v>
      </c>
      <c r="T497" s="10" t="s">
        <v>3191</v>
      </c>
      <c r="U497" s="10" t="s">
        <v>2164</v>
      </c>
      <c r="V497" s="20" t="s">
        <v>3192</v>
      </c>
      <c r="W497" s="10" t="s">
        <v>63</v>
      </c>
      <c r="X497" s="10">
        <v>0</v>
      </c>
      <c r="Y497" s="11">
        <f>IFERROR(INT(Tabla1[[#This Row],[CANTIDAD UND FARMACEUTICAS]]/(VLOOKUP(Tabla1[[#This Row],[MEDICAMENTO]],TAB_REF!$K$3:$L$27,2,0))),"")</f>
        <v>0</v>
      </c>
      <c r="Z497" s="10" t="str">
        <f>IFERROR(VLOOKUP(Tabla1[[#This Row],[MEDICAMENTO]],TAB_REF!$B$3:$F$27,2,0), "")</f>
        <v xml:space="preserve">Morfina HCl </v>
      </c>
      <c r="AA497" s="10" t="str">
        <f>IFERROR(VLOOKUP(Tabla1[[#This Row],[MEDICAMENTO]],TAB_REF!$B$3:$F$27,3,0), "")</f>
        <v xml:space="preserve">10 mg/mL </v>
      </c>
      <c r="AB497" s="10" t="str">
        <f>IFERROR(VLOOKUP(Tabla1[[#This Row],[MEDICAMENTO]],TAB_REF!$B$3:$F$27,4,0), "")</f>
        <v>Solución Inyectable</v>
      </c>
      <c r="AC497" s="10" t="str">
        <f>IFERROR(VLOOKUP(Tabla1[[#This Row],[MEDICAMENTO]],TAB_REF!$B$3:$F$27,5,0), "")</f>
        <v>Caja x 10 unidades</v>
      </c>
      <c r="AD497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498" spans="1:30" x14ac:dyDescent="0.25">
      <c r="B498" s="10">
        <v>187</v>
      </c>
      <c r="C498" s="10" t="s">
        <v>2149</v>
      </c>
      <c r="D498" s="10" t="s">
        <v>2162</v>
      </c>
      <c r="E498" s="10" t="s">
        <v>2150</v>
      </c>
      <c r="F498" s="10" t="s">
        <v>2192</v>
      </c>
      <c r="G498" s="10" t="s">
        <v>2152</v>
      </c>
      <c r="H498" s="10" t="s">
        <v>2151</v>
      </c>
      <c r="I498" s="10" t="s">
        <v>2116</v>
      </c>
      <c r="J498" s="10" t="s">
        <v>1550</v>
      </c>
      <c r="K498" s="10" t="s">
        <v>3190</v>
      </c>
      <c r="L498" s="11">
        <v>202124100784112</v>
      </c>
      <c r="M498" s="20">
        <v>44320</v>
      </c>
      <c r="N498" s="20" t="str">
        <f>UPPER(TEXT(Tabla1[[#This Row],[FECHA RADICADO ENTRADA]],"MMM"))</f>
        <v>MAY</v>
      </c>
      <c r="O498" s="11">
        <v>202124110704161</v>
      </c>
      <c r="P498" s="20">
        <v>44322</v>
      </c>
      <c r="Q498" s="20" t="str">
        <f>UPPER(TEXT(Tabla1[[#This Row],[FECHA RADICADO ENTRADA]],"MMM"))</f>
        <v>MAY</v>
      </c>
      <c r="R498" s="10">
        <f t="shared" si="7"/>
        <v>-2</v>
      </c>
      <c r="S498" s="10" t="s">
        <v>2145</v>
      </c>
      <c r="T498" s="10" t="s">
        <v>3191</v>
      </c>
      <c r="U498" s="10" t="s">
        <v>2164</v>
      </c>
      <c r="V498" s="20" t="s">
        <v>2164</v>
      </c>
      <c r="W498" s="10" t="s">
        <v>37</v>
      </c>
      <c r="X498" s="10">
        <v>0</v>
      </c>
      <c r="Y498" s="11">
        <f>IFERROR(INT(Tabla1[[#This Row],[CANTIDAD UND FARMACEUTICAS]]/(VLOOKUP(Tabla1[[#This Row],[MEDICAMENTO]],TAB_REF!$K$3:$L$27,2,0))),"")</f>
        <v>0</v>
      </c>
      <c r="Z498" s="10" t="str">
        <f>IFERROR(VLOOKUP(Tabla1[[#This Row],[MEDICAMENTO]],TAB_REF!$B$3:$F$27,2,0), "")</f>
        <v xml:space="preserve">Hidromorfona HCl </v>
      </c>
      <c r="AA498" s="10" t="str">
        <f>IFERROR(VLOOKUP(Tabla1[[#This Row],[MEDICAMENTO]],TAB_REF!$B$3:$F$27,3,0), "")</f>
        <v xml:space="preserve">2 mg/mL </v>
      </c>
      <c r="AB498" s="10" t="str">
        <f>IFERROR(VLOOKUP(Tabla1[[#This Row],[MEDICAMENTO]],TAB_REF!$B$3:$F$27,4,0), "")</f>
        <v>Solución Inyectable</v>
      </c>
      <c r="AC498" s="10" t="str">
        <f>IFERROR(VLOOKUP(Tabla1[[#This Row],[MEDICAMENTO]],TAB_REF!$B$3:$F$27,5,0), "")</f>
        <v>Caja x 10 unidades</v>
      </c>
      <c r="AD498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499" spans="1:30" x14ac:dyDescent="0.25">
      <c r="B499" s="10">
        <v>187</v>
      </c>
      <c r="C499" s="10" t="s">
        <v>2149</v>
      </c>
      <c r="D499" s="10" t="s">
        <v>2162</v>
      </c>
      <c r="E499" s="10" t="s">
        <v>2150</v>
      </c>
      <c r="F499" s="10" t="s">
        <v>2192</v>
      </c>
      <c r="G499" s="10" t="s">
        <v>2152</v>
      </c>
      <c r="H499" s="10" t="s">
        <v>2151</v>
      </c>
      <c r="I499" s="10" t="s">
        <v>2116</v>
      </c>
      <c r="J499" s="10" t="s">
        <v>1550</v>
      </c>
      <c r="K499" s="10" t="s">
        <v>3190</v>
      </c>
      <c r="L499" s="11">
        <v>202124100784112</v>
      </c>
      <c r="M499" s="20">
        <v>44320</v>
      </c>
      <c r="N499" s="20" t="str">
        <f>UPPER(TEXT(Tabla1[[#This Row],[FECHA RADICADO ENTRADA]],"MMM"))</f>
        <v>MAY</v>
      </c>
      <c r="O499" s="11">
        <v>202124110704161</v>
      </c>
      <c r="P499" s="20">
        <v>44322</v>
      </c>
      <c r="Q499" s="20" t="str">
        <f>UPPER(TEXT(Tabla1[[#This Row],[FECHA RADICADO ENTRADA]],"MMM"))</f>
        <v>MAY</v>
      </c>
      <c r="R499" s="10">
        <f t="shared" si="7"/>
        <v>-2</v>
      </c>
      <c r="S499" s="10" t="s">
        <v>2145</v>
      </c>
      <c r="T499" s="10" t="s">
        <v>3191</v>
      </c>
      <c r="U499" s="10" t="s">
        <v>2164</v>
      </c>
      <c r="V499" s="20" t="s">
        <v>2164</v>
      </c>
      <c r="W499" s="10" t="s">
        <v>38</v>
      </c>
      <c r="X499" s="10">
        <v>0</v>
      </c>
      <c r="Y499" s="11">
        <f>IFERROR(INT(Tabla1[[#This Row],[CANTIDAD UND FARMACEUTICAS]]/(VLOOKUP(Tabla1[[#This Row],[MEDICAMENTO]],TAB_REF!$K$3:$L$27,2,0))),"")</f>
        <v>0</v>
      </c>
      <c r="Z499" s="10" t="str">
        <f>IFERROR(VLOOKUP(Tabla1[[#This Row],[MEDICAMENTO]],TAB_REF!$B$3:$F$27,2,0), "")</f>
        <v xml:space="preserve">Hidromorfona HCl </v>
      </c>
      <c r="AA499" s="10" t="str">
        <f>IFERROR(VLOOKUP(Tabla1[[#This Row],[MEDICAMENTO]],TAB_REF!$B$3:$F$27,3,0), "")</f>
        <v xml:space="preserve">2,5 mg </v>
      </c>
      <c r="AB499" s="10" t="str">
        <f>IFERROR(VLOOKUP(Tabla1[[#This Row],[MEDICAMENTO]],TAB_REF!$B$3:$F$27,4,0), "")</f>
        <v>Tabletas</v>
      </c>
      <c r="AC499" s="10" t="str">
        <f>IFERROR(VLOOKUP(Tabla1[[#This Row],[MEDICAMENTO]],TAB_REF!$B$3:$F$27,5,0), "")</f>
        <v>Caja x 20 unidades</v>
      </c>
      <c r="AD499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500" spans="1:30" x14ac:dyDescent="0.25">
      <c r="B500" s="10">
        <v>188</v>
      </c>
      <c r="C500" s="10" t="s">
        <v>3193</v>
      </c>
      <c r="D500" s="10" t="s">
        <v>2312</v>
      </c>
      <c r="E500" s="10" t="s">
        <v>3118</v>
      </c>
      <c r="F500" s="10" t="s">
        <v>2452</v>
      </c>
      <c r="G500" s="10" t="s">
        <v>3119</v>
      </c>
      <c r="H500" s="10" t="s">
        <v>2454</v>
      </c>
      <c r="I500" s="10" t="s">
        <v>2123</v>
      </c>
      <c r="J500" s="10" t="s">
        <v>1770</v>
      </c>
      <c r="K500" s="10" t="s">
        <v>3194</v>
      </c>
      <c r="L500" s="11">
        <v>202124100759282</v>
      </c>
      <c r="M500" s="20">
        <v>44316</v>
      </c>
      <c r="N500" s="20" t="str">
        <f>UPPER(TEXT(Tabla1[[#This Row],[FECHA RADICADO ENTRADA]],"MMM"))</f>
        <v>ABR</v>
      </c>
      <c r="O500" s="11">
        <v>202124110717291</v>
      </c>
      <c r="P500" s="20">
        <v>44326</v>
      </c>
      <c r="Q500" s="20" t="str">
        <f>UPPER(TEXT(Tabla1[[#This Row],[FECHA RADICADO ENTRADA]],"MMM"))</f>
        <v>ABR</v>
      </c>
      <c r="R500" s="10">
        <f t="shared" si="7"/>
        <v>-10</v>
      </c>
      <c r="S500" s="10" t="s">
        <v>2154</v>
      </c>
      <c r="T500" s="10" t="s">
        <v>3195</v>
      </c>
      <c r="U500" s="10" t="s">
        <v>3121</v>
      </c>
      <c r="V500" s="20">
        <v>44281</v>
      </c>
      <c r="W500" s="10" t="s">
        <v>33</v>
      </c>
      <c r="X500" s="10">
        <v>1200</v>
      </c>
      <c r="Y500" s="11">
        <f>IFERROR(INT(Tabla1[[#This Row],[CANTIDAD UND FARMACEUTICAS]]/(VLOOKUP(Tabla1[[#This Row],[MEDICAMENTO]],TAB_REF!$K$3:$L$27,2,0))),"")</f>
        <v>40</v>
      </c>
      <c r="Z500" s="10" t="str">
        <f>IFERROR(VLOOKUP(Tabla1[[#This Row],[MEDICAMENTO]],TAB_REF!$B$3:$F$27,2,0), "")</f>
        <v xml:space="preserve">Fenobarbital </v>
      </c>
      <c r="AA500" s="10" t="str">
        <f>IFERROR(VLOOKUP(Tabla1[[#This Row],[MEDICAMENTO]],TAB_REF!$B$3:$F$27,3,0), "")</f>
        <v xml:space="preserve">50 mg </v>
      </c>
      <c r="AB500" s="10" t="str">
        <f>IFERROR(VLOOKUP(Tabla1[[#This Row],[MEDICAMENTO]],TAB_REF!$B$3:$F$27,4,0), "")</f>
        <v>Tabletas</v>
      </c>
      <c r="AC500" s="10" t="str">
        <f>IFERROR(VLOOKUP(Tabla1[[#This Row],[MEDICAMENTO]],TAB_REF!$B$3:$F$27,5,0), "")</f>
        <v>Caja x 30 unidades</v>
      </c>
      <c r="AD500" s="10" t="str">
        <f>IFERROR(VLOOKUP(Tabla1[[#This Row],[CANTIDAD UND COMERCIALES]],TAB_REF!$H$3:$I$1003,2,0)&amp;" ("&amp;Tabla1[[#This Row],[CANTIDAD UND COMERCIALES]]&amp;")"&amp;"_"&amp;Tabla1[[#This Row],[CANTIDAD]],"")</f>
        <v>Cuarenta (40)_Caja x 30 unidades</v>
      </c>
    </row>
    <row r="501" spans="1:30" x14ac:dyDescent="0.25">
      <c r="B501" s="10">
        <v>188</v>
      </c>
      <c r="C501" s="10" t="s">
        <v>3193</v>
      </c>
      <c r="D501" s="10" t="s">
        <v>2312</v>
      </c>
      <c r="E501" s="10" t="s">
        <v>3118</v>
      </c>
      <c r="F501" s="10" t="s">
        <v>2452</v>
      </c>
      <c r="G501" s="10" t="s">
        <v>3119</v>
      </c>
      <c r="H501" s="10" t="s">
        <v>2454</v>
      </c>
      <c r="I501" s="10" t="s">
        <v>2123</v>
      </c>
      <c r="J501" s="10" t="s">
        <v>1770</v>
      </c>
      <c r="K501" s="10" t="s">
        <v>3194</v>
      </c>
      <c r="L501" s="11">
        <v>202124100759282</v>
      </c>
      <c r="M501" s="20">
        <v>44316</v>
      </c>
      <c r="N501" s="20" t="str">
        <f>UPPER(TEXT(Tabla1[[#This Row],[FECHA RADICADO ENTRADA]],"MMM"))</f>
        <v>ABR</v>
      </c>
      <c r="O501" s="11">
        <v>202124110717291</v>
      </c>
      <c r="P501" s="20">
        <v>44326</v>
      </c>
      <c r="Q501" s="20" t="str">
        <f>UPPER(TEXT(Tabla1[[#This Row],[FECHA RADICADO ENTRADA]],"MMM"))</f>
        <v>ABR</v>
      </c>
      <c r="R501" s="10">
        <f t="shared" si="7"/>
        <v>-10</v>
      </c>
      <c r="S501" s="10" t="s">
        <v>2154</v>
      </c>
      <c r="T501" s="10" t="s">
        <v>3195</v>
      </c>
      <c r="U501" s="10" t="s">
        <v>3121</v>
      </c>
      <c r="V501" s="20">
        <v>44281</v>
      </c>
      <c r="W501" s="10" t="s">
        <v>32</v>
      </c>
      <c r="X501" s="10">
        <v>1200</v>
      </c>
      <c r="Y501" s="11">
        <f>IFERROR(INT(Tabla1[[#This Row],[CANTIDAD UND FARMACEUTICAS]]/(VLOOKUP(Tabla1[[#This Row],[MEDICAMENTO]],TAB_REF!$K$3:$L$27,2,0))),"")</f>
        <v>40</v>
      </c>
      <c r="Z501" s="10" t="str">
        <f>IFERROR(VLOOKUP(Tabla1[[#This Row],[MEDICAMENTO]],TAB_REF!$B$3:$F$27,2,0), "")</f>
        <v xml:space="preserve">Fenobarbital </v>
      </c>
      <c r="AA501" s="10" t="str">
        <f>IFERROR(VLOOKUP(Tabla1[[#This Row],[MEDICAMENTO]],TAB_REF!$B$3:$F$27,3,0), "")</f>
        <v xml:space="preserve">100 mg </v>
      </c>
      <c r="AB501" s="10" t="str">
        <f>IFERROR(VLOOKUP(Tabla1[[#This Row],[MEDICAMENTO]],TAB_REF!$B$3:$F$27,4,0), "")</f>
        <v>Tabletas</v>
      </c>
      <c r="AC501" s="10" t="str">
        <f>IFERROR(VLOOKUP(Tabla1[[#This Row],[MEDICAMENTO]],TAB_REF!$B$3:$F$27,5,0), "")</f>
        <v>Caja x 30 unidades</v>
      </c>
      <c r="AD501" s="10" t="str">
        <f>IFERROR(VLOOKUP(Tabla1[[#This Row],[CANTIDAD UND COMERCIALES]],TAB_REF!$H$3:$I$1003,2,0)&amp;" ("&amp;Tabla1[[#This Row],[CANTIDAD UND COMERCIALES]]&amp;")"&amp;"_"&amp;Tabla1[[#This Row],[CANTIDAD]],"")</f>
        <v>Cuarenta (40)_Caja x 30 unidades</v>
      </c>
    </row>
    <row r="502" spans="1:30" s="32" customFormat="1" x14ac:dyDescent="0.25">
      <c r="A502" s="10"/>
      <c r="B502" s="10">
        <v>188</v>
      </c>
      <c r="C502" s="10" t="s">
        <v>3193</v>
      </c>
      <c r="D502" s="10" t="s">
        <v>2312</v>
      </c>
      <c r="E502" s="10" t="s">
        <v>3118</v>
      </c>
      <c r="F502" s="10" t="s">
        <v>2452</v>
      </c>
      <c r="G502" s="10" t="s">
        <v>3119</v>
      </c>
      <c r="H502" s="10" t="s">
        <v>2454</v>
      </c>
      <c r="I502" s="10" t="s">
        <v>2123</v>
      </c>
      <c r="J502" s="10" t="s">
        <v>1770</v>
      </c>
      <c r="K502" s="10" t="s">
        <v>3194</v>
      </c>
      <c r="L502" s="11">
        <v>202124100759282</v>
      </c>
      <c r="M502" s="20">
        <v>44316</v>
      </c>
      <c r="N502" s="20" t="str">
        <f>UPPER(TEXT(Tabla1[[#This Row],[FECHA RADICADO ENTRADA]],"MMM"))</f>
        <v>ABR</v>
      </c>
      <c r="O502" s="11">
        <v>202124110717291</v>
      </c>
      <c r="P502" s="20">
        <v>44326</v>
      </c>
      <c r="Q502" s="20" t="str">
        <f>UPPER(TEXT(Tabla1[[#This Row],[FECHA RADICADO ENTRADA]],"MMM"))</f>
        <v>ABR</v>
      </c>
      <c r="R502" s="10">
        <f t="shared" si="7"/>
        <v>-10</v>
      </c>
      <c r="S502" s="10" t="s">
        <v>2154</v>
      </c>
      <c r="T502" s="10" t="s">
        <v>3195</v>
      </c>
      <c r="U502" s="10" t="s">
        <v>3121</v>
      </c>
      <c r="V502" s="20">
        <v>44281</v>
      </c>
      <c r="W502" s="10" t="s">
        <v>60</v>
      </c>
      <c r="X502" s="10">
        <v>18</v>
      </c>
      <c r="Y502" s="11">
        <f>IFERROR(INT(Tabla1[[#This Row],[CANTIDAD UND FARMACEUTICAS]]/(VLOOKUP(Tabla1[[#This Row],[MEDICAMENTO]],TAB_REF!$K$3:$L$27,2,0))),"")</f>
        <v>18</v>
      </c>
      <c r="Z502" s="10" t="str">
        <f>IFERROR(VLOOKUP(Tabla1[[#This Row],[MEDICAMENTO]],TAB_REF!$B$3:$F$27,2,0), "")</f>
        <v xml:space="preserve">Morfina HCl </v>
      </c>
      <c r="AA502" s="10" t="str">
        <f>IFERROR(VLOOKUP(Tabla1[[#This Row],[MEDICAMENTO]],TAB_REF!$B$3:$F$27,3,0), "")</f>
        <v xml:space="preserve">3%. </v>
      </c>
      <c r="AB502" s="10" t="str">
        <f>IFERROR(VLOOKUP(Tabla1[[#This Row],[MEDICAMENTO]],TAB_REF!$B$3:$F$27,4,0), "")</f>
        <v>Solución Oral</v>
      </c>
      <c r="AC502" s="10" t="str">
        <f>IFERROR(VLOOKUP(Tabla1[[#This Row],[MEDICAMENTO]],TAB_REF!$B$3:$F$27,5,0), "")</f>
        <v>Frasco x 30 mL</v>
      </c>
      <c r="AD502" s="10" t="str">
        <f>IFERROR(VLOOKUP(Tabla1[[#This Row],[CANTIDAD UND COMERCIALES]],TAB_REF!$H$3:$I$1003,2,0)&amp;" ("&amp;Tabla1[[#This Row],[CANTIDAD UND COMERCIALES]]&amp;")"&amp;"_"&amp;Tabla1[[#This Row],[CANTIDAD]],"")</f>
        <v>Dieciocho (18)_Frasco x 30 mL</v>
      </c>
    </row>
    <row r="503" spans="1:30" s="32" customFormat="1" x14ac:dyDescent="0.25">
      <c r="A503" s="10"/>
      <c r="B503" s="10">
        <v>188</v>
      </c>
      <c r="C503" s="10" t="s">
        <v>3193</v>
      </c>
      <c r="D503" s="10" t="s">
        <v>2312</v>
      </c>
      <c r="E503" s="10" t="s">
        <v>3118</v>
      </c>
      <c r="F503" s="10" t="s">
        <v>2452</v>
      </c>
      <c r="G503" s="10" t="s">
        <v>3119</v>
      </c>
      <c r="H503" s="10" t="s">
        <v>2454</v>
      </c>
      <c r="I503" s="10" t="s">
        <v>2123</v>
      </c>
      <c r="J503" s="10" t="s">
        <v>1770</v>
      </c>
      <c r="K503" s="10" t="s">
        <v>3194</v>
      </c>
      <c r="L503" s="11">
        <v>202124100759282</v>
      </c>
      <c r="M503" s="20">
        <v>44316</v>
      </c>
      <c r="N503" s="20" t="str">
        <f>UPPER(TEXT(Tabla1[[#This Row],[FECHA RADICADO ENTRADA]],"MMM"))</f>
        <v>ABR</v>
      </c>
      <c r="O503" s="11">
        <v>202124110717291</v>
      </c>
      <c r="P503" s="20">
        <v>44326</v>
      </c>
      <c r="Q503" s="20" t="str">
        <f>UPPER(TEXT(Tabla1[[#This Row],[FECHA RADICADO ENTRADA]],"MMM"))</f>
        <v>ABR</v>
      </c>
      <c r="R503" s="10">
        <f t="shared" si="7"/>
        <v>-10</v>
      </c>
      <c r="S503" s="10" t="s">
        <v>2145</v>
      </c>
      <c r="T503" s="10" t="s">
        <v>3491</v>
      </c>
      <c r="U503" s="10" t="s">
        <v>3121</v>
      </c>
      <c r="V503" s="20">
        <v>44281</v>
      </c>
      <c r="W503" s="10" t="s">
        <v>63</v>
      </c>
      <c r="X503" s="10">
        <v>0</v>
      </c>
      <c r="Y503" s="11">
        <f>IFERROR(INT(Tabla1[[#This Row],[CANTIDAD UND FARMACEUTICAS]]/(VLOOKUP(Tabla1[[#This Row],[MEDICAMENTO]],TAB_REF!$K$3:$L$27,2,0))),"")</f>
        <v>0</v>
      </c>
      <c r="Z503" s="10" t="str">
        <f>IFERROR(VLOOKUP(Tabla1[[#This Row],[MEDICAMENTO]],TAB_REF!$B$3:$F$27,2,0), "")</f>
        <v xml:space="preserve">Morfina HCl </v>
      </c>
      <c r="AA503" s="10" t="str">
        <f>IFERROR(VLOOKUP(Tabla1[[#This Row],[MEDICAMENTO]],TAB_REF!$B$3:$F$27,3,0), "")</f>
        <v xml:space="preserve">10 mg/mL </v>
      </c>
      <c r="AB503" s="10" t="str">
        <f>IFERROR(VLOOKUP(Tabla1[[#This Row],[MEDICAMENTO]],TAB_REF!$B$3:$F$27,4,0), "")</f>
        <v>Solución Inyectable</v>
      </c>
      <c r="AC503" s="10" t="str">
        <f>IFERROR(VLOOKUP(Tabla1[[#This Row],[MEDICAMENTO]],TAB_REF!$B$3:$F$27,5,0), "")</f>
        <v>Caja x 10 unidades</v>
      </c>
      <c r="AD503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504" spans="1:30" s="32" customFormat="1" x14ac:dyDescent="0.25">
      <c r="A504" s="10"/>
      <c r="B504" s="10">
        <v>188</v>
      </c>
      <c r="C504" s="10" t="s">
        <v>3193</v>
      </c>
      <c r="D504" s="10" t="s">
        <v>2312</v>
      </c>
      <c r="E504" s="10" t="s">
        <v>3118</v>
      </c>
      <c r="F504" s="10" t="s">
        <v>2452</v>
      </c>
      <c r="G504" s="10" t="s">
        <v>3119</v>
      </c>
      <c r="H504" s="10" t="s">
        <v>2454</v>
      </c>
      <c r="I504" s="10" t="s">
        <v>2123</v>
      </c>
      <c r="J504" s="10" t="s">
        <v>1770</v>
      </c>
      <c r="K504" s="10" t="s">
        <v>3194</v>
      </c>
      <c r="L504" s="11">
        <v>202124100759282</v>
      </c>
      <c r="M504" s="20">
        <v>44316</v>
      </c>
      <c r="N504" s="20" t="str">
        <f>UPPER(TEXT(Tabla1[[#This Row],[FECHA RADICADO ENTRADA]],"MMM"))</f>
        <v>ABR</v>
      </c>
      <c r="O504" s="11">
        <v>202124110717291</v>
      </c>
      <c r="P504" s="20">
        <v>44326</v>
      </c>
      <c r="Q504" s="20" t="str">
        <f>UPPER(TEXT(Tabla1[[#This Row],[FECHA RADICADO ENTRADA]],"MMM"))</f>
        <v>ABR</v>
      </c>
      <c r="R504" s="10">
        <f t="shared" si="7"/>
        <v>-10</v>
      </c>
      <c r="S504" s="10" t="s">
        <v>2154</v>
      </c>
      <c r="T504" s="10" t="s">
        <v>3195</v>
      </c>
      <c r="U504" s="10" t="s">
        <v>3121</v>
      </c>
      <c r="V504" s="20">
        <v>44281</v>
      </c>
      <c r="W504" s="10" t="s">
        <v>48</v>
      </c>
      <c r="X504" s="10">
        <v>900</v>
      </c>
      <c r="Y504" s="11">
        <f>IFERROR(INT(Tabla1[[#This Row],[CANTIDAD UND FARMACEUTICAS]]/(VLOOKUP(Tabla1[[#This Row],[MEDICAMENTO]],TAB_REF!$K$3:$L$27,2,0))),"")</f>
        <v>30</v>
      </c>
      <c r="Z504" s="10" t="str">
        <f>IFERROR(VLOOKUP(Tabla1[[#This Row],[MEDICAMENTO]],TAB_REF!$B$3:$F$27,2,0), "")</f>
        <v xml:space="preserve">Metilfenidato HCl </v>
      </c>
      <c r="AA504" s="10" t="str">
        <f>IFERROR(VLOOKUP(Tabla1[[#This Row],[MEDICAMENTO]],TAB_REF!$B$3:$F$27,3,0), "")</f>
        <v xml:space="preserve">10 mg </v>
      </c>
      <c r="AB504" s="10" t="str">
        <f>IFERROR(VLOOKUP(Tabla1[[#This Row],[MEDICAMENTO]],TAB_REF!$B$3:$F$27,4,0), "")</f>
        <v>Comprimidos</v>
      </c>
      <c r="AC504" s="10" t="str">
        <f>IFERROR(VLOOKUP(Tabla1[[#This Row],[MEDICAMENTO]],TAB_REF!$B$3:$F$27,5,0), "")</f>
        <v>Caja x 30 unidades</v>
      </c>
      <c r="AD504" s="10" t="str">
        <f>IFERROR(VLOOKUP(Tabla1[[#This Row],[CANTIDAD UND COMERCIALES]],TAB_REF!$H$3:$I$1003,2,0)&amp;" ("&amp;Tabla1[[#This Row],[CANTIDAD UND COMERCIALES]]&amp;")"&amp;"_"&amp;Tabla1[[#This Row],[CANTIDAD]],"")</f>
        <v>Treinta (30)_Caja x 30 unidades</v>
      </c>
    </row>
    <row r="505" spans="1:30" s="32" customFormat="1" x14ac:dyDescent="0.25">
      <c r="A505" s="10"/>
      <c r="B505" s="10">
        <v>188</v>
      </c>
      <c r="C505" s="10" t="s">
        <v>3193</v>
      </c>
      <c r="D505" s="10" t="s">
        <v>2312</v>
      </c>
      <c r="E505" s="10" t="s">
        <v>3118</v>
      </c>
      <c r="F505" s="10" t="s">
        <v>2452</v>
      </c>
      <c r="G505" s="10" t="s">
        <v>3119</v>
      </c>
      <c r="H505" s="10" t="s">
        <v>2454</v>
      </c>
      <c r="I505" s="10" t="s">
        <v>2123</v>
      </c>
      <c r="J505" s="10" t="s">
        <v>1770</v>
      </c>
      <c r="K505" s="10" t="s">
        <v>3194</v>
      </c>
      <c r="L505" s="11">
        <v>202124100759282</v>
      </c>
      <c r="M505" s="20">
        <v>44316</v>
      </c>
      <c r="N505" s="20" t="str">
        <f>UPPER(TEXT(Tabla1[[#This Row],[FECHA RADICADO ENTRADA]],"MMM"))</f>
        <v>ABR</v>
      </c>
      <c r="O505" s="11">
        <v>202124110717291</v>
      </c>
      <c r="P505" s="20">
        <v>44326</v>
      </c>
      <c r="Q505" s="20" t="str">
        <f>UPPER(TEXT(Tabla1[[#This Row],[FECHA RADICADO ENTRADA]],"MMM"))</f>
        <v>ABR</v>
      </c>
      <c r="R505" s="10">
        <f t="shared" si="7"/>
        <v>-10</v>
      </c>
      <c r="S505" s="10" t="s">
        <v>2154</v>
      </c>
      <c r="T505" s="10" t="s">
        <v>3195</v>
      </c>
      <c r="U505" s="10" t="s">
        <v>3121</v>
      </c>
      <c r="V505" s="20">
        <v>44281</v>
      </c>
      <c r="W505" s="10" t="s">
        <v>28</v>
      </c>
      <c r="X505" s="10">
        <v>8</v>
      </c>
      <c r="Y505" s="11">
        <f>IFERROR(INT(Tabla1[[#This Row],[CANTIDAD UND FARMACEUTICAS]]/(VLOOKUP(Tabla1[[#This Row],[MEDICAMENTO]],TAB_REF!$K$3:$L$27,2,0))),"")</f>
        <v>8</v>
      </c>
      <c r="Z505" s="10" t="str">
        <f>IFERROR(VLOOKUP(Tabla1[[#This Row],[MEDICAMENTO]],TAB_REF!$B$3:$F$27,2,0), "")</f>
        <v xml:space="preserve">Fenobarbital </v>
      </c>
      <c r="AA505" s="10" t="str">
        <f>IFERROR(VLOOKUP(Tabla1[[#This Row],[MEDICAMENTO]],TAB_REF!$B$3:$F$27,3,0), "")</f>
        <v xml:space="preserve">0,4%. </v>
      </c>
      <c r="AB505" s="10" t="str">
        <f>IFERROR(VLOOKUP(Tabla1[[#This Row],[MEDICAMENTO]],TAB_REF!$B$3:$F$27,4,0), "")</f>
        <v>Solución Oral</v>
      </c>
      <c r="AC505" s="10" t="str">
        <f>IFERROR(VLOOKUP(Tabla1[[#This Row],[MEDICAMENTO]],TAB_REF!$B$3:$F$27,5,0), "")</f>
        <v>Frasco x 120 mL</v>
      </c>
      <c r="AD505" s="10" t="str">
        <f>IFERROR(VLOOKUP(Tabla1[[#This Row],[CANTIDAD UND COMERCIALES]],TAB_REF!$H$3:$I$1003,2,0)&amp;" ("&amp;Tabla1[[#This Row],[CANTIDAD UND COMERCIALES]]&amp;")"&amp;"_"&amp;Tabla1[[#This Row],[CANTIDAD]],"")</f>
        <v>Ocho (8)_Frasco x 120 mL</v>
      </c>
    </row>
    <row r="506" spans="1:30" x14ac:dyDescent="0.25">
      <c r="B506" s="10">
        <v>189</v>
      </c>
      <c r="C506" s="10" t="s">
        <v>2217</v>
      </c>
      <c r="D506" s="10" t="s">
        <v>2162</v>
      </c>
      <c r="E506" s="10" t="s">
        <v>2674</v>
      </c>
      <c r="F506" s="10" t="s">
        <v>2897</v>
      </c>
      <c r="G506" s="10" t="s">
        <v>2676</v>
      </c>
      <c r="H506" s="10" t="s">
        <v>2677</v>
      </c>
      <c r="I506" s="10" t="s">
        <v>2122</v>
      </c>
      <c r="J506" s="10" t="s">
        <v>1742</v>
      </c>
      <c r="K506" s="10" t="s">
        <v>3132</v>
      </c>
      <c r="L506" s="11">
        <v>202124100668352</v>
      </c>
      <c r="M506" s="20">
        <v>44305</v>
      </c>
      <c r="N506" s="20" t="str">
        <f>UPPER(TEXT(Tabla1[[#This Row],[FECHA RADICADO ENTRADA]],"MMM"))</f>
        <v>ABR</v>
      </c>
      <c r="O506" s="11">
        <v>202124110704231</v>
      </c>
      <c r="P506" s="20">
        <v>44322</v>
      </c>
      <c r="Q506" s="20" t="str">
        <f>UPPER(TEXT(Tabla1[[#This Row],[FECHA RADICADO ENTRADA]],"MMM"))</f>
        <v>ABR</v>
      </c>
      <c r="R506" s="10">
        <f t="shared" si="7"/>
        <v>-17</v>
      </c>
      <c r="S506" s="10" t="s">
        <v>2154</v>
      </c>
      <c r="U506" s="10" t="s">
        <v>2679</v>
      </c>
      <c r="V506" s="20">
        <v>43767</v>
      </c>
      <c r="W506" s="10" t="s">
        <v>60</v>
      </c>
      <c r="X506" s="10">
        <v>7</v>
      </c>
      <c r="Y506" s="11">
        <f>IFERROR(INT(Tabla1[[#This Row],[CANTIDAD UND FARMACEUTICAS]]/(VLOOKUP(Tabla1[[#This Row],[MEDICAMENTO]],TAB_REF!$K$3:$L$27,2,0))),"")</f>
        <v>7</v>
      </c>
      <c r="Z506" s="10" t="str">
        <f>IFERROR(VLOOKUP(Tabla1[[#This Row],[MEDICAMENTO]],TAB_REF!$B$3:$F$27,2,0), "")</f>
        <v xml:space="preserve">Morfina HCl </v>
      </c>
      <c r="AA506" s="10" t="str">
        <f>IFERROR(VLOOKUP(Tabla1[[#This Row],[MEDICAMENTO]],TAB_REF!$B$3:$F$27,3,0), "")</f>
        <v xml:space="preserve">3%. </v>
      </c>
      <c r="AB506" s="10" t="str">
        <f>IFERROR(VLOOKUP(Tabla1[[#This Row],[MEDICAMENTO]],TAB_REF!$B$3:$F$27,4,0), "")</f>
        <v>Solución Oral</v>
      </c>
      <c r="AC506" s="10" t="str">
        <f>IFERROR(VLOOKUP(Tabla1[[#This Row],[MEDICAMENTO]],TAB_REF!$B$3:$F$27,5,0), "")</f>
        <v>Frasco x 30 mL</v>
      </c>
      <c r="AD506" s="10" t="str">
        <f>IFERROR(VLOOKUP(Tabla1[[#This Row],[CANTIDAD UND COMERCIALES]],TAB_REF!$H$3:$I$1003,2,0)&amp;" ("&amp;Tabla1[[#This Row],[CANTIDAD UND COMERCIALES]]&amp;")"&amp;"_"&amp;Tabla1[[#This Row],[CANTIDAD]],"")</f>
        <v>Siete (7)_Frasco x 30 mL</v>
      </c>
    </row>
    <row r="507" spans="1:30" x14ac:dyDescent="0.25">
      <c r="B507" s="10">
        <v>189</v>
      </c>
      <c r="C507" s="10" t="s">
        <v>2217</v>
      </c>
      <c r="D507" s="10" t="s">
        <v>2162</v>
      </c>
      <c r="E507" s="10" t="s">
        <v>2674</v>
      </c>
      <c r="F507" s="10" t="s">
        <v>2897</v>
      </c>
      <c r="G507" s="10" t="s">
        <v>2676</v>
      </c>
      <c r="H507" s="10" t="s">
        <v>2677</v>
      </c>
      <c r="I507" s="10" t="s">
        <v>2122</v>
      </c>
      <c r="J507" s="10" t="s">
        <v>1742</v>
      </c>
      <c r="K507" s="10" t="s">
        <v>3132</v>
      </c>
      <c r="L507" s="11">
        <v>202124100668352</v>
      </c>
      <c r="M507" s="20">
        <v>44305</v>
      </c>
      <c r="N507" s="20" t="str">
        <f>UPPER(TEXT(Tabla1[[#This Row],[FECHA RADICADO ENTRADA]],"MMM"))</f>
        <v>ABR</v>
      </c>
      <c r="O507" s="11">
        <v>202124110704231</v>
      </c>
      <c r="P507" s="20">
        <v>44322</v>
      </c>
      <c r="Q507" s="20" t="str">
        <f>UPPER(TEXT(Tabla1[[#This Row],[FECHA RADICADO ENTRADA]],"MMM"))</f>
        <v>ABR</v>
      </c>
      <c r="R507" s="10">
        <f t="shared" si="7"/>
        <v>-17</v>
      </c>
      <c r="S507" s="10" t="s">
        <v>2154</v>
      </c>
      <c r="U507" s="10" t="s">
        <v>2679</v>
      </c>
      <c r="V507" s="20">
        <v>43767</v>
      </c>
      <c r="W507" s="10" t="s">
        <v>48</v>
      </c>
      <c r="X507" s="10">
        <v>60</v>
      </c>
      <c r="Y507" s="11">
        <f>IFERROR(INT(Tabla1[[#This Row],[CANTIDAD UND FARMACEUTICAS]]/(VLOOKUP(Tabla1[[#This Row],[MEDICAMENTO]],TAB_REF!$K$3:$L$27,2,0))),"")</f>
        <v>2</v>
      </c>
      <c r="Z507" s="10" t="str">
        <f>IFERROR(VLOOKUP(Tabla1[[#This Row],[MEDICAMENTO]],TAB_REF!$B$3:$F$27,2,0), "")</f>
        <v xml:space="preserve">Metilfenidato HCl </v>
      </c>
      <c r="AA507" s="10" t="str">
        <f>IFERROR(VLOOKUP(Tabla1[[#This Row],[MEDICAMENTO]],TAB_REF!$B$3:$F$27,3,0), "")</f>
        <v xml:space="preserve">10 mg </v>
      </c>
      <c r="AB507" s="10" t="str">
        <f>IFERROR(VLOOKUP(Tabla1[[#This Row],[MEDICAMENTO]],TAB_REF!$B$3:$F$27,4,0), "")</f>
        <v>Comprimidos</v>
      </c>
      <c r="AC507" s="10" t="str">
        <f>IFERROR(VLOOKUP(Tabla1[[#This Row],[MEDICAMENTO]],TAB_REF!$B$3:$F$27,5,0), "")</f>
        <v>Caja x 30 unidades</v>
      </c>
      <c r="AD507" s="10" t="str">
        <f>IFERROR(VLOOKUP(Tabla1[[#This Row],[CANTIDAD UND COMERCIALES]],TAB_REF!$H$3:$I$1003,2,0)&amp;" ("&amp;Tabla1[[#This Row],[CANTIDAD UND COMERCIALES]]&amp;")"&amp;"_"&amp;Tabla1[[#This Row],[CANTIDAD]],"")</f>
        <v>Dos (2)_Caja x 30 unidades</v>
      </c>
    </row>
    <row r="508" spans="1:30" x14ac:dyDescent="0.25">
      <c r="B508" s="10">
        <v>190</v>
      </c>
      <c r="C508" s="10" t="s">
        <v>3133</v>
      </c>
      <c r="D508" s="10" t="s">
        <v>3134</v>
      </c>
      <c r="E508" s="10" t="s">
        <v>3135</v>
      </c>
      <c r="F508" s="10" t="s">
        <v>3136</v>
      </c>
      <c r="G508" s="21" t="s">
        <v>3137</v>
      </c>
      <c r="H508" s="10" t="s">
        <v>3138</v>
      </c>
      <c r="I508" s="10" t="s">
        <v>2129</v>
      </c>
      <c r="J508" s="10" t="s">
        <v>2011</v>
      </c>
      <c r="L508" s="11">
        <v>202124100671462</v>
      </c>
      <c r="M508" s="20">
        <v>44305</v>
      </c>
      <c r="N508" s="20" t="str">
        <f>UPPER(TEXT(Tabla1[[#This Row],[FECHA RADICADO ENTRADA]],"MMM"))</f>
        <v>ABR</v>
      </c>
      <c r="O508" s="11">
        <v>202124110717311</v>
      </c>
      <c r="P508" s="20">
        <v>44326</v>
      </c>
      <c r="Q508" s="20" t="str">
        <f>UPPER(TEXT(Tabla1[[#This Row],[FECHA RADICADO ENTRADA]],"MMM"))</f>
        <v>ABR</v>
      </c>
      <c r="R508" s="10">
        <f t="shared" si="7"/>
        <v>-21</v>
      </c>
      <c r="S508" s="10" t="s">
        <v>2145</v>
      </c>
      <c r="T508" s="10" t="s">
        <v>3253</v>
      </c>
      <c r="U508" s="10" t="s">
        <v>3140</v>
      </c>
      <c r="V508" s="20">
        <v>43392</v>
      </c>
      <c r="W508" s="10" t="s">
        <v>41</v>
      </c>
      <c r="X508" s="10">
        <v>0</v>
      </c>
      <c r="Y508" s="11">
        <f>IFERROR(INT(Tabla1[[#This Row],[CANTIDAD UND FARMACEUTICAS]]/(VLOOKUP(Tabla1[[#This Row],[MEDICAMENTO]],TAB_REF!$K$3:$L$27,2,0))),"")</f>
        <v>0</v>
      </c>
      <c r="Z508" s="10" t="str">
        <f>IFERROR(VLOOKUP(Tabla1[[#This Row],[MEDICAMENTO]],TAB_REF!$B$3:$F$27,2,0), "")</f>
        <v xml:space="preserve">Meperidina HCl </v>
      </c>
      <c r="AA508" s="10" t="str">
        <f>IFERROR(VLOOKUP(Tabla1[[#This Row],[MEDICAMENTO]],TAB_REF!$B$3:$F$27,3,0), "")</f>
        <v xml:space="preserve">100 mg/2mL </v>
      </c>
      <c r="AB508" s="10" t="str">
        <f>IFERROR(VLOOKUP(Tabla1[[#This Row],[MEDICAMENTO]],TAB_REF!$B$3:$F$27,4,0), "")</f>
        <v>Solución Inyectable</v>
      </c>
      <c r="AC508" s="10" t="str">
        <f>IFERROR(VLOOKUP(Tabla1[[#This Row],[MEDICAMENTO]],TAB_REF!$B$3:$F$27,5,0), "")</f>
        <v>Caja 10 ampollas</v>
      </c>
      <c r="AD508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509" spans="1:30" x14ac:dyDescent="0.25">
      <c r="B509" s="10">
        <v>190</v>
      </c>
      <c r="C509" s="10" t="s">
        <v>3133</v>
      </c>
      <c r="D509" s="10" t="s">
        <v>3134</v>
      </c>
      <c r="E509" s="10" t="s">
        <v>3135</v>
      </c>
      <c r="F509" s="10" t="s">
        <v>3136</v>
      </c>
      <c r="G509" s="21" t="s">
        <v>3137</v>
      </c>
      <c r="H509" s="10" t="s">
        <v>3138</v>
      </c>
      <c r="I509" s="10" t="s">
        <v>2129</v>
      </c>
      <c r="J509" s="10" t="s">
        <v>2011</v>
      </c>
      <c r="L509" s="11">
        <v>202124100671462</v>
      </c>
      <c r="M509" s="20">
        <v>44305</v>
      </c>
      <c r="N509" s="20" t="str">
        <f>UPPER(TEXT(Tabla1[[#This Row],[FECHA RADICADO ENTRADA]],"MMM"))</f>
        <v>ABR</v>
      </c>
      <c r="O509" s="11">
        <v>202124110717311</v>
      </c>
      <c r="P509" s="20">
        <v>44326</v>
      </c>
      <c r="Q509" s="20" t="str">
        <f>UPPER(TEXT(Tabla1[[#This Row],[FECHA RADICADO ENTRADA]],"MMM"))</f>
        <v>ABR</v>
      </c>
      <c r="R509" s="10">
        <f t="shared" si="7"/>
        <v>-21</v>
      </c>
      <c r="S509" s="10" t="s">
        <v>2145</v>
      </c>
      <c r="T509" s="10" t="s">
        <v>3253</v>
      </c>
      <c r="U509" s="10" t="s">
        <v>3140</v>
      </c>
      <c r="V509" s="20">
        <v>43392</v>
      </c>
      <c r="W509" s="10" t="s">
        <v>63</v>
      </c>
      <c r="X509" s="10">
        <v>0</v>
      </c>
      <c r="Y509" s="11">
        <f>IFERROR(INT(Tabla1[[#This Row],[CANTIDAD UND FARMACEUTICAS]]/(VLOOKUP(Tabla1[[#This Row],[MEDICAMENTO]],TAB_REF!$K$3:$L$27,2,0))),"")</f>
        <v>0</v>
      </c>
      <c r="Z509" s="10" t="str">
        <f>IFERROR(VLOOKUP(Tabla1[[#This Row],[MEDICAMENTO]],TAB_REF!$B$3:$F$27,2,0), "")</f>
        <v xml:space="preserve">Morfina HCl </v>
      </c>
      <c r="AA509" s="10" t="str">
        <f>IFERROR(VLOOKUP(Tabla1[[#This Row],[MEDICAMENTO]],TAB_REF!$B$3:$F$27,3,0), "")</f>
        <v xml:space="preserve">10 mg/mL </v>
      </c>
      <c r="AB509" s="10" t="str">
        <f>IFERROR(VLOOKUP(Tabla1[[#This Row],[MEDICAMENTO]],TAB_REF!$B$3:$F$27,4,0), "")</f>
        <v>Solución Inyectable</v>
      </c>
      <c r="AC509" s="10" t="str">
        <f>IFERROR(VLOOKUP(Tabla1[[#This Row],[MEDICAMENTO]],TAB_REF!$B$3:$F$27,5,0), "")</f>
        <v>Caja x 10 unidades</v>
      </c>
      <c r="AD509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510" spans="1:30" x14ac:dyDescent="0.25">
      <c r="B510" s="10">
        <v>191</v>
      </c>
      <c r="C510" s="10" t="s">
        <v>3141</v>
      </c>
      <c r="D510" s="10" t="s">
        <v>3142</v>
      </c>
      <c r="E510" s="10" t="s">
        <v>2416</v>
      </c>
      <c r="F510" s="10" t="s">
        <v>2417</v>
      </c>
      <c r="G510" s="21" t="s">
        <v>2712</v>
      </c>
      <c r="H510" s="10" t="s">
        <v>2419</v>
      </c>
      <c r="I510" s="10" t="s">
        <v>2128</v>
      </c>
      <c r="J510" s="10" t="s">
        <v>1942</v>
      </c>
      <c r="K510" s="10" t="s">
        <v>3116</v>
      </c>
      <c r="L510" s="11">
        <v>202124100676982</v>
      </c>
      <c r="M510" s="20">
        <v>44306</v>
      </c>
      <c r="N510" s="20" t="str">
        <f>UPPER(TEXT(Tabla1[[#This Row],[FECHA RADICADO ENTRADA]],"MMM"))</f>
        <v>ABR</v>
      </c>
      <c r="O510" s="11">
        <v>202124110704271</v>
      </c>
      <c r="P510" s="20">
        <v>44326</v>
      </c>
      <c r="Q510" s="20" t="str">
        <f>UPPER(TEXT(Tabla1[[#This Row],[FECHA RADICADO ENTRADA]],"MMM"))</f>
        <v>ABR</v>
      </c>
      <c r="R510" s="10">
        <f t="shared" si="7"/>
        <v>-20</v>
      </c>
      <c r="S510" s="10" t="s">
        <v>2154</v>
      </c>
      <c r="T510" s="10" t="s">
        <v>3492</v>
      </c>
      <c r="U510" s="10" t="s">
        <v>2435</v>
      </c>
      <c r="V510" s="20">
        <v>43381</v>
      </c>
      <c r="W510" s="10" t="s">
        <v>63</v>
      </c>
      <c r="X510" s="10">
        <v>3000</v>
      </c>
      <c r="Y510" s="11">
        <f>IFERROR(INT(Tabla1[[#This Row],[CANTIDAD UND FARMACEUTICAS]]/(VLOOKUP(Tabla1[[#This Row],[MEDICAMENTO]],TAB_REF!$K$3:$L$27,2,0))),"")</f>
        <v>300</v>
      </c>
      <c r="Z510" s="10" t="str">
        <f>IFERROR(VLOOKUP(Tabla1[[#This Row],[MEDICAMENTO]],TAB_REF!$B$3:$F$27,2,0), "")</f>
        <v xml:space="preserve">Morfina HCl </v>
      </c>
      <c r="AA510" s="10" t="str">
        <f>IFERROR(VLOOKUP(Tabla1[[#This Row],[MEDICAMENTO]],TAB_REF!$B$3:$F$27,3,0), "")</f>
        <v xml:space="preserve">10 mg/mL </v>
      </c>
      <c r="AB510" s="10" t="str">
        <f>IFERROR(VLOOKUP(Tabla1[[#This Row],[MEDICAMENTO]],TAB_REF!$B$3:$F$27,4,0), "")</f>
        <v>Solución Inyectable</v>
      </c>
      <c r="AC510" s="10" t="str">
        <f>IFERROR(VLOOKUP(Tabla1[[#This Row],[MEDICAMENTO]],TAB_REF!$B$3:$F$27,5,0), "")</f>
        <v>Caja x 10 unidades</v>
      </c>
      <c r="AD510" s="10" t="str">
        <f>IFERROR(VLOOKUP(Tabla1[[#This Row],[CANTIDAD UND COMERCIALES]],TAB_REF!$H$3:$I$1003,2,0)&amp;" ("&amp;Tabla1[[#This Row],[CANTIDAD UND COMERCIALES]]&amp;")"&amp;"_"&amp;Tabla1[[#This Row],[CANTIDAD]],"")</f>
        <v>Trescientos (300)_Caja x 10 unidades</v>
      </c>
    </row>
    <row r="511" spans="1:30" x14ac:dyDescent="0.25">
      <c r="B511" s="10">
        <v>192</v>
      </c>
      <c r="C511" s="10" t="s">
        <v>3098</v>
      </c>
      <c r="D511" s="10" t="s">
        <v>3099</v>
      </c>
      <c r="E511" s="10" t="s">
        <v>2610</v>
      </c>
      <c r="F511" s="10" t="s">
        <v>2611</v>
      </c>
      <c r="G511" s="21" t="s">
        <v>2612</v>
      </c>
      <c r="H511" s="10" t="s">
        <v>3100</v>
      </c>
      <c r="I511" s="10" t="s">
        <v>2125</v>
      </c>
      <c r="J511" s="10" t="s">
        <v>1885</v>
      </c>
      <c r="K511" s="10" t="s">
        <v>3143</v>
      </c>
      <c r="L511" s="11">
        <v>202124100678812</v>
      </c>
      <c r="M511" s="20">
        <v>44306</v>
      </c>
      <c r="N511" s="20" t="str">
        <f>UPPER(TEXT(Tabla1[[#This Row],[FECHA RADICADO ENTRADA]],"MMM"))</f>
        <v>ABR</v>
      </c>
      <c r="O511" s="11">
        <v>202124110717351</v>
      </c>
      <c r="P511" s="20">
        <v>44326</v>
      </c>
      <c r="Q511" s="20" t="str">
        <f>UPPER(TEXT(Tabla1[[#This Row],[FECHA RADICADO ENTRADA]],"MMM"))</f>
        <v>ABR</v>
      </c>
      <c r="R511" s="10">
        <f t="shared" si="7"/>
        <v>-20</v>
      </c>
      <c r="S511" s="10" t="s">
        <v>2154</v>
      </c>
      <c r="U511" s="10" t="s">
        <v>2615</v>
      </c>
      <c r="V511" s="20">
        <v>43061</v>
      </c>
      <c r="W511" s="10" t="s">
        <v>28</v>
      </c>
      <c r="X511" s="10">
        <v>4</v>
      </c>
      <c r="Y511" s="11">
        <f>IFERROR(INT(Tabla1[[#This Row],[CANTIDAD UND FARMACEUTICAS]]/(VLOOKUP(Tabla1[[#This Row],[MEDICAMENTO]],TAB_REF!$K$3:$L$27,2,0))),"")</f>
        <v>4</v>
      </c>
      <c r="Z511" s="10" t="str">
        <f>IFERROR(VLOOKUP(Tabla1[[#This Row],[MEDICAMENTO]],TAB_REF!$B$3:$F$27,2,0), "")</f>
        <v xml:space="preserve">Fenobarbital </v>
      </c>
      <c r="AA511" s="10" t="str">
        <f>IFERROR(VLOOKUP(Tabla1[[#This Row],[MEDICAMENTO]],TAB_REF!$B$3:$F$27,3,0), "")</f>
        <v xml:space="preserve">0,4%. </v>
      </c>
      <c r="AB511" s="10" t="str">
        <f>IFERROR(VLOOKUP(Tabla1[[#This Row],[MEDICAMENTO]],TAB_REF!$B$3:$F$27,4,0), "")</f>
        <v>Solución Oral</v>
      </c>
      <c r="AC511" s="10" t="str">
        <f>IFERROR(VLOOKUP(Tabla1[[#This Row],[MEDICAMENTO]],TAB_REF!$B$3:$F$27,5,0), "")</f>
        <v>Frasco x 120 mL</v>
      </c>
      <c r="AD511" s="10" t="str">
        <f>IFERROR(VLOOKUP(Tabla1[[#This Row],[CANTIDAD UND COMERCIALES]],TAB_REF!$H$3:$I$1003,2,0)&amp;" ("&amp;Tabla1[[#This Row],[CANTIDAD UND COMERCIALES]]&amp;")"&amp;"_"&amp;Tabla1[[#This Row],[CANTIDAD]],"")</f>
        <v>Cuatro (4)_Frasco x 120 mL</v>
      </c>
    </row>
    <row r="512" spans="1:30" x14ac:dyDescent="0.25">
      <c r="B512" s="10">
        <v>193</v>
      </c>
      <c r="C512" s="10" t="s">
        <v>3144</v>
      </c>
      <c r="D512" s="10" t="s">
        <v>2162</v>
      </c>
      <c r="E512" s="10" t="s">
        <v>3145</v>
      </c>
      <c r="F512" s="10" t="s">
        <v>3146</v>
      </c>
      <c r="G512" s="21" t="s">
        <v>3147</v>
      </c>
      <c r="H512" s="10" t="s">
        <v>3148</v>
      </c>
      <c r="I512" s="10" t="s">
        <v>2128</v>
      </c>
      <c r="J512" s="10" t="s">
        <v>1918</v>
      </c>
      <c r="K512" s="10" t="s">
        <v>3149</v>
      </c>
      <c r="L512" s="11">
        <v>202124100680502</v>
      </c>
      <c r="M512" s="20">
        <v>44306</v>
      </c>
      <c r="N512" s="20" t="str">
        <f>UPPER(TEXT(Tabla1[[#This Row],[FECHA RADICADO ENTRADA]],"MMM"))</f>
        <v>ABR</v>
      </c>
      <c r="O512" s="11">
        <v>202124110704291</v>
      </c>
      <c r="P512" s="20">
        <v>44326</v>
      </c>
      <c r="Q512" s="20" t="str">
        <f>UPPER(TEXT(Tabla1[[#This Row],[FECHA RADICADO ENTRADA]],"MMM"))</f>
        <v>ABR</v>
      </c>
      <c r="R512" s="10">
        <f t="shared" si="7"/>
        <v>-20</v>
      </c>
      <c r="S512" s="10" t="s">
        <v>2145</v>
      </c>
      <c r="U512" s="10" t="s">
        <v>3150</v>
      </c>
      <c r="V512" s="20">
        <v>43307</v>
      </c>
      <c r="W512" s="10" t="s">
        <v>37</v>
      </c>
      <c r="X512" s="10">
        <v>0</v>
      </c>
      <c r="Y512" s="11">
        <f>IFERROR(INT(Tabla1[[#This Row],[CANTIDAD UND FARMACEUTICAS]]/(VLOOKUP(Tabla1[[#This Row],[MEDICAMENTO]],TAB_REF!$K$3:$L$27,2,0))),"")</f>
        <v>0</v>
      </c>
      <c r="Z512" s="10" t="str">
        <f>IFERROR(VLOOKUP(Tabla1[[#This Row],[MEDICAMENTO]],TAB_REF!$B$3:$F$27,2,0), "")</f>
        <v xml:space="preserve">Hidromorfona HCl </v>
      </c>
      <c r="AA512" s="10" t="str">
        <f>IFERROR(VLOOKUP(Tabla1[[#This Row],[MEDICAMENTO]],TAB_REF!$B$3:$F$27,3,0), "")</f>
        <v xml:space="preserve">2 mg/mL </v>
      </c>
      <c r="AB512" s="10" t="str">
        <f>IFERROR(VLOOKUP(Tabla1[[#This Row],[MEDICAMENTO]],TAB_REF!$B$3:$F$27,4,0), "")</f>
        <v>Solución Inyectable</v>
      </c>
      <c r="AC512" s="10" t="str">
        <f>IFERROR(VLOOKUP(Tabla1[[#This Row],[MEDICAMENTO]],TAB_REF!$B$3:$F$27,5,0), "")</f>
        <v>Caja x 10 unidades</v>
      </c>
      <c r="AD512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513" spans="2:30" x14ac:dyDescent="0.25">
      <c r="B513" s="10">
        <v>194</v>
      </c>
      <c r="C513" s="10" t="s">
        <v>2764</v>
      </c>
      <c r="D513" s="10" t="s">
        <v>2175</v>
      </c>
      <c r="E513" s="10" t="s">
        <v>3196</v>
      </c>
      <c r="F513" s="10" t="s">
        <v>2533</v>
      </c>
      <c r="G513" s="10" t="s">
        <v>2737</v>
      </c>
      <c r="H513" s="10" t="s">
        <v>2738</v>
      </c>
      <c r="I513" s="10" t="s">
        <v>2113</v>
      </c>
      <c r="J513" s="10" t="s">
        <v>1442</v>
      </c>
      <c r="K513" s="10" t="s">
        <v>3197</v>
      </c>
      <c r="L513" s="11">
        <v>202124100758162</v>
      </c>
      <c r="M513" s="20">
        <v>44316</v>
      </c>
      <c r="N513" s="20" t="str">
        <f>UPPER(TEXT(Tabla1[[#This Row],[FECHA RADICADO ENTRADA]],"MMM"))</f>
        <v>ABR</v>
      </c>
      <c r="O513" s="11">
        <v>202124110717421</v>
      </c>
      <c r="P513" s="20">
        <v>44326</v>
      </c>
      <c r="Q513" s="20" t="str">
        <f>UPPER(TEXT(Tabla1[[#This Row],[FECHA RADICADO ENTRADA]],"MMM"))</f>
        <v>ABR</v>
      </c>
      <c r="R513" s="10">
        <f t="shared" si="7"/>
        <v>-10</v>
      </c>
      <c r="S513" s="10" t="s">
        <v>2154</v>
      </c>
      <c r="U513" s="10" t="s">
        <v>2740</v>
      </c>
      <c r="V513" s="20">
        <v>44223</v>
      </c>
      <c r="W513" s="10" t="s">
        <v>64</v>
      </c>
      <c r="X513" s="10">
        <v>400</v>
      </c>
      <c r="Y513" s="11">
        <v>80</v>
      </c>
      <c r="Z513" s="10" t="str">
        <f>IFERROR(VLOOKUP(Tabla1[[#This Row],[MEDICAMENTO]],TAB_REF!$B$3:$F$27,2,0), "")</f>
        <v xml:space="preserve">Morfina HCl </v>
      </c>
      <c r="AA513" s="10" t="str">
        <f>IFERROR(VLOOKUP(Tabla1[[#This Row],[MEDICAMENTO]],TAB_REF!$B$3:$F$27,3,0), "")</f>
        <v xml:space="preserve">10 (50mg/5mL) </v>
      </c>
      <c r="AB513" s="10" t="str">
        <f>IFERROR(VLOOKUP(Tabla1[[#This Row],[MEDICAMENTO]],TAB_REF!$B$3:$F$27,4,0), "")</f>
        <v>Solución Inyectable</v>
      </c>
      <c r="AC513" s="10" t="str">
        <f>IFERROR(VLOOKUP(Tabla1[[#This Row],[MEDICAMENTO]],TAB_REF!$B$3:$F$27,5,0), "")</f>
        <v>Caja x 5 unidades</v>
      </c>
      <c r="AD513" s="10" t="str">
        <f>IFERROR(VLOOKUP(Tabla1[[#This Row],[CANTIDAD UND COMERCIALES]],TAB_REF!$H$3:$I$1003,2,0)&amp;" ("&amp;Tabla1[[#This Row],[CANTIDAD UND COMERCIALES]]&amp;")"&amp;"_"&amp;Tabla1[[#This Row],[CANTIDAD]],"")</f>
        <v>Ochenta (80)_Caja x 5 unidades</v>
      </c>
    </row>
    <row r="514" spans="2:30" x14ac:dyDescent="0.25">
      <c r="B514" s="10">
        <v>195</v>
      </c>
      <c r="C514" s="10" t="s">
        <v>3151</v>
      </c>
      <c r="D514" s="10" t="s">
        <v>2617</v>
      </c>
      <c r="E514" s="10" t="s">
        <v>3294</v>
      </c>
      <c r="F514" s="10" t="s">
        <v>3152</v>
      </c>
      <c r="G514" s="21" t="s">
        <v>3153</v>
      </c>
      <c r="H514" s="10" t="s">
        <v>3154</v>
      </c>
      <c r="I514" s="10" t="s">
        <v>2116</v>
      </c>
      <c r="J514" s="10" t="s">
        <v>1550</v>
      </c>
      <c r="K514" s="10" t="s">
        <v>3155</v>
      </c>
      <c r="L514" s="11">
        <v>202124100682352</v>
      </c>
      <c r="M514" s="20">
        <v>44306</v>
      </c>
      <c r="N514" s="20" t="str">
        <f>UPPER(TEXT(Tabla1[[#This Row],[FECHA RADICADO ENTRADA]],"MMM"))</f>
        <v>ABR</v>
      </c>
      <c r="O514" s="11">
        <v>202124110704341</v>
      </c>
      <c r="P514" s="20">
        <v>44326</v>
      </c>
      <c r="Q514" s="20" t="str">
        <f>UPPER(TEXT(Tabla1[[#This Row],[FECHA RADICADO ENTRADA]],"MMM"))</f>
        <v>ABR</v>
      </c>
      <c r="R514" s="10">
        <f t="shared" ref="R514:R575" si="8">_xlfn.DAYS(M514,P514)</f>
        <v>-20</v>
      </c>
      <c r="S514" s="10" t="s">
        <v>2154</v>
      </c>
      <c r="T514" s="10" t="s">
        <v>3139</v>
      </c>
      <c r="U514" s="10" t="s">
        <v>3156</v>
      </c>
      <c r="V514" s="20">
        <v>43742</v>
      </c>
      <c r="W514" s="10" t="s">
        <v>38</v>
      </c>
      <c r="X514" s="10">
        <v>340</v>
      </c>
      <c r="Y514" s="11">
        <f>IFERROR(INT(Tabla1[[#This Row],[CANTIDAD UND FARMACEUTICAS]]/(VLOOKUP(Tabla1[[#This Row],[MEDICAMENTO]],TAB_REF!$K$3:$L$27,2,0))),"")</f>
        <v>17</v>
      </c>
      <c r="Z514" s="10" t="str">
        <f>IFERROR(VLOOKUP(Tabla1[[#This Row],[MEDICAMENTO]],TAB_REF!$B$3:$F$27,2,0), "")</f>
        <v xml:space="preserve">Hidromorfona HCl </v>
      </c>
      <c r="AA514" s="10" t="str">
        <f>IFERROR(VLOOKUP(Tabla1[[#This Row],[MEDICAMENTO]],TAB_REF!$B$3:$F$27,3,0), "")</f>
        <v xml:space="preserve">2,5 mg </v>
      </c>
      <c r="AB514" s="10" t="str">
        <f>IFERROR(VLOOKUP(Tabla1[[#This Row],[MEDICAMENTO]],TAB_REF!$B$3:$F$27,4,0), "")</f>
        <v>Tabletas</v>
      </c>
      <c r="AC514" s="10" t="str">
        <f>IFERROR(VLOOKUP(Tabla1[[#This Row],[MEDICAMENTO]],TAB_REF!$B$3:$F$27,5,0), "")</f>
        <v>Caja x 20 unidades</v>
      </c>
      <c r="AD514" s="10" t="str">
        <f>IFERROR(VLOOKUP(Tabla1[[#This Row],[CANTIDAD UND COMERCIALES]],TAB_REF!$H$3:$I$1003,2,0)&amp;" ("&amp;Tabla1[[#This Row],[CANTIDAD UND COMERCIALES]]&amp;")"&amp;"_"&amp;Tabla1[[#This Row],[CANTIDAD]],"")</f>
        <v>Diecisiete (17)_Caja x 20 unidades</v>
      </c>
    </row>
    <row r="515" spans="2:30" x14ac:dyDescent="0.25">
      <c r="B515" s="10">
        <v>196</v>
      </c>
      <c r="C515" s="10" t="s">
        <v>2694</v>
      </c>
      <c r="D515" s="10" t="s">
        <v>2695</v>
      </c>
      <c r="E515" s="10" t="s">
        <v>2696</v>
      </c>
      <c r="F515" s="10" t="s">
        <v>2697</v>
      </c>
      <c r="G515" s="10" t="s">
        <v>2698</v>
      </c>
      <c r="H515" s="10" t="s">
        <v>2699</v>
      </c>
      <c r="I515" s="10" t="s">
        <v>2122</v>
      </c>
      <c r="J515" s="10" t="s">
        <v>1742</v>
      </c>
      <c r="K515" s="10" t="s">
        <v>3157</v>
      </c>
      <c r="L515" s="11">
        <v>202124100687202</v>
      </c>
      <c r="M515" s="20">
        <v>44307</v>
      </c>
      <c r="N515" s="20" t="str">
        <f>UPPER(TEXT(Tabla1[[#This Row],[FECHA RADICADO ENTRADA]],"MMM"))</f>
        <v>ABR</v>
      </c>
      <c r="O515" s="11">
        <v>202124110717451</v>
      </c>
      <c r="P515" s="20">
        <v>44326</v>
      </c>
      <c r="Q515" s="20" t="str">
        <f>UPPER(TEXT(Tabla1[[#This Row],[FECHA RADICADO ENTRADA]],"MMM"))</f>
        <v>ABR</v>
      </c>
      <c r="R515" s="10">
        <f t="shared" si="8"/>
        <v>-19</v>
      </c>
      <c r="S515" s="10" t="s">
        <v>2145</v>
      </c>
      <c r="T515" s="10" t="s">
        <v>2843</v>
      </c>
      <c r="U515" s="10" t="s">
        <v>2164</v>
      </c>
      <c r="V515" s="10" t="s">
        <v>2164</v>
      </c>
      <c r="W515" s="10" t="s">
        <v>33</v>
      </c>
      <c r="X515" s="10">
        <v>0</v>
      </c>
      <c r="Y515" s="11">
        <f>IFERROR(INT(Tabla1[[#This Row],[CANTIDAD UND FARMACEUTICAS]]/(VLOOKUP(Tabla1[[#This Row],[MEDICAMENTO]],TAB_REF!$K$3:$L$27,2,0))),"")</f>
        <v>0</v>
      </c>
      <c r="Z515" s="10" t="str">
        <f>IFERROR(VLOOKUP(Tabla1[[#This Row],[MEDICAMENTO]],TAB_REF!$B$3:$F$27,2,0), "")</f>
        <v xml:space="preserve">Fenobarbital </v>
      </c>
      <c r="AA515" s="10" t="str">
        <f>IFERROR(VLOOKUP(Tabla1[[#This Row],[MEDICAMENTO]],TAB_REF!$B$3:$F$27,3,0), "")</f>
        <v xml:space="preserve">50 mg </v>
      </c>
      <c r="AB515" s="10" t="str">
        <f>IFERROR(VLOOKUP(Tabla1[[#This Row],[MEDICAMENTO]],TAB_REF!$B$3:$F$27,4,0), "")</f>
        <v>Tabletas</v>
      </c>
      <c r="AC515" s="10" t="str">
        <f>IFERROR(VLOOKUP(Tabla1[[#This Row],[MEDICAMENTO]],TAB_REF!$B$3:$F$27,5,0), "")</f>
        <v>Caja x 30 unidades</v>
      </c>
      <c r="AD515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516" spans="2:30" x14ac:dyDescent="0.25">
      <c r="B516" s="10">
        <v>197</v>
      </c>
      <c r="C516" s="10" t="s">
        <v>3198</v>
      </c>
      <c r="D516" s="10" t="s">
        <v>3199</v>
      </c>
      <c r="E516" s="10" t="s">
        <v>3200</v>
      </c>
      <c r="F516" s="10" t="s">
        <v>2164</v>
      </c>
      <c r="G516" s="10" t="s">
        <v>3201</v>
      </c>
      <c r="H516" s="10" t="s">
        <v>3202</v>
      </c>
      <c r="I516" s="10" t="s">
        <v>2116</v>
      </c>
      <c r="J516" s="10" t="s">
        <v>1550</v>
      </c>
      <c r="K516" s="10" t="s">
        <v>3203</v>
      </c>
      <c r="L516" s="11">
        <v>202124100755132</v>
      </c>
      <c r="M516" s="20">
        <v>44316</v>
      </c>
      <c r="N516" s="20" t="str">
        <f>UPPER(TEXT(Tabla1[[#This Row],[FECHA RADICADO ENTRADA]],"MMM"))</f>
        <v>ABR</v>
      </c>
      <c r="O516" s="11">
        <v>202124110719171</v>
      </c>
      <c r="P516" s="20">
        <v>44326</v>
      </c>
      <c r="Q516" s="20" t="str">
        <f>UPPER(TEXT(Tabla1[[#This Row],[FECHA RADICADO ENTRADA]],"MMM"))</f>
        <v>ABR</v>
      </c>
      <c r="R516" s="10">
        <f t="shared" si="8"/>
        <v>-10</v>
      </c>
      <c r="S516" s="10" t="s">
        <v>2145</v>
      </c>
      <c r="T516" s="10" t="s">
        <v>2808</v>
      </c>
      <c r="U516" s="10" t="s">
        <v>2164</v>
      </c>
      <c r="V516" s="20" t="s">
        <v>2164</v>
      </c>
      <c r="W516" s="10" t="s">
        <v>63</v>
      </c>
      <c r="X516" s="10">
        <v>0</v>
      </c>
      <c r="Y516" s="11">
        <f>IFERROR(INT(Tabla1[[#This Row],[CANTIDAD UND FARMACEUTICAS]]/(VLOOKUP(Tabla1[[#This Row],[MEDICAMENTO]],TAB_REF!$K$3:$L$27,2,0))),"")</f>
        <v>0</v>
      </c>
      <c r="Z516" s="10" t="str">
        <f>IFERROR(VLOOKUP(Tabla1[[#This Row],[MEDICAMENTO]],TAB_REF!$B$3:$F$27,2,0), "")</f>
        <v xml:space="preserve">Morfina HCl </v>
      </c>
      <c r="AA516" s="10" t="str">
        <f>IFERROR(VLOOKUP(Tabla1[[#This Row],[MEDICAMENTO]],TAB_REF!$B$3:$F$27,3,0), "")</f>
        <v xml:space="preserve">10 mg/mL </v>
      </c>
      <c r="AB516" s="10" t="str">
        <f>IFERROR(VLOOKUP(Tabla1[[#This Row],[MEDICAMENTO]],TAB_REF!$B$3:$F$27,4,0), "")</f>
        <v>Solución Inyectable</v>
      </c>
      <c r="AC516" s="10" t="str">
        <f>IFERROR(VLOOKUP(Tabla1[[#This Row],[MEDICAMENTO]],TAB_REF!$B$3:$F$27,5,0), "")</f>
        <v>Caja x 10 unidades</v>
      </c>
      <c r="AD516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517" spans="2:30" x14ac:dyDescent="0.25">
      <c r="B517" s="10">
        <v>197</v>
      </c>
      <c r="C517" s="10" t="s">
        <v>3198</v>
      </c>
      <c r="D517" s="10" t="s">
        <v>3199</v>
      </c>
      <c r="E517" s="10" t="s">
        <v>3200</v>
      </c>
      <c r="F517" s="10" t="s">
        <v>2164</v>
      </c>
      <c r="G517" s="10" t="s">
        <v>3201</v>
      </c>
      <c r="H517" s="10" t="s">
        <v>3202</v>
      </c>
      <c r="I517" s="10" t="s">
        <v>2116</v>
      </c>
      <c r="J517" s="10" t="s">
        <v>1550</v>
      </c>
      <c r="K517" s="10" t="s">
        <v>3203</v>
      </c>
      <c r="L517" s="11">
        <v>202124100755132</v>
      </c>
      <c r="M517" s="20">
        <v>44316</v>
      </c>
      <c r="N517" s="20" t="str">
        <f>UPPER(TEXT(Tabla1[[#This Row],[FECHA RADICADO ENTRADA]],"MMM"))</f>
        <v>ABR</v>
      </c>
      <c r="O517" s="11">
        <v>202124110719171</v>
      </c>
      <c r="P517" s="20">
        <v>44326</v>
      </c>
      <c r="Q517" s="20" t="str">
        <f>UPPER(TEXT(Tabla1[[#This Row],[FECHA RADICADO ENTRADA]],"MMM"))</f>
        <v>ABR</v>
      </c>
      <c r="R517" s="10">
        <f t="shared" si="8"/>
        <v>-10</v>
      </c>
      <c r="S517" s="10" t="s">
        <v>2145</v>
      </c>
      <c r="T517" s="10" t="s">
        <v>2808</v>
      </c>
      <c r="U517" s="10" t="s">
        <v>2164</v>
      </c>
      <c r="V517" s="20" t="s">
        <v>2164</v>
      </c>
      <c r="W517" s="10" t="s">
        <v>41</v>
      </c>
      <c r="X517" s="10">
        <v>0</v>
      </c>
      <c r="Y517" s="11">
        <f>IFERROR(INT(Tabla1[[#This Row],[CANTIDAD UND FARMACEUTICAS]]/(VLOOKUP(Tabla1[[#This Row],[MEDICAMENTO]],TAB_REF!$K$3:$L$27,2,0))),"")</f>
        <v>0</v>
      </c>
      <c r="Z517" s="10" t="str">
        <f>IFERROR(VLOOKUP(Tabla1[[#This Row],[MEDICAMENTO]],TAB_REF!$B$3:$F$27,2,0), "")</f>
        <v xml:space="preserve">Meperidina HCl </v>
      </c>
      <c r="AA517" s="10" t="str">
        <f>IFERROR(VLOOKUP(Tabla1[[#This Row],[MEDICAMENTO]],TAB_REF!$B$3:$F$27,3,0), "")</f>
        <v xml:space="preserve">100 mg/2mL </v>
      </c>
      <c r="AB517" s="10" t="str">
        <f>IFERROR(VLOOKUP(Tabla1[[#This Row],[MEDICAMENTO]],TAB_REF!$B$3:$F$27,4,0), "")</f>
        <v>Solución Inyectable</v>
      </c>
      <c r="AC517" s="10" t="str">
        <f>IFERROR(VLOOKUP(Tabla1[[#This Row],[MEDICAMENTO]],TAB_REF!$B$3:$F$27,5,0), "")</f>
        <v>Caja 10 ampollas</v>
      </c>
      <c r="AD517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518" spans="2:30" x14ac:dyDescent="0.25">
      <c r="B518" s="10">
        <v>198</v>
      </c>
      <c r="C518" s="10" t="s">
        <v>3144</v>
      </c>
      <c r="D518" s="10" t="s">
        <v>2162</v>
      </c>
      <c r="E518" s="10" t="s">
        <v>3145</v>
      </c>
      <c r="F518" s="10" t="s">
        <v>3146</v>
      </c>
      <c r="G518" s="21" t="s">
        <v>3147</v>
      </c>
      <c r="H518" s="10" t="s">
        <v>3148</v>
      </c>
      <c r="I518" s="10" t="s">
        <v>2128</v>
      </c>
      <c r="J518" s="10" t="s">
        <v>1918</v>
      </c>
      <c r="K518" s="10" t="s">
        <v>3149</v>
      </c>
      <c r="L518" s="11">
        <v>202124100687892</v>
      </c>
      <c r="M518" s="20">
        <v>44307</v>
      </c>
      <c r="N518" s="20" t="str">
        <f>UPPER(TEXT(Tabla1[[#This Row],[FECHA RADICADO ENTRADA]],"MMM"))</f>
        <v>ABR</v>
      </c>
      <c r="O518" s="11">
        <v>202124110704421</v>
      </c>
      <c r="P518" s="20">
        <v>44326</v>
      </c>
      <c r="Q518" s="20" t="str">
        <f>UPPER(TEXT(Tabla1[[#This Row],[FECHA RADICADO ENTRADA]],"MMM"))</f>
        <v>ABR</v>
      </c>
      <c r="R518" s="10">
        <f t="shared" si="8"/>
        <v>-19</v>
      </c>
      <c r="S518" s="10" t="s">
        <v>2145</v>
      </c>
      <c r="T518" s="10" t="s">
        <v>3492</v>
      </c>
      <c r="U518" s="10" t="s">
        <v>3150</v>
      </c>
      <c r="V518" s="20">
        <v>43307</v>
      </c>
      <c r="W518" s="10" t="s">
        <v>37</v>
      </c>
      <c r="X518" s="10">
        <v>0</v>
      </c>
      <c r="Y518" s="11">
        <f>IFERROR(INT(Tabla1[[#This Row],[CANTIDAD UND FARMACEUTICAS]]/(VLOOKUP(Tabla1[[#This Row],[MEDICAMENTO]],TAB_REF!$K$3:$L$27,2,0))),"")</f>
        <v>0</v>
      </c>
      <c r="Z518" s="10" t="str">
        <f>IFERROR(VLOOKUP(Tabla1[[#This Row],[MEDICAMENTO]],TAB_REF!$B$3:$F$27,2,0), "")</f>
        <v xml:space="preserve">Hidromorfona HCl </v>
      </c>
      <c r="AA518" s="10" t="str">
        <f>IFERROR(VLOOKUP(Tabla1[[#This Row],[MEDICAMENTO]],TAB_REF!$B$3:$F$27,3,0), "")</f>
        <v xml:space="preserve">2 mg/mL </v>
      </c>
      <c r="AB518" s="10" t="str">
        <f>IFERROR(VLOOKUP(Tabla1[[#This Row],[MEDICAMENTO]],TAB_REF!$B$3:$F$27,4,0), "")</f>
        <v>Solución Inyectable</v>
      </c>
      <c r="AC518" s="10" t="str">
        <f>IFERROR(VLOOKUP(Tabla1[[#This Row],[MEDICAMENTO]],TAB_REF!$B$3:$F$27,5,0), "")</f>
        <v>Caja x 10 unidades</v>
      </c>
      <c r="AD518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519" spans="2:30" x14ac:dyDescent="0.25">
      <c r="B519" s="10">
        <v>199</v>
      </c>
      <c r="C519" s="10" t="s">
        <v>3158</v>
      </c>
      <c r="D519" s="10" t="s">
        <v>3076</v>
      </c>
      <c r="E519" s="10" t="s">
        <v>3047</v>
      </c>
      <c r="F519" s="10" t="s">
        <v>3048</v>
      </c>
      <c r="G519" s="21" t="s">
        <v>3159</v>
      </c>
      <c r="H519" s="10" t="s">
        <v>3050</v>
      </c>
      <c r="I519" s="10" t="s">
        <v>2116</v>
      </c>
      <c r="J519" s="10" t="s">
        <v>1550</v>
      </c>
      <c r="K519" s="10" t="s">
        <v>3160</v>
      </c>
      <c r="L519" s="11">
        <v>202124100690892</v>
      </c>
      <c r="M519" s="20">
        <v>44307</v>
      </c>
      <c r="N519" s="20" t="str">
        <f>UPPER(TEXT(Tabla1[[#This Row],[FECHA RADICADO ENTRADA]],"MMM"))</f>
        <v>ABR</v>
      </c>
      <c r="O519" s="11">
        <v>202124110717531</v>
      </c>
      <c r="P519" s="20">
        <v>44326</v>
      </c>
      <c r="Q519" s="20" t="str">
        <f>UPPER(TEXT(Tabla1[[#This Row],[FECHA RADICADO ENTRADA]],"MMM"))</f>
        <v>ABR</v>
      </c>
      <c r="R519" s="10">
        <f t="shared" si="8"/>
        <v>-19</v>
      </c>
      <c r="S519" s="10" t="s">
        <v>2145</v>
      </c>
      <c r="T519" s="10" t="s">
        <v>3492</v>
      </c>
      <c r="U519" s="10" t="s">
        <v>3161</v>
      </c>
      <c r="V519" s="20">
        <v>43766</v>
      </c>
      <c r="W519" s="10" t="s">
        <v>63</v>
      </c>
      <c r="X519" s="10">
        <v>0</v>
      </c>
      <c r="Y519" s="11">
        <f>IFERROR(INT(Tabla1[[#This Row],[CANTIDAD UND FARMACEUTICAS]]/(VLOOKUP(Tabla1[[#This Row],[MEDICAMENTO]],TAB_REF!$K$3:$L$27,2,0))),"")</f>
        <v>0</v>
      </c>
      <c r="Z519" s="10" t="str">
        <f>IFERROR(VLOOKUP(Tabla1[[#This Row],[MEDICAMENTO]],TAB_REF!$B$3:$F$27,2,0), "")</f>
        <v xml:space="preserve">Morfina HCl </v>
      </c>
      <c r="AA519" s="10" t="str">
        <f>IFERROR(VLOOKUP(Tabla1[[#This Row],[MEDICAMENTO]],TAB_REF!$B$3:$F$27,3,0), "")</f>
        <v xml:space="preserve">10 mg/mL </v>
      </c>
      <c r="AB519" s="10" t="str">
        <f>IFERROR(VLOOKUP(Tabla1[[#This Row],[MEDICAMENTO]],TAB_REF!$B$3:$F$27,4,0), "")</f>
        <v>Solución Inyectable</v>
      </c>
      <c r="AC519" s="10" t="str">
        <f>IFERROR(VLOOKUP(Tabla1[[#This Row],[MEDICAMENTO]],TAB_REF!$B$3:$F$27,5,0), "")</f>
        <v>Caja x 10 unidades</v>
      </c>
      <c r="AD519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520" spans="2:30" x14ac:dyDescent="0.25">
      <c r="B520" s="10">
        <v>199</v>
      </c>
      <c r="C520" s="10" t="s">
        <v>3158</v>
      </c>
      <c r="D520" s="10" t="s">
        <v>3076</v>
      </c>
      <c r="E520" s="10" t="s">
        <v>3047</v>
      </c>
      <c r="F520" s="10" t="s">
        <v>3048</v>
      </c>
      <c r="G520" s="21" t="s">
        <v>3159</v>
      </c>
      <c r="H520" s="10" t="s">
        <v>3050</v>
      </c>
      <c r="I520" s="10" t="s">
        <v>2116</v>
      </c>
      <c r="J520" s="10" t="s">
        <v>1550</v>
      </c>
      <c r="K520" s="10" t="s">
        <v>3160</v>
      </c>
      <c r="L520" s="11">
        <v>202124100690892</v>
      </c>
      <c r="M520" s="20">
        <v>44307</v>
      </c>
      <c r="N520" s="20" t="str">
        <f>UPPER(TEXT(Tabla1[[#This Row],[FECHA RADICADO ENTRADA]],"MMM"))</f>
        <v>ABR</v>
      </c>
      <c r="O520" s="11">
        <v>202124110717531</v>
      </c>
      <c r="P520" s="20">
        <v>44326</v>
      </c>
      <c r="Q520" s="20" t="str">
        <f>UPPER(TEXT(Tabla1[[#This Row],[FECHA RADICADO ENTRADA]],"MMM"))</f>
        <v>ABR</v>
      </c>
      <c r="R520" s="10">
        <f t="shared" si="8"/>
        <v>-19</v>
      </c>
      <c r="S520" s="10" t="s">
        <v>2154</v>
      </c>
      <c r="U520" s="10" t="s">
        <v>3161</v>
      </c>
      <c r="V520" s="20">
        <v>43766</v>
      </c>
      <c r="W520" s="10" t="s">
        <v>41</v>
      </c>
      <c r="X520" s="10">
        <v>400</v>
      </c>
      <c r="Y520" s="11">
        <f>IFERROR(INT(Tabla1[[#This Row],[CANTIDAD UND FARMACEUTICAS]]/(VLOOKUP(Tabla1[[#This Row],[MEDICAMENTO]],TAB_REF!$K$3:$L$27,2,0))),"")</f>
        <v>40</v>
      </c>
      <c r="Z520" s="10" t="str">
        <f>IFERROR(VLOOKUP(Tabla1[[#This Row],[MEDICAMENTO]],TAB_REF!$B$3:$F$27,2,0), "")</f>
        <v xml:space="preserve">Meperidina HCl </v>
      </c>
      <c r="AA520" s="10" t="str">
        <f>IFERROR(VLOOKUP(Tabla1[[#This Row],[MEDICAMENTO]],TAB_REF!$B$3:$F$27,3,0), "")</f>
        <v xml:space="preserve">100 mg/2mL </v>
      </c>
      <c r="AB520" s="10" t="str">
        <f>IFERROR(VLOOKUP(Tabla1[[#This Row],[MEDICAMENTO]],TAB_REF!$B$3:$F$27,4,0), "")</f>
        <v>Solución Inyectable</v>
      </c>
      <c r="AC520" s="10" t="str">
        <f>IFERROR(VLOOKUP(Tabla1[[#This Row],[MEDICAMENTO]],TAB_REF!$B$3:$F$27,5,0), "")</f>
        <v>Caja 10 ampollas</v>
      </c>
      <c r="AD520" s="10" t="str">
        <f>IFERROR(VLOOKUP(Tabla1[[#This Row],[CANTIDAD UND COMERCIALES]],TAB_REF!$H$3:$I$1003,2,0)&amp;" ("&amp;Tabla1[[#This Row],[CANTIDAD UND COMERCIALES]]&amp;")"&amp;"_"&amp;Tabla1[[#This Row],[CANTIDAD]],"")</f>
        <v>Cuarenta (40)_Caja 10 ampollas</v>
      </c>
    </row>
    <row r="521" spans="2:30" x14ac:dyDescent="0.25">
      <c r="B521" s="10">
        <v>200</v>
      </c>
      <c r="C521" s="10" t="s">
        <v>3204</v>
      </c>
      <c r="D521" s="10" t="s">
        <v>2617</v>
      </c>
      <c r="E521" s="10" t="s">
        <v>3205</v>
      </c>
      <c r="F521" s="10" t="s">
        <v>3206</v>
      </c>
      <c r="G521" s="10" t="s">
        <v>3207</v>
      </c>
      <c r="H521" s="10" t="s">
        <v>3208</v>
      </c>
      <c r="I521" s="10" t="s">
        <v>2122</v>
      </c>
      <c r="J521" s="10" t="s">
        <v>1742</v>
      </c>
      <c r="K521" s="10" t="s">
        <v>3209</v>
      </c>
      <c r="L521" s="11">
        <v>202124100754022</v>
      </c>
      <c r="M521" s="20">
        <v>44315</v>
      </c>
      <c r="N521" s="20" t="str">
        <f>UPPER(TEXT(Tabla1[[#This Row],[FECHA RADICADO ENTRADA]],"MMM"))</f>
        <v>ABR</v>
      </c>
      <c r="O521" s="11">
        <v>202124110704461</v>
      </c>
      <c r="P521" s="20">
        <v>44326</v>
      </c>
      <c r="Q521" s="20" t="str">
        <f>UPPER(TEXT(Tabla1[[#This Row],[FECHA RADICADO ENTRADA]],"MMM"))</f>
        <v>ABR</v>
      </c>
      <c r="R521" s="10">
        <f t="shared" si="8"/>
        <v>-11</v>
      </c>
      <c r="S521" s="10" t="s">
        <v>2154</v>
      </c>
      <c r="U521" s="10" t="s">
        <v>3210</v>
      </c>
      <c r="V521" s="20">
        <v>43923</v>
      </c>
      <c r="W521" s="10" t="s">
        <v>41</v>
      </c>
      <c r="X521" s="10">
        <v>150</v>
      </c>
      <c r="Y521" s="11">
        <f>IFERROR(INT(Tabla1[[#This Row],[CANTIDAD UND FARMACEUTICAS]]/(VLOOKUP(Tabla1[[#This Row],[MEDICAMENTO]],TAB_REF!$K$3:$L$27,2,0))),"")</f>
        <v>15</v>
      </c>
      <c r="Z521" s="10" t="str">
        <f>IFERROR(VLOOKUP(Tabla1[[#This Row],[MEDICAMENTO]],TAB_REF!$B$3:$F$27,2,0), "")</f>
        <v xml:space="preserve">Meperidina HCl </v>
      </c>
      <c r="AA521" s="10" t="str">
        <f>IFERROR(VLOOKUP(Tabla1[[#This Row],[MEDICAMENTO]],TAB_REF!$B$3:$F$27,3,0), "")</f>
        <v xml:space="preserve">100 mg/2mL </v>
      </c>
      <c r="AB521" s="10" t="str">
        <f>IFERROR(VLOOKUP(Tabla1[[#This Row],[MEDICAMENTO]],TAB_REF!$B$3:$F$27,4,0), "")</f>
        <v>Solución Inyectable</v>
      </c>
      <c r="AC521" s="10" t="str">
        <f>IFERROR(VLOOKUP(Tabla1[[#This Row],[MEDICAMENTO]],TAB_REF!$B$3:$F$27,5,0), "")</f>
        <v>Caja 10 ampollas</v>
      </c>
      <c r="AD521" s="10" t="str">
        <f>IFERROR(VLOOKUP(Tabla1[[#This Row],[CANTIDAD UND COMERCIALES]],TAB_REF!$H$3:$I$1003,2,0)&amp;" ("&amp;Tabla1[[#This Row],[CANTIDAD UND COMERCIALES]]&amp;")"&amp;"_"&amp;Tabla1[[#This Row],[CANTIDAD]],"")</f>
        <v>Quince (15)_Caja 10 ampollas</v>
      </c>
    </row>
    <row r="522" spans="2:30" x14ac:dyDescent="0.25">
      <c r="B522" s="10">
        <v>200</v>
      </c>
      <c r="C522" s="10" t="s">
        <v>3204</v>
      </c>
      <c r="D522" s="10" t="s">
        <v>2617</v>
      </c>
      <c r="E522" s="10" t="s">
        <v>3205</v>
      </c>
      <c r="F522" s="10" t="s">
        <v>3206</v>
      </c>
      <c r="G522" s="10" t="s">
        <v>3207</v>
      </c>
      <c r="H522" s="10" t="s">
        <v>3208</v>
      </c>
      <c r="I522" s="10" t="s">
        <v>2122</v>
      </c>
      <c r="J522" s="10" t="s">
        <v>1742</v>
      </c>
      <c r="K522" s="10" t="s">
        <v>3209</v>
      </c>
      <c r="L522" s="11">
        <v>202124100754022</v>
      </c>
      <c r="M522" s="20">
        <v>44315</v>
      </c>
      <c r="N522" s="20" t="str">
        <f>UPPER(TEXT(Tabla1[[#This Row],[FECHA RADICADO ENTRADA]],"MMM"))</f>
        <v>ABR</v>
      </c>
      <c r="O522" s="11">
        <v>202124110704461</v>
      </c>
      <c r="P522" s="20">
        <v>44326</v>
      </c>
      <c r="Q522" s="20" t="str">
        <f>UPPER(TEXT(Tabla1[[#This Row],[FECHA RADICADO ENTRADA]],"MMM"))</f>
        <v>ABR</v>
      </c>
      <c r="R522" s="10">
        <f t="shared" si="8"/>
        <v>-11</v>
      </c>
      <c r="S522" s="10" t="s">
        <v>2145</v>
      </c>
      <c r="T522" s="10" t="s">
        <v>3492</v>
      </c>
      <c r="U522" s="10" t="s">
        <v>3210</v>
      </c>
      <c r="V522" s="20">
        <v>43923</v>
      </c>
      <c r="W522" s="10" t="s">
        <v>63</v>
      </c>
      <c r="X522" s="10">
        <v>0</v>
      </c>
      <c r="Y522" s="11">
        <f>IFERROR(INT(Tabla1[[#This Row],[CANTIDAD UND FARMACEUTICAS]]/(VLOOKUP(Tabla1[[#This Row],[MEDICAMENTO]],TAB_REF!$K$3:$L$27,2,0))),"")</f>
        <v>0</v>
      </c>
      <c r="Z522" s="10" t="str">
        <f>IFERROR(VLOOKUP(Tabla1[[#This Row],[MEDICAMENTO]],TAB_REF!$B$3:$F$27,2,0), "")</f>
        <v xml:space="preserve">Morfina HCl </v>
      </c>
      <c r="AA522" s="10" t="str">
        <f>IFERROR(VLOOKUP(Tabla1[[#This Row],[MEDICAMENTO]],TAB_REF!$B$3:$F$27,3,0), "")</f>
        <v xml:space="preserve">10 mg/mL </v>
      </c>
      <c r="AB522" s="10" t="str">
        <f>IFERROR(VLOOKUP(Tabla1[[#This Row],[MEDICAMENTO]],TAB_REF!$B$3:$F$27,4,0), "")</f>
        <v>Solución Inyectable</v>
      </c>
      <c r="AC522" s="10" t="str">
        <f>IFERROR(VLOOKUP(Tabla1[[#This Row],[MEDICAMENTO]],TAB_REF!$B$3:$F$27,5,0), "")</f>
        <v>Caja x 10 unidades</v>
      </c>
      <c r="AD522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523" spans="2:30" x14ac:dyDescent="0.25">
      <c r="B523" s="10">
        <v>200</v>
      </c>
      <c r="C523" s="10" t="s">
        <v>3204</v>
      </c>
      <c r="D523" s="10" t="s">
        <v>2617</v>
      </c>
      <c r="E523" s="10" t="s">
        <v>3205</v>
      </c>
      <c r="F523" s="10" t="s">
        <v>3206</v>
      </c>
      <c r="G523" s="10" t="s">
        <v>3207</v>
      </c>
      <c r="H523" s="10" t="s">
        <v>3208</v>
      </c>
      <c r="I523" s="10" t="s">
        <v>2122</v>
      </c>
      <c r="J523" s="10" t="s">
        <v>1742</v>
      </c>
      <c r="K523" s="10" t="s">
        <v>3209</v>
      </c>
      <c r="L523" s="11">
        <v>202124100754022</v>
      </c>
      <c r="M523" s="20">
        <v>44315</v>
      </c>
      <c r="N523" s="20" t="str">
        <f>UPPER(TEXT(Tabla1[[#This Row],[FECHA RADICADO ENTRADA]],"MMM"))</f>
        <v>ABR</v>
      </c>
      <c r="O523" s="11">
        <v>202124110704461</v>
      </c>
      <c r="P523" s="20">
        <v>44326</v>
      </c>
      <c r="Q523" s="20" t="str">
        <f>UPPER(TEXT(Tabla1[[#This Row],[FECHA RADICADO ENTRADA]],"MMM"))</f>
        <v>ABR</v>
      </c>
      <c r="R523" s="10">
        <f t="shared" si="8"/>
        <v>-11</v>
      </c>
      <c r="S523" s="10" t="s">
        <v>2154</v>
      </c>
      <c r="U523" s="10" t="s">
        <v>3210</v>
      </c>
      <c r="V523" s="20">
        <v>43923</v>
      </c>
      <c r="W523" s="10" t="s">
        <v>36</v>
      </c>
      <c r="X523" s="10">
        <v>100</v>
      </c>
      <c r="Y523" s="11">
        <f>IFERROR(INT(Tabla1[[#This Row],[CANTIDAD UND FARMACEUTICAS]]/(VLOOKUP(Tabla1[[#This Row],[MEDICAMENTO]],TAB_REF!$K$3:$L$27,2,0))),"")</f>
        <v>10</v>
      </c>
      <c r="Z523" s="10" t="str">
        <f>IFERROR(VLOOKUP(Tabla1[[#This Row],[MEDICAMENTO]],TAB_REF!$B$3:$F$27,2,0), "")</f>
        <v xml:space="preserve">Fenobarbital Sódico </v>
      </c>
      <c r="AA523" s="10" t="str">
        <f>IFERROR(VLOOKUP(Tabla1[[#This Row],[MEDICAMENTO]],TAB_REF!$B$3:$F$27,3,0), "")</f>
        <v xml:space="preserve">40 mg/mL </v>
      </c>
      <c r="AB523" s="10" t="str">
        <f>IFERROR(VLOOKUP(Tabla1[[#This Row],[MEDICAMENTO]],TAB_REF!$B$3:$F$27,4,0), "")</f>
        <v>Solución Inyectable</v>
      </c>
      <c r="AC523" s="10" t="str">
        <f>IFERROR(VLOOKUP(Tabla1[[#This Row],[MEDICAMENTO]],TAB_REF!$B$3:$F$27,5,0), "")</f>
        <v>Caja x 10 unidades</v>
      </c>
      <c r="AD523" s="10" t="str">
        <f>IFERROR(VLOOKUP(Tabla1[[#This Row],[CANTIDAD UND COMERCIALES]],TAB_REF!$H$3:$I$1003,2,0)&amp;" ("&amp;Tabla1[[#This Row],[CANTIDAD UND COMERCIALES]]&amp;")"&amp;"_"&amp;Tabla1[[#This Row],[CANTIDAD]],"")</f>
        <v>Diez (10)_Caja x 10 unidades</v>
      </c>
    </row>
    <row r="524" spans="2:30" s="24" customFormat="1" x14ac:dyDescent="0.25">
      <c r="B524" s="24">
        <v>201</v>
      </c>
      <c r="C524" s="24" t="s">
        <v>3169</v>
      </c>
      <c r="D524" s="24" t="s">
        <v>3162</v>
      </c>
      <c r="E524" s="24" t="s">
        <v>3163</v>
      </c>
      <c r="F524" s="24" t="s">
        <v>3164</v>
      </c>
      <c r="G524" s="40" t="s">
        <v>3165</v>
      </c>
      <c r="H524" s="24" t="s">
        <v>3166</v>
      </c>
      <c r="I524" s="24" t="s">
        <v>2129</v>
      </c>
      <c r="J524" s="24" t="s">
        <v>2036</v>
      </c>
      <c r="K524" s="24" t="s">
        <v>3167</v>
      </c>
      <c r="L524" s="25">
        <v>202124100691102</v>
      </c>
      <c r="M524" s="35">
        <v>44307</v>
      </c>
      <c r="N524" s="20" t="str">
        <f>UPPER(TEXT(Tabla1[[#This Row],[FECHA RADICADO ENTRADA]],"MMM"))</f>
        <v>ABR</v>
      </c>
      <c r="O524" s="25">
        <v>202124110717591</v>
      </c>
      <c r="P524" s="35">
        <v>44326</v>
      </c>
      <c r="Q524" s="20" t="str">
        <f>UPPER(TEXT(Tabla1[[#This Row],[FECHA RADICADO ENTRADA]],"MMM"))</f>
        <v>ABR</v>
      </c>
      <c r="R524" s="10">
        <f t="shared" si="8"/>
        <v>-19</v>
      </c>
      <c r="S524" s="24" t="s">
        <v>2145</v>
      </c>
      <c r="T524" s="24" t="s">
        <v>3254</v>
      </c>
      <c r="U524" s="24" t="s">
        <v>3168</v>
      </c>
      <c r="V524" s="35">
        <v>43214</v>
      </c>
      <c r="W524" s="24" t="s">
        <v>32</v>
      </c>
      <c r="X524" s="10">
        <v>0</v>
      </c>
      <c r="Y524" s="25">
        <f>IFERROR(INT(Tabla1[[#This Row],[CANTIDAD UND FARMACEUTICAS]]/(VLOOKUP(Tabla1[[#This Row],[MEDICAMENTO]],TAB_REF!$K$3:$L$27,2,0))),"")</f>
        <v>0</v>
      </c>
      <c r="Z524" s="24" t="str">
        <f>IFERROR(VLOOKUP(Tabla1[[#This Row],[MEDICAMENTO]],TAB_REF!$B$3:$F$27,2,0), "")</f>
        <v xml:space="preserve">Fenobarbital </v>
      </c>
      <c r="AA524" s="24" t="str">
        <f>IFERROR(VLOOKUP(Tabla1[[#This Row],[MEDICAMENTO]],TAB_REF!$B$3:$F$27,3,0), "")</f>
        <v xml:space="preserve">100 mg </v>
      </c>
      <c r="AB524" s="24" t="str">
        <f>IFERROR(VLOOKUP(Tabla1[[#This Row],[MEDICAMENTO]],TAB_REF!$B$3:$F$27,4,0), "")</f>
        <v>Tabletas</v>
      </c>
      <c r="AC524" s="24" t="str">
        <f>IFERROR(VLOOKUP(Tabla1[[#This Row],[MEDICAMENTO]],TAB_REF!$B$3:$F$27,5,0), "")</f>
        <v>Caja x 30 unidades</v>
      </c>
      <c r="AD524" s="24" t="str">
        <f>IFERROR(VLOOKUP(Tabla1[[#This Row],[CANTIDAD UND COMERCIALES]],TAB_REF!$H$3:$I$1003,2,0)&amp;" ("&amp;Tabla1[[#This Row],[CANTIDAD UND COMERCIALES]]&amp;")"&amp;"_"&amp;Tabla1[[#This Row],[CANTIDAD]],"")</f>
        <v/>
      </c>
    </row>
    <row r="525" spans="2:30" s="24" customFormat="1" x14ac:dyDescent="0.25">
      <c r="B525" s="24">
        <v>201</v>
      </c>
      <c r="C525" s="24" t="s">
        <v>3169</v>
      </c>
      <c r="D525" s="24" t="s">
        <v>3162</v>
      </c>
      <c r="E525" s="24" t="s">
        <v>3163</v>
      </c>
      <c r="F525" s="24" t="s">
        <v>3164</v>
      </c>
      <c r="G525" s="40" t="s">
        <v>3165</v>
      </c>
      <c r="H525" s="24" t="s">
        <v>3166</v>
      </c>
      <c r="I525" s="24" t="s">
        <v>2129</v>
      </c>
      <c r="J525" s="24" t="s">
        <v>2036</v>
      </c>
      <c r="K525" s="24" t="s">
        <v>3167</v>
      </c>
      <c r="L525" s="25">
        <v>202124100691102</v>
      </c>
      <c r="M525" s="35">
        <v>44307</v>
      </c>
      <c r="N525" s="20" t="str">
        <f>UPPER(TEXT(Tabla1[[#This Row],[FECHA RADICADO ENTRADA]],"MMM"))</f>
        <v>ABR</v>
      </c>
      <c r="O525" s="25">
        <v>202124110717591</v>
      </c>
      <c r="P525" s="35">
        <v>44326</v>
      </c>
      <c r="Q525" s="20" t="str">
        <f>UPPER(TEXT(Tabla1[[#This Row],[FECHA RADICADO ENTRADA]],"MMM"))</f>
        <v>ABR</v>
      </c>
      <c r="R525" s="10">
        <f t="shared" si="8"/>
        <v>-19</v>
      </c>
      <c r="S525" s="24" t="s">
        <v>2145</v>
      </c>
      <c r="T525" s="24" t="s">
        <v>3254</v>
      </c>
      <c r="U525" s="24" t="s">
        <v>3168</v>
      </c>
      <c r="V525" s="35">
        <v>43214</v>
      </c>
      <c r="W525" s="24" t="s">
        <v>41</v>
      </c>
      <c r="X525" s="10">
        <v>0</v>
      </c>
      <c r="Y525" s="25">
        <f>IFERROR(INT(Tabla1[[#This Row],[CANTIDAD UND FARMACEUTICAS]]/(VLOOKUP(Tabla1[[#This Row],[MEDICAMENTO]],TAB_REF!$K$3:$L$27,2,0))),"")</f>
        <v>0</v>
      </c>
      <c r="Z525" s="24" t="str">
        <f>IFERROR(VLOOKUP(Tabla1[[#This Row],[MEDICAMENTO]],TAB_REF!$B$3:$F$27,2,0), "")</f>
        <v xml:space="preserve">Meperidina HCl </v>
      </c>
      <c r="AA525" s="24" t="str">
        <f>IFERROR(VLOOKUP(Tabla1[[#This Row],[MEDICAMENTO]],TAB_REF!$B$3:$F$27,3,0), "")</f>
        <v xml:space="preserve">100 mg/2mL </v>
      </c>
      <c r="AB525" s="24" t="str">
        <f>IFERROR(VLOOKUP(Tabla1[[#This Row],[MEDICAMENTO]],TAB_REF!$B$3:$F$27,4,0), "")</f>
        <v>Solución Inyectable</v>
      </c>
      <c r="AC525" s="24" t="str">
        <f>IFERROR(VLOOKUP(Tabla1[[#This Row],[MEDICAMENTO]],TAB_REF!$B$3:$F$27,5,0), "")</f>
        <v>Caja 10 ampollas</v>
      </c>
      <c r="AD525" s="24" t="str">
        <f>IFERROR(VLOOKUP(Tabla1[[#This Row],[CANTIDAD UND COMERCIALES]],TAB_REF!$H$3:$I$1003,2,0)&amp;" ("&amp;Tabla1[[#This Row],[CANTIDAD UND COMERCIALES]]&amp;")"&amp;"_"&amp;Tabla1[[#This Row],[CANTIDAD]],"")</f>
        <v/>
      </c>
    </row>
    <row r="526" spans="2:30" s="24" customFormat="1" x14ac:dyDescent="0.25">
      <c r="B526" s="24">
        <v>201</v>
      </c>
      <c r="C526" s="24" t="s">
        <v>3169</v>
      </c>
      <c r="D526" s="24" t="s">
        <v>3162</v>
      </c>
      <c r="E526" s="24" t="s">
        <v>3163</v>
      </c>
      <c r="F526" s="24" t="s">
        <v>3164</v>
      </c>
      <c r="G526" s="40" t="s">
        <v>3165</v>
      </c>
      <c r="H526" s="24" t="s">
        <v>3166</v>
      </c>
      <c r="I526" s="24" t="s">
        <v>2129</v>
      </c>
      <c r="J526" s="24" t="s">
        <v>2036</v>
      </c>
      <c r="K526" s="24" t="s">
        <v>3167</v>
      </c>
      <c r="L526" s="25">
        <v>202124100691102</v>
      </c>
      <c r="M526" s="35">
        <v>44307</v>
      </c>
      <c r="N526" s="20" t="str">
        <f>UPPER(TEXT(Tabla1[[#This Row],[FECHA RADICADO ENTRADA]],"MMM"))</f>
        <v>ABR</v>
      </c>
      <c r="O526" s="25">
        <v>202124110717591</v>
      </c>
      <c r="P526" s="35">
        <v>44326</v>
      </c>
      <c r="Q526" s="20" t="str">
        <f>UPPER(TEXT(Tabla1[[#This Row],[FECHA RADICADO ENTRADA]],"MMM"))</f>
        <v>ABR</v>
      </c>
      <c r="R526" s="10">
        <f t="shared" si="8"/>
        <v>-19</v>
      </c>
      <c r="S526" s="24" t="s">
        <v>2145</v>
      </c>
      <c r="T526" s="24" t="s">
        <v>3254</v>
      </c>
      <c r="U526" s="24" t="s">
        <v>3168</v>
      </c>
      <c r="V526" s="35">
        <v>43214</v>
      </c>
      <c r="W526" s="24" t="s">
        <v>63</v>
      </c>
      <c r="X526" s="10">
        <v>0</v>
      </c>
      <c r="Y526" s="25">
        <f>IFERROR(INT(Tabla1[[#This Row],[CANTIDAD UND FARMACEUTICAS]]/(VLOOKUP(Tabla1[[#This Row],[MEDICAMENTO]],TAB_REF!$K$3:$L$27,2,0))),"")</f>
        <v>0</v>
      </c>
      <c r="Z526" s="24" t="str">
        <f>IFERROR(VLOOKUP(Tabla1[[#This Row],[MEDICAMENTO]],TAB_REF!$B$3:$F$27,2,0), "")</f>
        <v xml:space="preserve">Morfina HCl </v>
      </c>
      <c r="AA526" s="24" t="str">
        <f>IFERROR(VLOOKUP(Tabla1[[#This Row],[MEDICAMENTO]],TAB_REF!$B$3:$F$27,3,0), "")</f>
        <v xml:space="preserve">10 mg/mL </v>
      </c>
      <c r="AB526" s="24" t="str">
        <f>IFERROR(VLOOKUP(Tabla1[[#This Row],[MEDICAMENTO]],TAB_REF!$B$3:$F$27,4,0), "")</f>
        <v>Solución Inyectable</v>
      </c>
      <c r="AC526" s="24" t="str">
        <f>IFERROR(VLOOKUP(Tabla1[[#This Row],[MEDICAMENTO]],TAB_REF!$B$3:$F$27,5,0), "")</f>
        <v>Caja x 10 unidades</v>
      </c>
      <c r="AD526" s="24" t="str">
        <f>IFERROR(VLOOKUP(Tabla1[[#This Row],[CANTIDAD UND COMERCIALES]],TAB_REF!$H$3:$I$1003,2,0)&amp;" ("&amp;Tabla1[[#This Row],[CANTIDAD UND COMERCIALES]]&amp;")"&amp;"_"&amp;Tabla1[[#This Row],[CANTIDAD]],"")</f>
        <v/>
      </c>
    </row>
    <row r="527" spans="2:30" x14ac:dyDescent="0.25">
      <c r="B527" s="10">
        <v>202</v>
      </c>
      <c r="C527" s="10" t="s">
        <v>2545</v>
      </c>
      <c r="D527" s="10" t="s">
        <v>2546</v>
      </c>
      <c r="E527" s="10" t="s">
        <v>2547</v>
      </c>
      <c r="F527" s="10" t="s">
        <v>2164</v>
      </c>
      <c r="G527" s="21" t="s">
        <v>2548</v>
      </c>
      <c r="H527" s="10" t="s">
        <v>2550</v>
      </c>
      <c r="I527" s="10" t="s">
        <v>2129</v>
      </c>
      <c r="J527" s="10" t="s">
        <v>2011</v>
      </c>
      <c r="K527" s="10" t="s">
        <v>2551</v>
      </c>
      <c r="L527" s="11">
        <v>202124100693942</v>
      </c>
      <c r="M527" s="20">
        <v>44307</v>
      </c>
      <c r="N527" s="20" t="str">
        <f>UPPER(TEXT(Tabla1[[#This Row],[FECHA RADICADO ENTRADA]],"MMM"))</f>
        <v>ABR</v>
      </c>
      <c r="O527" s="39">
        <v>202124110704561</v>
      </c>
      <c r="P527" s="20">
        <v>44326</v>
      </c>
      <c r="Q527" s="20" t="str">
        <f>UPPER(TEXT(Tabla1[[#This Row],[FECHA RADICADO ENTRADA]],"MMM"))</f>
        <v>ABR</v>
      </c>
      <c r="R527" s="10">
        <f t="shared" si="8"/>
        <v>-19</v>
      </c>
      <c r="S527" s="10" t="s">
        <v>2145</v>
      </c>
      <c r="T527" s="10" t="s">
        <v>2167</v>
      </c>
      <c r="U527" s="10" t="s">
        <v>2164</v>
      </c>
      <c r="V527" s="20" t="s">
        <v>2164</v>
      </c>
      <c r="W527" s="10" t="s">
        <v>37</v>
      </c>
      <c r="X527" s="10">
        <v>0</v>
      </c>
      <c r="Y527" s="11">
        <f>IFERROR(INT(Tabla1[[#This Row],[CANTIDAD UND FARMACEUTICAS]]/(VLOOKUP(Tabla1[[#This Row],[MEDICAMENTO]],TAB_REF!$K$3:$L$27,2,0))),"")</f>
        <v>0</v>
      </c>
      <c r="Z527" s="10" t="str">
        <f>IFERROR(VLOOKUP(Tabla1[[#This Row],[MEDICAMENTO]],TAB_REF!$B$3:$F$27,2,0), "")</f>
        <v xml:space="preserve">Hidromorfona HCl </v>
      </c>
      <c r="AA527" s="10" t="str">
        <f>IFERROR(VLOOKUP(Tabla1[[#This Row],[MEDICAMENTO]],TAB_REF!$B$3:$F$27,3,0), "")</f>
        <v xml:space="preserve">2 mg/mL </v>
      </c>
      <c r="AB527" s="10" t="str">
        <f>IFERROR(VLOOKUP(Tabla1[[#This Row],[MEDICAMENTO]],TAB_REF!$B$3:$F$27,4,0), "")</f>
        <v>Solución Inyectable</v>
      </c>
      <c r="AC527" s="10" t="str">
        <f>IFERROR(VLOOKUP(Tabla1[[#This Row],[MEDICAMENTO]],TAB_REF!$B$3:$F$27,5,0), "")</f>
        <v>Caja x 10 unidades</v>
      </c>
      <c r="AD527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528" spans="2:30" x14ac:dyDescent="0.25">
      <c r="B528" s="10">
        <v>202</v>
      </c>
      <c r="C528" s="10" t="s">
        <v>2545</v>
      </c>
      <c r="D528" s="10" t="s">
        <v>2546</v>
      </c>
      <c r="E528" s="10" t="s">
        <v>2547</v>
      </c>
      <c r="F528" s="10" t="s">
        <v>2164</v>
      </c>
      <c r="G528" s="21" t="s">
        <v>2548</v>
      </c>
      <c r="H528" s="10" t="s">
        <v>2550</v>
      </c>
      <c r="I528" s="10" t="s">
        <v>2129</v>
      </c>
      <c r="J528" s="10" t="s">
        <v>2011</v>
      </c>
      <c r="K528" s="10" t="s">
        <v>2551</v>
      </c>
      <c r="L528" s="11">
        <v>202124100693942</v>
      </c>
      <c r="M528" s="20">
        <v>44307</v>
      </c>
      <c r="N528" s="20" t="str">
        <f>UPPER(TEXT(Tabla1[[#This Row],[FECHA RADICADO ENTRADA]],"MMM"))</f>
        <v>ABR</v>
      </c>
      <c r="O528" s="39">
        <v>202124110704561</v>
      </c>
      <c r="P528" s="20">
        <v>44326</v>
      </c>
      <c r="Q528" s="20" t="str">
        <f>UPPER(TEXT(Tabla1[[#This Row],[FECHA RADICADO ENTRADA]],"MMM"))</f>
        <v>ABR</v>
      </c>
      <c r="R528" s="10">
        <f t="shared" si="8"/>
        <v>-19</v>
      </c>
      <c r="S528" s="10" t="s">
        <v>2145</v>
      </c>
      <c r="T528" s="10" t="s">
        <v>2167</v>
      </c>
      <c r="U528" s="10" t="s">
        <v>2164</v>
      </c>
      <c r="V528" s="20" t="s">
        <v>2164</v>
      </c>
      <c r="W528" s="10" t="s">
        <v>63</v>
      </c>
      <c r="X528" s="10">
        <v>0</v>
      </c>
      <c r="Y528" s="11">
        <f>IFERROR(INT(Tabla1[[#This Row],[CANTIDAD UND FARMACEUTICAS]]/(VLOOKUP(Tabla1[[#This Row],[MEDICAMENTO]],TAB_REF!$K$3:$L$27,2,0))),"")</f>
        <v>0</v>
      </c>
      <c r="Z528" s="10" t="str">
        <f>IFERROR(VLOOKUP(Tabla1[[#This Row],[MEDICAMENTO]],TAB_REF!$B$3:$F$27,2,0), "")</f>
        <v xml:space="preserve">Morfina HCl </v>
      </c>
      <c r="AA528" s="10" t="str">
        <f>IFERROR(VLOOKUP(Tabla1[[#This Row],[MEDICAMENTO]],TAB_REF!$B$3:$F$27,3,0), "")</f>
        <v xml:space="preserve">10 mg/mL </v>
      </c>
      <c r="AB528" s="10" t="str">
        <f>IFERROR(VLOOKUP(Tabla1[[#This Row],[MEDICAMENTO]],TAB_REF!$B$3:$F$27,4,0), "")</f>
        <v>Solución Inyectable</v>
      </c>
      <c r="AC528" s="10" t="str">
        <f>IFERROR(VLOOKUP(Tabla1[[#This Row],[MEDICAMENTO]],TAB_REF!$B$3:$F$27,5,0), "")</f>
        <v>Caja x 10 unidades</v>
      </c>
      <c r="AD528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529" spans="2:30" x14ac:dyDescent="0.25">
      <c r="B529" s="10">
        <v>203</v>
      </c>
      <c r="C529" s="10" t="s">
        <v>3211</v>
      </c>
      <c r="D529" s="10" t="s">
        <v>2617</v>
      </c>
      <c r="E529" s="10" t="s">
        <v>3212</v>
      </c>
      <c r="F529" s="10" t="s">
        <v>3213</v>
      </c>
      <c r="G529" s="10" t="s">
        <v>3214</v>
      </c>
      <c r="H529" s="10" t="s">
        <v>3215</v>
      </c>
      <c r="I529" s="10" t="s">
        <v>2112</v>
      </c>
      <c r="J529" s="10" t="s">
        <v>1427</v>
      </c>
      <c r="K529" s="10" t="s">
        <v>3216</v>
      </c>
      <c r="L529" s="11">
        <v>202124100750532</v>
      </c>
      <c r="M529" s="20">
        <v>44315</v>
      </c>
      <c r="N529" s="20" t="str">
        <f>UPPER(TEXT(Tabla1[[#This Row],[FECHA RADICADO ENTRADA]],"MMM"))</f>
        <v>ABR</v>
      </c>
      <c r="O529" s="11">
        <v>202124110717651</v>
      </c>
      <c r="P529" s="20">
        <v>44326</v>
      </c>
      <c r="Q529" s="20" t="str">
        <f>UPPER(TEXT(Tabla1[[#This Row],[FECHA RADICADO ENTRADA]],"MMM"))</f>
        <v>ABR</v>
      </c>
      <c r="R529" s="10">
        <f t="shared" si="8"/>
        <v>-11</v>
      </c>
      <c r="S529" s="10" t="s">
        <v>2154</v>
      </c>
      <c r="U529" s="10" t="s">
        <v>3217</v>
      </c>
      <c r="V529" s="20">
        <v>43760</v>
      </c>
      <c r="W529" s="10" t="s">
        <v>45</v>
      </c>
      <c r="X529" s="10">
        <v>240</v>
      </c>
      <c r="Y529" s="11">
        <f>IFERROR(INT(Tabla1[[#This Row],[CANTIDAD UND FARMACEUTICAS]]/(VLOOKUP(Tabla1[[#This Row],[MEDICAMENTO]],TAB_REF!$K$3:$L$27,2,0))),"")</f>
        <v>8</v>
      </c>
      <c r="Z529" s="10" t="str">
        <f>IFERROR(VLOOKUP(Tabla1[[#This Row],[MEDICAMENTO]],TAB_REF!$B$3:$F$27,2,0), "")</f>
        <v xml:space="preserve">Metadona HCl </v>
      </c>
      <c r="AA529" s="10" t="str">
        <f>IFERROR(VLOOKUP(Tabla1[[#This Row],[MEDICAMENTO]],TAB_REF!$B$3:$F$27,3,0), "")</f>
        <v xml:space="preserve">10 mg </v>
      </c>
      <c r="AB529" s="10" t="str">
        <f>IFERROR(VLOOKUP(Tabla1[[#This Row],[MEDICAMENTO]],TAB_REF!$B$3:$F$27,4,0), "")</f>
        <v>Tabletas NACIONAL</v>
      </c>
      <c r="AC529" s="10" t="str">
        <f>IFERROR(VLOOKUP(Tabla1[[#This Row],[MEDICAMENTO]],TAB_REF!$B$3:$F$27,5,0), "")</f>
        <v>Caja x 30 unidades</v>
      </c>
      <c r="AD529" s="10" t="str">
        <f>IFERROR(VLOOKUP(Tabla1[[#This Row],[CANTIDAD UND COMERCIALES]],TAB_REF!$H$3:$I$1003,2,0)&amp;" ("&amp;Tabla1[[#This Row],[CANTIDAD UND COMERCIALES]]&amp;")"&amp;"_"&amp;Tabla1[[#This Row],[CANTIDAD]],"")</f>
        <v>Ocho (8)_Caja x 30 unidades</v>
      </c>
    </row>
    <row r="530" spans="2:30" x14ac:dyDescent="0.25">
      <c r="B530" s="10">
        <v>204</v>
      </c>
      <c r="C530" s="10" t="s">
        <v>2384</v>
      </c>
      <c r="D530" s="10" t="s">
        <v>2182</v>
      </c>
      <c r="E530" s="10" t="s">
        <v>2385</v>
      </c>
      <c r="F530" s="10" t="s">
        <v>2386</v>
      </c>
      <c r="G530" s="10" t="s">
        <v>2810</v>
      </c>
      <c r="H530" s="10" t="s">
        <v>2811</v>
      </c>
      <c r="I530" s="10" t="s">
        <v>2122</v>
      </c>
      <c r="J530" s="10" t="s">
        <v>1742</v>
      </c>
      <c r="K530" s="10" t="s">
        <v>2812</v>
      </c>
      <c r="L530" s="11">
        <v>202124100693992</v>
      </c>
      <c r="M530" s="20">
        <v>44307</v>
      </c>
      <c r="N530" s="20" t="str">
        <f>UPPER(TEXT(Tabla1[[#This Row],[FECHA RADICADO ENTRADA]],"MMM"))</f>
        <v>ABR</v>
      </c>
      <c r="O530" s="11">
        <v>202124110716521</v>
      </c>
      <c r="P530" s="20">
        <v>44326</v>
      </c>
      <c r="Q530" s="20" t="str">
        <f>UPPER(TEXT(Tabla1[[#This Row],[FECHA RADICADO ENTRADA]],"MMM"))</f>
        <v>ABR</v>
      </c>
      <c r="R530" s="10">
        <f t="shared" si="8"/>
        <v>-19</v>
      </c>
      <c r="S530" s="10" t="s">
        <v>2154</v>
      </c>
      <c r="U530" s="10" t="s">
        <v>2813</v>
      </c>
      <c r="V530" s="20">
        <v>43167</v>
      </c>
      <c r="W530" s="10" t="s">
        <v>32</v>
      </c>
      <c r="X530" s="10">
        <v>3000</v>
      </c>
      <c r="Y530" s="11">
        <f>IFERROR(INT(Tabla1[[#This Row],[CANTIDAD UND FARMACEUTICAS]]/(VLOOKUP(Tabla1[[#This Row],[MEDICAMENTO]],TAB_REF!$K$3:$L$27,2,0))),"")</f>
        <v>100</v>
      </c>
      <c r="Z530" s="10" t="str">
        <f>IFERROR(VLOOKUP(Tabla1[[#This Row],[MEDICAMENTO]],TAB_REF!$B$3:$F$27,2,0), "")</f>
        <v xml:space="preserve">Fenobarbital </v>
      </c>
      <c r="AA530" s="10" t="str">
        <f>IFERROR(VLOOKUP(Tabla1[[#This Row],[MEDICAMENTO]],TAB_REF!$B$3:$F$27,3,0), "")</f>
        <v xml:space="preserve">100 mg </v>
      </c>
      <c r="AB530" s="10" t="str">
        <f>IFERROR(VLOOKUP(Tabla1[[#This Row],[MEDICAMENTO]],TAB_REF!$B$3:$F$27,4,0), "")</f>
        <v>Tabletas</v>
      </c>
      <c r="AC530" s="10" t="str">
        <f>IFERROR(VLOOKUP(Tabla1[[#This Row],[MEDICAMENTO]],TAB_REF!$B$3:$F$27,5,0), "")</f>
        <v>Caja x 30 unidades</v>
      </c>
      <c r="AD530" s="10" t="str">
        <f>IFERROR(VLOOKUP(Tabla1[[#This Row],[CANTIDAD UND COMERCIALES]],TAB_REF!$H$3:$I$1003,2,0)&amp;" ("&amp;Tabla1[[#This Row],[CANTIDAD UND COMERCIALES]]&amp;")"&amp;"_"&amp;Tabla1[[#This Row],[CANTIDAD]],"")</f>
        <v>Cien (100)_Caja x 30 unidades</v>
      </c>
    </row>
    <row r="531" spans="2:30" x14ac:dyDescent="0.25">
      <c r="B531" s="10">
        <v>204</v>
      </c>
      <c r="C531" s="10" t="s">
        <v>2384</v>
      </c>
      <c r="D531" s="10" t="s">
        <v>2182</v>
      </c>
      <c r="E531" s="10" t="s">
        <v>2385</v>
      </c>
      <c r="F531" s="10" t="s">
        <v>2386</v>
      </c>
      <c r="G531" s="10" t="s">
        <v>2810</v>
      </c>
      <c r="H531" s="10" t="s">
        <v>2811</v>
      </c>
      <c r="I531" s="10" t="s">
        <v>2122</v>
      </c>
      <c r="J531" s="10" t="s">
        <v>1742</v>
      </c>
      <c r="K531" s="10" t="s">
        <v>2812</v>
      </c>
      <c r="L531" s="11">
        <v>202124100693992</v>
      </c>
      <c r="M531" s="20">
        <v>44307</v>
      </c>
      <c r="N531" s="20" t="str">
        <f>UPPER(TEXT(Tabla1[[#This Row],[FECHA RADICADO ENTRADA]],"MMM"))</f>
        <v>ABR</v>
      </c>
      <c r="O531" s="11">
        <v>202124110716521</v>
      </c>
      <c r="P531" s="20">
        <v>44326</v>
      </c>
      <c r="Q531" s="20" t="str">
        <f>UPPER(TEXT(Tabla1[[#This Row],[FECHA RADICADO ENTRADA]],"MMM"))</f>
        <v>ABR</v>
      </c>
      <c r="R531" s="10">
        <f t="shared" si="8"/>
        <v>-19</v>
      </c>
      <c r="S531" s="10" t="s">
        <v>2154</v>
      </c>
      <c r="U531" s="10" t="s">
        <v>2813</v>
      </c>
      <c r="V531" s="20">
        <v>43167</v>
      </c>
      <c r="W531" s="10" t="s">
        <v>48</v>
      </c>
      <c r="X531" s="10">
        <v>120</v>
      </c>
      <c r="Y531" s="11">
        <f>IFERROR(INT(Tabla1[[#This Row],[CANTIDAD UND FARMACEUTICAS]]/(VLOOKUP(Tabla1[[#This Row],[MEDICAMENTO]],TAB_REF!$K$3:$L$27,2,0))),"")</f>
        <v>4</v>
      </c>
      <c r="Z531" s="10" t="str">
        <f>IFERROR(VLOOKUP(Tabla1[[#This Row],[MEDICAMENTO]],TAB_REF!$B$3:$F$27,2,0), "")</f>
        <v xml:space="preserve">Metilfenidato HCl </v>
      </c>
      <c r="AA531" s="10" t="str">
        <f>IFERROR(VLOOKUP(Tabla1[[#This Row],[MEDICAMENTO]],TAB_REF!$B$3:$F$27,3,0), "")</f>
        <v xml:space="preserve">10 mg </v>
      </c>
      <c r="AB531" s="10" t="str">
        <f>IFERROR(VLOOKUP(Tabla1[[#This Row],[MEDICAMENTO]],TAB_REF!$B$3:$F$27,4,0), "")</f>
        <v>Comprimidos</v>
      </c>
      <c r="AC531" s="10" t="str">
        <f>IFERROR(VLOOKUP(Tabla1[[#This Row],[MEDICAMENTO]],TAB_REF!$B$3:$F$27,5,0), "")</f>
        <v>Caja x 30 unidades</v>
      </c>
      <c r="AD531" s="10" t="str">
        <f>IFERROR(VLOOKUP(Tabla1[[#This Row],[CANTIDAD UND COMERCIALES]],TAB_REF!$H$3:$I$1003,2,0)&amp;" ("&amp;Tabla1[[#This Row],[CANTIDAD UND COMERCIALES]]&amp;")"&amp;"_"&amp;Tabla1[[#This Row],[CANTIDAD]],"")</f>
        <v>Cuatro (4)_Caja x 30 unidades</v>
      </c>
    </row>
    <row r="532" spans="2:30" x14ac:dyDescent="0.25">
      <c r="B532" s="10">
        <v>204</v>
      </c>
      <c r="C532" s="10" t="s">
        <v>2384</v>
      </c>
      <c r="D532" s="10" t="s">
        <v>2182</v>
      </c>
      <c r="E532" s="10" t="s">
        <v>2385</v>
      </c>
      <c r="F532" s="10" t="s">
        <v>2386</v>
      </c>
      <c r="G532" s="10" t="s">
        <v>2810</v>
      </c>
      <c r="H532" s="10" t="s">
        <v>2811</v>
      </c>
      <c r="I532" s="10" t="s">
        <v>2122</v>
      </c>
      <c r="J532" s="10" t="s">
        <v>1742</v>
      </c>
      <c r="K532" s="10" t="s">
        <v>2812</v>
      </c>
      <c r="L532" s="11">
        <v>202124100693992</v>
      </c>
      <c r="M532" s="20">
        <v>44307</v>
      </c>
      <c r="N532" s="20" t="str">
        <f>UPPER(TEXT(Tabla1[[#This Row],[FECHA RADICADO ENTRADA]],"MMM"))</f>
        <v>ABR</v>
      </c>
      <c r="O532" s="11">
        <v>202124110716521</v>
      </c>
      <c r="P532" s="20">
        <v>44326</v>
      </c>
      <c r="Q532" s="20" t="str">
        <f>UPPER(TEXT(Tabla1[[#This Row],[FECHA RADICADO ENTRADA]],"MMM"))</f>
        <v>ABR</v>
      </c>
      <c r="R532" s="10">
        <f t="shared" si="8"/>
        <v>-19</v>
      </c>
      <c r="S532" s="10" t="s">
        <v>2154</v>
      </c>
      <c r="U532" s="10" t="s">
        <v>2813</v>
      </c>
      <c r="V532" s="20">
        <v>43167</v>
      </c>
      <c r="W532" s="10" t="s">
        <v>60</v>
      </c>
      <c r="X532" s="10">
        <v>5</v>
      </c>
      <c r="Y532" s="11">
        <f>IFERROR(INT(Tabla1[[#This Row],[CANTIDAD UND FARMACEUTICAS]]/(VLOOKUP(Tabla1[[#This Row],[MEDICAMENTO]],TAB_REF!$K$3:$L$27,2,0))),"")</f>
        <v>5</v>
      </c>
      <c r="Z532" s="10" t="str">
        <f>IFERROR(VLOOKUP(Tabla1[[#This Row],[MEDICAMENTO]],TAB_REF!$B$3:$F$27,2,0), "")</f>
        <v xml:space="preserve">Morfina HCl </v>
      </c>
      <c r="AA532" s="10" t="str">
        <f>IFERROR(VLOOKUP(Tabla1[[#This Row],[MEDICAMENTO]],TAB_REF!$B$3:$F$27,3,0), "")</f>
        <v xml:space="preserve">3%. </v>
      </c>
      <c r="AB532" s="10" t="str">
        <f>IFERROR(VLOOKUP(Tabla1[[#This Row],[MEDICAMENTO]],TAB_REF!$B$3:$F$27,4,0), "")</f>
        <v>Solución Oral</v>
      </c>
      <c r="AC532" s="10" t="str">
        <f>IFERROR(VLOOKUP(Tabla1[[#This Row],[MEDICAMENTO]],TAB_REF!$B$3:$F$27,5,0), "")</f>
        <v>Frasco x 30 mL</v>
      </c>
      <c r="AD532" s="10" t="str">
        <f>IFERROR(VLOOKUP(Tabla1[[#This Row],[CANTIDAD UND COMERCIALES]],TAB_REF!$H$3:$I$1003,2,0)&amp;" ("&amp;Tabla1[[#This Row],[CANTIDAD UND COMERCIALES]]&amp;")"&amp;"_"&amp;Tabla1[[#This Row],[CANTIDAD]],"")</f>
        <v>Cinco (5)_Frasco x 30 mL</v>
      </c>
    </row>
    <row r="533" spans="2:30" x14ac:dyDescent="0.25">
      <c r="B533" s="10">
        <v>205</v>
      </c>
      <c r="C533" s="10" t="s">
        <v>2814</v>
      </c>
      <c r="D533" s="10" t="s">
        <v>2162</v>
      </c>
      <c r="E533" s="10" t="s">
        <v>2901</v>
      </c>
      <c r="F533" s="10" t="s">
        <v>2815</v>
      </c>
      <c r="G533" s="21" t="s">
        <v>2816</v>
      </c>
      <c r="H533" s="10" t="s">
        <v>2817</v>
      </c>
      <c r="I533" s="10" t="s">
        <v>2110</v>
      </c>
      <c r="J533" s="10" t="s">
        <v>1235</v>
      </c>
      <c r="K533" s="10" t="s">
        <v>2818</v>
      </c>
      <c r="L533" s="11">
        <v>202124100694062</v>
      </c>
      <c r="M533" s="20">
        <v>44307</v>
      </c>
      <c r="N533" s="20" t="str">
        <f>UPPER(TEXT(Tabla1[[#This Row],[FECHA RADICADO ENTRADA]],"MMM"))</f>
        <v>ABR</v>
      </c>
      <c r="O533" s="11">
        <v>202124140736211</v>
      </c>
      <c r="P533" s="20">
        <v>44334</v>
      </c>
      <c r="Q533" s="20" t="str">
        <f>UPPER(TEXT(Tabla1[[#This Row],[FECHA RADICADO ENTRADA]],"MMM"))</f>
        <v>ABR</v>
      </c>
      <c r="R533" s="10">
        <f t="shared" si="8"/>
        <v>-27</v>
      </c>
      <c r="S533" s="10" t="s">
        <v>2145</v>
      </c>
      <c r="T533" s="10" t="s">
        <v>3493</v>
      </c>
      <c r="U533" s="10" t="s">
        <v>2819</v>
      </c>
      <c r="V533" s="20">
        <v>43557</v>
      </c>
      <c r="W533" s="10" t="s">
        <v>32</v>
      </c>
      <c r="X533" s="10">
        <v>0</v>
      </c>
      <c r="Y533" s="11">
        <f>IFERROR(INT(Tabla1[[#This Row],[CANTIDAD UND FARMACEUTICAS]]/(VLOOKUP(Tabla1[[#This Row],[MEDICAMENTO]],TAB_REF!$K$3:$L$27,2,0))),"")</f>
        <v>0</v>
      </c>
      <c r="Z533" s="10" t="str">
        <f>IFERROR(VLOOKUP(Tabla1[[#This Row],[MEDICAMENTO]],TAB_REF!$B$3:$F$27,2,0), "")</f>
        <v xml:space="preserve">Fenobarbital </v>
      </c>
      <c r="AA533" s="10" t="str">
        <f>IFERROR(VLOOKUP(Tabla1[[#This Row],[MEDICAMENTO]],TAB_REF!$B$3:$F$27,3,0), "")</f>
        <v xml:space="preserve">100 mg </v>
      </c>
      <c r="AB533" s="10" t="str">
        <f>IFERROR(VLOOKUP(Tabla1[[#This Row],[MEDICAMENTO]],TAB_REF!$B$3:$F$27,4,0), "")</f>
        <v>Tabletas</v>
      </c>
      <c r="AC533" s="10" t="str">
        <f>IFERROR(VLOOKUP(Tabla1[[#This Row],[MEDICAMENTO]],TAB_REF!$B$3:$F$27,5,0), "")</f>
        <v>Caja x 30 unidades</v>
      </c>
      <c r="AD533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534" spans="2:30" x14ac:dyDescent="0.25">
      <c r="B534" s="10">
        <v>205</v>
      </c>
      <c r="C534" s="10" t="s">
        <v>2814</v>
      </c>
      <c r="D534" s="10" t="s">
        <v>2162</v>
      </c>
      <c r="E534" s="10" t="s">
        <v>2901</v>
      </c>
      <c r="F534" s="10" t="s">
        <v>2815</v>
      </c>
      <c r="G534" s="21" t="s">
        <v>2816</v>
      </c>
      <c r="H534" s="10" t="s">
        <v>2817</v>
      </c>
      <c r="I534" s="10" t="s">
        <v>2110</v>
      </c>
      <c r="J534" s="10" t="s">
        <v>1235</v>
      </c>
      <c r="K534" s="10" t="s">
        <v>2818</v>
      </c>
      <c r="L534" s="11">
        <v>202124100694062</v>
      </c>
      <c r="M534" s="20">
        <v>44307</v>
      </c>
      <c r="N534" s="20" t="str">
        <f>UPPER(TEXT(Tabla1[[#This Row],[FECHA RADICADO ENTRADA]],"MMM"))</f>
        <v>ABR</v>
      </c>
      <c r="O534" s="11">
        <v>202124140736211</v>
      </c>
      <c r="P534" s="20">
        <v>44334</v>
      </c>
      <c r="Q534" s="20" t="str">
        <f>UPPER(TEXT(Tabla1[[#This Row],[FECHA RADICADO ENTRADA]],"MMM"))</f>
        <v>ABR</v>
      </c>
      <c r="R534" s="10">
        <f t="shared" si="8"/>
        <v>-27</v>
      </c>
      <c r="S534" s="10" t="s">
        <v>2145</v>
      </c>
      <c r="T534" s="10" t="s">
        <v>3493</v>
      </c>
      <c r="U534" s="10" t="s">
        <v>2819</v>
      </c>
      <c r="V534" s="20">
        <v>43557</v>
      </c>
      <c r="W534" s="10" t="s">
        <v>60</v>
      </c>
      <c r="X534" s="10">
        <v>0</v>
      </c>
      <c r="Y534" s="11">
        <f>IFERROR(INT(Tabla1[[#This Row],[CANTIDAD UND FARMACEUTICAS]]/(VLOOKUP(Tabla1[[#This Row],[MEDICAMENTO]],TAB_REF!$K$3:$L$27,2,0))),"")</f>
        <v>0</v>
      </c>
      <c r="Z534" s="10" t="str">
        <f>IFERROR(VLOOKUP(Tabla1[[#This Row],[MEDICAMENTO]],TAB_REF!$B$3:$F$27,2,0), "")</f>
        <v xml:space="preserve">Morfina HCl </v>
      </c>
      <c r="AA534" s="10" t="str">
        <f>IFERROR(VLOOKUP(Tabla1[[#This Row],[MEDICAMENTO]],TAB_REF!$B$3:$F$27,3,0), "")</f>
        <v xml:space="preserve">3%. </v>
      </c>
      <c r="AB534" s="10" t="str">
        <f>IFERROR(VLOOKUP(Tabla1[[#This Row],[MEDICAMENTO]],TAB_REF!$B$3:$F$27,4,0), "")</f>
        <v>Solución Oral</v>
      </c>
      <c r="AC534" s="10" t="str">
        <f>IFERROR(VLOOKUP(Tabla1[[#This Row],[MEDICAMENTO]],TAB_REF!$B$3:$F$27,5,0), "")</f>
        <v>Frasco x 30 mL</v>
      </c>
      <c r="AD534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535" spans="2:30" x14ac:dyDescent="0.25">
      <c r="B535" s="10">
        <v>206</v>
      </c>
      <c r="C535" s="10" t="s">
        <v>3218</v>
      </c>
      <c r="D535" s="10" t="s">
        <v>3219</v>
      </c>
      <c r="E535" s="10" t="s">
        <v>2539</v>
      </c>
      <c r="F535" s="10" t="s">
        <v>2540</v>
      </c>
      <c r="G535" s="10" t="s">
        <v>2541</v>
      </c>
      <c r="H535" s="10" t="s">
        <v>2887</v>
      </c>
      <c r="I535" s="10" t="s">
        <v>2120</v>
      </c>
      <c r="J535" s="10" t="s">
        <v>1696</v>
      </c>
      <c r="K535" s="10" t="s">
        <v>3220</v>
      </c>
      <c r="L535" s="11">
        <v>202124100747282</v>
      </c>
      <c r="M535" s="20">
        <v>44315</v>
      </c>
      <c r="N535" s="20" t="str">
        <f>UPPER(TEXT(Tabla1[[#This Row],[FECHA RADICADO ENTRADA]],"MMM"))</f>
        <v>ABR</v>
      </c>
      <c r="O535" s="11">
        <v>202124110718611</v>
      </c>
      <c r="P535" s="20">
        <v>44326</v>
      </c>
      <c r="Q535" s="20" t="str">
        <f>UPPER(TEXT(Tabla1[[#This Row],[FECHA RADICADO ENTRADA]],"MMM"))</f>
        <v>ABR</v>
      </c>
      <c r="R535" s="10">
        <f t="shared" si="8"/>
        <v>-11</v>
      </c>
      <c r="S535" s="10" t="s">
        <v>2154</v>
      </c>
      <c r="T535" s="10" t="s">
        <v>3221</v>
      </c>
      <c r="U535" s="10" t="s">
        <v>2544</v>
      </c>
      <c r="V535" s="20">
        <v>42830</v>
      </c>
      <c r="W535" s="10" t="s">
        <v>60</v>
      </c>
      <c r="X535" s="10">
        <v>20</v>
      </c>
      <c r="Y535" s="11">
        <f>IFERROR(INT(Tabla1[[#This Row],[CANTIDAD UND FARMACEUTICAS]]/(VLOOKUP(Tabla1[[#This Row],[MEDICAMENTO]],TAB_REF!$K$3:$L$27,2,0))),"")</f>
        <v>20</v>
      </c>
      <c r="Z535" s="10" t="str">
        <f>IFERROR(VLOOKUP(Tabla1[[#This Row],[MEDICAMENTO]],TAB_REF!$B$3:$F$27,2,0), "")</f>
        <v xml:space="preserve">Morfina HCl </v>
      </c>
      <c r="AA535" s="10" t="str">
        <f>IFERROR(VLOOKUP(Tabla1[[#This Row],[MEDICAMENTO]],TAB_REF!$B$3:$F$27,3,0), "")</f>
        <v xml:space="preserve">3%. </v>
      </c>
      <c r="AB535" s="10" t="str">
        <f>IFERROR(VLOOKUP(Tabla1[[#This Row],[MEDICAMENTO]],TAB_REF!$B$3:$F$27,4,0), "")</f>
        <v>Solución Oral</v>
      </c>
      <c r="AC535" s="10" t="str">
        <f>IFERROR(VLOOKUP(Tabla1[[#This Row],[MEDICAMENTO]],TAB_REF!$B$3:$F$27,5,0), "")</f>
        <v>Frasco x 30 mL</v>
      </c>
      <c r="AD535" s="10" t="str">
        <f>IFERROR(VLOOKUP(Tabla1[[#This Row],[CANTIDAD UND COMERCIALES]],TAB_REF!$H$3:$I$1003,2,0)&amp;" ("&amp;Tabla1[[#This Row],[CANTIDAD UND COMERCIALES]]&amp;")"&amp;"_"&amp;Tabla1[[#This Row],[CANTIDAD]],"")</f>
        <v>Veinte (20)_Frasco x 30 mL</v>
      </c>
    </row>
    <row r="536" spans="2:30" x14ac:dyDescent="0.25">
      <c r="B536" s="10">
        <v>206</v>
      </c>
      <c r="C536" s="10" t="s">
        <v>3218</v>
      </c>
      <c r="D536" s="10" t="s">
        <v>3219</v>
      </c>
      <c r="E536" s="10" t="s">
        <v>2539</v>
      </c>
      <c r="F536" s="10" t="s">
        <v>2540</v>
      </c>
      <c r="G536" s="10" t="s">
        <v>2541</v>
      </c>
      <c r="H536" s="10" t="s">
        <v>2887</v>
      </c>
      <c r="I536" s="10" t="s">
        <v>2120</v>
      </c>
      <c r="J536" s="10" t="s">
        <v>1696</v>
      </c>
      <c r="K536" s="10" t="s">
        <v>3220</v>
      </c>
      <c r="L536" s="11">
        <v>202124100747282</v>
      </c>
      <c r="M536" s="20">
        <v>44315</v>
      </c>
      <c r="N536" s="20" t="str">
        <f>UPPER(TEXT(Tabla1[[#This Row],[FECHA RADICADO ENTRADA]],"MMM"))</f>
        <v>ABR</v>
      </c>
      <c r="O536" s="11">
        <v>202124110718611</v>
      </c>
      <c r="P536" s="20">
        <v>44326</v>
      </c>
      <c r="Q536" s="20" t="str">
        <f>UPPER(TEXT(Tabla1[[#This Row],[FECHA RADICADO ENTRADA]],"MMM"))</f>
        <v>ABR</v>
      </c>
      <c r="R536" s="10">
        <f t="shared" si="8"/>
        <v>-11</v>
      </c>
      <c r="S536" s="10" t="s">
        <v>2154</v>
      </c>
      <c r="T536" s="10" t="s">
        <v>3221</v>
      </c>
      <c r="U536" s="10" t="s">
        <v>2544</v>
      </c>
      <c r="V536" s="20">
        <v>42830</v>
      </c>
      <c r="W536" s="10" t="s">
        <v>41</v>
      </c>
      <c r="X536" s="10">
        <v>600</v>
      </c>
      <c r="Y536" s="11">
        <f>IFERROR(INT(Tabla1[[#This Row],[CANTIDAD UND FARMACEUTICAS]]/(VLOOKUP(Tabla1[[#This Row],[MEDICAMENTO]],TAB_REF!$K$3:$L$27,2,0))),"")</f>
        <v>60</v>
      </c>
      <c r="Z536" s="10" t="str">
        <f>IFERROR(VLOOKUP(Tabla1[[#This Row],[MEDICAMENTO]],TAB_REF!$B$3:$F$27,2,0), "")</f>
        <v xml:space="preserve">Meperidina HCl </v>
      </c>
      <c r="AA536" s="10" t="str">
        <f>IFERROR(VLOOKUP(Tabla1[[#This Row],[MEDICAMENTO]],TAB_REF!$B$3:$F$27,3,0), "")</f>
        <v xml:space="preserve">100 mg/2mL </v>
      </c>
      <c r="AB536" s="10" t="str">
        <f>IFERROR(VLOOKUP(Tabla1[[#This Row],[MEDICAMENTO]],TAB_REF!$B$3:$F$27,4,0), "")</f>
        <v>Solución Inyectable</v>
      </c>
      <c r="AC536" s="10" t="str">
        <f>IFERROR(VLOOKUP(Tabla1[[#This Row],[MEDICAMENTO]],TAB_REF!$B$3:$F$27,5,0), "")</f>
        <v>Caja 10 ampollas</v>
      </c>
      <c r="AD536" s="10" t="str">
        <f>IFERROR(VLOOKUP(Tabla1[[#This Row],[CANTIDAD UND COMERCIALES]],TAB_REF!$H$3:$I$1003,2,0)&amp;" ("&amp;Tabla1[[#This Row],[CANTIDAD UND COMERCIALES]]&amp;")"&amp;"_"&amp;Tabla1[[#This Row],[CANTIDAD]],"")</f>
        <v>Sesenta (60)_Caja 10 ampollas</v>
      </c>
    </row>
    <row r="537" spans="2:30" x14ac:dyDescent="0.25">
      <c r="B537" s="10">
        <v>207</v>
      </c>
      <c r="C537" s="10" t="s">
        <v>3170</v>
      </c>
      <c r="D537" s="10" t="s">
        <v>3171</v>
      </c>
      <c r="E537" s="10" t="s">
        <v>2905</v>
      </c>
      <c r="F537" s="10" t="s">
        <v>2164</v>
      </c>
      <c r="G537" s="21" t="s">
        <v>3172</v>
      </c>
      <c r="H537" s="10" t="s">
        <v>3062</v>
      </c>
      <c r="I537" s="10" t="s">
        <v>2113</v>
      </c>
      <c r="J537" s="10" t="s">
        <v>1442</v>
      </c>
      <c r="K537" s="10" t="s">
        <v>3167</v>
      </c>
      <c r="L537" s="11">
        <v>202124100694642</v>
      </c>
      <c r="M537" s="20">
        <v>44307</v>
      </c>
      <c r="N537" s="20" t="str">
        <f>UPPER(TEXT(Tabla1[[#This Row],[FECHA RADICADO ENTRADA]],"MMM"))</f>
        <v>ABR</v>
      </c>
      <c r="O537" s="11">
        <v>202124110717681</v>
      </c>
      <c r="P537" s="20">
        <v>44326</v>
      </c>
      <c r="Q537" s="20" t="str">
        <f>UPPER(TEXT(Tabla1[[#This Row],[FECHA RADICADO ENTRADA]],"MMM"))</f>
        <v>ABR</v>
      </c>
      <c r="R537" s="10">
        <f t="shared" si="8"/>
        <v>-19</v>
      </c>
      <c r="S537" s="10" t="s">
        <v>2145</v>
      </c>
      <c r="T537" s="10" t="s">
        <v>2167</v>
      </c>
      <c r="U537" s="10" t="s">
        <v>2164</v>
      </c>
      <c r="V537" s="20" t="s">
        <v>2164</v>
      </c>
      <c r="W537" s="10" t="s">
        <v>57</v>
      </c>
      <c r="X537" s="10">
        <v>0</v>
      </c>
      <c r="Y537" s="11">
        <f>IFERROR(INT(Tabla1[[#This Row],[CANTIDAD UND FARMACEUTICAS]]/(VLOOKUP(Tabla1[[#This Row],[MEDICAMENTO]],TAB_REF!$K$3:$L$27,2,0))),"")</f>
        <v>0</v>
      </c>
      <c r="Z537" s="10" t="str">
        <f>IFERROR(VLOOKUP(Tabla1[[#This Row],[MEDICAMENTO]],TAB_REF!$B$3:$F$27,2,0), "")</f>
        <v xml:space="preserve">Metilfenidato HCl </v>
      </c>
      <c r="AA537" s="10" t="str">
        <f>IFERROR(VLOOKUP(Tabla1[[#This Row],[MEDICAMENTO]],TAB_REF!$B$3:$F$27,3,0), "")</f>
        <v xml:space="preserve">36 mg </v>
      </c>
      <c r="AB537" s="10" t="str">
        <f>IFERROR(VLOOKUP(Tabla1[[#This Row],[MEDICAMENTO]],TAB_REF!$B$3:$F$27,4,0), "")</f>
        <v>Tabletas de Liberación Prolongada</v>
      </c>
      <c r="AC537" s="10" t="str">
        <f>IFERROR(VLOOKUP(Tabla1[[#This Row],[MEDICAMENTO]],TAB_REF!$B$3:$F$27,5,0), "")</f>
        <v>Frasco x 30 unidades</v>
      </c>
      <c r="AD537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538" spans="2:30" x14ac:dyDescent="0.25">
      <c r="B538" s="10">
        <v>208</v>
      </c>
      <c r="C538" s="10" t="s">
        <v>2202</v>
      </c>
      <c r="D538" s="10" t="s">
        <v>2203</v>
      </c>
      <c r="E538" s="10" t="s">
        <v>2204</v>
      </c>
      <c r="F538" s="10" t="s">
        <v>2205</v>
      </c>
      <c r="G538" s="10" t="s">
        <v>2206</v>
      </c>
      <c r="H538" s="10" t="s">
        <v>2207</v>
      </c>
      <c r="I538" s="10" t="s">
        <v>2129</v>
      </c>
      <c r="J538" s="10" t="s">
        <v>2011</v>
      </c>
      <c r="K538" s="10" t="s">
        <v>3173</v>
      </c>
      <c r="L538" s="11">
        <v>202124100697712</v>
      </c>
      <c r="M538" s="20">
        <v>44308</v>
      </c>
      <c r="N538" s="20" t="str">
        <f>UPPER(TEXT(Tabla1[[#This Row],[FECHA RADICADO ENTRADA]],"MMM"))</f>
        <v>ABR</v>
      </c>
      <c r="O538" s="11">
        <v>202124110716571</v>
      </c>
      <c r="P538" s="20">
        <v>44326</v>
      </c>
      <c r="Q538" s="20" t="str">
        <f>UPPER(TEXT(Tabla1[[#This Row],[FECHA RADICADO ENTRADA]],"MMM"))</f>
        <v>ABR</v>
      </c>
      <c r="R538" s="10">
        <f t="shared" si="8"/>
        <v>-18</v>
      </c>
      <c r="S538" s="10" t="s">
        <v>3180</v>
      </c>
      <c r="T538" s="10" t="s">
        <v>3232</v>
      </c>
      <c r="U538" s="10" t="s">
        <v>2208</v>
      </c>
      <c r="V538" s="20">
        <v>43592</v>
      </c>
      <c r="W538" s="10" t="s">
        <v>37</v>
      </c>
      <c r="X538" s="10">
        <v>0</v>
      </c>
      <c r="Y538" s="11">
        <f>IFERROR(INT(Tabla1[[#This Row],[CANTIDAD UND FARMACEUTICAS]]/(VLOOKUP(Tabla1[[#This Row],[MEDICAMENTO]],TAB_REF!$K$3:$L$27,2,0))),"")</f>
        <v>0</v>
      </c>
      <c r="Z538" s="10" t="str">
        <f>IFERROR(VLOOKUP(Tabla1[[#This Row],[MEDICAMENTO]],TAB_REF!$B$3:$F$27,2,0), "")</f>
        <v xml:space="preserve">Hidromorfona HCl </v>
      </c>
      <c r="AA538" s="10" t="str">
        <f>IFERROR(VLOOKUP(Tabla1[[#This Row],[MEDICAMENTO]],TAB_REF!$B$3:$F$27,3,0), "")</f>
        <v xml:space="preserve">2 mg/mL </v>
      </c>
      <c r="AB538" s="10" t="str">
        <f>IFERROR(VLOOKUP(Tabla1[[#This Row],[MEDICAMENTO]],TAB_REF!$B$3:$F$27,4,0), "")</f>
        <v>Solución Inyectable</v>
      </c>
      <c r="AC538" s="10" t="str">
        <f>IFERROR(VLOOKUP(Tabla1[[#This Row],[MEDICAMENTO]],TAB_REF!$B$3:$F$27,5,0), "")</f>
        <v>Caja x 10 unidades</v>
      </c>
      <c r="AD538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539" spans="2:30" x14ac:dyDescent="0.25">
      <c r="B539" s="10">
        <v>208</v>
      </c>
      <c r="C539" s="10" t="s">
        <v>2202</v>
      </c>
      <c r="D539" s="10" t="s">
        <v>2203</v>
      </c>
      <c r="E539" s="10" t="s">
        <v>2204</v>
      </c>
      <c r="F539" s="10" t="s">
        <v>2205</v>
      </c>
      <c r="G539" s="10" t="s">
        <v>2206</v>
      </c>
      <c r="H539" s="10" t="s">
        <v>2207</v>
      </c>
      <c r="I539" s="10" t="s">
        <v>2129</v>
      </c>
      <c r="J539" s="10" t="s">
        <v>2011</v>
      </c>
      <c r="K539" s="10" t="s">
        <v>3173</v>
      </c>
      <c r="L539" s="11">
        <v>202124100697712</v>
      </c>
      <c r="M539" s="20">
        <v>44308</v>
      </c>
      <c r="N539" s="20" t="str">
        <f>UPPER(TEXT(Tabla1[[#This Row],[FECHA RADICADO ENTRADA]],"MMM"))</f>
        <v>ABR</v>
      </c>
      <c r="O539" s="11">
        <v>202124110716571</v>
      </c>
      <c r="P539" s="20">
        <v>44326</v>
      </c>
      <c r="Q539" s="20" t="str">
        <f>UPPER(TEXT(Tabla1[[#This Row],[FECHA RADICADO ENTRADA]],"MMM"))</f>
        <v>ABR</v>
      </c>
      <c r="R539" s="10">
        <f t="shared" si="8"/>
        <v>-18</v>
      </c>
      <c r="S539" s="10" t="s">
        <v>3180</v>
      </c>
      <c r="T539" s="10" t="s">
        <v>3232</v>
      </c>
      <c r="U539" s="10" t="s">
        <v>2208</v>
      </c>
      <c r="V539" s="20">
        <v>43592</v>
      </c>
      <c r="W539" s="10" t="s">
        <v>60</v>
      </c>
      <c r="X539" s="10">
        <v>0</v>
      </c>
      <c r="Y539" s="11">
        <f>IFERROR(INT(Tabla1[[#This Row],[CANTIDAD UND FARMACEUTICAS]]/(VLOOKUP(Tabla1[[#This Row],[MEDICAMENTO]],TAB_REF!$K$3:$L$27,2,0))),"")</f>
        <v>0</v>
      </c>
      <c r="Z539" s="10" t="str">
        <f>IFERROR(VLOOKUP(Tabla1[[#This Row],[MEDICAMENTO]],TAB_REF!$B$3:$F$27,2,0), "")</f>
        <v xml:space="preserve">Morfina HCl </v>
      </c>
      <c r="AA539" s="10" t="str">
        <f>IFERROR(VLOOKUP(Tabla1[[#This Row],[MEDICAMENTO]],TAB_REF!$B$3:$F$27,3,0), "")</f>
        <v xml:space="preserve">3%. </v>
      </c>
      <c r="AB539" s="10" t="str">
        <f>IFERROR(VLOOKUP(Tabla1[[#This Row],[MEDICAMENTO]],TAB_REF!$B$3:$F$27,4,0), "")</f>
        <v>Solución Oral</v>
      </c>
      <c r="AC539" s="10" t="str">
        <f>IFERROR(VLOOKUP(Tabla1[[#This Row],[MEDICAMENTO]],TAB_REF!$B$3:$F$27,5,0), "")</f>
        <v>Frasco x 30 mL</v>
      </c>
      <c r="AD539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540" spans="2:30" x14ac:dyDescent="0.25">
      <c r="B540" s="10">
        <v>209</v>
      </c>
      <c r="C540" s="10" t="s">
        <v>3182</v>
      </c>
      <c r="D540" s="10" t="s">
        <v>3186</v>
      </c>
      <c r="E540" s="10" t="s">
        <v>2313</v>
      </c>
      <c r="F540" s="10" t="s">
        <v>2314</v>
      </c>
      <c r="G540" s="10" t="s">
        <v>2315</v>
      </c>
      <c r="H540" s="10" t="s">
        <v>3184</v>
      </c>
      <c r="I540" s="10" t="s">
        <v>2122</v>
      </c>
      <c r="J540" s="10" t="s">
        <v>1742</v>
      </c>
      <c r="K540" s="10" t="s">
        <v>3222</v>
      </c>
      <c r="L540" s="11">
        <v>202124100742032</v>
      </c>
      <c r="M540" s="20">
        <v>44314</v>
      </c>
      <c r="N540" s="20" t="str">
        <f>UPPER(TEXT(Tabla1[[#This Row],[FECHA RADICADO ENTRADA]],"MMM"))</f>
        <v>ABR</v>
      </c>
      <c r="O540" s="11">
        <v>202124110716621</v>
      </c>
      <c r="P540" s="20">
        <v>44326</v>
      </c>
      <c r="Q540" s="20" t="str">
        <f>UPPER(TEXT(Tabla1[[#This Row],[FECHA RADICADO ENTRADA]],"MMM"))</f>
        <v>ABR</v>
      </c>
      <c r="R540" s="10">
        <f t="shared" si="8"/>
        <v>-12</v>
      </c>
      <c r="S540" s="10" t="s">
        <v>2154</v>
      </c>
      <c r="T540" s="10" t="s">
        <v>3223</v>
      </c>
      <c r="U540" s="10" t="s">
        <v>2317</v>
      </c>
      <c r="V540" s="20">
        <v>43081</v>
      </c>
      <c r="W540" s="10" t="s">
        <v>32</v>
      </c>
      <c r="X540" s="10">
        <v>18000</v>
      </c>
      <c r="Y540" s="11">
        <f>IFERROR(INT(Tabla1[[#This Row],[CANTIDAD UND FARMACEUTICAS]]/(VLOOKUP(Tabla1[[#This Row],[MEDICAMENTO]],TAB_REF!$K$3:$L$27,2,0))),"")</f>
        <v>600</v>
      </c>
      <c r="Z540" s="10" t="str">
        <f>IFERROR(VLOOKUP(Tabla1[[#This Row],[MEDICAMENTO]],TAB_REF!$B$3:$F$27,2,0), "")</f>
        <v xml:space="preserve">Fenobarbital </v>
      </c>
      <c r="AA540" s="10" t="str">
        <f>IFERROR(VLOOKUP(Tabla1[[#This Row],[MEDICAMENTO]],TAB_REF!$B$3:$F$27,3,0), "")</f>
        <v xml:space="preserve">100 mg </v>
      </c>
      <c r="AB540" s="10" t="str">
        <f>IFERROR(VLOOKUP(Tabla1[[#This Row],[MEDICAMENTO]],TAB_REF!$B$3:$F$27,4,0), "")</f>
        <v>Tabletas</v>
      </c>
      <c r="AC540" s="10" t="str">
        <f>IFERROR(VLOOKUP(Tabla1[[#This Row],[MEDICAMENTO]],TAB_REF!$B$3:$F$27,5,0), "")</f>
        <v>Caja x 30 unidades</v>
      </c>
      <c r="AD540" s="10" t="str">
        <f>IFERROR(VLOOKUP(Tabla1[[#This Row],[CANTIDAD UND COMERCIALES]],TAB_REF!$H$3:$I$1003,2,0)&amp;" ("&amp;Tabla1[[#This Row],[CANTIDAD UND COMERCIALES]]&amp;")"&amp;"_"&amp;Tabla1[[#This Row],[CANTIDAD]],"")</f>
        <v>Seiscientos (600)_Caja x 30 unidades</v>
      </c>
    </row>
    <row r="541" spans="2:30" x14ac:dyDescent="0.25">
      <c r="B541" s="10">
        <v>209</v>
      </c>
      <c r="C541" s="10" t="s">
        <v>3182</v>
      </c>
      <c r="D541" s="10" t="s">
        <v>3186</v>
      </c>
      <c r="E541" s="10" t="s">
        <v>2313</v>
      </c>
      <c r="F541" s="10" t="s">
        <v>2314</v>
      </c>
      <c r="G541" s="10" t="s">
        <v>2315</v>
      </c>
      <c r="H541" s="10" t="s">
        <v>3184</v>
      </c>
      <c r="I541" s="10" t="s">
        <v>2122</v>
      </c>
      <c r="J541" s="10" t="s">
        <v>1742</v>
      </c>
      <c r="K541" s="10" t="s">
        <v>3222</v>
      </c>
      <c r="L541" s="11">
        <v>202124100742032</v>
      </c>
      <c r="M541" s="20">
        <v>44314</v>
      </c>
      <c r="N541" s="20" t="str">
        <f>UPPER(TEXT(Tabla1[[#This Row],[FECHA RADICADO ENTRADA]],"MMM"))</f>
        <v>ABR</v>
      </c>
      <c r="O541" s="11">
        <v>202124110716621</v>
      </c>
      <c r="P541" s="20">
        <v>44326</v>
      </c>
      <c r="Q541" s="20" t="str">
        <f>UPPER(TEXT(Tabla1[[#This Row],[FECHA RADICADO ENTRADA]],"MMM"))</f>
        <v>ABR</v>
      </c>
      <c r="R541" s="10">
        <f t="shared" si="8"/>
        <v>-12</v>
      </c>
      <c r="S541" s="10" t="s">
        <v>2154</v>
      </c>
      <c r="T541" s="10" t="s">
        <v>3223</v>
      </c>
      <c r="U541" s="10" t="s">
        <v>2317</v>
      </c>
      <c r="V541" s="20">
        <v>43081</v>
      </c>
      <c r="W541" s="10" t="s">
        <v>60</v>
      </c>
      <c r="X541" s="10">
        <v>30</v>
      </c>
      <c r="Y541" s="11">
        <f>IFERROR(INT(Tabla1[[#This Row],[CANTIDAD UND FARMACEUTICAS]]/(VLOOKUP(Tabla1[[#This Row],[MEDICAMENTO]],TAB_REF!$K$3:$L$27,2,0))),"")</f>
        <v>30</v>
      </c>
      <c r="Z541" s="10" t="str">
        <f>IFERROR(VLOOKUP(Tabla1[[#This Row],[MEDICAMENTO]],TAB_REF!$B$3:$F$27,2,0), "")</f>
        <v xml:space="preserve">Morfina HCl </v>
      </c>
      <c r="AA541" s="10" t="str">
        <f>IFERROR(VLOOKUP(Tabla1[[#This Row],[MEDICAMENTO]],TAB_REF!$B$3:$F$27,3,0), "")</f>
        <v xml:space="preserve">3%. </v>
      </c>
      <c r="AB541" s="10" t="str">
        <f>IFERROR(VLOOKUP(Tabla1[[#This Row],[MEDICAMENTO]],TAB_REF!$B$3:$F$27,4,0), "")</f>
        <v>Solución Oral</v>
      </c>
      <c r="AC541" s="10" t="str">
        <f>IFERROR(VLOOKUP(Tabla1[[#This Row],[MEDICAMENTO]],TAB_REF!$B$3:$F$27,5,0), "")</f>
        <v>Frasco x 30 mL</v>
      </c>
      <c r="AD541" s="10" t="str">
        <f>IFERROR(VLOOKUP(Tabla1[[#This Row],[CANTIDAD UND COMERCIALES]],TAB_REF!$H$3:$I$1003,2,0)&amp;" ("&amp;Tabla1[[#This Row],[CANTIDAD UND COMERCIALES]]&amp;")"&amp;"_"&amp;Tabla1[[#This Row],[CANTIDAD]],"")</f>
        <v>Treinta (30)_Frasco x 30 mL</v>
      </c>
    </row>
    <row r="542" spans="2:30" x14ac:dyDescent="0.25">
      <c r="B542" s="10">
        <v>210</v>
      </c>
      <c r="C542" s="10" t="s">
        <v>3174</v>
      </c>
      <c r="D542" s="10" t="s">
        <v>3076</v>
      </c>
      <c r="E542" s="10" t="s">
        <v>2356</v>
      </c>
      <c r="F542" s="10" t="s">
        <v>2357</v>
      </c>
      <c r="G542" s="21" t="s">
        <v>2358</v>
      </c>
      <c r="H542" s="10" t="s">
        <v>2359</v>
      </c>
      <c r="I542" s="10" t="s">
        <v>2122</v>
      </c>
      <c r="J542" s="10" t="s">
        <v>1742</v>
      </c>
      <c r="K542" s="10" t="s">
        <v>3175</v>
      </c>
      <c r="L542" s="11">
        <v>202124100699342</v>
      </c>
      <c r="M542" s="20">
        <v>44308</v>
      </c>
      <c r="N542" s="20" t="str">
        <f>UPPER(TEXT(Tabla1[[#This Row],[FECHA RADICADO ENTRADA]],"MMM"))</f>
        <v>ABR</v>
      </c>
      <c r="O542" s="11">
        <v>202124110716601</v>
      </c>
      <c r="P542" s="20">
        <v>44326</v>
      </c>
      <c r="Q542" s="20" t="str">
        <f>UPPER(TEXT(Tabla1[[#This Row],[FECHA RADICADO ENTRADA]],"MMM"))</f>
        <v>ABR</v>
      </c>
      <c r="R542" s="10">
        <f t="shared" si="8"/>
        <v>-18</v>
      </c>
      <c r="S542" s="10" t="s">
        <v>2154</v>
      </c>
      <c r="U542" s="10" t="s">
        <v>2361</v>
      </c>
      <c r="V542" s="20">
        <v>43376</v>
      </c>
      <c r="W542" s="10" t="s">
        <v>32</v>
      </c>
      <c r="X542" s="10">
        <v>2700</v>
      </c>
      <c r="Y542" s="11">
        <f>IFERROR(INT(Tabla1[[#This Row],[CANTIDAD UND FARMACEUTICAS]]/(VLOOKUP(Tabla1[[#This Row],[MEDICAMENTO]],TAB_REF!$K$3:$L$27,2,0))),"")</f>
        <v>90</v>
      </c>
      <c r="Z542" s="10" t="str">
        <f>IFERROR(VLOOKUP(Tabla1[[#This Row],[MEDICAMENTO]],TAB_REF!$B$3:$F$27,2,0), "")</f>
        <v xml:space="preserve">Fenobarbital </v>
      </c>
      <c r="AA542" s="10" t="str">
        <f>IFERROR(VLOOKUP(Tabla1[[#This Row],[MEDICAMENTO]],TAB_REF!$B$3:$F$27,3,0), "")</f>
        <v xml:space="preserve">100 mg </v>
      </c>
      <c r="AB542" s="10" t="str">
        <f>IFERROR(VLOOKUP(Tabla1[[#This Row],[MEDICAMENTO]],TAB_REF!$B$3:$F$27,4,0), "")</f>
        <v>Tabletas</v>
      </c>
      <c r="AC542" s="10" t="str">
        <f>IFERROR(VLOOKUP(Tabla1[[#This Row],[MEDICAMENTO]],TAB_REF!$B$3:$F$27,5,0), "")</f>
        <v>Caja x 30 unidades</v>
      </c>
      <c r="AD542" s="10" t="str">
        <f>IFERROR(VLOOKUP(Tabla1[[#This Row],[CANTIDAD UND COMERCIALES]],TAB_REF!$H$3:$I$1003,2,0)&amp;" ("&amp;Tabla1[[#This Row],[CANTIDAD UND COMERCIALES]]&amp;")"&amp;"_"&amp;Tabla1[[#This Row],[CANTIDAD]],"")</f>
        <v>Noventa (90)_Caja x 30 unidades</v>
      </c>
    </row>
    <row r="543" spans="2:30" x14ac:dyDescent="0.25">
      <c r="B543" s="10">
        <v>210</v>
      </c>
      <c r="C543" s="10" t="s">
        <v>3174</v>
      </c>
      <c r="D543" s="10" t="s">
        <v>3076</v>
      </c>
      <c r="E543" s="10" t="s">
        <v>2356</v>
      </c>
      <c r="F543" s="10" t="s">
        <v>2357</v>
      </c>
      <c r="G543" s="21" t="s">
        <v>2358</v>
      </c>
      <c r="H543" s="10" t="s">
        <v>2359</v>
      </c>
      <c r="I543" s="10" t="s">
        <v>2122</v>
      </c>
      <c r="J543" s="10" t="s">
        <v>1742</v>
      </c>
      <c r="K543" s="10" t="s">
        <v>3175</v>
      </c>
      <c r="L543" s="11">
        <v>202124100699342</v>
      </c>
      <c r="M543" s="20">
        <v>44308</v>
      </c>
      <c r="N543" s="20" t="str">
        <f>UPPER(TEXT(Tabla1[[#This Row],[FECHA RADICADO ENTRADA]],"MMM"))</f>
        <v>ABR</v>
      </c>
      <c r="O543" s="11">
        <v>202124110716601</v>
      </c>
      <c r="P543" s="20">
        <v>44326</v>
      </c>
      <c r="Q543" s="20" t="str">
        <f>UPPER(TEXT(Tabla1[[#This Row],[FECHA RADICADO ENTRADA]],"MMM"))</f>
        <v>ABR</v>
      </c>
      <c r="R543" s="10">
        <f t="shared" si="8"/>
        <v>-18</v>
      </c>
      <c r="S543" s="10" t="s">
        <v>2154</v>
      </c>
      <c r="U543" s="10" t="s">
        <v>2361</v>
      </c>
      <c r="V543" s="20">
        <v>43376</v>
      </c>
      <c r="W543" s="10" t="s">
        <v>60</v>
      </c>
      <c r="X543" s="10">
        <v>10</v>
      </c>
      <c r="Y543" s="11">
        <f>IFERROR(INT(Tabla1[[#This Row],[CANTIDAD UND FARMACEUTICAS]]/(VLOOKUP(Tabla1[[#This Row],[MEDICAMENTO]],TAB_REF!$K$3:$L$27,2,0))),"")</f>
        <v>10</v>
      </c>
      <c r="Z543" s="10" t="str">
        <f>IFERROR(VLOOKUP(Tabla1[[#This Row],[MEDICAMENTO]],TAB_REF!$B$3:$F$27,2,0), "")</f>
        <v xml:space="preserve">Morfina HCl </v>
      </c>
      <c r="AA543" s="10" t="str">
        <f>IFERROR(VLOOKUP(Tabla1[[#This Row],[MEDICAMENTO]],TAB_REF!$B$3:$F$27,3,0), "")</f>
        <v xml:space="preserve">3%. </v>
      </c>
      <c r="AB543" s="10" t="str">
        <f>IFERROR(VLOOKUP(Tabla1[[#This Row],[MEDICAMENTO]],TAB_REF!$B$3:$F$27,4,0), "")</f>
        <v>Solución Oral</v>
      </c>
      <c r="AC543" s="10" t="str">
        <f>IFERROR(VLOOKUP(Tabla1[[#This Row],[MEDICAMENTO]],TAB_REF!$B$3:$F$27,5,0), "")</f>
        <v>Frasco x 30 mL</v>
      </c>
      <c r="AD543" s="10" t="str">
        <f>IFERROR(VLOOKUP(Tabla1[[#This Row],[CANTIDAD UND COMERCIALES]],TAB_REF!$H$3:$I$1003,2,0)&amp;" ("&amp;Tabla1[[#This Row],[CANTIDAD UND COMERCIALES]]&amp;")"&amp;"_"&amp;Tabla1[[#This Row],[CANTIDAD]],"")</f>
        <v>Diez (10)_Frasco x 30 mL</v>
      </c>
    </row>
    <row r="544" spans="2:30" x14ac:dyDescent="0.25">
      <c r="B544" s="10">
        <v>211</v>
      </c>
      <c r="C544" s="10" t="s">
        <v>3224</v>
      </c>
      <c r="D544" s="10" t="s">
        <v>2162</v>
      </c>
      <c r="E544" s="10" t="s">
        <v>3225</v>
      </c>
      <c r="F544" s="10" t="s">
        <v>3226</v>
      </c>
      <c r="G544" s="10" t="s">
        <v>3227</v>
      </c>
      <c r="H544" s="10" t="s">
        <v>3228</v>
      </c>
      <c r="I544" s="10" t="s">
        <v>2121</v>
      </c>
      <c r="K544" s="10" t="s">
        <v>3229</v>
      </c>
      <c r="L544" s="11">
        <v>202124100741182</v>
      </c>
      <c r="M544" s="20">
        <v>44314</v>
      </c>
      <c r="N544" s="20" t="str">
        <f>UPPER(TEXT(Tabla1[[#This Row],[FECHA RADICADO ENTRADA]],"MMM"))</f>
        <v>ABR</v>
      </c>
      <c r="O544" s="11">
        <v>202124110717711</v>
      </c>
      <c r="P544" s="20">
        <v>44326</v>
      </c>
      <c r="Q544" s="20" t="str">
        <f>UPPER(TEXT(Tabla1[[#This Row],[FECHA RADICADO ENTRADA]],"MMM"))</f>
        <v>ABR</v>
      </c>
      <c r="R544" s="10">
        <f t="shared" si="8"/>
        <v>-12</v>
      </c>
      <c r="S544" s="10" t="s">
        <v>2145</v>
      </c>
      <c r="T544" s="10" t="s">
        <v>3255</v>
      </c>
      <c r="U544" s="10" t="s">
        <v>3230</v>
      </c>
      <c r="V544" s="20">
        <v>44210</v>
      </c>
      <c r="W544" s="10" t="s">
        <v>32</v>
      </c>
      <c r="X544" s="10">
        <v>0</v>
      </c>
      <c r="Y544" s="11">
        <f>IFERROR(INT(Tabla1[[#This Row],[CANTIDAD UND FARMACEUTICAS]]/(VLOOKUP(Tabla1[[#This Row],[MEDICAMENTO]],TAB_REF!$K$3:$L$27,2,0))),"")</f>
        <v>0</v>
      </c>
      <c r="Z544" s="10" t="str">
        <f>IFERROR(VLOOKUP(Tabla1[[#This Row],[MEDICAMENTO]],TAB_REF!$B$3:$F$27,2,0), "")</f>
        <v xml:space="preserve">Fenobarbital </v>
      </c>
      <c r="AA544" s="10" t="str">
        <f>IFERROR(VLOOKUP(Tabla1[[#This Row],[MEDICAMENTO]],TAB_REF!$B$3:$F$27,3,0), "")</f>
        <v xml:space="preserve">100 mg </v>
      </c>
      <c r="AB544" s="10" t="str">
        <f>IFERROR(VLOOKUP(Tabla1[[#This Row],[MEDICAMENTO]],TAB_REF!$B$3:$F$27,4,0), "")</f>
        <v>Tabletas</v>
      </c>
      <c r="AC544" s="10" t="str">
        <f>IFERROR(VLOOKUP(Tabla1[[#This Row],[MEDICAMENTO]],TAB_REF!$B$3:$F$27,5,0), "")</f>
        <v>Caja x 30 unidades</v>
      </c>
      <c r="AD544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545" spans="2:30" x14ac:dyDescent="0.25">
      <c r="B545" s="10">
        <v>211</v>
      </c>
      <c r="C545" s="10" t="s">
        <v>3224</v>
      </c>
      <c r="D545" s="10" t="s">
        <v>2162</v>
      </c>
      <c r="E545" s="10" t="s">
        <v>3225</v>
      </c>
      <c r="F545" s="10" t="s">
        <v>3226</v>
      </c>
      <c r="G545" s="10" t="s">
        <v>3227</v>
      </c>
      <c r="H545" s="10" t="s">
        <v>3228</v>
      </c>
      <c r="I545" s="10" t="s">
        <v>2121</v>
      </c>
      <c r="K545" s="10" t="s">
        <v>3229</v>
      </c>
      <c r="L545" s="11">
        <v>202124100741182</v>
      </c>
      <c r="M545" s="20">
        <v>44314</v>
      </c>
      <c r="N545" s="20" t="str">
        <f>UPPER(TEXT(Tabla1[[#This Row],[FECHA RADICADO ENTRADA]],"MMM"))</f>
        <v>ABR</v>
      </c>
      <c r="O545" s="11">
        <v>202124110717711</v>
      </c>
      <c r="P545" s="20">
        <v>44326</v>
      </c>
      <c r="Q545" s="20" t="str">
        <f>UPPER(TEXT(Tabla1[[#This Row],[FECHA RADICADO ENTRADA]],"MMM"))</f>
        <v>ABR</v>
      </c>
      <c r="R545" s="10">
        <f t="shared" si="8"/>
        <v>-12</v>
      </c>
      <c r="S545" s="10" t="s">
        <v>2145</v>
      </c>
      <c r="T545" s="10" t="s">
        <v>3255</v>
      </c>
      <c r="U545" s="10" t="s">
        <v>3230</v>
      </c>
      <c r="V545" s="20">
        <v>44210</v>
      </c>
      <c r="W545" s="10" t="s">
        <v>28</v>
      </c>
      <c r="X545" s="10">
        <v>0</v>
      </c>
      <c r="Y545" s="11">
        <f>IFERROR(INT(Tabla1[[#This Row],[CANTIDAD UND FARMACEUTICAS]]/(VLOOKUP(Tabla1[[#This Row],[MEDICAMENTO]],TAB_REF!$K$3:$L$27,2,0))),"")</f>
        <v>0</v>
      </c>
      <c r="Z545" s="10" t="str">
        <f>IFERROR(VLOOKUP(Tabla1[[#This Row],[MEDICAMENTO]],TAB_REF!$B$3:$F$27,2,0), "")</f>
        <v xml:space="preserve">Fenobarbital </v>
      </c>
      <c r="AA545" s="10" t="str">
        <f>IFERROR(VLOOKUP(Tabla1[[#This Row],[MEDICAMENTO]],TAB_REF!$B$3:$F$27,3,0), "")</f>
        <v xml:space="preserve">0,4%. </v>
      </c>
      <c r="AB545" s="10" t="str">
        <f>IFERROR(VLOOKUP(Tabla1[[#This Row],[MEDICAMENTO]],TAB_REF!$B$3:$F$27,4,0), "")</f>
        <v>Solución Oral</v>
      </c>
      <c r="AC545" s="10" t="str">
        <f>IFERROR(VLOOKUP(Tabla1[[#This Row],[MEDICAMENTO]],TAB_REF!$B$3:$F$27,5,0), "")</f>
        <v>Frasco x 120 mL</v>
      </c>
      <c r="AD545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546" spans="2:30" x14ac:dyDescent="0.25">
      <c r="B546" s="10">
        <v>211</v>
      </c>
      <c r="C546" s="10" t="s">
        <v>3224</v>
      </c>
      <c r="D546" s="10" t="s">
        <v>2162</v>
      </c>
      <c r="E546" s="10" t="s">
        <v>3225</v>
      </c>
      <c r="F546" s="10" t="s">
        <v>3226</v>
      </c>
      <c r="G546" s="10" t="s">
        <v>3227</v>
      </c>
      <c r="H546" s="10" t="s">
        <v>3228</v>
      </c>
      <c r="I546" s="10" t="s">
        <v>2121</v>
      </c>
      <c r="K546" s="10" t="s">
        <v>3229</v>
      </c>
      <c r="L546" s="11">
        <v>202124100741182</v>
      </c>
      <c r="M546" s="20">
        <v>44314</v>
      </c>
      <c r="N546" s="20" t="str">
        <f>UPPER(TEXT(Tabla1[[#This Row],[FECHA RADICADO ENTRADA]],"MMM"))</f>
        <v>ABR</v>
      </c>
      <c r="O546" s="11">
        <v>202124110717711</v>
      </c>
      <c r="P546" s="20">
        <v>44326</v>
      </c>
      <c r="Q546" s="20" t="str">
        <f>UPPER(TEXT(Tabla1[[#This Row],[FECHA RADICADO ENTRADA]],"MMM"))</f>
        <v>ABR</v>
      </c>
      <c r="R546" s="10">
        <f t="shared" si="8"/>
        <v>-12</v>
      </c>
      <c r="S546" s="10" t="s">
        <v>2145</v>
      </c>
      <c r="T546" s="10" t="s">
        <v>3255</v>
      </c>
      <c r="U546" s="10" t="s">
        <v>3230</v>
      </c>
      <c r="V546" s="20">
        <v>44210</v>
      </c>
      <c r="W546" s="10" t="s">
        <v>63</v>
      </c>
      <c r="X546" s="10">
        <v>0</v>
      </c>
      <c r="Y546" s="11">
        <f>IFERROR(INT(Tabla1[[#This Row],[CANTIDAD UND FARMACEUTICAS]]/(VLOOKUP(Tabla1[[#This Row],[MEDICAMENTO]],TAB_REF!$K$3:$L$27,2,0))),"")</f>
        <v>0</v>
      </c>
      <c r="Z546" s="10" t="str">
        <f>IFERROR(VLOOKUP(Tabla1[[#This Row],[MEDICAMENTO]],TAB_REF!$B$3:$F$27,2,0), "")</f>
        <v xml:space="preserve">Morfina HCl </v>
      </c>
      <c r="AA546" s="10" t="str">
        <f>IFERROR(VLOOKUP(Tabla1[[#This Row],[MEDICAMENTO]],TAB_REF!$B$3:$F$27,3,0), "")</f>
        <v xml:space="preserve">10 mg/mL </v>
      </c>
      <c r="AB546" s="10" t="str">
        <f>IFERROR(VLOOKUP(Tabla1[[#This Row],[MEDICAMENTO]],TAB_REF!$B$3:$F$27,4,0), "")</f>
        <v>Solución Inyectable</v>
      </c>
      <c r="AC546" s="10" t="str">
        <f>IFERROR(VLOOKUP(Tabla1[[#This Row],[MEDICAMENTO]],TAB_REF!$B$3:$F$27,5,0), "")</f>
        <v>Caja x 10 unidades</v>
      </c>
      <c r="AD546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547" spans="2:30" x14ac:dyDescent="0.25">
      <c r="B547" s="10">
        <v>211</v>
      </c>
      <c r="C547" s="10" t="s">
        <v>3224</v>
      </c>
      <c r="D547" s="10" t="s">
        <v>2162</v>
      </c>
      <c r="E547" s="10" t="s">
        <v>3225</v>
      </c>
      <c r="F547" s="10" t="s">
        <v>3226</v>
      </c>
      <c r="G547" s="10" t="s">
        <v>3227</v>
      </c>
      <c r="H547" s="10" t="s">
        <v>3228</v>
      </c>
      <c r="I547" s="10" t="s">
        <v>2121</v>
      </c>
      <c r="K547" s="10" t="s">
        <v>3229</v>
      </c>
      <c r="L547" s="11">
        <v>202124100741182</v>
      </c>
      <c r="M547" s="20">
        <v>44314</v>
      </c>
      <c r="N547" s="20" t="str">
        <f>UPPER(TEXT(Tabla1[[#This Row],[FECHA RADICADO ENTRADA]],"MMM"))</f>
        <v>ABR</v>
      </c>
      <c r="O547" s="11">
        <v>202124110717711</v>
      </c>
      <c r="P547" s="20">
        <v>44326</v>
      </c>
      <c r="Q547" s="20" t="str">
        <f>UPPER(TEXT(Tabla1[[#This Row],[FECHA RADICADO ENTRADA]],"MMM"))</f>
        <v>ABR</v>
      </c>
      <c r="R547" s="10">
        <f t="shared" si="8"/>
        <v>-12</v>
      </c>
      <c r="S547" s="10" t="s">
        <v>2145</v>
      </c>
      <c r="T547" s="10" t="s">
        <v>3255</v>
      </c>
      <c r="U547" s="10" t="s">
        <v>3230</v>
      </c>
      <c r="V547" s="20">
        <v>44210</v>
      </c>
      <c r="W547" s="10" t="s">
        <v>60</v>
      </c>
      <c r="X547" s="10">
        <v>0</v>
      </c>
      <c r="Y547" s="11">
        <f>IFERROR(INT(Tabla1[[#This Row],[CANTIDAD UND FARMACEUTICAS]]/(VLOOKUP(Tabla1[[#This Row],[MEDICAMENTO]],TAB_REF!$K$3:$L$27,2,0))),"")</f>
        <v>0</v>
      </c>
      <c r="Z547" s="10" t="str">
        <f>IFERROR(VLOOKUP(Tabla1[[#This Row],[MEDICAMENTO]],TAB_REF!$B$3:$F$27,2,0), "")</f>
        <v xml:space="preserve">Morfina HCl </v>
      </c>
      <c r="AA547" s="10" t="str">
        <f>IFERROR(VLOOKUP(Tabla1[[#This Row],[MEDICAMENTO]],TAB_REF!$B$3:$F$27,3,0), "")</f>
        <v xml:space="preserve">3%. </v>
      </c>
      <c r="AB547" s="10" t="str">
        <f>IFERROR(VLOOKUP(Tabla1[[#This Row],[MEDICAMENTO]],TAB_REF!$B$3:$F$27,4,0), "")</f>
        <v>Solución Oral</v>
      </c>
      <c r="AC547" s="10" t="str">
        <f>IFERROR(VLOOKUP(Tabla1[[#This Row],[MEDICAMENTO]],TAB_REF!$B$3:$F$27,5,0), "")</f>
        <v>Frasco x 30 mL</v>
      </c>
      <c r="AD547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548" spans="2:30" x14ac:dyDescent="0.25">
      <c r="B548" s="10">
        <v>211</v>
      </c>
      <c r="C548" s="10" t="s">
        <v>3224</v>
      </c>
      <c r="D548" s="10" t="s">
        <v>2162</v>
      </c>
      <c r="E548" s="10" t="s">
        <v>3225</v>
      </c>
      <c r="F548" s="10" t="s">
        <v>3226</v>
      </c>
      <c r="G548" s="10" t="s">
        <v>3227</v>
      </c>
      <c r="H548" s="10" t="s">
        <v>3228</v>
      </c>
      <c r="I548" s="10" t="s">
        <v>2121</v>
      </c>
      <c r="K548" s="10" t="s">
        <v>3229</v>
      </c>
      <c r="L548" s="11">
        <v>202124100741182</v>
      </c>
      <c r="M548" s="20">
        <v>44314</v>
      </c>
      <c r="N548" s="20" t="str">
        <f>UPPER(TEXT(Tabla1[[#This Row],[FECHA RADICADO ENTRADA]],"MMM"))</f>
        <v>ABR</v>
      </c>
      <c r="O548" s="11">
        <v>202124110717711</v>
      </c>
      <c r="P548" s="20">
        <v>44326</v>
      </c>
      <c r="Q548" s="20" t="str">
        <f>UPPER(TEXT(Tabla1[[#This Row],[FECHA RADICADO ENTRADA]],"MMM"))</f>
        <v>ABR</v>
      </c>
      <c r="R548" s="10">
        <f t="shared" si="8"/>
        <v>-12</v>
      </c>
      <c r="S548" s="10" t="s">
        <v>2145</v>
      </c>
      <c r="T548" s="10" t="s">
        <v>3255</v>
      </c>
      <c r="U548" s="10" t="s">
        <v>3230</v>
      </c>
      <c r="V548" s="20">
        <v>44210</v>
      </c>
      <c r="W548" s="10" t="s">
        <v>41</v>
      </c>
      <c r="X548" s="10">
        <v>0</v>
      </c>
      <c r="Y548" s="11">
        <f>IFERROR(INT(Tabla1[[#This Row],[CANTIDAD UND FARMACEUTICAS]]/(VLOOKUP(Tabla1[[#This Row],[MEDICAMENTO]],TAB_REF!$K$3:$L$27,2,0))),"")</f>
        <v>0</v>
      </c>
      <c r="Z548" s="10" t="str">
        <f>IFERROR(VLOOKUP(Tabla1[[#This Row],[MEDICAMENTO]],TAB_REF!$B$3:$F$27,2,0), "")</f>
        <v xml:space="preserve">Meperidina HCl </v>
      </c>
      <c r="AA548" s="10" t="str">
        <f>IFERROR(VLOOKUP(Tabla1[[#This Row],[MEDICAMENTO]],TAB_REF!$B$3:$F$27,3,0), "")</f>
        <v xml:space="preserve">100 mg/2mL </v>
      </c>
      <c r="AB548" s="10" t="str">
        <f>IFERROR(VLOOKUP(Tabla1[[#This Row],[MEDICAMENTO]],TAB_REF!$B$3:$F$27,4,0), "")</f>
        <v>Solución Inyectable</v>
      </c>
      <c r="AC548" s="10" t="str">
        <f>IFERROR(VLOOKUP(Tabla1[[#This Row],[MEDICAMENTO]],TAB_REF!$B$3:$F$27,5,0), "")</f>
        <v>Caja 10 ampollas</v>
      </c>
      <c r="AD548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549" spans="2:30" x14ac:dyDescent="0.25">
      <c r="B549" s="10">
        <v>211</v>
      </c>
      <c r="C549" s="10" t="s">
        <v>3224</v>
      </c>
      <c r="D549" s="10" t="s">
        <v>2162</v>
      </c>
      <c r="E549" s="10" t="s">
        <v>3225</v>
      </c>
      <c r="F549" s="10" t="s">
        <v>3226</v>
      </c>
      <c r="G549" s="10" t="s">
        <v>3227</v>
      </c>
      <c r="H549" s="10" t="s">
        <v>3228</v>
      </c>
      <c r="I549" s="10" t="s">
        <v>2121</v>
      </c>
      <c r="K549" s="10" t="s">
        <v>3229</v>
      </c>
      <c r="L549" s="11">
        <v>202124100741182</v>
      </c>
      <c r="M549" s="20">
        <v>44314</v>
      </c>
      <c r="N549" s="20" t="str">
        <f>UPPER(TEXT(Tabla1[[#This Row],[FECHA RADICADO ENTRADA]],"MMM"))</f>
        <v>ABR</v>
      </c>
      <c r="O549" s="11">
        <v>202124110717711</v>
      </c>
      <c r="P549" s="20">
        <v>44326</v>
      </c>
      <c r="Q549" s="20" t="str">
        <f>UPPER(TEXT(Tabla1[[#This Row],[FECHA RADICADO ENTRADA]],"MMM"))</f>
        <v>ABR</v>
      </c>
      <c r="R549" s="10">
        <f t="shared" si="8"/>
        <v>-12</v>
      </c>
      <c r="S549" s="10" t="s">
        <v>2145</v>
      </c>
      <c r="T549" s="10" t="s">
        <v>3255</v>
      </c>
      <c r="U549" s="10" t="s">
        <v>3230</v>
      </c>
      <c r="V549" s="20">
        <v>44210</v>
      </c>
      <c r="W549" s="10" t="s">
        <v>38</v>
      </c>
      <c r="X549" s="10">
        <v>0</v>
      </c>
      <c r="Y549" s="11">
        <f>IFERROR(INT(Tabla1[[#This Row],[CANTIDAD UND FARMACEUTICAS]]/(VLOOKUP(Tabla1[[#This Row],[MEDICAMENTO]],TAB_REF!$K$3:$L$27,2,0))),"")</f>
        <v>0</v>
      </c>
      <c r="Z549" s="10" t="str">
        <f>IFERROR(VLOOKUP(Tabla1[[#This Row],[MEDICAMENTO]],TAB_REF!$B$3:$F$27,2,0), "")</f>
        <v xml:space="preserve">Hidromorfona HCl </v>
      </c>
      <c r="AA549" s="10" t="str">
        <f>IFERROR(VLOOKUP(Tabla1[[#This Row],[MEDICAMENTO]],TAB_REF!$B$3:$F$27,3,0), "")</f>
        <v xml:space="preserve">2,5 mg </v>
      </c>
      <c r="AB549" s="10" t="str">
        <f>IFERROR(VLOOKUP(Tabla1[[#This Row],[MEDICAMENTO]],TAB_REF!$B$3:$F$27,4,0), "")</f>
        <v>Tabletas</v>
      </c>
      <c r="AC549" s="10" t="str">
        <f>IFERROR(VLOOKUP(Tabla1[[#This Row],[MEDICAMENTO]],TAB_REF!$B$3:$F$27,5,0), "")</f>
        <v>Caja x 20 unidades</v>
      </c>
      <c r="AD549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550" spans="2:30" x14ac:dyDescent="0.25">
      <c r="B550" s="10">
        <v>212</v>
      </c>
      <c r="C550" s="10" t="s">
        <v>3233</v>
      </c>
      <c r="D550" s="10" t="s">
        <v>2162</v>
      </c>
      <c r="E550" s="10" t="s">
        <v>3234</v>
      </c>
      <c r="F550" s="10" t="s">
        <v>3235</v>
      </c>
      <c r="G550" s="10" t="s">
        <v>3236</v>
      </c>
      <c r="H550" s="10" t="s">
        <v>3237</v>
      </c>
      <c r="I550" s="10" t="s">
        <v>2109</v>
      </c>
      <c r="J550" s="10" t="s">
        <v>1080</v>
      </c>
      <c r="K550" s="10" t="s">
        <v>3238</v>
      </c>
      <c r="L550" s="11">
        <v>202124100732402</v>
      </c>
      <c r="M550" s="20">
        <v>44315</v>
      </c>
      <c r="N550" s="20" t="str">
        <f>UPPER(TEXT(Tabla1[[#This Row],[FECHA RADICADO ENTRADA]],"MMM"))</f>
        <v>ABR</v>
      </c>
      <c r="O550" s="11">
        <v>202124110718631</v>
      </c>
      <c r="P550" s="20">
        <v>44326</v>
      </c>
      <c r="Q550" s="20" t="str">
        <f>UPPER(TEXT(Tabla1[[#This Row],[FECHA RADICADO ENTRADA]],"MMM"))</f>
        <v>ABR</v>
      </c>
      <c r="R550" s="10">
        <f t="shared" si="8"/>
        <v>-11</v>
      </c>
      <c r="S550" s="10" t="s">
        <v>2154</v>
      </c>
      <c r="T550" s="10" t="s">
        <v>3256</v>
      </c>
      <c r="U550" s="10" t="s">
        <v>3239</v>
      </c>
      <c r="V550" s="20">
        <v>43277</v>
      </c>
      <c r="W550" s="10" t="s">
        <v>60</v>
      </c>
      <c r="X550" s="10">
        <v>50</v>
      </c>
      <c r="Y550" s="11">
        <f>IFERROR(INT(Tabla1[[#This Row],[CANTIDAD UND FARMACEUTICAS]]/(VLOOKUP(Tabla1[[#This Row],[MEDICAMENTO]],TAB_REF!$K$3:$L$27,2,0))),"")</f>
        <v>50</v>
      </c>
      <c r="Z550" s="10" t="str">
        <f>IFERROR(VLOOKUP(Tabla1[[#This Row],[MEDICAMENTO]],TAB_REF!$B$3:$F$27,2,0), "")</f>
        <v xml:space="preserve">Morfina HCl </v>
      </c>
      <c r="AA550" s="10" t="str">
        <f>IFERROR(VLOOKUP(Tabla1[[#This Row],[MEDICAMENTO]],TAB_REF!$B$3:$F$27,3,0), "")</f>
        <v xml:space="preserve">3%. </v>
      </c>
      <c r="AB550" s="10" t="str">
        <f>IFERROR(VLOOKUP(Tabla1[[#This Row],[MEDICAMENTO]],TAB_REF!$B$3:$F$27,4,0), "")</f>
        <v>Solución Oral</v>
      </c>
      <c r="AC550" s="10" t="str">
        <f>IFERROR(VLOOKUP(Tabla1[[#This Row],[MEDICAMENTO]],TAB_REF!$B$3:$F$27,5,0), "")</f>
        <v>Frasco x 30 mL</v>
      </c>
      <c r="AD550" s="10" t="str">
        <f>IFERROR(VLOOKUP(Tabla1[[#This Row],[CANTIDAD UND COMERCIALES]],TAB_REF!$H$3:$I$1003,2,0)&amp;" ("&amp;Tabla1[[#This Row],[CANTIDAD UND COMERCIALES]]&amp;")"&amp;"_"&amp;Tabla1[[#This Row],[CANTIDAD]],"")</f>
        <v>Cincuenta (50)_Frasco x 30 mL</v>
      </c>
    </row>
    <row r="551" spans="2:30" x14ac:dyDescent="0.25">
      <c r="B551" s="10">
        <v>212</v>
      </c>
      <c r="C551" s="10" t="s">
        <v>3233</v>
      </c>
      <c r="D551" s="10" t="s">
        <v>2162</v>
      </c>
      <c r="E551" s="10" t="s">
        <v>3234</v>
      </c>
      <c r="F551" s="10" t="s">
        <v>3235</v>
      </c>
      <c r="G551" s="10" t="s">
        <v>3236</v>
      </c>
      <c r="H551" s="10" t="s">
        <v>3237</v>
      </c>
      <c r="I551" s="10" t="s">
        <v>2109</v>
      </c>
      <c r="J551" s="10" t="s">
        <v>1080</v>
      </c>
      <c r="K551" s="10" t="s">
        <v>3238</v>
      </c>
      <c r="L551" s="11">
        <v>202124100732402</v>
      </c>
      <c r="M551" s="20">
        <v>44316</v>
      </c>
      <c r="N551" s="20" t="str">
        <f>UPPER(TEXT(Tabla1[[#This Row],[FECHA RADICADO ENTRADA]],"MMM"))</f>
        <v>ABR</v>
      </c>
      <c r="O551" s="11">
        <v>202124110718631</v>
      </c>
      <c r="P551" s="20">
        <v>44326</v>
      </c>
      <c r="Q551" s="20" t="str">
        <f>UPPER(TEXT(Tabla1[[#This Row],[FECHA RADICADO ENTRADA]],"MMM"))</f>
        <v>ABR</v>
      </c>
      <c r="R551" s="10">
        <f t="shared" si="8"/>
        <v>-10</v>
      </c>
      <c r="S551" s="10" t="s">
        <v>2145</v>
      </c>
      <c r="T551" s="10" t="s">
        <v>3492</v>
      </c>
      <c r="U551" s="10" t="s">
        <v>3239</v>
      </c>
      <c r="V551" s="20">
        <v>43277</v>
      </c>
      <c r="W551" s="10" t="s">
        <v>63</v>
      </c>
      <c r="X551" s="10">
        <v>0</v>
      </c>
      <c r="Y551" s="11">
        <f>IFERROR(INT(Tabla1[[#This Row],[CANTIDAD UND FARMACEUTICAS]]/(VLOOKUP(Tabla1[[#This Row],[MEDICAMENTO]],TAB_REF!$K$3:$L$27,2,0))),"")</f>
        <v>0</v>
      </c>
      <c r="Z551" s="10" t="str">
        <f>IFERROR(VLOOKUP(Tabla1[[#This Row],[MEDICAMENTO]],TAB_REF!$B$3:$F$27,2,0), "")</f>
        <v xml:space="preserve">Morfina HCl </v>
      </c>
      <c r="AA551" s="10" t="str">
        <f>IFERROR(VLOOKUP(Tabla1[[#This Row],[MEDICAMENTO]],TAB_REF!$B$3:$F$27,3,0), "")</f>
        <v xml:space="preserve">10 mg/mL </v>
      </c>
      <c r="AB551" s="10" t="str">
        <f>IFERROR(VLOOKUP(Tabla1[[#This Row],[MEDICAMENTO]],TAB_REF!$B$3:$F$27,4,0), "")</f>
        <v>Solución Inyectable</v>
      </c>
      <c r="AC551" s="10" t="str">
        <f>IFERROR(VLOOKUP(Tabla1[[#This Row],[MEDICAMENTO]],TAB_REF!$B$3:$F$27,5,0), "")</f>
        <v>Caja x 10 unidades</v>
      </c>
      <c r="AD551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552" spans="2:30" x14ac:dyDescent="0.25">
      <c r="B552" s="10">
        <v>213</v>
      </c>
      <c r="C552" s="10" t="s">
        <v>3193</v>
      </c>
      <c r="D552" s="10" t="s">
        <v>2312</v>
      </c>
      <c r="E552" s="10" t="s">
        <v>3118</v>
      </c>
      <c r="F552" s="10" t="s">
        <v>2452</v>
      </c>
      <c r="G552" s="10" t="s">
        <v>3119</v>
      </c>
      <c r="H552" s="10" t="s">
        <v>2454</v>
      </c>
      <c r="I552" s="10" t="s">
        <v>2123</v>
      </c>
      <c r="J552" s="10" t="s">
        <v>1770</v>
      </c>
      <c r="K552" s="10" t="s">
        <v>3240</v>
      </c>
      <c r="L552" s="11">
        <v>202124100732342</v>
      </c>
      <c r="M552" s="20">
        <v>44313</v>
      </c>
      <c r="N552" s="20" t="str">
        <f>UPPER(TEXT(Tabla1[[#This Row],[FECHA RADICADO ENTRADA]],"MMM"))</f>
        <v>ABR</v>
      </c>
      <c r="O552" s="11">
        <v>202124110638731</v>
      </c>
      <c r="P552" s="20">
        <v>44326</v>
      </c>
      <c r="Q552" s="20" t="str">
        <f>UPPER(TEXT(Tabla1[[#This Row],[FECHA RADICADO ENTRADA]],"MMM"))</f>
        <v>ABR</v>
      </c>
      <c r="R552" s="10">
        <f t="shared" si="8"/>
        <v>-13</v>
      </c>
      <c r="S552" s="10" t="s">
        <v>2154</v>
      </c>
      <c r="T552" s="10" t="s">
        <v>3241</v>
      </c>
      <c r="U552" s="10" t="s">
        <v>3121</v>
      </c>
      <c r="V552" s="20">
        <v>44281</v>
      </c>
      <c r="W552" s="10" t="s">
        <v>33</v>
      </c>
      <c r="X552" s="10">
        <v>1200</v>
      </c>
      <c r="Y552" s="11">
        <f>IFERROR(INT(Tabla1[[#This Row],[CANTIDAD UND FARMACEUTICAS]]/(VLOOKUP(Tabla1[[#This Row],[MEDICAMENTO]],TAB_REF!$K$3:$L$27,2,0))),"")</f>
        <v>40</v>
      </c>
      <c r="Z552" s="10" t="str">
        <f>IFERROR(VLOOKUP(Tabla1[[#This Row],[MEDICAMENTO]],TAB_REF!$B$3:$F$27,2,0), "")</f>
        <v xml:space="preserve">Fenobarbital </v>
      </c>
      <c r="AA552" s="10" t="str">
        <f>IFERROR(VLOOKUP(Tabla1[[#This Row],[MEDICAMENTO]],TAB_REF!$B$3:$F$27,3,0), "")</f>
        <v xml:space="preserve">50 mg </v>
      </c>
      <c r="AB552" s="10" t="str">
        <f>IFERROR(VLOOKUP(Tabla1[[#This Row],[MEDICAMENTO]],TAB_REF!$B$3:$F$27,4,0), "")</f>
        <v>Tabletas</v>
      </c>
      <c r="AC552" s="10" t="str">
        <f>IFERROR(VLOOKUP(Tabla1[[#This Row],[MEDICAMENTO]],TAB_REF!$B$3:$F$27,5,0), "")</f>
        <v>Caja x 30 unidades</v>
      </c>
      <c r="AD552" s="10" t="str">
        <f>IFERROR(VLOOKUP(Tabla1[[#This Row],[CANTIDAD UND COMERCIALES]],TAB_REF!$H$3:$I$1003,2,0)&amp;" ("&amp;Tabla1[[#This Row],[CANTIDAD UND COMERCIALES]]&amp;")"&amp;"_"&amp;Tabla1[[#This Row],[CANTIDAD]],"")</f>
        <v>Cuarenta (40)_Caja x 30 unidades</v>
      </c>
    </row>
    <row r="553" spans="2:30" x14ac:dyDescent="0.25">
      <c r="B553" s="10">
        <v>213</v>
      </c>
      <c r="C553" s="10" t="s">
        <v>3193</v>
      </c>
      <c r="D553" s="10" t="s">
        <v>2312</v>
      </c>
      <c r="E553" s="10" t="s">
        <v>3118</v>
      </c>
      <c r="F553" s="10" t="s">
        <v>2452</v>
      </c>
      <c r="G553" s="10" t="s">
        <v>3119</v>
      </c>
      <c r="H553" s="10" t="s">
        <v>2454</v>
      </c>
      <c r="I553" s="10" t="s">
        <v>2123</v>
      </c>
      <c r="J553" s="10" t="s">
        <v>1770</v>
      </c>
      <c r="K553" s="10" t="s">
        <v>3240</v>
      </c>
      <c r="L553" s="11">
        <v>202124100732342</v>
      </c>
      <c r="M553" s="20">
        <v>44313</v>
      </c>
      <c r="N553" s="20" t="str">
        <f>UPPER(TEXT(Tabla1[[#This Row],[FECHA RADICADO ENTRADA]],"MMM"))</f>
        <v>ABR</v>
      </c>
      <c r="O553" s="11">
        <v>202124110638731</v>
      </c>
      <c r="P553" s="20">
        <v>44326</v>
      </c>
      <c r="Q553" s="20" t="str">
        <f>UPPER(TEXT(Tabla1[[#This Row],[FECHA RADICADO ENTRADA]],"MMM"))</f>
        <v>ABR</v>
      </c>
      <c r="R553" s="10">
        <f t="shared" si="8"/>
        <v>-13</v>
      </c>
      <c r="S553" s="10" t="s">
        <v>2154</v>
      </c>
      <c r="T553" s="10" t="s">
        <v>3241</v>
      </c>
      <c r="U553" s="10" t="s">
        <v>3121</v>
      </c>
      <c r="V553" s="20">
        <v>44281</v>
      </c>
      <c r="W553" s="10" t="s">
        <v>32</v>
      </c>
      <c r="X553" s="10">
        <v>1200</v>
      </c>
      <c r="Y553" s="11">
        <f>IFERROR(INT(Tabla1[[#This Row],[CANTIDAD UND FARMACEUTICAS]]/(VLOOKUP(Tabla1[[#This Row],[MEDICAMENTO]],TAB_REF!$K$3:$L$27,2,0))),"")</f>
        <v>40</v>
      </c>
      <c r="Z553" s="10" t="str">
        <f>IFERROR(VLOOKUP(Tabla1[[#This Row],[MEDICAMENTO]],TAB_REF!$B$3:$F$27,2,0), "")</f>
        <v xml:space="preserve">Fenobarbital </v>
      </c>
      <c r="AA553" s="10" t="str">
        <f>IFERROR(VLOOKUP(Tabla1[[#This Row],[MEDICAMENTO]],TAB_REF!$B$3:$F$27,3,0), "")</f>
        <v xml:space="preserve">100 mg </v>
      </c>
      <c r="AB553" s="10" t="str">
        <f>IFERROR(VLOOKUP(Tabla1[[#This Row],[MEDICAMENTO]],TAB_REF!$B$3:$F$27,4,0), "")</f>
        <v>Tabletas</v>
      </c>
      <c r="AC553" s="10" t="str">
        <f>IFERROR(VLOOKUP(Tabla1[[#This Row],[MEDICAMENTO]],TAB_REF!$B$3:$F$27,5,0), "")</f>
        <v>Caja x 30 unidades</v>
      </c>
      <c r="AD553" s="10" t="str">
        <f>IFERROR(VLOOKUP(Tabla1[[#This Row],[CANTIDAD UND COMERCIALES]],TAB_REF!$H$3:$I$1003,2,0)&amp;" ("&amp;Tabla1[[#This Row],[CANTIDAD UND COMERCIALES]]&amp;")"&amp;"_"&amp;Tabla1[[#This Row],[CANTIDAD]],"")</f>
        <v>Cuarenta (40)_Caja x 30 unidades</v>
      </c>
    </row>
    <row r="554" spans="2:30" x14ac:dyDescent="0.25">
      <c r="B554" s="10">
        <v>213</v>
      </c>
      <c r="C554" s="10" t="s">
        <v>3193</v>
      </c>
      <c r="D554" s="10" t="s">
        <v>2312</v>
      </c>
      <c r="E554" s="10" t="s">
        <v>3118</v>
      </c>
      <c r="F554" s="10" t="s">
        <v>2452</v>
      </c>
      <c r="G554" s="10" t="s">
        <v>3119</v>
      </c>
      <c r="H554" s="10" t="s">
        <v>2454</v>
      </c>
      <c r="I554" s="10" t="s">
        <v>2123</v>
      </c>
      <c r="J554" s="10" t="s">
        <v>1770</v>
      </c>
      <c r="K554" s="10" t="s">
        <v>3240</v>
      </c>
      <c r="L554" s="11">
        <v>202124100732342</v>
      </c>
      <c r="M554" s="20">
        <v>44313</v>
      </c>
      <c r="N554" s="20" t="str">
        <f>UPPER(TEXT(Tabla1[[#This Row],[FECHA RADICADO ENTRADA]],"MMM"))</f>
        <v>ABR</v>
      </c>
      <c r="O554" s="11">
        <v>202124110638731</v>
      </c>
      <c r="P554" s="20">
        <v>44326</v>
      </c>
      <c r="Q554" s="20" t="str">
        <f>UPPER(TEXT(Tabla1[[#This Row],[FECHA RADICADO ENTRADA]],"MMM"))</f>
        <v>ABR</v>
      </c>
      <c r="R554" s="10">
        <f t="shared" si="8"/>
        <v>-13</v>
      </c>
      <c r="S554" s="10" t="s">
        <v>2154</v>
      </c>
      <c r="T554" s="10" t="s">
        <v>3241</v>
      </c>
      <c r="U554" s="10" t="s">
        <v>3121</v>
      </c>
      <c r="V554" s="20">
        <v>44281</v>
      </c>
      <c r="W554" s="10" t="s">
        <v>60</v>
      </c>
      <c r="X554" s="10">
        <v>18</v>
      </c>
      <c r="Y554" s="11">
        <f>IFERROR(INT(Tabla1[[#This Row],[CANTIDAD UND FARMACEUTICAS]]/(VLOOKUP(Tabla1[[#This Row],[MEDICAMENTO]],TAB_REF!$K$3:$L$27,2,0))),"")</f>
        <v>18</v>
      </c>
      <c r="Z554" s="10" t="str">
        <f>IFERROR(VLOOKUP(Tabla1[[#This Row],[MEDICAMENTO]],TAB_REF!$B$3:$F$27,2,0), "")</f>
        <v xml:space="preserve">Morfina HCl </v>
      </c>
      <c r="AA554" s="10" t="str">
        <f>IFERROR(VLOOKUP(Tabla1[[#This Row],[MEDICAMENTO]],TAB_REF!$B$3:$F$27,3,0), "")</f>
        <v xml:space="preserve">3%. </v>
      </c>
      <c r="AB554" s="10" t="str">
        <f>IFERROR(VLOOKUP(Tabla1[[#This Row],[MEDICAMENTO]],TAB_REF!$B$3:$F$27,4,0), "")</f>
        <v>Solución Oral</v>
      </c>
      <c r="AC554" s="10" t="str">
        <f>IFERROR(VLOOKUP(Tabla1[[#This Row],[MEDICAMENTO]],TAB_REF!$B$3:$F$27,5,0), "")</f>
        <v>Frasco x 30 mL</v>
      </c>
      <c r="AD554" s="10" t="str">
        <f>IFERROR(VLOOKUP(Tabla1[[#This Row],[CANTIDAD UND COMERCIALES]],TAB_REF!$H$3:$I$1003,2,0)&amp;" ("&amp;Tabla1[[#This Row],[CANTIDAD UND COMERCIALES]]&amp;")"&amp;"_"&amp;Tabla1[[#This Row],[CANTIDAD]],"")</f>
        <v>Dieciocho (18)_Frasco x 30 mL</v>
      </c>
    </row>
    <row r="555" spans="2:30" x14ac:dyDescent="0.25">
      <c r="B555" s="10">
        <v>213</v>
      </c>
      <c r="C555" s="10" t="s">
        <v>3193</v>
      </c>
      <c r="D555" s="10" t="s">
        <v>2312</v>
      </c>
      <c r="E555" s="10" t="s">
        <v>3118</v>
      </c>
      <c r="F555" s="10" t="s">
        <v>2452</v>
      </c>
      <c r="G555" s="10" t="s">
        <v>3119</v>
      </c>
      <c r="H555" s="10" t="s">
        <v>2454</v>
      </c>
      <c r="I555" s="10" t="s">
        <v>2123</v>
      </c>
      <c r="J555" s="10" t="s">
        <v>1770</v>
      </c>
      <c r="K555" s="10" t="s">
        <v>3240</v>
      </c>
      <c r="L555" s="11">
        <v>202124100732342</v>
      </c>
      <c r="M555" s="20">
        <v>44313</v>
      </c>
      <c r="N555" s="20" t="str">
        <f>UPPER(TEXT(Tabla1[[#This Row],[FECHA RADICADO ENTRADA]],"MMM"))</f>
        <v>ABR</v>
      </c>
      <c r="O555" s="11">
        <v>202124110638731</v>
      </c>
      <c r="P555" s="20">
        <v>44326</v>
      </c>
      <c r="Q555" s="20" t="str">
        <f>UPPER(TEXT(Tabla1[[#This Row],[FECHA RADICADO ENTRADA]],"MMM"))</f>
        <v>ABR</v>
      </c>
      <c r="R555" s="10">
        <f t="shared" si="8"/>
        <v>-13</v>
      </c>
      <c r="S555" s="10" t="s">
        <v>2154</v>
      </c>
      <c r="T555" s="10" t="s">
        <v>3241</v>
      </c>
      <c r="U555" s="10" t="s">
        <v>3121</v>
      </c>
      <c r="V555" s="20">
        <v>44281</v>
      </c>
      <c r="W555" s="10" t="s">
        <v>63</v>
      </c>
      <c r="X555" s="10">
        <v>80</v>
      </c>
      <c r="Y555" s="11">
        <f>IFERROR(INT(Tabla1[[#This Row],[CANTIDAD UND FARMACEUTICAS]]/(VLOOKUP(Tabla1[[#This Row],[MEDICAMENTO]],TAB_REF!$K$3:$L$27,2,0))),"")</f>
        <v>8</v>
      </c>
      <c r="Z555" s="10" t="str">
        <f>IFERROR(VLOOKUP(Tabla1[[#This Row],[MEDICAMENTO]],TAB_REF!$B$3:$F$27,2,0), "")</f>
        <v xml:space="preserve">Morfina HCl </v>
      </c>
      <c r="AA555" s="10" t="str">
        <f>IFERROR(VLOOKUP(Tabla1[[#This Row],[MEDICAMENTO]],TAB_REF!$B$3:$F$27,3,0), "")</f>
        <v xml:space="preserve">10 mg/mL </v>
      </c>
      <c r="AB555" s="10" t="str">
        <f>IFERROR(VLOOKUP(Tabla1[[#This Row],[MEDICAMENTO]],TAB_REF!$B$3:$F$27,4,0), "")</f>
        <v>Solución Inyectable</v>
      </c>
      <c r="AC555" s="10" t="str">
        <f>IFERROR(VLOOKUP(Tabla1[[#This Row],[MEDICAMENTO]],TAB_REF!$B$3:$F$27,5,0), "")</f>
        <v>Caja x 10 unidades</v>
      </c>
      <c r="AD555" s="10" t="str">
        <f>IFERROR(VLOOKUP(Tabla1[[#This Row],[CANTIDAD UND COMERCIALES]],TAB_REF!$H$3:$I$1003,2,0)&amp;" ("&amp;Tabla1[[#This Row],[CANTIDAD UND COMERCIALES]]&amp;")"&amp;"_"&amp;Tabla1[[#This Row],[CANTIDAD]],"")</f>
        <v>Ocho (8)_Caja x 10 unidades</v>
      </c>
    </row>
    <row r="556" spans="2:30" x14ac:dyDescent="0.25">
      <c r="B556" s="10">
        <v>213</v>
      </c>
      <c r="C556" s="10" t="s">
        <v>3193</v>
      </c>
      <c r="D556" s="10" t="s">
        <v>2312</v>
      </c>
      <c r="E556" s="10" t="s">
        <v>3118</v>
      </c>
      <c r="F556" s="10" t="s">
        <v>2452</v>
      </c>
      <c r="G556" s="10" t="s">
        <v>3119</v>
      </c>
      <c r="H556" s="10" t="s">
        <v>2454</v>
      </c>
      <c r="I556" s="10" t="s">
        <v>2123</v>
      </c>
      <c r="J556" s="10" t="s">
        <v>1770</v>
      </c>
      <c r="K556" s="10" t="s">
        <v>3240</v>
      </c>
      <c r="L556" s="11">
        <v>202124100732342</v>
      </c>
      <c r="M556" s="20">
        <v>44313</v>
      </c>
      <c r="N556" s="20" t="str">
        <f>UPPER(TEXT(Tabla1[[#This Row],[FECHA RADICADO ENTRADA]],"MMM"))</f>
        <v>ABR</v>
      </c>
      <c r="O556" s="11">
        <v>202124110638731</v>
      </c>
      <c r="P556" s="20">
        <v>44326</v>
      </c>
      <c r="Q556" s="20" t="str">
        <f>UPPER(TEXT(Tabla1[[#This Row],[FECHA RADICADO ENTRADA]],"MMM"))</f>
        <v>ABR</v>
      </c>
      <c r="R556" s="10">
        <f t="shared" si="8"/>
        <v>-13</v>
      </c>
      <c r="S556" s="10" t="s">
        <v>2154</v>
      </c>
      <c r="T556" s="10" t="s">
        <v>3241</v>
      </c>
      <c r="U556" s="10" t="s">
        <v>3121</v>
      </c>
      <c r="V556" s="20">
        <v>44281</v>
      </c>
      <c r="W556" s="10" t="s">
        <v>48</v>
      </c>
      <c r="X556" s="10">
        <v>900</v>
      </c>
      <c r="Y556" s="11">
        <f>IFERROR(INT(Tabla1[[#This Row],[CANTIDAD UND FARMACEUTICAS]]/(VLOOKUP(Tabla1[[#This Row],[MEDICAMENTO]],TAB_REF!$K$3:$L$27,2,0))),"")</f>
        <v>30</v>
      </c>
      <c r="Z556" s="10" t="str">
        <f>IFERROR(VLOOKUP(Tabla1[[#This Row],[MEDICAMENTO]],TAB_REF!$B$3:$F$27,2,0), "")</f>
        <v xml:space="preserve">Metilfenidato HCl </v>
      </c>
      <c r="AA556" s="10" t="str">
        <f>IFERROR(VLOOKUP(Tabla1[[#This Row],[MEDICAMENTO]],TAB_REF!$B$3:$F$27,3,0), "")</f>
        <v xml:space="preserve">10 mg </v>
      </c>
      <c r="AB556" s="10" t="str">
        <f>IFERROR(VLOOKUP(Tabla1[[#This Row],[MEDICAMENTO]],TAB_REF!$B$3:$F$27,4,0), "")</f>
        <v>Comprimidos</v>
      </c>
      <c r="AC556" s="10" t="str">
        <f>IFERROR(VLOOKUP(Tabla1[[#This Row],[MEDICAMENTO]],TAB_REF!$B$3:$F$27,5,0), "")</f>
        <v>Caja x 30 unidades</v>
      </c>
      <c r="AD556" s="10" t="str">
        <f>IFERROR(VLOOKUP(Tabla1[[#This Row],[CANTIDAD UND COMERCIALES]],TAB_REF!$H$3:$I$1003,2,0)&amp;" ("&amp;Tabla1[[#This Row],[CANTIDAD UND COMERCIALES]]&amp;")"&amp;"_"&amp;Tabla1[[#This Row],[CANTIDAD]],"")</f>
        <v>Treinta (30)_Caja x 30 unidades</v>
      </c>
    </row>
    <row r="557" spans="2:30" x14ac:dyDescent="0.25">
      <c r="B557" s="10">
        <v>213</v>
      </c>
      <c r="C557" s="10" t="s">
        <v>3193</v>
      </c>
      <c r="D557" s="10" t="s">
        <v>2312</v>
      </c>
      <c r="E557" s="10" t="s">
        <v>3118</v>
      </c>
      <c r="F557" s="10" t="s">
        <v>2452</v>
      </c>
      <c r="G557" s="10" t="s">
        <v>3119</v>
      </c>
      <c r="H557" s="10" t="s">
        <v>2454</v>
      </c>
      <c r="I557" s="10" t="s">
        <v>2123</v>
      </c>
      <c r="J557" s="10" t="s">
        <v>1770</v>
      </c>
      <c r="K557" s="10" t="s">
        <v>3240</v>
      </c>
      <c r="L557" s="11">
        <v>202124100732342</v>
      </c>
      <c r="M557" s="20">
        <v>44313</v>
      </c>
      <c r="N557" s="20" t="str">
        <f>UPPER(TEXT(Tabla1[[#This Row],[FECHA RADICADO ENTRADA]],"MMM"))</f>
        <v>ABR</v>
      </c>
      <c r="O557" s="11">
        <v>202124110638731</v>
      </c>
      <c r="P557" s="20">
        <v>44326</v>
      </c>
      <c r="Q557" s="20" t="str">
        <f>UPPER(TEXT(Tabla1[[#This Row],[FECHA RADICADO ENTRADA]],"MMM"))</f>
        <v>ABR</v>
      </c>
      <c r="R557" s="10">
        <f t="shared" si="8"/>
        <v>-13</v>
      </c>
      <c r="S557" s="10" t="s">
        <v>2154</v>
      </c>
      <c r="T557" s="10" t="s">
        <v>3241</v>
      </c>
      <c r="U557" s="10" t="s">
        <v>3121</v>
      </c>
      <c r="V557" s="20">
        <v>44281</v>
      </c>
      <c r="W557" s="10" t="s">
        <v>28</v>
      </c>
      <c r="X557" s="10">
        <v>8</v>
      </c>
      <c r="Y557" s="11">
        <f>IFERROR(INT(Tabla1[[#This Row],[CANTIDAD UND FARMACEUTICAS]]/(VLOOKUP(Tabla1[[#This Row],[MEDICAMENTO]],TAB_REF!$K$3:$L$27,2,0))),"")</f>
        <v>8</v>
      </c>
      <c r="Z557" s="10" t="str">
        <f>IFERROR(VLOOKUP(Tabla1[[#This Row],[MEDICAMENTO]],TAB_REF!$B$3:$F$27,2,0), "")</f>
        <v xml:space="preserve">Fenobarbital </v>
      </c>
      <c r="AA557" s="10" t="str">
        <f>IFERROR(VLOOKUP(Tabla1[[#This Row],[MEDICAMENTO]],TAB_REF!$B$3:$F$27,3,0), "")</f>
        <v xml:space="preserve">0,4%. </v>
      </c>
      <c r="AB557" s="10" t="str">
        <f>IFERROR(VLOOKUP(Tabla1[[#This Row],[MEDICAMENTO]],TAB_REF!$B$3:$F$27,4,0), "")</f>
        <v>Solución Oral</v>
      </c>
      <c r="AC557" s="10" t="str">
        <f>IFERROR(VLOOKUP(Tabla1[[#This Row],[MEDICAMENTO]],TAB_REF!$B$3:$F$27,5,0), "")</f>
        <v>Frasco x 120 mL</v>
      </c>
      <c r="AD557" s="10" t="str">
        <f>IFERROR(VLOOKUP(Tabla1[[#This Row],[CANTIDAD UND COMERCIALES]],TAB_REF!$H$3:$I$1003,2,0)&amp;" ("&amp;Tabla1[[#This Row],[CANTIDAD UND COMERCIALES]]&amp;")"&amp;"_"&amp;Tabla1[[#This Row],[CANTIDAD]],"")</f>
        <v>Ocho (8)_Frasco x 120 mL</v>
      </c>
    </row>
    <row r="558" spans="2:30" x14ac:dyDescent="0.25">
      <c r="B558" s="10">
        <v>214</v>
      </c>
      <c r="C558" s="10" t="s">
        <v>2844</v>
      </c>
      <c r="D558" s="10" t="s">
        <v>2312</v>
      </c>
      <c r="E558" s="10" t="s">
        <v>2845</v>
      </c>
      <c r="F558" s="10" t="s">
        <v>2846</v>
      </c>
      <c r="G558" s="10" t="s">
        <v>2847</v>
      </c>
      <c r="H558" s="10" t="s">
        <v>2848</v>
      </c>
      <c r="I558" s="10" t="s">
        <v>2110</v>
      </c>
      <c r="J558" s="10" t="s">
        <v>1235</v>
      </c>
      <c r="K558" s="10" t="s">
        <v>2922</v>
      </c>
      <c r="L558" s="11">
        <v>202124100724002</v>
      </c>
      <c r="M558" s="20">
        <v>44323</v>
      </c>
      <c r="N558" s="20" t="str">
        <f>UPPER(TEXT(Tabla1[[#This Row],[FECHA RADICADO ENTRADA]],"MMM"))</f>
        <v>MAY</v>
      </c>
      <c r="O558" s="11">
        <v>202124110718711</v>
      </c>
      <c r="P558" s="20">
        <v>44326</v>
      </c>
      <c r="Q558" s="20" t="str">
        <f>UPPER(TEXT(Tabla1[[#This Row],[FECHA RADICADO ENTRADA]],"MMM"))</f>
        <v>MAY</v>
      </c>
      <c r="R558" s="10">
        <f t="shared" si="8"/>
        <v>-3</v>
      </c>
      <c r="S558" s="10" t="s">
        <v>2145</v>
      </c>
      <c r="T558" s="10" t="s">
        <v>3257</v>
      </c>
      <c r="U558" s="10" t="s">
        <v>2924</v>
      </c>
      <c r="V558" s="20">
        <v>43275</v>
      </c>
      <c r="W558" s="10" t="s">
        <v>63</v>
      </c>
      <c r="X558" s="10">
        <v>0</v>
      </c>
      <c r="Y558" s="11">
        <f>IFERROR(INT(Tabla1[[#This Row],[CANTIDAD UND FARMACEUTICAS]]/(VLOOKUP(Tabla1[[#This Row],[MEDICAMENTO]],TAB_REF!$K$3:$L$27,2,0))),"")</f>
        <v>0</v>
      </c>
      <c r="Z558" s="10" t="str">
        <f>IFERROR(VLOOKUP(Tabla1[[#This Row],[MEDICAMENTO]],TAB_REF!$B$3:$F$27,2,0), "")</f>
        <v xml:space="preserve">Morfina HCl </v>
      </c>
      <c r="AA558" s="10" t="str">
        <f>IFERROR(VLOOKUP(Tabla1[[#This Row],[MEDICAMENTO]],TAB_REF!$B$3:$F$27,3,0), "")</f>
        <v xml:space="preserve">10 mg/mL </v>
      </c>
      <c r="AB558" s="10" t="str">
        <f>IFERROR(VLOOKUP(Tabla1[[#This Row],[MEDICAMENTO]],TAB_REF!$B$3:$F$27,4,0), "")</f>
        <v>Solución Inyectable</v>
      </c>
      <c r="AC558" s="10" t="str">
        <f>IFERROR(VLOOKUP(Tabla1[[#This Row],[MEDICAMENTO]],TAB_REF!$B$3:$F$27,5,0), "")</f>
        <v>Caja x 10 unidades</v>
      </c>
      <c r="AD558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559" spans="2:30" x14ac:dyDescent="0.25">
      <c r="B559" s="10">
        <v>214</v>
      </c>
      <c r="C559" s="10" t="s">
        <v>2844</v>
      </c>
      <c r="D559" s="10" t="s">
        <v>2312</v>
      </c>
      <c r="E559" s="10" t="s">
        <v>2845</v>
      </c>
      <c r="F559" s="10" t="s">
        <v>2846</v>
      </c>
      <c r="G559" s="10" t="s">
        <v>2847</v>
      </c>
      <c r="H559" s="10" t="s">
        <v>2848</v>
      </c>
      <c r="I559" s="10" t="s">
        <v>2110</v>
      </c>
      <c r="J559" s="10" t="s">
        <v>1235</v>
      </c>
      <c r="K559" s="10" t="s">
        <v>2922</v>
      </c>
      <c r="L559" s="11">
        <v>202124100724002</v>
      </c>
      <c r="M559" s="20">
        <v>44323</v>
      </c>
      <c r="N559" s="20" t="str">
        <f>UPPER(TEXT(Tabla1[[#This Row],[FECHA RADICADO ENTRADA]],"MMM"))</f>
        <v>MAY</v>
      </c>
      <c r="O559" s="11">
        <v>202124110718711</v>
      </c>
      <c r="P559" s="20">
        <v>44326</v>
      </c>
      <c r="Q559" s="20" t="str">
        <f>UPPER(TEXT(Tabla1[[#This Row],[FECHA RADICADO ENTRADA]],"MMM"))</f>
        <v>MAY</v>
      </c>
      <c r="R559" s="10">
        <f t="shared" si="8"/>
        <v>-3</v>
      </c>
      <c r="S559" s="10" t="s">
        <v>2145</v>
      </c>
      <c r="T559" s="10" t="s">
        <v>3257</v>
      </c>
      <c r="U559" s="10" t="s">
        <v>2924</v>
      </c>
      <c r="V559" s="20">
        <v>43275</v>
      </c>
      <c r="W559" s="10" t="s">
        <v>60</v>
      </c>
      <c r="X559" s="10">
        <v>0</v>
      </c>
      <c r="Y559" s="11">
        <f>IFERROR(INT(Tabla1[[#This Row],[CANTIDAD UND FARMACEUTICAS]]/(VLOOKUP(Tabla1[[#This Row],[MEDICAMENTO]],TAB_REF!$K$3:$L$27,2,0))),"")</f>
        <v>0</v>
      </c>
      <c r="Z559" s="10" t="str">
        <f>IFERROR(VLOOKUP(Tabla1[[#This Row],[MEDICAMENTO]],TAB_REF!$B$3:$F$27,2,0), "")</f>
        <v xml:space="preserve">Morfina HCl </v>
      </c>
      <c r="AA559" s="10" t="str">
        <f>IFERROR(VLOOKUP(Tabla1[[#This Row],[MEDICAMENTO]],TAB_REF!$B$3:$F$27,3,0), "")</f>
        <v xml:space="preserve">3%. </v>
      </c>
      <c r="AB559" s="10" t="str">
        <f>IFERROR(VLOOKUP(Tabla1[[#This Row],[MEDICAMENTO]],TAB_REF!$B$3:$F$27,4,0), "")</f>
        <v>Solución Oral</v>
      </c>
      <c r="AC559" s="10" t="str">
        <f>IFERROR(VLOOKUP(Tabla1[[#This Row],[MEDICAMENTO]],TAB_REF!$B$3:$F$27,5,0), "")</f>
        <v>Frasco x 30 mL</v>
      </c>
      <c r="AD559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560" spans="2:30" x14ac:dyDescent="0.25">
      <c r="B560" s="10">
        <v>214</v>
      </c>
      <c r="C560" s="10" t="s">
        <v>2844</v>
      </c>
      <c r="D560" s="10" t="s">
        <v>2312</v>
      </c>
      <c r="E560" s="10" t="s">
        <v>2845</v>
      </c>
      <c r="F560" s="10" t="s">
        <v>2846</v>
      </c>
      <c r="G560" s="10" t="s">
        <v>2847</v>
      </c>
      <c r="H560" s="10" t="s">
        <v>2848</v>
      </c>
      <c r="I560" s="10" t="s">
        <v>2110</v>
      </c>
      <c r="J560" s="10" t="s">
        <v>1235</v>
      </c>
      <c r="K560" s="10" t="s">
        <v>2922</v>
      </c>
      <c r="L560" s="11">
        <v>202124100724002</v>
      </c>
      <c r="M560" s="20">
        <v>44323</v>
      </c>
      <c r="N560" s="20" t="str">
        <f>UPPER(TEXT(Tabla1[[#This Row],[FECHA RADICADO ENTRADA]],"MMM"))</f>
        <v>MAY</v>
      </c>
      <c r="O560" s="11">
        <v>202124110718711</v>
      </c>
      <c r="P560" s="20">
        <v>44326</v>
      </c>
      <c r="Q560" s="20" t="str">
        <f>UPPER(TEXT(Tabla1[[#This Row],[FECHA RADICADO ENTRADA]],"MMM"))</f>
        <v>MAY</v>
      </c>
      <c r="R560" s="10">
        <f t="shared" si="8"/>
        <v>-3</v>
      </c>
      <c r="S560" s="10" t="s">
        <v>2145</v>
      </c>
      <c r="T560" s="10" t="s">
        <v>3257</v>
      </c>
      <c r="U560" s="10" t="s">
        <v>2924</v>
      </c>
      <c r="V560" s="20">
        <v>43275</v>
      </c>
      <c r="W560" s="10" t="s">
        <v>37</v>
      </c>
      <c r="X560" s="10">
        <v>0</v>
      </c>
      <c r="Y560" s="11">
        <f>IFERROR(INT(Tabla1[[#This Row],[CANTIDAD UND FARMACEUTICAS]]/(VLOOKUP(Tabla1[[#This Row],[MEDICAMENTO]],TAB_REF!$K$3:$L$27,2,0))),"")</f>
        <v>0</v>
      </c>
      <c r="Z560" s="10" t="str">
        <f>IFERROR(VLOOKUP(Tabla1[[#This Row],[MEDICAMENTO]],TAB_REF!$B$3:$F$27,2,0), "")</f>
        <v xml:space="preserve">Hidromorfona HCl </v>
      </c>
      <c r="AA560" s="10" t="str">
        <f>IFERROR(VLOOKUP(Tabla1[[#This Row],[MEDICAMENTO]],TAB_REF!$B$3:$F$27,3,0), "")</f>
        <v xml:space="preserve">2 mg/mL </v>
      </c>
      <c r="AB560" s="10" t="str">
        <f>IFERROR(VLOOKUP(Tabla1[[#This Row],[MEDICAMENTO]],TAB_REF!$B$3:$F$27,4,0), "")</f>
        <v>Solución Inyectable</v>
      </c>
      <c r="AC560" s="10" t="str">
        <f>IFERROR(VLOOKUP(Tabla1[[#This Row],[MEDICAMENTO]],TAB_REF!$B$3:$F$27,5,0), "")</f>
        <v>Caja x 10 unidades</v>
      </c>
      <c r="AD560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561" spans="2:30" x14ac:dyDescent="0.25">
      <c r="B561" s="10">
        <v>215</v>
      </c>
      <c r="C561" s="10" t="s">
        <v>3242</v>
      </c>
      <c r="D561" s="10" t="s">
        <v>2175</v>
      </c>
      <c r="E561" s="10" t="s">
        <v>3243</v>
      </c>
      <c r="F561" s="10" t="s">
        <v>2533</v>
      </c>
      <c r="G561" s="10" t="s">
        <v>2534</v>
      </c>
      <c r="H561" s="10" t="s">
        <v>2535</v>
      </c>
      <c r="I561" s="10" t="s">
        <v>1068</v>
      </c>
      <c r="J561" s="10" t="s">
        <v>1234</v>
      </c>
      <c r="K561" s="10" t="s">
        <v>3244</v>
      </c>
      <c r="L561" s="11">
        <v>202124100708332</v>
      </c>
      <c r="M561" s="20">
        <v>44326</v>
      </c>
      <c r="N561" s="20" t="str">
        <f>UPPER(TEXT(Tabla1[[#This Row],[FECHA RADICADO ENTRADA]],"MMM"))</f>
        <v>MAY</v>
      </c>
      <c r="O561" s="11">
        <v>202124110718771</v>
      </c>
      <c r="P561" s="20">
        <v>44326</v>
      </c>
      <c r="Q561" s="20" t="str">
        <f>UPPER(TEXT(Tabla1[[#This Row],[FECHA RADICADO ENTRADA]],"MMM"))</f>
        <v>MAY</v>
      </c>
      <c r="R561" s="10">
        <f t="shared" si="8"/>
        <v>0</v>
      </c>
      <c r="S561" s="10" t="s">
        <v>2145</v>
      </c>
      <c r="T561" s="10" t="s">
        <v>3245</v>
      </c>
      <c r="U561" s="10" t="s">
        <v>2573</v>
      </c>
      <c r="V561" s="20">
        <v>42870</v>
      </c>
      <c r="W561" s="10" t="s">
        <v>28</v>
      </c>
      <c r="X561" s="10">
        <v>0</v>
      </c>
      <c r="Y561" s="11">
        <f>IFERROR(INT(Tabla1[[#This Row],[CANTIDAD UND FARMACEUTICAS]]/(VLOOKUP(Tabla1[[#This Row],[MEDICAMENTO]],TAB_REF!$K$3:$L$27,2,0))),"")</f>
        <v>0</v>
      </c>
      <c r="Z561" s="10" t="str">
        <f>IFERROR(VLOOKUP(Tabla1[[#This Row],[MEDICAMENTO]],TAB_REF!$B$3:$F$27,2,0), "")</f>
        <v xml:space="preserve">Fenobarbital </v>
      </c>
      <c r="AA561" s="10" t="str">
        <f>IFERROR(VLOOKUP(Tabla1[[#This Row],[MEDICAMENTO]],TAB_REF!$B$3:$F$27,3,0), "")</f>
        <v xml:space="preserve">0,4%. </v>
      </c>
      <c r="AB561" s="10" t="str">
        <f>IFERROR(VLOOKUP(Tabla1[[#This Row],[MEDICAMENTO]],TAB_REF!$B$3:$F$27,4,0), "")</f>
        <v>Solución Oral</v>
      </c>
      <c r="AC561" s="10" t="str">
        <f>IFERROR(VLOOKUP(Tabla1[[#This Row],[MEDICAMENTO]],TAB_REF!$B$3:$F$27,5,0), "")</f>
        <v>Frasco x 120 mL</v>
      </c>
      <c r="AD561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562" spans="2:30" x14ac:dyDescent="0.25">
      <c r="B562" s="10">
        <v>216</v>
      </c>
      <c r="C562" s="10" t="s">
        <v>3246</v>
      </c>
      <c r="D562" s="10" t="s">
        <v>3247</v>
      </c>
      <c r="E562" s="10" t="s">
        <v>3248</v>
      </c>
      <c r="F562" s="10" t="s">
        <v>2669</v>
      </c>
      <c r="G562" s="10" t="s">
        <v>3249</v>
      </c>
      <c r="H562" s="10" t="s">
        <v>3250</v>
      </c>
      <c r="I562" s="10" t="s">
        <v>2110</v>
      </c>
      <c r="J562" s="10" t="s">
        <v>1235</v>
      </c>
      <c r="K562" s="10" t="s">
        <v>3251</v>
      </c>
      <c r="L562" s="11">
        <v>202124100706412</v>
      </c>
      <c r="M562" s="20">
        <v>44327</v>
      </c>
      <c r="N562" s="20" t="str">
        <f>UPPER(TEXT(Tabla1[[#This Row],[FECHA RADICADO ENTRADA]],"MMM"))</f>
        <v>MAY</v>
      </c>
      <c r="O562" s="11">
        <v>202124110718801</v>
      </c>
      <c r="P562" s="20">
        <v>44326</v>
      </c>
      <c r="Q562" s="20" t="str">
        <f>UPPER(TEXT(Tabla1[[#This Row],[FECHA RADICADO ENTRADA]],"MMM"))</f>
        <v>MAY</v>
      </c>
      <c r="R562" s="10">
        <f t="shared" si="8"/>
        <v>1</v>
      </c>
      <c r="S562" s="10" t="s">
        <v>2145</v>
      </c>
      <c r="T562" s="10" t="s">
        <v>3258</v>
      </c>
      <c r="U562" s="10" t="s">
        <v>3252</v>
      </c>
      <c r="V562" s="20">
        <v>41100</v>
      </c>
      <c r="W562" s="10" t="s">
        <v>63</v>
      </c>
      <c r="X562" s="10">
        <v>0</v>
      </c>
      <c r="Y562" s="11">
        <f>IFERROR(INT(Tabla1[[#This Row],[CANTIDAD UND FARMACEUTICAS]]/(VLOOKUP(Tabla1[[#This Row],[MEDICAMENTO]],TAB_REF!$K$3:$L$27,2,0))),"")</f>
        <v>0</v>
      </c>
      <c r="Z562" s="10" t="str">
        <f>IFERROR(VLOOKUP(Tabla1[[#This Row],[MEDICAMENTO]],TAB_REF!$B$3:$F$27,2,0), "")</f>
        <v xml:space="preserve">Morfina HCl </v>
      </c>
      <c r="AA562" s="10" t="str">
        <f>IFERROR(VLOOKUP(Tabla1[[#This Row],[MEDICAMENTO]],TAB_REF!$B$3:$F$27,3,0), "")</f>
        <v xml:space="preserve">10 mg/mL </v>
      </c>
      <c r="AB562" s="10" t="str">
        <f>IFERROR(VLOOKUP(Tabla1[[#This Row],[MEDICAMENTO]],TAB_REF!$B$3:$F$27,4,0), "")</f>
        <v>Solución Inyectable</v>
      </c>
      <c r="AC562" s="10" t="str">
        <f>IFERROR(VLOOKUP(Tabla1[[#This Row],[MEDICAMENTO]],TAB_REF!$B$3:$F$27,5,0), "")</f>
        <v>Caja x 10 unidades</v>
      </c>
      <c r="AD562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563" spans="2:30" x14ac:dyDescent="0.25">
      <c r="B563" s="10">
        <v>217</v>
      </c>
      <c r="C563" s="10" t="s">
        <v>2764</v>
      </c>
      <c r="D563" s="10" t="s">
        <v>3076</v>
      </c>
      <c r="E563" s="10" t="s">
        <v>3196</v>
      </c>
      <c r="F563" s="10" t="s">
        <v>2533</v>
      </c>
      <c r="G563" s="10" t="s">
        <v>2737</v>
      </c>
      <c r="H563" s="10" t="s">
        <v>2738</v>
      </c>
      <c r="I563" s="10" t="s">
        <v>2113</v>
      </c>
      <c r="J563" s="10" t="s">
        <v>1442</v>
      </c>
      <c r="K563" s="10" t="s">
        <v>3197</v>
      </c>
      <c r="L563" s="11">
        <v>202124100826702</v>
      </c>
      <c r="M563" s="20">
        <v>44326</v>
      </c>
      <c r="N563" s="20" t="str">
        <f>UPPER(TEXT(Tabla1[[#This Row],[FECHA RADICADO ENTRADA]],"MMM"))</f>
        <v>MAY</v>
      </c>
      <c r="O563" s="11">
        <v>202124110722491</v>
      </c>
      <c r="P563" s="20">
        <v>44326</v>
      </c>
      <c r="Q563" s="20" t="str">
        <f>UPPER(TEXT(Tabla1[[#This Row],[FECHA RADICADO ENTRADA]],"MMM"))</f>
        <v>MAY</v>
      </c>
      <c r="R563" s="10">
        <f t="shared" si="8"/>
        <v>0</v>
      </c>
      <c r="S563" s="10" t="s">
        <v>2145</v>
      </c>
      <c r="T563" s="10" t="s">
        <v>3131</v>
      </c>
      <c r="U563" s="10" t="s">
        <v>2740</v>
      </c>
      <c r="V563" s="20">
        <v>44223</v>
      </c>
      <c r="W563" s="10" t="s">
        <v>64</v>
      </c>
      <c r="X563" s="10">
        <v>0</v>
      </c>
      <c r="Y563" s="11">
        <f>IFERROR(INT(Tabla1[[#This Row],[CANTIDAD UND FARMACEUTICAS]]/(VLOOKUP(Tabla1[[#This Row],[MEDICAMENTO]],TAB_REF!$K$3:$L$27,2,0))),"")</f>
        <v>0</v>
      </c>
      <c r="Z563" s="10" t="str">
        <f>IFERROR(VLOOKUP(Tabla1[[#This Row],[MEDICAMENTO]],TAB_REF!$B$3:$F$27,2,0), "")</f>
        <v xml:space="preserve">Morfina HCl </v>
      </c>
      <c r="AA563" s="10" t="str">
        <f>IFERROR(VLOOKUP(Tabla1[[#This Row],[MEDICAMENTO]],TAB_REF!$B$3:$F$27,3,0), "")</f>
        <v xml:space="preserve">10 (50mg/5mL) </v>
      </c>
      <c r="AB563" s="10" t="str">
        <f>IFERROR(VLOOKUP(Tabla1[[#This Row],[MEDICAMENTO]],TAB_REF!$B$3:$F$27,4,0), "")</f>
        <v>Solución Inyectable</v>
      </c>
      <c r="AC563" s="10" t="str">
        <f>IFERROR(VLOOKUP(Tabla1[[#This Row],[MEDICAMENTO]],TAB_REF!$B$3:$F$27,5,0), "")</f>
        <v>Caja x 5 unidades</v>
      </c>
      <c r="AD563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564" spans="2:30" x14ac:dyDescent="0.25">
      <c r="B564" s="10">
        <v>218</v>
      </c>
      <c r="C564" s="10" t="s">
        <v>3264</v>
      </c>
      <c r="D564" s="10" t="s">
        <v>3076</v>
      </c>
      <c r="E564" s="10" t="s">
        <v>2356</v>
      </c>
      <c r="F564" s="10" t="s">
        <v>2357</v>
      </c>
      <c r="G564" s="10" t="s">
        <v>3265</v>
      </c>
      <c r="H564" s="10" t="s">
        <v>2164</v>
      </c>
      <c r="I564" s="10" t="s">
        <v>2122</v>
      </c>
      <c r="J564" s="10" t="s">
        <v>1742</v>
      </c>
      <c r="K564" s="10" t="s">
        <v>3176</v>
      </c>
      <c r="L564" s="11">
        <v>202142300794562</v>
      </c>
      <c r="M564" s="20">
        <v>44321</v>
      </c>
      <c r="N564" s="20" t="str">
        <f>UPPER(TEXT(Tabla1[[#This Row],[FECHA RADICADO ENTRADA]],"MMM"))</f>
        <v>MAY</v>
      </c>
      <c r="O564" s="11">
        <v>202124110704021</v>
      </c>
      <c r="P564" s="20">
        <v>44326</v>
      </c>
      <c r="Q564" s="20" t="str">
        <f>UPPER(TEXT(Tabla1[[#This Row],[FECHA RADICADO ENTRADA]],"MMM"))</f>
        <v>MAY</v>
      </c>
      <c r="R564" s="10">
        <f t="shared" si="8"/>
        <v>-5</v>
      </c>
      <c r="S564" s="10" t="s">
        <v>2154</v>
      </c>
      <c r="T564" s="10" t="s">
        <v>3266</v>
      </c>
      <c r="U564" s="10" t="s">
        <v>3267</v>
      </c>
      <c r="V564" s="20" t="s">
        <v>2164</v>
      </c>
      <c r="Y564" s="11" t="str">
        <f>IFERROR(INT(Tabla1[[#This Row],[CANTIDAD UND FARMACEUTICAS]]/(VLOOKUP(Tabla1[[#This Row],[MEDICAMENTO]],TAB_REF!$K$3:$L$27,2,0))),"")</f>
        <v/>
      </c>
      <c r="Z564" s="10" t="str">
        <f>IFERROR(VLOOKUP(Tabla1[[#This Row],[MEDICAMENTO]],TAB_REF!$B$3:$F$27,2,0), "")</f>
        <v/>
      </c>
      <c r="AA564" s="10" t="str">
        <f>IFERROR(VLOOKUP(Tabla1[[#This Row],[MEDICAMENTO]],TAB_REF!$B$3:$F$27,3,0), "")</f>
        <v/>
      </c>
      <c r="AB564" s="10" t="str">
        <f>IFERROR(VLOOKUP(Tabla1[[#This Row],[MEDICAMENTO]],TAB_REF!$B$3:$F$27,4,0), "")</f>
        <v/>
      </c>
      <c r="AC564" s="10" t="str">
        <f>IFERROR(VLOOKUP(Tabla1[[#This Row],[MEDICAMENTO]],TAB_REF!$B$3:$F$27,5,0), "")</f>
        <v/>
      </c>
      <c r="AD564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565" spans="2:30" x14ac:dyDescent="0.25">
      <c r="B565" s="10">
        <v>219</v>
      </c>
      <c r="C565" s="10" t="s">
        <v>3218</v>
      </c>
      <c r="D565" s="10" t="s">
        <v>3219</v>
      </c>
      <c r="E565" s="10" t="s">
        <v>2539</v>
      </c>
      <c r="F565" s="10" t="s">
        <v>2540</v>
      </c>
      <c r="G565" s="10" t="s">
        <v>2541</v>
      </c>
      <c r="H565" s="10" t="s">
        <v>2887</v>
      </c>
      <c r="I565" s="10" t="s">
        <v>2120</v>
      </c>
      <c r="J565" s="10" t="s">
        <v>1696</v>
      </c>
      <c r="K565" s="10" t="s">
        <v>3220</v>
      </c>
      <c r="L565" s="11">
        <v>202124100799152</v>
      </c>
      <c r="M565" s="20">
        <v>44322</v>
      </c>
      <c r="N565" s="20" t="str">
        <f>UPPER(TEXT(Tabla1[[#This Row],[FECHA RADICADO ENTRADA]],"MMM"))</f>
        <v>MAY</v>
      </c>
      <c r="O565" s="11">
        <v>202124110718611</v>
      </c>
      <c r="Q565" s="20" t="str">
        <f>UPPER(TEXT(Tabla1[[#This Row],[FECHA RADICADO ENTRADA]],"MMM"))</f>
        <v>MAY</v>
      </c>
      <c r="R565" s="10">
        <f t="shared" si="8"/>
        <v>44322</v>
      </c>
      <c r="S565" s="10" t="s">
        <v>2154</v>
      </c>
      <c r="T565" s="10" t="s">
        <v>3268</v>
      </c>
      <c r="U565" s="10" t="s">
        <v>2544</v>
      </c>
      <c r="V565" s="20">
        <v>42830</v>
      </c>
      <c r="W565" s="10" t="s">
        <v>60</v>
      </c>
      <c r="X565" s="10">
        <v>20</v>
      </c>
      <c r="Y565" s="11">
        <f>IFERROR(INT(Tabla1[[#This Row],[CANTIDAD UND FARMACEUTICAS]]/(VLOOKUP(Tabla1[[#This Row],[MEDICAMENTO]],TAB_REF!$K$3:$L$27,2,0))),"")</f>
        <v>20</v>
      </c>
      <c r="Z565" s="10" t="str">
        <f>IFERROR(VLOOKUP(Tabla1[[#This Row],[MEDICAMENTO]],TAB_REF!$B$3:$F$27,2,0), "")</f>
        <v xml:space="preserve">Morfina HCl </v>
      </c>
      <c r="AA565" s="10" t="str">
        <f>IFERROR(VLOOKUP(Tabla1[[#This Row],[MEDICAMENTO]],TAB_REF!$B$3:$F$27,3,0), "")</f>
        <v xml:space="preserve">3%. </v>
      </c>
      <c r="AB565" s="10" t="str">
        <f>IFERROR(VLOOKUP(Tabla1[[#This Row],[MEDICAMENTO]],TAB_REF!$B$3:$F$27,4,0), "")</f>
        <v>Solución Oral</v>
      </c>
      <c r="AC565" s="10" t="str">
        <f>IFERROR(VLOOKUP(Tabla1[[#This Row],[MEDICAMENTO]],TAB_REF!$B$3:$F$27,5,0), "")</f>
        <v>Frasco x 30 mL</v>
      </c>
      <c r="AD565" s="10" t="str">
        <f>IFERROR(VLOOKUP(Tabla1[[#This Row],[CANTIDAD UND COMERCIALES]],TAB_REF!$H$3:$I$1003,2,0)&amp;" ("&amp;Tabla1[[#This Row],[CANTIDAD UND COMERCIALES]]&amp;")"&amp;"_"&amp;Tabla1[[#This Row],[CANTIDAD]],"")</f>
        <v>Veinte (20)_Frasco x 30 mL</v>
      </c>
    </row>
    <row r="566" spans="2:30" x14ac:dyDescent="0.25">
      <c r="B566" s="10">
        <v>219</v>
      </c>
      <c r="C566" s="10" t="s">
        <v>3218</v>
      </c>
      <c r="D566" s="10" t="s">
        <v>3219</v>
      </c>
      <c r="E566" s="10" t="s">
        <v>2539</v>
      </c>
      <c r="F566" s="10" t="s">
        <v>2540</v>
      </c>
      <c r="G566" s="10" t="s">
        <v>2541</v>
      </c>
      <c r="H566" s="10" t="s">
        <v>2887</v>
      </c>
      <c r="I566" s="10" t="s">
        <v>2120</v>
      </c>
      <c r="J566" s="10" t="s">
        <v>1696</v>
      </c>
      <c r="K566" s="10" t="s">
        <v>3220</v>
      </c>
      <c r="L566" s="11">
        <v>202124100799152</v>
      </c>
      <c r="M566" s="20">
        <v>44322</v>
      </c>
      <c r="N566" s="20" t="str">
        <f>UPPER(TEXT(Tabla1[[#This Row],[FECHA RADICADO ENTRADA]],"MMM"))</f>
        <v>MAY</v>
      </c>
      <c r="O566" s="11">
        <v>202124110718611</v>
      </c>
      <c r="Q566" s="20" t="str">
        <f>UPPER(TEXT(Tabla1[[#This Row],[FECHA RADICADO ENTRADA]],"MMM"))</f>
        <v>MAY</v>
      </c>
      <c r="R566" s="10">
        <f t="shared" si="8"/>
        <v>44322</v>
      </c>
      <c r="S566" s="10" t="s">
        <v>2154</v>
      </c>
      <c r="T566" s="10" t="s">
        <v>3268</v>
      </c>
      <c r="U566" s="10" t="s">
        <v>2544</v>
      </c>
      <c r="V566" s="20">
        <v>42830</v>
      </c>
      <c r="W566" s="10" t="s">
        <v>41</v>
      </c>
      <c r="X566" s="10">
        <v>600</v>
      </c>
      <c r="Y566" s="11">
        <f>IFERROR(INT(Tabla1[[#This Row],[CANTIDAD UND FARMACEUTICAS]]/(VLOOKUP(Tabla1[[#This Row],[MEDICAMENTO]],TAB_REF!$K$3:$L$27,2,0))),"")</f>
        <v>60</v>
      </c>
      <c r="Z566" s="10" t="str">
        <f>IFERROR(VLOOKUP(Tabla1[[#This Row],[MEDICAMENTO]],TAB_REF!$B$3:$F$27,2,0), "")</f>
        <v xml:space="preserve">Meperidina HCl </v>
      </c>
      <c r="AA566" s="10" t="str">
        <f>IFERROR(VLOOKUP(Tabla1[[#This Row],[MEDICAMENTO]],TAB_REF!$B$3:$F$27,3,0), "")</f>
        <v xml:space="preserve">100 mg/2mL </v>
      </c>
      <c r="AB566" s="10" t="str">
        <f>IFERROR(VLOOKUP(Tabla1[[#This Row],[MEDICAMENTO]],TAB_REF!$B$3:$F$27,4,0), "")</f>
        <v>Solución Inyectable</v>
      </c>
      <c r="AC566" s="10" t="str">
        <f>IFERROR(VLOOKUP(Tabla1[[#This Row],[MEDICAMENTO]],TAB_REF!$B$3:$F$27,5,0), "")</f>
        <v>Caja 10 ampollas</v>
      </c>
      <c r="AD566" s="10" t="str">
        <f>IFERROR(VLOOKUP(Tabla1[[#This Row],[CANTIDAD UND COMERCIALES]],TAB_REF!$H$3:$I$1003,2,0)&amp;" ("&amp;Tabla1[[#This Row],[CANTIDAD UND COMERCIALES]]&amp;")"&amp;"_"&amp;Tabla1[[#This Row],[CANTIDAD]],"")</f>
        <v>Sesenta (60)_Caja 10 ampollas</v>
      </c>
    </row>
    <row r="567" spans="2:30" x14ac:dyDescent="0.25">
      <c r="B567" s="10">
        <v>220</v>
      </c>
      <c r="C567" s="10" t="s">
        <v>3269</v>
      </c>
      <c r="D567" s="10" t="s">
        <v>3270</v>
      </c>
      <c r="E567" s="10" t="s">
        <v>3271</v>
      </c>
      <c r="F567" s="10" t="s">
        <v>3272</v>
      </c>
      <c r="G567" s="10" t="s">
        <v>3273</v>
      </c>
      <c r="H567" s="10" t="s">
        <v>3274</v>
      </c>
      <c r="I567" s="10" t="s">
        <v>2122</v>
      </c>
      <c r="J567" s="10" t="s">
        <v>1749</v>
      </c>
      <c r="K567" s="10" t="s">
        <v>3275</v>
      </c>
      <c r="L567" s="11">
        <v>202124100802382</v>
      </c>
      <c r="M567" s="20">
        <v>44322</v>
      </c>
      <c r="N567" s="20" t="str">
        <f>UPPER(TEXT(Tabla1[[#This Row],[FECHA RADICADO ENTRADA]],"MMM"))</f>
        <v>MAY</v>
      </c>
      <c r="O567" s="11">
        <v>202124110770651</v>
      </c>
      <c r="P567" s="20">
        <v>44340</v>
      </c>
      <c r="Q567" s="20" t="str">
        <f>UPPER(TEXT(Tabla1[[#This Row],[FECHA RADICADO ENTRADA]],"MMM"))</f>
        <v>MAY</v>
      </c>
      <c r="R567" s="10">
        <f t="shared" si="8"/>
        <v>-18</v>
      </c>
      <c r="S567" s="10" t="s">
        <v>2145</v>
      </c>
      <c r="T567" s="10" t="s">
        <v>3245</v>
      </c>
      <c r="U567" s="10" t="s">
        <v>3267</v>
      </c>
      <c r="V567" s="20" t="s">
        <v>2164</v>
      </c>
      <c r="W567" s="10" t="s">
        <v>41</v>
      </c>
      <c r="X567" s="10">
        <v>0</v>
      </c>
      <c r="Y567" s="11">
        <f>IFERROR(INT(Tabla1[[#This Row],[CANTIDAD UND FARMACEUTICAS]]/(VLOOKUP(Tabla1[[#This Row],[MEDICAMENTO]],TAB_REF!$K$3:$L$27,2,0))),"")</f>
        <v>0</v>
      </c>
      <c r="Z567" s="10" t="str">
        <f>IFERROR(VLOOKUP(Tabla1[[#This Row],[MEDICAMENTO]],TAB_REF!$B$3:$F$27,2,0), "")</f>
        <v xml:space="preserve">Meperidina HCl </v>
      </c>
      <c r="AA567" s="10" t="str">
        <f>IFERROR(VLOOKUP(Tabla1[[#This Row],[MEDICAMENTO]],TAB_REF!$B$3:$F$27,3,0), "")</f>
        <v xml:space="preserve">100 mg/2mL </v>
      </c>
      <c r="AB567" s="10" t="str">
        <f>IFERROR(VLOOKUP(Tabla1[[#This Row],[MEDICAMENTO]],TAB_REF!$B$3:$F$27,4,0), "")</f>
        <v>Solución Inyectable</v>
      </c>
      <c r="AC567" s="10" t="str">
        <f>IFERROR(VLOOKUP(Tabla1[[#This Row],[MEDICAMENTO]],TAB_REF!$B$3:$F$27,5,0), "")</f>
        <v>Caja 10 ampollas</v>
      </c>
      <c r="AD567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568" spans="2:30" x14ac:dyDescent="0.25">
      <c r="B568" s="10">
        <v>220</v>
      </c>
      <c r="C568" s="10" t="s">
        <v>3269</v>
      </c>
      <c r="D568" s="10" t="s">
        <v>3270</v>
      </c>
      <c r="E568" s="10" t="s">
        <v>3271</v>
      </c>
      <c r="F568" s="10" t="s">
        <v>3272</v>
      </c>
      <c r="G568" s="10" t="s">
        <v>3273</v>
      </c>
      <c r="H568" s="10" t="s">
        <v>3274</v>
      </c>
      <c r="I568" s="10" t="s">
        <v>2122</v>
      </c>
      <c r="J568" s="10" t="s">
        <v>1749</v>
      </c>
      <c r="K568" s="10" t="s">
        <v>3275</v>
      </c>
      <c r="L568" s="11">
        <v>202124100802382</v>
      </c>
      <c r="M568" s="20">
        <v>44322</v>
      </c>
      <c r="N568" s="20" t="str">
        <f>UPPER(TEXT(Tabla1[[#This Row],[FECHA RADICADO ENTRADA]],"MMM"))</f>
        <v>MAY</v>
      </c>
      <c r="O568" s="11">
        <v>202124110770651</v>
      </c>
      <c r="P568" s="20">
        <v>44340</v>
      </c>
      <c r="Q568" s="20" t="str">
        <f>UPPER(TEXT(Tabla1[[#This Row],[FECHA RADICADO ENTRADA]],"MMM"))</f>
        <v>MAY</v>
      </c>
      <c r="R568" s="10">
        <f t="shared" si="8"/>
        <v>-18</v>
      </c>
      <c r="S568" s="10" t="s">
        <v>2145</v>
      </c>
      <c r="T568" s="10" t="s">
        <v>3245</v>
      </c>
      <c r="U568" s="10" t="s">
        <v>3267</v>
      </c>
      <c r="V568" s="20" t="s">
        <v>2164</v>
      </c>
      <c r="W568" s="10" t="s">
        <v>63</v>
      </c>
      <c r="X568" s="10">
        <v>0</v>
      </c>
      <c r="Y568" s="11">
        <f>IFERROR(INT(Tabla1[[#This Row],[CANTIDAD UND FARMACEUTICAS]]/(VLOOKUP(Tabla1[[#This Row],[MEDICAMENTO]],TAB_REF!$K$3:$L$27,2,0))),"")</f>
        <v>0</v>
      </c>
      <c r="Z568" s="10" t="str">
        <f>IFERROR(VLOOKUP(Tabla1[[#This Row],[MEDICAMENTO]],TAB_REF!$B$3:$F$27,2,0), "")</f>
        <v xml:space="preserve">Morfina HCl </v>
      </c>
      <c r="AA568" s="10" t="str">
        <f>IFERROR(VLOOKUP(Tabla1[[#This Row],[MEDICAMENTO]],TAB_REF!$B$3:$F$27,3,0), "")</f>
        <v xml:space="preserve">10 mg/mL </v>
      </c>
      <c r="AB568" s="10" t="str">
        <f>IFERROR(VLOOKUP(Tabla1[[#This Row],[MEDICAMENTO]],TAB_REF!$B$3:$F$27,4,0), "")</f>
        <v>Solución Inyectable</v>
      </c>
      <c r="AC568" s="10" t="str">
        <f>IFERROR(VLOOKUP(Tabla1[[#This Row],[MEDICAMENTO]],TAB_REF!$B$3:$F$27,5,0), "")</f>
        <v>Caja x 10 unidades</v>
      </c>
      <c r="AD568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569" spans="2:30" x14ac:dyDescent="0.25">
      <c r="B569" s="10">
        <v>220</v>
      </c>
      <c r="C569" s="10" t="s">
        <v>3269</v>
      </c>
      <c r="D569" s="10" t="s">
        <v>3270</v>
      </c>
      <c r="E569" s="10" t="s">
        <v>3271</v>
      </c>
      <c r="F569" s="10" t="s">
        <v>3272</v>
      </c>
      <c r="G569" s="10" t="s">
        <v>3273</v>
      </c>
      <c r="H569" s="10" t="s">
        <v>3274</v>
      </c>
      <c r="I569" s="10" t="s">
        <v>2122</v>
      </c>
      <c r="J569" s="10" t="s">
        <v>1749</v>
      </c>
      <c r="K569" s="10" t="s">
        <v>3275</v>
      </c>
      <c r="L569" s="11">
        <v>202124100802382</v>
      </c>
      <c r="M569" s="20">
        <v>44322</v>
      </c>
      <c r="N569" s="20" t="str">
        <f>UPPER(TEXT(Tabla1[[#This Row],[FECHA RADICADO ENTRADA]],"MMM"))</f>
        <v>MAY</v>
      </c>
      <c r="O569" s="11">
        <v>202124110770651</v>
      </c>
      <c r="P569" s="20">
        <v>44340</v>
      </c>
      <c r="Q569" s="20" t="str">
        <f>UPPER(TEXT(Tabla1[[#This Row],[FECHA RADICADO ENTRADA]],"MMM"))</f>
        <v>MAY</v>
      </c>
      <c r="R569" s="10">
        <f t="shared" si="8"/>
        <v>-18</v>
      </c>
      <c r="S569" s="10" t="s">
        <v>2145</v>
      </c>
      <c r="T569" s="10" t="s">
        <v>3245</v>
      </c>
      <c r="U569" s="10" t="s">
        <v>3267</v>
      </c>
      <c r="V569" s="20" t="s">
        <v>2164</v>
      </c>
      <c r="W569" s="10" t="s">
        <v>36</v>
      </c>
      <c r="X569" s="10">
        <v>0</v>
      </c>
      <c r="Y569" s="11">
        <f>IFERROR(INT(Tabla1[[#This Row],[CANTIDAD UND FARMACEUTICAS]]/(VLOOKUP(Tabla1[[#This Row],[MEDICAMENTO]],TAB_REF!$K$3:$L$27,2,0))),"")</f>
        <v>0</v>
      </c>
      <c r="Z569" s="10" t="str">
        <f>IFERROR(VLOOKUP(Tabla1[[#This Row],[MEDICAMENTO]],TAB_REF!$B$3:$F$27,2,0), "")</f>
        <v xml:space="preserve">Fenobarbital Sódico </v>
      </c>
      <c r="AA569" s="10" t="str">
        <f>IFERROR(VLOOKUP(Tabla1[[#This Row],[MEDICAMENTO]],TAB_REF!$B$3:$F$27,3,0), "")</f>
        <v xml:space="preserve">40 mg/mL </v>
      </c>
      <c r="AB569" s="10" t="str">
        <f>IFERROR(VLOOKUP(Tabla1[[#This Row],[MEDICAMENTO]],TAB_REF!$B$3:$F$27,4,0), "")</f>
        <v>Solución Inyectable</v>
      </c>
      <c r="AC569" s="10" t="str">
        <f>IFERROR(VLOOKUP(Tabla1[[#This Row],[MEDICAMENTO]],TAB_REF!$B$3:$F$27,5,0), "")</f>
        <v>Caja x 10 unidades</v>
      </c>
      <c r="AD569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570" spans="2:30" x14ac:dyDescent="0.25">
      <c r="B570" s="10">
        <v>221</v>
      </c>
      <c r="C570" s="10" t="s">
        <v>3102</v>
      </c>
      <c r="D570" s="10" t="s">
        <v>2175</v>
      </c>
      <c r="E570" s="10" t="s">
        <v>3103</v>
      </c>
      <c r="F570" s="10" t="s">
        <v>3104</v>
      </c>
      <c r="G570" s="10" t="s">
        <v>3105</v>
      </c>
      <c r="H570" s="10" t="s">
        <v>3106</v>
      </c>
      <c r="I570" s="10" t="s">
        <v>2125</v>
      </c>
      <c r="J570" s="10" t="s">
        <v>1887</v>
      </c>
      <c r="K570" s="10" t="s">
        <v>3276</v>
      </c>
      <c r="L570" s="11">
        <v>202124100812532</v>
      </c>
      <c r="M570" s="20">
        <v>44323</v>
      </c>
      <c r="N570" s="20" t="str">
        <f>UPPER(TEXT(Tabla1[[#This Row],[FECHA RADICADO ENTRADA]],"MMM"))</f>
        <v>MAY</v>
      </c>
      <c r="O570" s="11">
        <v>202124110795281</v>
      </c>
      <c r="P570" s="20">
        <v>44341</v>
      </c>
      <c r="Q570" s="20" t="str">
        <f>UPPER(TEXT(Tabla1[[#This Row],[FECHA RADICADO ENTRADA]],"MMM"))</f>
        <v>MAY</v>
      </c>
      <c r="R570" s="10">
        <f t="shared" si="8"/>
        <v>-18</v>
      </c>
      <c r="S570" s="10" t="s">
        <v>2145</v>
      </c>
      <c r="U570" s="10" t="s">
        <v>3108</v>
      </c>
      <c r="V570" s="20">
        <v>44216</v>
      </c>
      <c r="W570" s="10" t="s">
        <v>28</v>
      </c>
      <c r="X570" s="10">
        <v>0</v>
      </c>
      <c r="Y570" s="11">
        <f>IFERROR(INT(Tabla1[[#This Row],[CANTIDAD UND FARMACEUTICAS]]/(VLOOKUP(Tabla1[[#This Row],[MEDICAMENTO]],TAB_REF!$K$3:$L$27,2,0))),"")</f>
        <v>0</v>
      </c>
      <c r="Z570" s="10" t="str">
        <f>IFERROR(VLOOKUP(Tabla1[[#This Row],[MEDICAMENTO]],TAB_REF!$B$3:$F$27,2,0), "")</f>
        <v xml:space="preserve">Fenobarbital </v>
      </c>
      <c r="AA570" s="10" t="str">
        <f>IFERROR(VLOOKUP(Tabla1[[#This Row],[MEDICAMENTO]],TAB_REF!$B$3:$F$27,3,0), "")</f>
        <v xml:space="preserve">0,4%. </v>
      </c>
      <c r="AB570" s="10" t="str">
        <f>IFERROR(VLOOKUP(Tabla1[[#This Row],[MEDICAMENTO]],TAB_REF!$B$3:$F$27,4,0), "")</f>
        <v>Solución Oral</v>
      </c>
      <c r="AC570" s="10" t="str">
        <f>IFERROR(VLOOKUP(Tabla1[[#This Row],[MEDICAMENTO]],TAB_REF!$B$3:$F$27,5,0), "")</f>
        <v>Frasco x 120 mL</v>
      </c>
      <c r="AD570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571" spans="2:30" x14ac:dyDescent="0.25">
      <c r="B571" s="10">
        <v>222</v>
      </c>
      <c r="C571" s="10" t="s">
        <v>3277</v>
      </c>
      <c r="D571" s="10" t="s">
        <v>3076</v>
      </c>
      <c r="E571" s="10" t="s">
        <v>2477</v>
      </c>
      <c r="F571" s="10" t="s">
        <v>2478</v>
      </c>
      <c r="G571" s="10" t="s">
        <v>2480</v>
      </c>
      <c r="H571" s="10" t="s">
        <v>2481</v>
      </c>
      <c r="I571" s="10" t="s">
        <v>2116</v>
      </c>
      <c r="J571" s="10" t="s">
        <v>1550</v>
      </c>
      <c r="K571" s="10" t="s">
        <v>3278</v>
      </c>
      <c r="L571" s="11">
        <v>202124100812802</v>
      </c>
      <c r="M571" s="20">
        <v>44323</v>
      </c>
      <c r="N571" s="20" t="str">
        <f>UPPER(TEXT(Tabla1[[#This Row],[FECHA RADICADO ENTRADA]],"MMM"))</f>
        <v>MAY</v>
      </c>
      <c r="O571" s="11">
        <v>202124110770701</v>
      </c>
      <c r="P571" s="20">
        <v>44334</v>
      </c>
      <c r="Q571" s="20" t="str">
        <f>UPPER(TEXT(Tabla1[[#This Row],[FECHA RADICADO ENTRADA]],"MMM"))</f>
        <v>MAY</v>
      </c>
      <c r="R571" s="10">
        <f t="shared" si="8"/>
        <v>-11</v>
      </c>
      <c r="S571" s="10" t="s">
        <v>2145</v>
      </c>
      <c r="T571" s="10" t="s">
        <v>3245</v>
      </c>
      <c r="U571" s="10" t="s">
        <v>3267</v>
      </c>
      <c r="V571" s="20" t="s">
        <v>2164</v>
      </c>
      <c r="W571" s="10" t="s">
        <v>63</v>
      </c>
      <c r="X571" s="10">
        <v>0</v>
      </c>
      <c r="Y571" s="11">
        <f>IFERROR(INT(Tabla1[[#This Row],[CANTIDAD UND FARMACEUTICAS]]/(VLOOKUP(Tabla1[[#This Row],[MEDICAMENTO]],TAB_REF!$K$3:$L$27,2,0))),"")</f>
        <v>0</v>
      </c>
      <c r="Z571" s="10" t="str">
        <f>IFERROR(VLOOKUP(Tabla1[[#This Row],[MEDICAMENTO]],TAB_REF!$B$3:$F$27,2,0), "")</f>
        <v xml:space="preserve">Morfina HCl </v>
      </c>
      <c r="AA571" s="10" t="str">
        <f>IFERROR(VLOOKUP(Tabla1[[#This Row],[MEDICAMENTO]],TAB_REF!$B$3:$F$27,3,0), "")</f>
        <v xml:space="preserve">10 mg/mL </v>
      </c>
      <c r="AB571" s="10" t="str">
        <f>IFERROR(VLOOKUP(Tabla1[[#This Row],[MEDICAMENTO]],TAB_REF!$B$3:$F$27,4,0), "")</f>
        <v>Solución Inyectable</v>
      </c>
      <c r="AC571" s="10" t="str">
        <f>IFERROR(VLOOKUP(Tabla1[[#This Row],[MEDICAMENTO]],TAB_REF!$B$3:$F$27,5,0), "")</f>
        <v>Caja x 10 unidades</v>
      </c>
      <c r="AD571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572" spans="2:30" x14ac:dyDescent="0.25">
      <c r="B572" s="10">
        <v>223</v>
      </c>
      <c r="C572" s="10" t="s">
        <v>3259</v>
      </c>
      <c r="D572" s="10" t="s">
        <v>3260</v>
      </c>
      <c r="E572" s="10" t="s">
        <v>3261</v>
      </c>
      <c r="F572" s="10" t="s">
        <v>2725</v>
      </c>
      <c r="G572" s="21" t="s">
        <v>2726</v>
      </c>
      <c r="H572" s="10" t="s">
        <v>3262</v>
      </c>
      <c r="I572" s="10" t="s">
        <v>2109</v>
      </c>
      <c r="J572" s="10" t="s">
        <v>1080</v>
      </c>
      <c r="K572" s="10" t="s">
        <v>3263</v>
      </c>
      <c r="L572" s="11">
        <v>202124100815972</v>
      </c>
      <c r="M572" s="20">
        <v>44323</v>
      </c>
      <c r="N572" s="20" t="str">
        <f>UPPER(TEXT(Tabla1[[#This Row],[FECHA RADICADO ENTRADA]],"MMM"))</f>
        <v>MAY</v>
      </c>
      <c r="O572" s="11">
        <v>202124110770731</v>
      </c>
      <c r="Q572" s="20" t="str">
        <f>UPPER(TEXT(Tabla1[[#This Row],[FECHA RADICADO ENTRADA]],"MMM"))</f>
        <v>MAY</v>
      </c>
      <c r="R572" s="10">
        <f t="shared" si="8"/>
        <v>44323</v>
      </c>
      <c r="S572" s="10" t="s">
        <v>2154</v>
      </c>
      <c r="U572" s="10" t="s">
        <v>2729</v>
      </c>
      <c r="V572" s="20">
        <v>43300</v>
      </c>
      <c r="W572" s="10" t="s">
        <v>63</v>
      </c>
      <c r="X572" s="10">
        <v>5000</v>
      </c>
      <c r="Y572" s="11">
        <f>IFERROR(INT(Tabla1[[#This Row],[CANTIDAD UND FARMACEUTICAS]]/(VLOOKUP(Tabla1[[#This Row],[MEDICAMENTO]],TAB_REF!$K$3:$L$27,2,0))),"")</f>
        <v>500</v>
      </c>
      <c r="Z572" s="10" t="str">
        <f>IFERROR(VLOOKUP(Tabla1[[#This Row],[MEDICAMENTO]],TAB_REF!$B$3:$F$27,2,0), "")</f>
        <v xml:space="preserve">Morfina HCl </v>
      </c>
      <c r="AA572" s="10" t="str">
        <f>IFERROR(VLOOKUP(Tabla1[[#This Row],[MEDICAMENTO]],TAB_REF!$B$3:$F$27,3,0), "")</f>
        <v xml:space="preserve">10 mg/mL </v>
      </c>
      <c r="AB572" s="10" t="str">
        <f>IFERROR(VLOOKUP(Tabla1[[#This Row],[MEDICAMENTO]],TAB_REF!$B$3:$F$27,4,0), "")</f>
        <v>Solución Inyectable</v>
      </c>
      <c r="AC572" s="10" t="str">
        <f>IFERROR(VLOOKUP(Tabla1[[#This Row],[MEDICAMENTO]],TAB_REF!$B$3:$F$27,5,0), "")</f>
        <v>Caja x 10 unidades</v>
      </c>
      <c r="AD572" s="10" t="str">
        <f>IFERROR(VLOOKUP(Tabla1[[#This Row],[CANTIDAD UND COMERCIALES]],TAB_REF!$H$3:$I$1003,2,0)&amp;" ("&amp;Tabla1[[#This Row],[CANTIDAD UND COMERCIALES]]&amp;")"&amp;"_"&amp;Tabla1[[#This Row],[CANTIDAD]],"")</f>
        <v>Quinientos (500)_Caja x 10 unidades</v>
      </c>
    </row>
    <row r="573" spans="2:30" x14ac:dyDescent="0.25">
      <c r="B573" s="10">
        <v>224</v>
      </c>
      <c r="C573" s="10" t="s">
        <v>3279</v>
      </c>
      <c r="D573" s="10" t="s">
        <v>3162</v>
      </c>
      <c r="E573" s="10" t="s">
        <v>3280</v>
      </c>
      <c r="F573" s="10" t="s">
        <v>2164</v>
      </c>
      <c r="G573" s="21" t="s">
        <v>3281</v>
      </c>
      <c r="H573" s="10" t="s">
        <v>3282</v>
      </c>
      <c r="I573" s="10" t="s">
        <v>2130</v>
      </c>
      <c r="K573" s="10" t="s">
        <v>3283</v>
      </c>
      <c r="L573" s="11">
        <v>202124100819562</v>
      </c>
      <c r="M573" s="20">
        <v>44326</v>
      </c>
      <c r="N573" s="20" t="str">
        <f>UPPER(TEXT(Tabla1[[#This Row],[FECHA RADICADO ENTRADA]],"MMM"))</f>
        <v>MAY</v>
      </c>
      <c r="O573" s="11">
        <v>202124110812911</v>
      </c>
      <c r="P573" s="20">
        <v>44341</v>
      </c>
      <c r="Q573" s="20" t="str">
        <f>UPPER(TEXT(Tabla1[[#This Row],[FECHA RADICADO ENTRADA]],"MMM"))</f>
        <v>MAY</v>
      </c>
      <c r="R573" s="10">
        <f t="shared" si="8"/>
        <v>-15</v>
      </c>
      <c r="S573" s="10" t="s">
        <v>2145</v>
      </c>
      <c r="T573" s="10" t="s">
        <v>3245</v>
      </c>
      <c r="U573" s="10" t="s">
        <v>3267</v>
      </c>
      <c r="V573" s="20" t="s">
        <v>2164</v>
      </c>
      <c r="W573" s="10" t="s">
        <v>38</v>
      </c>
      <c r="X573" s="10">
        <v>0</v>
      </c>
      <c r="Y573" s="11">
        <f>IFERROR(INT(Tabla1[[#This Row],[CANTIDAD UND FARMACEUTICAS]]/(VLOOKUP(Tabla1[[#This Row],[MEDICAMENTO]],TAB_REF!$K$3:$L$27,2,0))),"")</f>
        <v>0</v>
      </c>
      <c r="Z573" s="10" t="str">
        <f>IFERROR(VLOOKUP(Tabla1[[#This Row],[MEDICAMENTO]],TAB_REF!$B$3:$F$27,2,0), "")</f>
        <v xml:space="preserve">Hidromorfona HCl </v>
      </c>
      <c r="AA573" s="10" t="str">
        <f>IFERROR(VLOOKUP(Tabla1[[#This Row],[MEDICAMENTO]],TAB_REF!$B$3:$F$27,3,0), "")</f>
        <v xml:space="preserve">2,5 mg </v>
      </c>
      <c r="AB573" s="10" t="str">
        <f>IFERROR(VLOOKUP(Tabla1[[#This Row],[MEDICAMENTO]],TAB_REF!$B$3:$F$27,4,0), "")</f>
        <v>Tabletas</v>
      </c>
      <c r="AC573" s="10" t="str">
        <f>IFERROR(VLOOKUP(Tabla1[[#This Row],[MEDICAMENTO]],TAB_REF!$B$3:$F$27,5,0), "")</f>
        <v>Caja x 20 unidades</v>
      </c>
      <c r="AD573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574" spans="2:30" x14ac:dyDescent="0.25">
      <c r="B574" s="10">
        <v>224</v>
      </c>
      <c r="C574" s="10" t="s">
        <v>3279</v>
      </c>
      <c r="D574" s="10" t="s">
        <v>3162</v>
      </c>
      <c r="E574" s="10" t="s">
        <v>3280</v>
      </c>
      <c r="F574" s="10" t="s">
        <v>2164</v>
      </c>
      <c r="G574" s="21" t="s">
        <v>3281</v>
      </c>
      <c r="H574" s="10" t="s">
        <v>3282</v>
      </c>
      <c r="I574" s="10" t="s">
        <v>2130</v>
      </c>
      <c r="K574" s="10" t="s">
        <v>3283</v>
      </c>
      <c r="L574" s="11">
        <v>202124100819562</v>
      </c>
      <c r="M574" s="20">
        <v>44326</v>
      </c>
      <c r="N574" s="20" t="str">
        <f>UPPER(TEXT(Tabla1[[#This Row],[FECHA RADICADO ENTRADA]],"MMM"))</f>
        <v>MAY</v>
      </c>
      <c r="O574" s="11">
        <v>202124110812911</v>
      </c>
      <c r="P574" s="20">
        <v>44341</v>
      </c>
      <c r="Q574" s="20" t="str">
        <f>UPPER(TEXT(Tabla1[[#This Row],[FECHA RADICADO ENTRADA]],"MMM"))</f>
        <v>MAY</v>
      </c>
      <c r="R574" s="10">
        <f t="shared" ref="R574" si="9">_xlfn.DAYS(M574,P574)</f>
        <v>-15</v>
      </c>
      <c r="S574" s="10" t="s">
        <v>2145</v>
      </c>
      <c r="T574" s="10" t="s">
        <v>3245</v>
      </c>
      <c r="U574" s="10" t="s">
        <v>3267</v>
      </c>
      <c r="V574" s="20" t="s">
        <v>2164</v>
      </c>
      <c r="W574" s="10" t="s">
        <v>32</v>
      </c>
      <c r="X574" s="10">
        <v>0</v>
      </c>
      <c r="Y574" s="11">
        <f>IFERROR(INT(Tabla1[[#This Row],[CANTIDAD UND FARMACEUTICAS]]/(VLOOKUP(Tabla1[[#This Row],[MEDICAMENTO]],TAB_REF!$K$3:$L$27,2,0))),"")</f>
        <v>0</v>
      </c>
      <c r="Z574" s="10" t="str">
        <f>IFERROR(VLOOKUP(Tabla1[[#This Row],[MEDICAMENTO]],TAB_REF!$B$3:$F$27,2,0), "")</f>
        <v xml:space="preserve">Fenobarbital </v>
      </c>
      <c r="AA574" s="10" t="str">
        <f>IFERROR(VLOOKUP(Tabla1[[#This Row],[MEDICAMENTO]],TAB_REF!$B$3:$F$27,3,0), "")</f>
        <v xml:space="preserve">100 mg </v>
      </c>
      <c r="AB574" s="10" t="str">
        <f>IFERROR(VLOOKUP(Tabla1[[#This Row],[MEDICAMENTO]],TAB_REF!$B$3:$F$27,4,0), "")</f>
        <v>Tabletas</v>
      </c>
      <c r="AC574" s="10" t="str">
        <f>IFERROR(VLOOKUP(Tabla1[[#This Row],[MEDICAMENTO]],TAB_REF!$B$3:$F$27,5,0), "")</f>
        <v>Caja x 30 unidades</v>
      </c>
      <c r="AD574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575" spans="2:30" x14ac:dyDescent="0.25">
      <c r="B575" s="10">
        <v>225</v>
      </c>
      <c r="C575" s="10" t="s">
        <v>2384</v>
      </c>
      <c r="D575" s="10" t="s">
        <v>3162</v>
      </c>
      <c r="E575" s="10" t="s">
        <v>2385</v>
      </c>
      <c r="F575" s="10" t="s">
        <v>2386</v>
      </c>
      <c r="G575" s="21" t="s">
        <v>2810</v>
      </c>
      <c r="H575" s="10" t="s">
        <v>2811</v>
      </c>
      <c r="I575" s="10" t="s">
        <v>2122</v>
      </c>
      <c r="J575" s="10" t="s">
        <v>1742</v>
      </c>
      <c r="K575" s="10" t="s">
        <v>2812</v>
      </c>
      <c r="L575" s="11">
        <v>202124100821582</v>
      </c>
      <c r="M575" s="20">
        <v>44326</v>
      </c>
      <c r="N575" s="20" t="str">
        <f>UPPER(TEXT(Tabla1[[#This Row],[FECHA RADICADO ENTRADA]],"MMM"))</f>
        <v>MAY</v>
      </c>
      <c r="O575" s="11">
        <v>202124110716521</v>
      </c>
      <c r="P575" s="20">
        <v>44326</v>
      </c>
      <c r="Q575" s="20" t="str">
        <f>UPPER(TEXT(Tabla1[[#This Row],[FECHA RADICADO ENTRADA]],"MMM"))</f>
        <v>MAY</v>
      </c>
      <c r="R575" s="10">
        <f t="shared" si="8"/>
        <v>0</v>
      </c>
      <c r="S575" s="10" t="s">
        <v>2154</v>
      </c>
      <c r="T575" s="10" t="s">
        <v>3284</v>
      </c>
      <c r="U575" s="10" t="s">
        <v>2813</v>
      </c>
      <c r="V575" s="20">
        <v>43167</v>
      </c>
      <c r="W575" s="10" t="s">
        <v>32</v>
      </c>
      <c r="X575" s="10">
        <v>3000</v>
      </c>
      <c r="Y575" s="11">
        <f>IFERROR(INT(Tabla1[[#This Row],[CANTIDAD UND FARMACEUTICAS]]/(VLOOKUP(Tabla1[[#This Row],[MEDICAMENTO]],TAB_REF!$K$3:$L$27,2,0))),"")</f>
        <v>100</v>
      </c>
      <c r="Z575" s="10" t="str">
        <f>IFERROR(VLOOKUP(Tabla1[[#This Row],[MEDICAMENTO]],TAB_REF!$B$3:$F$27,2,0), "")</f>
        <v xml:space="preserve">Fenobarbital </v>
      </c>
      <c r="AA575" s="10" t="str">
        <f>IFERROR(VLOOKUP(Tabla1[[#This Row],[MEDICAMENTO]],TAB_REF!$B$3:$F$27,3,0), "")</f>
        <v xml:space="preserve">100 mg </v>
      </c>
      <c r="AB575" s="10" t="str">
        <f>IFERROR(VLOOKUP(Tabla1[[#This Row],[MEDICAMENTO]],TAB_REF!$B$3:$F$27,4,0), "")</f>
        <v>Tabletas</v>
      </c>
      <c r="AC575" s="10" t="str">
        <f>IFERROR(VLOOKUP(Tabla1[[#This Row],[MEDICAMENTO]],TAB_REF!$B$3:$F$27,5,0), "")</f>
        <v>Caja x 30 unidades</v>
      </c>
      <c r="AD575" s="10" t="str">
        <f>IFERROR(VLOOKUP(Tabla1[[#This Row],[CANTIDAD UND COMERCIALES]],TAB_REF!$H$3:$I$1003,2,0)&amp;" ("&amp;Tabla1[[#This Row],[CANTIDAD UND COMERCIALES]]&amp;")"&amp;"_"&amp;Tabla1[[#This Row],[CANTIDAD]],"")</f>
        <v>Cien (100)_Caja x 30 unidades</v>
      </c>
    </row>
    <row r="576" spans="2:30" x14ac:dyDescent="0.25">
      <c r="B576" s="10">
        <v>225</v>
      </c>
      <c r="C576" s="10" t="s">
        <v>2384</v>
      </c>
      <c r="D576" s="10" t="s">
        <v>3162</v>
      </c>
      <c r="E576" s="10" t="s">
        <v>2385</v>
      </c>
      <c r="F576" s="10" t="s">
        <v>2386</v>
      </c>
      <c r="G576" s="21" t="s">
        <v>2810</v>
      </c>
      <c r="H576" s="10" t="s">
        <v>2811</v>
      </c>
      <c r="I576" s="10" t="s">
        <v>2122</v>
      </c>
      <c r="J576" s="10" t="s">
        <v>1742</v>
      </c>
      <c r="K576" s="10" t="s">
        <v>2812</v>
      </c>
      <c r="L576" s="11">
        <v>202124100821582</v>
      </c>
      <c r="M576" s="20">
        <v>44326</v>
      </c>
      <c r="N576" s="20" t="str">
        <f>UPPER(TEXT(Tabla1[[#This Row],[FECHA RADICADO ENTRADA]],"MMM"))</f>
        <v>MAY</v>
      </c>
      <c r="O576" s="11">
        <v>202124110716521</v>
      </c>
      <c r="P576" s="20">
        <v>44326</v>
      </c>
      <c r="Q576" s="20" t="str">
        <f>UPPER(TEXT(Tabla1[[#This Row],[FECHA RADICADO ENTRADA]],"MMM"))</f>
        <v>MAY</v>
      </c>
      <c r="R576" s="10">
        <f t="shared" ref="R576:R577" si="10">_xlfn.DAYS(M576,P576)</f>
        <v>0</v>
      </c>
      <c r="S576" s="10" t="s">
        <v>2154</v>
      </c>
      <c r="T576" s="10" t="s">
        <v>3284</v>
      </c>
      <c r="U576" s="10" t="s">
        <v>2813</v>
      </c>
      <c r="V576" s="20">
        <v>43167</v>
      </c>
      <c r="W576" s="10" t="s">
        <v>48</v>
      </c>
      <c r="X576" s="10">
        <v>120</v>
      </c>
      <c r="Y576" s="11">
        <f>IFERROR(INT(Tabla1[[#This Row],[CANTIDAD UND FARMACEUTICAS]]/(VLOOKUP(Tabla1[[#This Row],[MEDICAMENTO]],TAB_REF!$K$3:$L$27,2,0))),"")</f>
        <v>4</v>
      </c>
      <c r="Z576" s="10" t="str">
        <f>IFERROR(VLOOKUP(Tabla1[[#This Row],[MEDICAMENTO]],TAB_REF!$B$3:$F$27,2,0), "")</f>
        <v xml:space="preserve">Metilfenidato HCl </v>
      </c>
      <c r="AA576" s="10" t="str">
        <f>IFERROR(VLOOKUP(Tabla1[[#This Row],[MEDICAMENTO]],TAB_REF!$B$3:$F$27,3,0), "")</f>
        <v xml:space="preserve">10 mg </v>
      </c>
      <c r="AB576" s="10" t="str">
        <f>IFERROR(VLOOKUP(Tabla1[[#This Row],[MEDICAMENTO]],TAB_REF!$B$3:$F$27,4,0), "")</f>
        <v>Comprimidos</v>
      </c>
      <c r="AC576" s="10" t="str">
        <f>IFERROR(VLOOKUP(Tabla1[[#This Row],[MEDICAMENTO]],TAB_REF!$B$3:$F$27,5,0), "")</f>
        <v>Caja x 30 unidades</v>
      </c>
      <c r="AD576" s="10" t="str">
        <f>IFERROR(VLOOKUP(Tabla1[[#This Row],[CANTIDAD UND COMERCIALES]],TAB_REF!$H$3:$I$1003,2,0)&amp;" ("&amp;Tabla1[[#This Row],[CANTIDAD UND COMERCIALES]]&amp;")"&amp;"_"&amp;Tabla1[[#This Row],[CANTIDAD]],"")</f>
        <v>Cuatro (4)_Caja x 30 unidades</v>
      </c>
    </row>
    <row r="577" spans="2:30" x14ac:dyDescent="0.25">
      <c r="B577" s="10">
        <v>225</v>
      </c>
      <c r="C577" s="10" t="s">
        <v>2384</v>
      </c>
      <c r="D577" s="10" t="s">
        <v>3162</v>
      </c>
      <c r="E577" s="10" t="s">
        <v>2385</v>
      </c>
      <c r="F577" s="10" t="s">
        <v>2386</v>
      </c>
      <c r="G577" s="21" t="s">
        <v>2810</v>
      </c>
      <c r="H577" s="10" t="s">
        <v>2811</v>
      </c>
      <c r="I577" s="10" t="s">
        <v>2122</v>
      </c>
      <c r="J577" s="10" t="s">
        <v>1742</v>
      </c>
      <c r="K577" s="10" t="s">
        <v>2812</v>
      </c>
      <c r="L577" s="11">
        <v>202124100821582</v>
      </c>
      <c r="M577" s="20">
        <v>44326</v>
      </c>
      <c r="N577" s="20" t="str">
        <f>UPPER(TEXT(Tabla1[[#This Row],[FECHA RADICADO ENTRADA]],"MMM"))</f>
        <v>MAY</v>
      </c>
      <c r="O577" s="11">
        <v>202124110716521</v>
      </c>
      <c r="P577" s="20">
        <v>44326</v>
      </c>
      <c r="Q577" s="20" t="str">
        <f>UPPER(TEXT(Tabla1[[#This Row],[FECHA RADICADO ENTRADA]],"MMM"))</f>
        <v>MAY</v>
      </c>
      <c r="R577" s="10">
        <f t="shared" si="10"/>
        <v>0</v>
      </c>
      <c r="S577" s="10" t="s">
        <v>2154</v>
      </c>
      <c r="T577" s="10" t="s">
        <v>3284</v>
      </c>
      <c r="U577" s="10" t="s">
        <v>2813</v>
      </c>
      <c r="V577" s="20">
        <v>43167</v>
      </c>
      <c r="W577" s="10" t="s">
        <v>60</v>
      </c>
      <c r="X577" s="10">
        <v>5</v>
      </c>
      <c r="Y577" s="11">
        <f>IFERROR(INT(Tabla1[[#This Row],[CANTIDAD UND FARMACEUTICAS]]/(VLOOKUP(Tabla1[[#This Row],[MEDICAMENTO]],TAB_REF!$K$3:$L$27,2,0))),"")</f>
        <v>5</v>
      </c>
      <c r="Z577" s="10" t="str">
        <f>IFERROR(VLOOKUP(Tabla1[[#This Row],[MEDICAMENTO]],TAB_REF!$B$3:$F$27,2,0), "")</f>
        <v xml:space="preserve">Morfina HCl </v>
      </c>
      <c r="AA577" s="10" t="str">
        <f>IFERROR(VLOOKUP(Tabla1[[#This Row],[MEDICAMENTO]],TAB_REF!$B$3:$F$27,3,0), "")</f>
        <v xml:space="preserve">3%. </v>
      </c>
      <c r="AB577" s="10" t="str">
        <f>IFERROR(VLOOKUP(Tabla1[[#This Row],[MEDICAMENTO]],TAB_REF!$B$3:$F$27,4,0), "")</f>
        <v>Solución Oral</v>
      </c>
      <c r="AC577" s="10" t="str">
        <f>IFERROR(VLOOKUP(Tabla1[[#This Row],[MEDICAMENTO]],TAB_REF!$B$3:$F$27,5,0), "")</f>
        <v>Frasco x 30 mL</v>
      </c>
      <c r="AD577" s="10" t="str">
        <f>IFERROR(VLOOKUP(Tabla1[[#This Row],[CANTIDAD UND COMERCIALES]],TAB_REF!$H$3:$I$1003,2,0)&amp;" ("&amp;Tabla1[[#This Row],[CANTIDAD UND COMERCIALES]]&amp;")"&amp;"_"&amp;Tabla1[[#This Row],[CANTIDAD]],"")</f>
        <v>Cinco (5)_Frasco x 30 mL</v>
      </c>
    </row>
    <row r="578" spans="2:30" x14ac:dyDescent="0.25">
      <c r="B578" s="10">
        <v>226</v>
      </c>
      <c r="C578" s="10" t="s">
        <v>2764</v>
      </c>
      <c r="D578" s="10" t="s">
        <v>3076</v>
      </c>
      <c r="E578" s="10" t="s">
        <v>3196</v>
      </c>
      <c r="F578" s="10" t="s">
        <v>2533</v>
      </c>
      <c r="G578" s="10" t="s">
        <v>2737</v>
      </c>
      <c r="H578" s="10" t="s">
        <v>2738</v>
      </c>
      <c r="I578" s="10" t="s">
        <v>2113</v>
      </c>
      <c r="J578" s="10" t="s">
        <v>1442</v>
      </c>
      <c r="K578" s="10" t="s">
        <v>3285</v>
      </c>
      <c r="L578" s="11">
        <v>202124100825032</v>
      </c>
      <c r="M578" s="20">
        <v>44326</v>
      </c>
      <c r="N578" s="20" t="str">
        <f>UPPER(TEXT(Tabla1[[#This Row],[FECHA RADICADO ENTRADA]],"MMM"))</f>
        <v>MAY</v>
      </c>
      <c r="O578" s="11">
        <v>202124110722491</v>
      </c>
      <c r="P578" s="20">
        <v>44341</v>
      </c>
      <c r="Q578" s="20" t="str">
        <f>UPPER(TEXT(Tabla1[[#This Row],[FECHA RADICADO ENTRADA]],"MMM"))</f>
        <v>MAY</v>
      </c>
      <c r="R578" s="10">
        <f t="shared" ref="R578:R641" si="11">_xlfn.DAYS(M578,P578)</f>
        <v>-15</v>
      </c>
      <c r="S578" s="10" t="s">
        <v>2145</v>
      </c>
      <c r="T578" s="10" t="s">
        <v>3131</v>
      </c>
      <c r="U578" s="10" t="s">
        <v>2740</v>
      </c>
      <c r="V578" s="20">
        <v>44223</v>
      </c>
      <c r="W578" s="10" t="s">
        <v>64</v>
      </c>
      <c r="X578" s="10">
        <v>0</v>
      </c>
      <c r="Y578" s="11">
        <f>IFERROR(INT(Tabla1[[#This Row],[CANTIDAD UND FARMACEUTICAS]]/(VLOOKUP(Tabla1[[#This Row],[MEDICAMENTO]],TAB_REF!$K$3:$L$27,2,0))),"")</f>
        <v>0</v>
      </c>
      <c r="Z578" s="10" t="str">
        <f>IFERROR(VLOOKUP(Tabla1[[#This Row],[MEDICAMENTO]],TAB_REF!$B$3:$F$27,2,0), "")</f>
        <v xml:space="preserve">Morfina HCl </v>
      </c>
      <c r="AA578" s="10" t="str">
        <f>IFERROR(VLOOKUP(Tabla1[[#This Row],[MEDICAMENTO]],TAB_REF!$B$3:$F$27,3,0), "")</f>
        <v xml:space="preserve">10 (50mg/5mL) </v>
      </c>
      <c r="AB578" s="10" t="str">
        <f>IFERROR(VLOOKUP(Tabla1[[#This Row],[MEDICAMENTO]],TAB_REF!$B$3:$F$27,4,0), "")</f>
        <v>Solución Inyectable</v>
      </c>
      <c r="AC578" s="10" t="str">
        <f>IFERROR(VLOOKUP(Tabla1[[#This Row],[MEDICAMENTO]],TAB_REF!$B$3:$F$27,5,0), "")</f>
        <v>Caja x 5 unidades</v>
      </c>
      <c r="AD578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579" spans="2:30" x14ac:dyDescent="0.25">
      <c r="B579" s="10">
        <v>227</v>
      </c>
      <c r="C579" s="10" t="s">
        <v>3182</v>
      </c>
      <c r="D579" s="10" t="s">
        <v>3186</v>
      </c>
      <c r="E579" s="10" t="s">
        <v>2313</v>
      </c>
      <c r="F579" s="10" t="s">
        <v>2314</v>
      </c>
      <c r="G579" s="10" t="s">
        <v>2315</v>
      </c>
      <c r="H579" s="10" t="s">
        <v>3184</v>
      </c>
      <c r="I579" s="10" t="s">
        <v>2122</v>
      </c>
      <c r="J579" s="10" t="s">
        <v>1742</v>
      </c>
      <c r="K579" s="10" t="s">
        <v>3222</v>
      </c>
      <c r="L579" s="11">
        <v>202124100826672</v>
      </c>
      <c r="M579" s="20">
        <v>44326</v>
      </c>
      <c r="N579" s="20" t="str">
        <f>UPPER(TEXT(Tabla1[[#This Row],[FECHA RADICADO ENTRADA]],"MMM"))</f>
        <v>MAY</v>
      </c>
      <c r="O579" s="11">
        <v>202124110716621</v>
      </c>
      <c r="P579" s="20">
        <v>44326</v>
      </c>
      <c r="Q579" s="20" t="str">
        <f>UPPER(TEXT(Tabla1[[#This Row],[FECHA RADICADO ENTRADA]],"MMM"))</f>
        <v>MAY</v>
      </c>
      <c r="R579" s="10">
        <f t="shared" si="11"/>
        <v>0</v>
      </c>
      <c r="S579" s="10" t="s">
        <v>2145</v>
      </c>
      <c r="U579" s="10" t="s">
        <v>2317</v>
      </c>
      <c r="V579" s="20">
        <v>43081</v>
      </c>
      <c r="W579" s="10" t="s">
        <v>32</v>
      </c>
      <c r="X579" s="10">
        <v>0</v>
      </c>
      <c r="Y579" s="11">
        <f>IFERROR(INT(Tabla1[[#This Row],[CANTIDAD UND FARMACEUTICAS]]/(VLOOKUP(Tabla1[[#This Row],[MEDICAMENTO]],TAB_REF!$K$3:$L$27,2,0))),"")</f>
        <v>0</v>
      </c>
      <c r="Z579" s="10" t="str">
        <f>IFERROR(VLOOKUP(Tabla1[[#This Row],[MEDICAMENTO]],TAB_REF!$B$3:$F$27,2,0), "")</f>
        <v xml:space="preserve">Fenobarbital </v>
      </c>
      <c r="AA579" s="10" t="str">
        <f>IFERROR(VLOOKUP(Tabla1[[#This Row],[MEDICAMENTO]],TAB_REF!$B$3:$F$27,3,0), "")</f>
        <v xml:space="preserve">100 mg </v>
      </c>
      <c r="AB579" s="10" t="str">
        <f>IFERROR(VLOOKUP(Tabla1[[#This Row],[MEDICAMENTO]],TAB_REF!$B$3:$F$27,4,0), "")</f>
        <v>Tabletas</v>
      </c>
      <c r="AC579" s="10" t="str">
        <f>IFERROR(VLOOKUP(Tabla1[[#This Row],[MEDICAMENTO]],TAB_REF!$B$3:$F$27,5,0), "")</f>
        <v>Caja x 30 unidades</v>
      </c>
      <c r="AD579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580" spans="2:30" x14ac:dyDescent="0.25">
      <c r="B580" s="10">
        <v>227</v>
      </c>
      <c r="C580" s="10" t="s">
        <v>3182</v>
      </c>
      <c r="D580" s="10" t="s">
        <v>3186</v>
      </c>
      <c r="E580" s="10" t="s">
        <v>2313</v>
      </c>
      <c r="F580" s="10" t="s">
        <v>2314</v>
      </c>
      <c r="G580" s="10" t="s">
        <v>2315</v>
      </c>
      <c r="H580" s="10" t="s">
        <v>3184</v>
      </c>
      <c r="I580" s="10" t="s">
        <v>2122</v>
      </c>
      <c r="J580" s="10" t="s">
        <v>1742</v>
      </c>
      <c r="K580" s="10" t="s">
        <v>3222</v>
      </c>
      <c r="L580" s="11">
        <v>202124100826672</v>
      </c>
      <c r="M580" s="20">
        <v>44326</v>
      </c>
      <c r="N580" s="20" t="str">
        <f>UPPER(TEXT(Tabla1[[#This Row],[FECHA RADICADO ENTRADA]],"MMM"))</f>
        <v>MAY</v>
      </c>
      <c r="O580" s="11">
        <v>202124110716621</v>
      </c>
      <c r="P580" s="20">
        <v>44326</v>
      </c>
      <c r="Q580" s="20" t="str">
        <f>UPPER(TEXT(Tabla1[[#This Row],[FECHA RADICADO ENTRADA]],"MMM"))</f>
        <v>MAY</v>
      </c>
      <c r="R580" s="10">
        <f t="shared" si="11"/>
        <v>0</v>
      </c>
      <c r="S580" s="10" t="s">
        <v>2145</v>
      </c>
      <c r="U580" s="10" t="s">
        <v>2317</v>
      </c>
      <c r="V580" s="20">
        <v>43081</v>
      </c>
      <c r="W580" s="10" t="s">
        <v>60</v>
      </c>
      <c r="X580" s="10">
        <v>0</v>
      </c>
      <c r="Y580" s="11">
        <f>IFERROR(INT(Tabla1[[#This Row],[CANTIDAD UND FARMACEUTICAS]]/(VLOOKUP(Tabla1[[#This Row],[MEDICAMENTO]],TAB_REF!$K$3:$L$27,2,0))),"")</f>
        <v>0</v>
      </c>
      <c r="Z580" s="10" t="str">
        <f>IFERROR(VLOOKUP(Tabla1[[#This Row],[MEDICAMENTO]],TAB_REF!$B$3:$F$27,2,0), "")</f>
        <v xml:space="preserve">Morfina HCl </v>
      </c>
      <c r="AA580" s="10" t="str">
        <f>IFERROR(VLOOKUP(Tabla1[[#This Row],[MEDICAMENTO]],TAB_REF!$B$3:$F$27,3,0), "")</f>
        <v xml:space="preserve">3%. </v>
      </c>
      <c r="AB580" s="10" t="str">
        <f>IFERROR(VLOOKUP(Tabla1[[#This Row],[MEDICAMENTO]],TAB_REF!$B$3:$F$27,4,0), "")</f>
        <v>Solución Oral</v>
      </c>
      <c r="AC580" s="10" t="str">
        <f>IFERROR(VLOOKUP(Tabla1[[#This Row],[MEDICAMENTO]],TAB_REF!$B$3:$F$27,5,0), "")</f>
        <v>Frasco x 30 mL</v>
      </c>
      <c r="AD580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581" spans="2:30" x14ac:dyDescent="0.25">
      <c r="B581" s="10">
        <v>228</v>
      </c>
      <c r="C581" s="10" t="s">
        <v>2149</v>
      </c>
      <c r="D581" s="10" t="s">
        <v>2162</v>
      </c>
      <c r="E581" s="10" t="s">
        <v>2150</v>
      </c>
      <c r="F581" s="10" t="s">
        <v>2192</v>
      </c>
      <c r="G581" s="10" t="s">
        <v>2152</v>
      </c>
      <c r="H581" s="10" t="s">
        <v>2151</v>
      </c>
      <c r="I581" s="10" t="s">
        <v>2116</v>
      </c>
      <c r="J581" s="10" t="s">
        <v>1550</v>
      </c>
      <c r="K581" s="10" t="s">
        <v>3286</v>
      </c>
      <c r="L581" s="11">
        <v>202124100826882</v>
      </c>
      <c r="M581" s="20">
        <v>44326</v>
      </c>
      <c r="N581" s="20" t="str">
        <f>UPPER(TEXT(Tabla1[[#This Row],[FECHA RADICADO ENTRADA]],"MMM"))</f>
        <v>MAY</v>
      </c>
      <c r="O581" s="11">
        <v>202124110795221</v>
      </c>
      <c r="P581" s="20">
        <v>44340</v>
      </c>
      <c r="Q581" s="20" t="str">
        <f>UPPER(TEXT(Tabla1[[#This Row],[FECHA RADICADO ENTRADA]],"MMM"))</f>
        <v>MAY</v>
      </c>
      <c r="R581" s="10">
        <f t="shared" si="11"/>
        <v>-14</v>
      </c>
      <c r="S581" s="10" t="s">
        <v>2154</v>
      </c>
      <c r="U581" s="10" t="s">
        <v>2153</v>
      </c>
      <c r="V581" s="20">
        <v>43829</v>
      </c>
      <c r="W581" s="10" t="s">
        <v>63</v>
      </c>
      <c r="X581" s="10">
        <v>2000</v>
      </c>
      <c r="Y581" s="11">
        <f>IFERROR(INT(Tabla1[[#This Row],[CANTIDAD UND FARMACEUTICAS]]/(VLOOKUP(Tabla1[[#This Row],[MEDICAMENTO]],TAB_REF!$K$3:$L$27,2,0))),"")</f>
        <v>200</v>
      </c>
      <c r="Z581" s="10" t="str">
        <f>IFERROR(VLOOKUP(Tabla1[[#This Row],[MEDICAMENTO]],TAB_REF!$B$3:$F$27,2,0), "")</f>
        <v xml:space="preserve">Morfina HCl </v>
      </c>
      <c r="AA581" s="10" t="str">
        <f>IFERROR(VLOOKUP(Tabla1[[#This Row],[MEDICAMENTO]],TAB_REF!$B$3:$F$27,3,0), "")</f>
        <v xml:space="preserve">10 mg/mL </v>
      </c>
      <c r="AB581" s="10" t="str">
        <f>IFERROR(VLOOKUP(Tabla1[[#This Row],[MEDICAMENTO]],TAB_REF!$B$3:$F$27,4,0), "")</f>
        <v>Solución Inyectable</v>
      </c>
      <c r="AC581" s="10" t="str">
        <f>IFERROR(VLOOKUP(Tabla1[[#This Row],[MEDICAMENTO]],TAB_REF!$B$3:$F$27,5,0), "")</f>
        <v>Caja x 10 unidades</v>
      </c>
      <c r="AD581" s="10" t="str">
        <f>IFERROR(VLOOKUP(Tabla1[[#This Row],[CANTIDAD UND COMERCIALES]],TAB_REF!$H$3:$I$1003,2,0)&amp;" ("&amp;Tabla1[[#This Row],[CANTIDAD UND COMERCIALES]]&amp;")"&amp;"_"&amp;Tabla1[[#This Row],[CANTIDAD]],"")</f>
        <v>Doscientos (200)_Caja x 10 unidades</v>
      </c>
    </row>
    <row r="582" spans="2:30" x14ac:dyDescent="0.25">
      <c r="B582" s="10">
        <v>228</v>
      </c>
      <c r="C582" s="10" t="s">
        <v>2149</v>
      </c>
      <c r="D582" s="10" t="s">
        <v>2162</v>
      </c>
      <c r="E582" s="10" t="s">
        <v>2150</v>
      </c>
      <c r="F582" s="10" t="s">
        <v>2192</v>
      </c>
      <c r="G582" s="10" t="s">
        <v>2152</v>
      </c>
      <c r="H582" s="10" t="s">
        <v>2151</v>
      </c>
      <c r="I582" s="10" t="s">
        <v>2116</v>
      </c>
      <c r="J582" s="10" t="s">
        <v>1550</v>
      </c>
      <c r="K582" s="10" t="s">
        <v>3286</v>
      </c>
      <c r="L582" s="11">
        <v>202124100826882</v>
      </c>
      <c r="M582" s="20">
        <v>44326</v>
      </c>
      <c r="N582" s="20" t="str">
        <f>UPPER(TEXT(Tabla1[[#This Row],[FECHA RADICADO ENTRADA]],"MMM"))</f>
        <v>MAY</v>
      </c>
      <c r="O582" s="11">
        <v>202124110795221</v>
      </c>
      <c r="P582" s="20">
        <v>44340</v>
      </c>
      <c r="Q582" s="20" t="str">
        <f>UPPER(TEXT(Tabla1[[#This Row],[FECHA RADICADO ENTRADA]],"MMM"))</f>
        <v>MAY</v>
      </c>
      <c r="R582" s="10">
        <f t="shared" si="11"/>
        <v>-14</v>
      </c>
      <c r="S582" s="10" t="s">
        <v>2145</v>
      </c>
      <c r="T582" s="10" t="s">
        <v>3492</v>
      </c>
      <c r="U582" s="10" t="s">
        <v>2153</v>
      </c>
      <c r="V582" s="20">
        <v>43829</v>
      </c>
      <c r="W582" s="10" t="s">
        <v>37</v>
      </c>
      <c r="X582" s="10">
        <v>0</v>
      </c>
      <c r="Y582" s="11">
        <f>IFERROR(INT(Tabla1[[#This Row],[CANTIDAD UND FARMACEUTICAS]]/(VLOOKUP(Tabla1[[#This Row],[MEDICAMENTO]],TAB_REF!$K$3:$L$27,2,0))),"")</f>
        <v>0</v>
      </c>
      <c r="Z582" s="10" t="str">
        <f>IFERROR(VLOOKUP(Tabla1[[#This Row],[MEDICAMENTO]],TAB_REF!$B$3:$F$27,2,0), "")</f>
        <v xml:space="preserve">Hidromorfona HCl </v>
      </c>
      <c r="AA582" s="10" t="str">
        <f>IFERROR(VLOOKUP(Tabla1[[#This Row],[MEDICAMENTO]],TAB_REF!$B$3:$F$27,3,0), "")</f>
        <v xml:space="preserve">2 mg/mL </v>
      </c>
      <c r="AB582" s="10" t="str">
        <f>IFERROR(VLOOKUP(Tabla1[[#This Row],[MEDICAMENTO]],TAB_REF!$B$3:$F$27,4,0), "")</f>
        <v>Solución Inyectable</v>
      </c>
      <c r="AC582" s="10" t="str">
        <f>IFERROR(VLOOKUP(Tabla1[[#This Row],[MEDICAMENTO]],TAB_REF!$B$3:$F$27,5,0), "")</f>
        <v>Caja x 10 unidades</v>
      </c>
      <c r="AD582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583" spans="2:30" x14ac:dyDescent="0.25">
      <c r="B583" s="10">
        <v>228</v>
      </c>
      <c r="C583" s="10" t="s">
        <v>2149</v>
      </c>
      <c r="D583" s="10" t="s">
        <v>2162</v>
      </c>
      <c r="E583" s="10" t="s">
        <v>2150</v>
      </c>
      <c r="F583" s="10" t="s">
        <v>2192</v>
      </c>
      <c r="G583" s="10" t="s">
        <v>2152</v>
      </c>
      <c r="H583" s="10" t="s">
        <v>2151</v>
      </c>
      <c r="I583" s="10" t="s">
        <v>2116</v>
      </c>
      <c r="J583" s="10" t="s">
        <v>1550</v>
      </c>
      <c r="K583" s="10" t="s">
        <v>3286</v>
      </c>
      <c r="L583" s="11">
        <v>202124100826882</v>
      </c>
      <c r="M583" s="20">
        <v>44326</v>
      </c>
      <c r="N583" s="20" t="str">
        <f>UPPER(TEXT(Tabla1[[#This Row],[FECHA RADICADO ENTRADA]],"MMM"))</f>
        <v>MAY</v>
      </c>
      <c r="O583" s="11">
        <v>202124110795221</v>
      </c>
      <c r="P583" s="20">
        <v>44340</v>
      </c>
      <c r="Q583" s="20" t="str">
        <f>UPPER(TEXT(Tabla1[[#This Row],[FECHA RADICADO ENTRADA]],"MMM"))</f>
        <v>MAY</v>
      </c>
      <c r="R583" s="10">
        <f t="shared" ref="R583" si="12">_xlfn.DAYS(M583,P583)</f>
        <v>-14</v>
      </c>
      <c r="S583" s="10" t="s">
        <v>2154</v>
      </c>
      <c r="U583" s="10" t="s">
        <v>2153</v>
      </c>
      <c r="V583" s="20">
        <v>43829</v>
      </c>
      <c r="W583" s="10" t="s">
        <v>38</v>
      </c>
      <c r="X583" s="10">
        <v>500</v>
      </c>
      <c r="Y583" s="11">
        <f>IFERROR(INT(Tabla1[[#This Row],[CANTIDAD UND FARMACEUTICAS]]/(VLOOKUP(Tabla1[[#This Row],[MEDICAMENTO]],TAB_REF!$K$3:$L$27,2,0))),"")</f>
        <v>25</v>
      </c>
      <c r="Z583" s="10" t="str">
        <f>IFERROR(VLOOKUP(Tabla1[[#This Row],[MEDICAMENTO]],TAB_REF!$B$3:$F$27,2,0), "")</f>
        <v xml:space="preserve">Hidromorfona HCl </v>
      </c>
      <c r="AA583" s="10" t="str">
        <f>IFERROR(VLOOKUP(Tabla1[[#This Row],[MEDICAMENTO]],TAB_REF!$B$3:$F$27,3,0), "")</f>
        <v xml:space="preserve">2,5 mg </v>
      </c>
      <c r="AB583" s="10" t="str">
        <f>IFERROR(VLOOKUP(Tabla1[[#This Row],[MEDICAMENTO]],TAB_REF!$B$3:$F$27,4,0), "")</f>
        <v>Tabletas</v>
      </c>
      <c r="AC583" s="10" t="str">
        <f>IFERROR(VLOOKUP(Tabla1[[#This Row],[MEDICAMENTO]],TAB_REF!$B$3:$F$27,5,0), "")</f>
        <v>Caja x 20 unidades</v>
      </c>
      <c r="AD583" s="10" t="str">
        <f>IFERROR(VLOOKUP(Tabla1[[#This Row],[CANTIDAD UND COMERCIALES]],TAB_REF!$H$3:$I$1003,2,0)&amp;" ("&amp;Tabla1[[#This Row],[CANTIDAD UND COMERCIALES]]&amp;")"&amp;"_"&amp;Tabla1[[#This Row],[CANTIDAD]],"")</f>
        <v>Veinticinco (25)_Caja x 20 unidades</v>
      </c>
    </row>
    <row r="584" spans="2:30" x14ac:dyDescent="0.25">
      <c r="B584" s="10">
        <v>229</v>
      </c>
      <c r="C584" s="10" t="s">
        <v>2333</v>
      </c>
      <c r="D584" s="10" t="s">
        <v>2162</v>
      </c>
      <c r="E584" s="10" t="s">
        <v>2334</v>
      </c>
      <c r="F584" s="10" t="s">
        <v>2335</v>
      </c>
      <c r="G584" s="10" t="s">
        <v>2336</v>
      </c>
      <c r="H584" s="10" t="s">
        <v>2337</v>
      </c>
      <c r="I584" s="10" t="s">
        <v>2116</v>
      </c>
      <c r="J584" s="10" t="s">
        <v>1550</v>
      </c>
      <c r="K584" s="10" t="s">
        <v>3287</v>
      </c>
      <c r="L584" s="11">
        <v>202124100828282</v>
      </c>
      <c r="M584" s="20">
        <v>44326</v>
      </c>
      <c r="N584" s="20" t="str">
        <f>UPPER(TEXT(Tabla1[[#This Row],[FECHA RADICADO ENTRADA]],"MMM"))</f>
        <v>MAY</v>
      </c>
      <c r="O584" s="11">
        <v>202124110795171</v>
      </c>
      <c r="P584" s="20">
        <v>44340</v>
      </c>
      <c r="Q584" s="20" t="str">
        <f>UPPER(TEXT(Tabla1[[#This Row],[FECHA RADICADO ENTRADA]],"MMM"))</f>
        <v>MAY</v>
      </c>
      <c r="R584" s="10">
        <f t="shared" si="11"/>
        <v>-14</v>
      </c>
      <c r="S584" s="10" t="s">
        <v>2154</v>
      </c>
      <c r="U584" s="10" t="s">
        <v>2339</v>
      </c>
      <c r="V584" s="20">
        <v>43962</v>
      </c>
      <c r="W584" s="10" t="s">
        <v>60</v>
      </c>
      <c r="X584" s="10">
        <v>10</v>
      </c>
      <c r="Y584" s="11">
        <f>IFERROR(INT(Tabla1[[#This Row],[CANTIDAD UND FARMACEUTICAS]]/(VLOOKUP(Tabla1[[#This Row],[MEDICAMENTO]],TAB_REF!$K$3:$L$27,2,0))),"")</f>
        <v>10</v>
      </c>
      <c r="Z584" s="10" t="str">
        <f>IFERROR(VLOOKUP(Tabla1[[#This Row],[MEDICAMENTO]],TAB_REF!$B$3:$F$27,2,0), "")</f>
        <v xml:space="preserve">Morfina HCl </v>
      </c>
      <c r="AA584" s="10" t="str">
        <f>IFERROR(VLOOKUP(Tabla1[[#This Row],[MEDICAMENTO]],TAB_REF!$B$3:$F$27,3,0), "")</f>
        <v xml:space="preserve">3%. </v>
      </c>
      <c r="AB584" s="10" t="str">
        <f>IFERROR(VLOOKUP(Tabla1[[#This Row],[MEDICAMENTO]],TAB_REF!$B$3:$F$27,4,0), "")</f>
        <v>Solución Oral</v>
      </c>
      <c r="AC584" s="10" t="str">
        <f>IFERROR(VLOOKUP(Tabla1[[#This Row],[MEDICAMENTO]],TAB_REF!$B$3:$F$27,5,0), "")</f>
        <v>Frasco x 30 mL</v>
      </c>
      <c r="AD584" s="10" t="str">
        <f>IFERROR(VLOOKUP(Tabla1[[#This Row],[CANTIDAD UND COMERCIALES]],TAB_REF!$H$3:$I$1003,2,0)&amp;" ("&amp;Tabla1[[#This Row],[CANTIDAD UND COMERCIALES]]&amp;")"&amp;"_"&amp;Tabla1[[#This Row],[CANTIDAD]],"")</f>
        <v>Diez (10)_Frasco x 30 mL</v>
      </c>
    </row>
    <row r="585" spans="2:30" x14ac:dyDescent="0.25">
      <c r="B585" s="10">
        <v>229</v>
      </c>
      <c r="C585" s="10" t="s">
        <v>2333</v>
      </c>
      <c r="D585" s="10" t="s">
        <v>2162</v>
      </c>
      <c r="E585" s="10" t="s">
        <v>2334</v>
      </c>
      <c r="F585" s="10" t="s">
        <v>2335</v>
      </c>
      <c r="G585" s="10" t="s">
        <v>2336</v>
      </c>
      <c r="H585" s="10" t="s">
        <v>2337</v>
      </c>
      <c r="I585" s="10" t="s">
        <v>2116</v>
      </c>
      <c r="J585" s="10" t="s">
        <v>1550</v>
      </c>
      <c r="K585" s="10" t="s">
        <v>3287</v>
      </c>
      <c r="L585" s="11">
        <v>202124100828282</v>
      </c>
      <c r="M585" s="20">
        <v>44326</v>
      </c>
      <c r="N585" s="20" t="str">
        <f>UPPER(TEXT(Tabla1[[#This Row],[FECHA RADICADO ENTRADA]],"MMM"))</f>
        <v>MAY</v>
      </c>
      <c r="O585" s="11">
        <v>202124110795171</v>
      </c>
      <c r="P585" s="20">
        <v>44340</v>
      </c>
      <c r="Q585" s="20" t="str">
        <f>UPPER(TEXT(Tabla1[[#This Row],[FECHA RADICADO ENTRADA]],"MMM"))</f>
        <v>MAY</v>
      </c>
      <c r="R585" s="10">
        <f t="shared" si="11"/>
        <v>-14</v>
      </c>
      <c r="S585" s="10" t="s">
        <v>2154</v>
      </c>
      <c r="U585" s="10" t="s">
        <v>2339</v>
      </c>
      <c r="V585" s="20">
        <v>43962</v>
      </c>
      <c r="W585" s="10" t="s">
        <v>48</v>
      </c>
      <c r="X585" s="10">
        <v>600</v>
      </c>
      <c r="Y585" s="11">
        <f>IFERROR(INT(Tabla1[[#This Row],[CANTIDAD UND FARMACEUTICAS]]/(VLOOKUP(Tabla1[[#This Row],[MEDICAMENTO]],TAB_REF!$K$3:$L$27,2,0))),"")</f>
        <v>20</v>
      </c>
      <c r="Z585" s="10" t="str">
        <f>IFERROR(VLOOKUP(Tabla1[[#This Row],[MEDICAMENTO]],TAB_REF!$B$3:$F$27,2,0), "")</f>
        <v xml:space="preserve">Metilfenidato HCl </v>
      </c>
      <c r="AA585" s="10" t="str">
        <f>IFERROR(VLOOKUP(Tabla1[[#This Row],[MEDICAMENTO]],TAB_REF!$B$3:$F$27,3,0), "")</f>
        <v xml:space="preserve">10 mg </v>
      </c>
      <c r="AB585" s="10" t="str">
        <f>IFERROR(VLOOKUP(Tabla1[[#This Row],[MEDICAMENTO]],TAB_REF!$B$3:$F$27,4,0), "")</f>
        <v>Comprimidos</v>
      </c>
      <c r="AC585" s="10" t="str">
        <f>IFERROR(VLOOKUP(Tabla1[[#This Row],[MEDICAMENTO]],TAB_REF!$B$3:$F$27,5,0), "")</f>
        <v>Caja x 30 unidades</v>
      </c>
      <c r="AD585" s="10" t="str">
        <f>IFERROR(VLOOKUP(Tabla1[[#This Row],[CANTIDAD UND COMERCIALES]],TAB_REF!$H$3:$I$1003,2,0)&amp;" ("&amp;Tabla1[[#This Row],[CANTIDAD UND COMERCIALES]]&amp;")"&amp;"_"&amp;Tabla1[[#This Row],[CANTIDAD]],"")</f>
        <v>Veinte (20)_Caja x 30 unidades</v>
      </c>
    </row>
    <row r="586" spans="2:30" x14ac:dyDescent="0.25">
      <c r="B586" s="10">
        <v>229</v>
      </c>
      <c r="C586" s="10" t="s">
        <v>2333</v>
      </c>
      <c r="D586" s="10" t="s">
        <v>2162</v>
      </c>
      <c r="E586" s="10" t="s">
        <v>2334</v>
      </c>
      <c r="F586" s="10" t="s">
        <v>2335</v>
      </c>
      <c r="G586" s="10" t="s">
        <v>2336</v>
      </c>
      <c r="H586" s="10" t="s">
        <v>2337</v>
      </c>
      <c r="I586" s="10" t="s">
        <v>2116</v>
      </c>
      <c r="J586" s="10" t="s">
        <v>1550</v>
      </c>
      <c r="K586" s="10" t="s">
        <v>3287</v>
      </c>
      <c r="L586" s="11">
        <v>202124100828282</v>
      </c>
      <c r="M586" s="20">
        <v>44326</v>
      </c>
      <c r="N586" s="20" t="str">
        <f>UPPER(TEXT(Tabla1[[#This Row],[FECHA RADICADO ENTRADA]],"MMM"))</f>
        <v>MAY</v>
      </c>
      <c r="O586" s="11">
        <v>202124110795171</v>
      </c>
      <c r="P586" s="20">
        <v>44340</v>
      </c>
      <c r="Q586" s="20" t="str">
        <f>UPPER(TEXT(Tabla1[[#This Row],[FECHA RADICADO ENTRADA]],"MMM"))</f>
        <v>MAY</v>
      </c>
      <c r="R586" s="10">
        <f t="shared" si="11"/>
        <v>-14</v>
      </c>
      <c r="S586" s="10" t="s">
        <v>2145</v>
      </c>
      <c r="T586" s="10" t="s">
        <v>3492</v>
      </c>
      <c r="U586" s="10" t="s">
        <v>2339</v>
      </c>
      <c r="V586" s="20">
        <v>43962</v>
      </c>
      <c r="W586" s="10" t="s">
        <v>37</v>
      </c>
      <c r="X586" s="10">
        <v>0</v>
      </c>
      <c r="Y586" s="11">
        <f>IFERROR(INT(Tabla1[[#This Row],[CANTIDAD UND FARMACEUTICAS]]/(VLOOKUP(Tabla1[[#This Row],[MEDICAMENTO]],TAB_REF!$K$3:$L$27,2,0))),"")</f>
        <v>0</v>
      </c>
      <c r="Z586" s="10" t="str">
        <f>IFERROR(VLOOKUP(Tabla1[[#This Row],[MEDICAMENTO]],TAB_REF!$B$3:$F$27,2,0), "")</f>
        <v xml:space="preserve">Hidromorfona HCl </v>
      </c>
      <c r="AA586" s="10" t="str">
        <f>IFERROR(VLOOKUP(Tabla1[[#This Row],[MEDICAMENTO]],TAB_REF!$B$3:$F$27,3,0), "")</f>
        <v xml:space="preserve">2 mg/mL </v>
      </c>
      <c r="AB586" s="10" t="str">
        <f>IFERROR(VLOOKUP(Tabla1[[#This Row],[MEDICAMENTO]],TAB_REF!$B$3:$F$27,4,0), "")</f>
        <v>Solución Inyectable</v>
      </c>
      <c r="AC586" s="10" t="str">
        <f>IFERROR(VLOOKUP(Tabla1[[#This Row],[MEDICAMENTO]],TAB_REF!$B$3:$F$27,5,0), "")</f>
        <v>Caja x 10 unidades</v>
      </c>
      <c r="AD586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587" spans="2:30" x14ac:dyDescent="0.25">
      <c r="B587" s="10">
        <v>229</v>
      </c>
      <c r="C587" s="10" t="s">
        <v>2333</v>
      </c>
      <c r="D587" s="10" t="s">
        <v>2162</v>
      </c>
      <c r="E587" s="10" t="s">
        <v>2334</v>
      </c>
      <c r="F587" s="10" t="s">
        <v>2335</v>
      </c>
      <c r="G587" s="10" t="s">
        <v>2336</v>
      </c>
      <c r="H587" s="10" t="s">
        <v>2337</v>
      </c>
      <c r="I587" s="10" t="s">
        <v>2116</v>
      </c>
      <c r="J587" s="10" t="s">
        <v>1550</v>
      </c>
      <c r="K587" s="10" t="s">
        <v>3287</v>
      </c>
      <c r="L587" s="11">
        <v>202124100828282</v>
      </c>
      <c r="M587" s="20">
        <v>44326</v>
      </c>
      <c r="N587" s="20" t="str">
        <f>UPPER(TEXT(Tabla1[[#This Row],[FECHA RADICADO ENTRADA]],"MMM"))</f>
        <v>MAY</v>
      </c>
      <c r="O587" s="11">
        <v>202124110795171</v>
      </c>
      <c r="P587" s="20">
        <v>44340</v>
      </c>
      <c r="Q587" s="20" t="str">
        <f>UPPER(TEXT(Tabla1[[#This Row],[FECHA RADICADO ENTRADA]],"MMM"))</f>
        <v>MAY</v>
      </c>
      <c r="R587" s="10">
        <f t="shared" si="11"/>
        <v>-14</v>
      </c>
      <c r="S587" s="10" t="s">
        <v>2154</v>
      </c>
      <c r="U587" s="10" t="s">
        <v>2339</v>
      </c>
      <c r="V587" s="20">
        <v>43962</v>
      </c>
      <c r="W587" s="10" t="s">
        <v>63</v>
      </c>
      <c r="X587" s="10">
        <v>150</v>
      </c>
      <c r="Y587" s="11">
        <f>IFERROR(INT(Tabla1[[#This Row],[CANTIDAD UND FARMACEUTICAS]]/(VLOOKUP(Tabla1[[#This Row],[MEDICAMENTO]],TAB_REF!$K$3:$L$27,2,0))),"")</f>
        <v>15</v>
      </c>
      <c r="Z587" s="10" t="str">
        <f>IFERROR(VLOOKUP(Tabla1[[#This Row],[MEDICAMENTO]],TAB_REF!$B$3:$F$27,2,0), "")</f>
        <v xml:space="preserve">Morfina HCl </v>
      </c>
      <c r="AA587" s="10" t="str">
        <f>IFERROR(VLOOKUP(Tabla1[[#This Row],[MEDICAMENTO]],TAB_REF!$B$3:$F$27,3,0), "")</f>
        <v xml:space="preserve">10 mg/mL </v>
      </c>
      <c r="AB587" s="10" t="str">
        <f>IFERROR(VLOOKUP(Tabla1[[#This Row],[MEDICAMENTO]],TAB_REF!$B$3:$F$27,4,0), "")</f>
        <v>Solución Inyectable</v>
      </c>
      <c r="AC587" s="10" t="str">
        <f>IFERROR(VLOOKUP(Tabla1[[#This Row],[MEDICAMENTO]],TAB_REF!$B$3:$F$27,5,0), "")</f>
        <v>Caja x 10 unidades</v>
      </c>
      <c r="AD587" s="10" t="str">
        <f>IFERROR(VLOOKUP(Tabla1[[#This Row],[CANTIDAD UND COMERCIALES]],TAB_REF!$H$3:$I$1003,2,0)&amp;" ("&amp;Tabla1[[#This Row],[CANTIDAD UND COMERCIALES]]&amp;")"&amp;"_"&amp;Tabla1[[#This Row],[CANTIDAD]],"")</f>
        <v>Quince (15)_Caja x 10 unidades</v>
      </c>
    </row>
    <row r="588" spans="2:30" x14ac:dyDescent="0.25">
      <c r="B588" s="10">
        <v>230</v>
      </c>
      <c r="C588" s="10" t="s">
        <v>2593</v>
      </c>
      <c r="D588" s="10" t="s">
        <v>2575</v>
      </c>
      <c r="E588" s="10" t="s">
        <v>2594</v>
      </c>
      <c r="F588" s="10" t="s">
        <v>2603</v>
      </c>
      <c r="G588" s="10" t="s">
        <v>2595</v>
      </c>
      <c r="H588" s="10" t="s">
        <v>2596</v>
      </c>
      <c r="I588" s="10" t="s">
        <v>2122</v>
      </c>
      <c r="J588" s="10" t="s">
        <v>1742</v>
      </c>
      <c r="K588" s="10" t="s">
        <v>3288</v>
      </c>
      <c r="L588" s="11">
        <v>202124100830112</v>
      </c>
      <c r="M588" s="20">
        <v>44327</v>
      </c>
      <c r="N588" s="20" t="str">
        <f>UPPER(TEXT(Tabla1[[#This Row],[FECHA RADICADO ENTRADA]],"MMM"))</f>
        <v>MAY</v>
      </c>
      <c r="O588" s="11">
        <v>202124110812971</v>
      </c>
      <c r="P588" s="20">
        <v>44343</v>
      </c>
      <c r="Q588" s="20" t="str">
        <f>UPPER(TEXT(Tabla1[[#This Row],[FECHA RADICADO ENTRADA]],"MMM"))</f>
        <v>MAY</v>
      </c>
      <c r="R588" s="10">
        <f t="shared" si="11"/>
        <v>-16</v>
      </c>
      <c r="S588" s="10" t="s">
        <v>2154</v>
      </c>
      <c r="U588" s="10" t="s">
        <v>2623</v>
      </c>
      <c r="V588" s="20">
        <v>44099</v>
      </c>
      <c r="W588" s="10" t="s">
        <v>32</v>
      </c>
      <c r="X588" s="10">
        <v>6840</v>
      </c>
      <c r="Y588" s="11">
        <f>IFERROR(INT(Tabla1[[#This Row],[CANTIDAD UND FARMACEUTICAS]]/(VLOOKUP(Tabla1[[#This Row],[MEDICAMENTO]],TAB_REF!$K$3:$L$27,2,0))),"")</f>
        <v>228</v>
      </c>
      <c r="Z588" s="10" t="str">
        <f>IFERROR(VLOOKUP(Tabla1[[#This Row],[MEDICAMENTO]],TAB_REF!$B$3:$F$27,2,0), "")</f>
        <v xml:space="preserve">Fenobarbital </v>
      </c>
      <c r="AA588" s="10" t="str">
        <f>IFERROR(VLOOKUP(Tabla1[[#This Row],[MEDICAMENTO]],TAB_REF!$B$3:$F$27,3,0), "")</f>
        <v xml:space="preserve">100 mg </v>
      </c>
      <c r="AB588" s="10" t="str">
        <f>IFERROR(VLOOKUP(Tabla1[[#This Row],[MEDICAMENTO]],TAB_REF!$B$3:$F$27,4,0), "")</f>
        <v>Tabletas</v>
      </c>
      <c r="AC588" s="10" t="str">
        <f>IFERROR(VLOOKUP(Tabla1[[#This Row],[MEDICAMENTO]],TAB_REF!$B$3:$F$27,5,0), "")</f>
        <v>Caja x 30 unidades</v>
      </c>
      <c r="AD588" s="10" t="str">
        <f>IFERROR(VLOOKUP(Tabla1[[#This Row],[CANTIDAD UND COMERCIALES]],TAB_REF!$H$3:$I$1003,2,0)&amp;" ("&amp;Tabla1[[#This Row],[CANTIDAD UND COMERCIALES]]&amp;")"&amp;"_"&amp;Tabla1[[#This Row],[CANTIDAD]],"")</f>
        <v>Doscientos Veintiocho (228)_Caja x 30 unidades</v>
      </c>
    </row>
    <row r="589" spans="2:30" x14ac:dyDescent="0.25">
      <c r="B589" s="10">
        <v>230</v>
      </c>
      <c r="C589" s="10" t="s">
        <v>2593</v>
      </c>
      <c r="D589" s="10" t="s">
        <v>2575</v>
      </c>
      <c r="E589" s="10" t="s">
        <v>2594</v>
      </c>
      <c r="F589" s="10" t="s">
        <v>2603</v>
      </c>
      <c r="G589" s="10" t="s">
        <v>2595</v>
      </c>
      <c r="H589" s="10" t="s">
        <v>2596</v>
      </c>
      <c r="I589" s="10" t="s">
        <v>2122</v>
      </c>
      <c r="J589" s="10" t="s">
        <v>1742</v>
      </c>
      <c r="K589" s="10" t="s">
        <v>3288</v>
      </c>
      <c r="L589" s="11">
        <v>202124100830112</v>
      </c>
      <c r="M589" s="20">
        <v>44327</v>
      </c>
      <c r="N589" s="20" t="str">
        <f>UPPER(TEXT(Tabla1[[#This Row],[FECHA RADICADO ENTRADA]],"MMM"))</f>
        <v>MAY</v>
      </c>
      <c r="O589" s="11">
        <v>202124110812971</v>
      </c>
      <c r="P589" s="20">
        <v>44343</v>
      </c>
      <c r="Q589" s="20" t="str">
        <f>UPPER(TEXT(Tabla1[[#This Row],[FECHA RADICADO ENTRADA]],"MMM"))</f>
        <v>MAY</v>
      </c>
      <c r="R589" s="10">
        <f t="shared" si="11"/>
        <v>-16</v>
      </c>
      <c r="S589" s="10" t="s">
        <v>2154</v>
      </c>
      <c r="U589" s="10" t="s">
        <v>2623</v>
      </c>
      <c r="V589" s="20">
        <v>44099</v>
      </c>
      <c r="W589" s="10" t="s">
        <v>60</v>
      </c>
      <c r="X589" s="10">
        <v>10</v>
      </c>
      <c r="Y589" s="11">
        <f>IFERROR(INT(Tabla1[[#This Row],[CANTIDAD UND FARMACEUTICAS]]/(VLOOKUP(Tabla1[[#This Row],[MEDICAMENTO]],TAB_REF!$K$3:$L$27,2,0))),"")</f>
        <v>10</v>
      </c>
      <c r="Z589" s="10" t="str">
        <f>IFERROR(VLOOKUP(Tabla1[[#This Row],[MEDICAMENTO]],TAB_REF!$B$3:$F$27,2,0), "")</f>
        <v xml:space="preserve">Morfina HCl </v>
      </c>
      <c r="AA589" s="10" t="str">
        <f>IFERROR(VLOOKUP(Tabla1[[#This Row],[MEDICAMENTO]],TAB_REF!$B$3:$F$27,3,0), "")</f>
        <v xml:space="preserve">3%. </v>
      </c>
      <c r="AB589" s="10" t="str">
        <f>IFERROR(VLOOKUP(Tabla1[[#This Row],[MEDICAMENTO]],TAB_REF!$B$3:$F$27,4,0), "")</f>
        <v>Solución Oral</v>
      </c>
      <c r="AC589" s="10" t="str">
        <f>IFERROR(VLOOKUP(Tabla1[[#This Row],[MEDICAMENTO]],TAB_REF!$B$3:$F$27,5,0), "")</f>
        <v>Frasco x 30 mL</v>
      </c>
      <c r="AD589" s="10" t="str">
        <f>IFERROR(VLOOKUP(Tabla1[[#This Row],[CANTIDAD UND COMERCIALES]],TAB_REF!$H$3:$I$1003,2,0)&amp;" ("&amp;Tabla1[[#This Row],[CANTIDAD UND COMERCIALES]]&amp;")"&amp;"_"&amp;Tabla1[[#This Row],[CANTIDAD]],"")</f>
        <v>Diez (10)_Frasco x 30 mL</v>
      </c>
    </row>
    <row r="590" spans="2:30" x14ac:dyDescent="0.25">
      <c r="B590" s="10">
        <v>231</v>
      </c>
      <c r="C590" s="10" t="s">
        <v>3211</v>
      </c>
      <c r="D590" s="10" t="s">
        <v>2617</v>
      </c>
      <c r="E590" s="10" t="s">
        <v>3212</v>
      </c>
      <c r="F590" s="10" t="s">
        <v>3213</v>
      </c>
      <c r="G590" s="10" t="s">
        <v>3214</v>
      </c>
      <c r="H590" s="10" t="s">
        <v>3215</v>
      </c>
      <c r="I590" s="10" t="s">
        <v>2112</v>
      </c>
      <c r="J590" s="10" t="s">
        <v>1427</v>
      </c>
      <c r="K590" s="10" t="s">
        <v>3216</v>
      </c>
      <c r="L590" s="11">
        <v>202124100830322</v>
      </c>
      <c r="M590" s="20">
        <v>44327</v>
      </c>
      <c r="N590" s="20" t="str">
        <f>UPPER(TEXT(Tabla1[[#This Row],[FECHA RADICADO ENTRADA]],"MMM"))</f>
        <v>MAY</v>
      </c>
      <c r="O590" s="11">
        <v>202124110717651</v>
      </c>
      <c r="P590" s="20">
        <v>44326</v>
      </c>
      <c r="Q590" s="20" t="str">
        <f>UPPER(TEXT(Tabla1[[#This Row],[FECHA RADICADO ENTRADA]],"MMM"))</f>
        <v>MAY</v>
      </c>
      <c r="R590" s="10">
        <f t="shared" si="11"/>
        <v>1</v>
      </c>
      <c r="S590" s="10" t="s">
        <v>2154</v>
      </c>
      <c r="T590" s="10" t="s">
        <v>3289</v>
      </c>
      <c r="U590" s="10" t="s">
        <v>3217</v>
      </c>
      <c r="V590" s="20">
        <v>43760</v>
      </c>
      <c r="W590" s="10" t="s">
        <v>45</v>
      </c>
      <c r="X590" s="10">
        <v>240</v>
      </c>
      <c r="Y590" s="11">
        <f>IFERROR(INT(Tabla1[[#This Row],[CANTIDAD UND FARMACEUTICAS]]/(VLOOKUP(Tabla1[[#This Row],[MEDICAMENTO]],TAB_REF!$K$3:$L$27,2,0))),"")</f>
        <v>8</v>
      </c>
      <c r="Z590" s="10" t="str">
        <f>IFERROR(VLOOKUP(Tabla1[[#This Row],[MEDICAMENTO]],TAB_REF!$B$3:$F$27,2,0), "")</f>
        <v xml:space="preserve">Metadona HCl </v>
      </c>
      <c r="AA590" s="10" t="str">
        <f>IFERROR(VLOOKUP(Tabla1[[#This Row],[MEDICAMENTO]],TAB_REF!$B$3:$F$27,3,0), "")</f>
        <v xml:space="preserve">10 mg </v>
      </c>
      <c r="AB590" s="10" t="str">
        <f>IFERROR(VLOOKUP(Tabla1[[#This Row],[MEDICAMENTO]],TAB_REF!$B$3:$F$27,4,0), "")</f>
        <v>Tabletas NACIONAL</v>
      </c>
      <c r="AC590" s="10" t="str">
        <f>IFERROR(VLOOKUP(Tabla1[[#This Row],[MEDICAMENTO]],TAB_REF!$B$3:$F$27,5,0), "")</f>
        <v>Caja x 30 unidades</v>
      </c>
      <c r="AD590" s="10" t="str">
        <f>IFERROR(VLOOKUP(Tabla1[[#This Row],[CANTIDAD UND COMERCIALES]],TAB_REF!$H$3:$I$1003,2,0)&amp;" ("&amp;Tabla1[[#This Row],[CANTIDAD UND COMERCIALES]]&amp;")"&amp;"_"&amp;Tabla1[[#This Row],[CANTIDAD]],"")</f>
        <v>Ocho (8)_Caja x 30 unidades</v>
      </c>
    </row>
    <row r="591" spans="2:30" x14ac:dyDescent="0.25">
      <c r="B591" s="10">
        <v>232</v>
      </c>
      <c r="C591" s="10" t="s">
        <v>3290</v>
      </c>
      <c r="D591" s="10" t="s">
        <v>2162</v>
      </c>
      <c r="E591" s="10" t="s">
        <v>2277</v>
      </c>
      <c r="F591" s="10" t="s">
        <v>2327</v>
      </c>
      <c r="G591" s="10" t="s">
        <v>2278</v>
      </c>
      <c r="H591" s="10" t="s">
        <v>2328</v>
      </c>
      <c r="I591" s="10" t="s">
        <v>2122</v>
      </c>
      <c r="J591" s="10" t="s">
        <v>1757</v>
      </c>
      <c r="K591" s="10" t="s">
        <v>3291</v>
      </c>
      <c r="L591" s="11">
        <v>202124100831252</v>
      </c>
      <c r="M591" s="20">
        <v>44327</v>
      </c>
      <c r="N591" s="20" t="str">
        <f>UPPER(TEXT(Tabla1[[#This Row],[FECHA RADICADO ENTRADA]],"MMM"))</f>
        <v>MAY</v>
      </c>
      <c r="O591" s="11">
        <v>202124110795141</v>
      </c>
      <c r="P591" s="20">
        <v>44340</v>
      </c>
      <c r="Q591" s="20" t="str">
        <f>UPPER(TEXT(Tabla1[[#This Row],[FECHA RADICADO ENTRADA]],"MMM"))</f>
        <v>MAY</v>
      </c>
      <c r="R591" s="10">
        <f t="shared" si="11"/>
        <v>-13</v>
      </c>
      <c r="S591" s="10" t="s">
        <v>2154</v>
      </c>
      <c r="U591" s="10" t="s">
        <v>2330</v>
      </c>
      <c r="V591" s="20">
        <v>44088</v>
      </c>
      <c r="W591" s="10" t="s">
        <v>41</v>
      </c>
      <c r="X591" s="10">
        <v>250</v>
      </c>
      <c r="Y591" s="11">
        <f>IFERROR(INT(Tabla1[[#This Row],[CANTIDAD UND FARMACEUTICAS]]/(VLOOKUP(Tabla1[[#This Row],[MEDICAMENTO]],TAB_REF!$K$3:$L$27,2,0))),"")</f>
        <v>25</v>
      </c>
      <c r="Z591" s="10" t="str">
        <f>IFERROR(VLOOKUP(Tabla1[[#This Row],[MEDICAMENTO]],TAB_REF!$B$3:$F$27,2,0), "")</f>
        <v xml:space="preserve">Meperidina HCl </v>
      </c>
      <c r="AA591" s="10" t="str">
        <f>IFERROR(VLOOKUP(Tabla1[[#This Row],[MEDICAMENTO]],TAB_REF!$B$3:$F$27,3,0), "")</f>
        <v xml:space="preserve">100 mg/2mL </v>
      </c>
      <c r="AB591" s="10" t="str">
        <f>IFERROR(VLOOKUP(Tabla1[[#This Row],[MEDICAMENTO]],TAB_REF!$B$3:$F$27,4,0), "")</f>
        <v>Solución Inyectable</v>
      </c>
      <c r="AC591" s="10" t="str">
        <f>IFERROR(VLOOKUP(Tabla1[[#This Row],[MEDICAMENTO]],TAB_REF!$B$3:$F$27,5,0), "")</f>
        <v>Caja 10 ampollas</v>
      </c>
      <c r="AD591" s="10" t="str">
        <f>IFERROR(VLOOKUP(Tabla1[[#This Row],[CANTIDAD UND COMERCIALES]],TAB_REF!$H$3:$I$1003,2,0)&amp;" ("&amp;Tabla1[[#This Row],[CANTIDAD UND COMERCIALES]]&amp;")"&amp;"_"&amp;Tabla1[[#This Row],[CANTIDAD]],"")</f>
        <v>Veinticinco (25)_Caja 10 ampollas</v>
      </c>
    </row>
    <row r="592" spans="2:30" x14ac:dyDescent="0.25">
      <c r="B592" s="10">
        <v>232</v>
      </c>
      <c r="C592" s="10" t="s">
        <v>3290</v>
      </c>
      <c r="D592" s="10" t="s">
        <v>2162</v>
      </c>
      <c r="E592" s="10" t="s">
        <v>2277</v>
      </c>
      <c r="F592" s="10" t="s">
        <v>2327</v>
      </c>
      <c r="G592" s="10" t="s">
        <v>2278</v>
      </c>
      <c r="H592" s="10" t="s">
        <v>2328</v>
      </c>
      <c r="I592" s="10" t="s">
        <v>2122</v>
      </c>
      <c r="J592" s="10" t="s">
        <v>1757</v>
      </c>
      <c r="K592" s="10" t="s">
        <v>3291</v>
      </c>
      <c r="L592" s="11">
        <v>202124100831252</v>
      </c>
      <c r="M592" s="20">
        <v>44327</v>
      </c>
      <c r="N592" s="20" t="str">
        <f>UPPER(TEXT(Tabla1[[#This Row],[FECHA RADICADO ENTRADA]],"MMM"))</f>
        <v>MAY</v>
      </c>
      <c r="O592" s="11">
        <v>202124110795141</v>
      </c>
      <c r="P592" s="20">
        <v>44340</v>
      </c>
      <c r="Q592" s="20" t="str">
        <f>UPPER(TEXT(Tabla1[[#This Row],[FECHA RADICADO ENTRADA]],"MMM"))</f>
        <v>MAY</v>
      </c>
      <c r="R592" s="10">
        <f t="shared" si="11"/>
        <v>-13</v>
      </c>
      <c r="S592" s="10" t="s">
        <v>2154</v>
      </c>
      <c r="V592" s="20"/>
      <c r="W592" s="10" t="s">
        <v>63</v>
      </c>
      <c r="X592" s="10">
        <v>100</v>
      </c>
      <c r="Y592" s="11">
        <f>IFERROR(INT(Tabla1[[#This Row],[CANTIDAD UND FARMACEUTICAS]]/(VLOOKUP(Tabla1[[#This Row],[MEDICAMENTO]],TAB_REF!$K$3:$L$27,2,0))),"")</f>
        <v>10</v>
      </c>
      <c r="Z592" s="10" t="str">
        <f>IFERROR(VLOOKUP(Tabla1[[#This Row],[MEDICAMENTO]],TAB_REF!$B$3:$F$27,2,0), "")</f>
        <v xml:space="preserve">Morfina HCl </v>
      </c>
      <c r="AA592" s="10" t="str">
        <f>IFERROR(VLOOKUP(Tabla1[[#This Row],[MEDICAMENTO]],TAB_REF!$B$3:$F$27,3,0), "")</f>
        <v xml:space="preserve">10 mg/mL </v>
      </c>
      <c r="AB592" s="10" t="str">
        <f>IFERROR(VLOOKUP(Tabla1[[#This Row],[MEDICAMENTO]],TAB_REF!$B$3:$F$27,4,0), "")</f>
        <v>Solución Inyectable</v>
      </c>
      <c r="AC592" s="10" t="str">
        <f>IFERROR(VLOOKUP(Tabla1[[#This Row],[MEDICAMENTO]],TAB_REF!$B$3:$F$27,5,0), "")</f>
        <v>Caja x 10 unidades</v>
      </c>
      <c r="AD592" s="10" t="str">
        <f>IFERROR(VLOOKUP(Tabla1[[#This Row],[CANTIDAD UND COMERCIALES]],TAB_REF!$H$3:$I$1003,2,0)&amp;" ("&amp;Tabla1[[#This Row],[CANTIDAD UND COMERCIALES]]&amp;")"&amp;"_"&amp;Tabla1[[#This Row],[CANTIDAD]],"")</f>
        <v>Diez (10)_Caja x 10 unidades</v>
      </c>
    </row>
    <row r="593" spans="2:30" x14ac:dyDescent="0.25">
      <c r="B593" s="10">
        <v>233</v>
      </c>
      <c r="C593" s="10" t="s">
        <v>3158</v>
      </c>
      <c r="D593" s="10" t="s">
        <v>3076</v>
      </c>
      <c r="E593" s="10" t="s">
        <v>3047</v>
      </c>
      <c r="F593" s="10" t="s">
        <v>3048</v>
      </c>
      <c r="G593" s="21" t="s">
        <v>3159</v>
      </c>
      <c r="H593" s="10" t="s">
        <v>3050</v>
      </c>
      <c r="I593" s="10" t="s">
        <v>2116</v>
      </c>
      <c r="J593" s="10" t="s">
        <v>1550</v>
      </c>
      <c r="K593" s="10" t="s">
        <v>3292</v>
      </c>
      <c r="L593" s="11">
        <v>202124100831562</v>
      </c>
      <c r="M593" s="20">
        <v>44327</v>
      </c>
      <c r="N593" s="20" t="str">
        <f>UPPER(TEXT(Tabla1[[#This Row],[FECHA RADICADO ENTRADA]],"MMM"))</f>
        <v>MAY</v>
      </c>
      <c r="O593" s="11">
        <v>202124110813121</v>
      </c>
      <c r="P593" s="20">
        <v>44343</v>
      </c>
      <c r="Q593" s="20" t="str">
        <f>UPPER(TEXT(Tabla1[[#This Row],[FECHA RADICADO ENTRADA]],"MMM"))</f>
        <v>MAY</v>
      </c>
      <c r="R593" s="10">
        <f t="shared" si="11"/>
        <v>-16</v>
      </c>
      <c r="S593" s="10" t="s">
        <v>2145</v>
      </c>
      <c r="U593" s="10" t="s">
        <v>3161</v>
      </c>
      <c r="V593" s="20">
        <v>43766</v>
      </c>
      <c r="X593" s="10">
        <v>0</v>
      </c>
      <c r="Y593" s="11" t="str">
        <f>IFERROR(INT(Tabla1[[#This Row],[CANTIDAD UND FARMACEUTICAS]]/(VLOOKUP(Tabla1[[#This Row],[MEDICAMENTO]],TAB_REF!$K$3:$L$27,2,0))),"")</f>
        <v/>
      </c>
      <c r="Z593" s="10" t="str">
        <f>IFERROR(VLOOKUP(Tabla1[[#This Row],[MEDICAMENTO]],TAB_REF!$B$3:$F$27,2,0), "")</f>
        <v/>
      </c>
      <c r="AA593" s="10" t="str">
        <f>IFERROR(VLOOKUP(Tabla1[[#This Row],[MEDICAMENTO]],TAB_REF!$B$3:$F$27,3,0), "")</f>
        <v/>
      </c>
      <c r="AB593" s="10" t="str">
        <f>IFERROR(VLOOKUP(Tabla1[[#This Row],[MEDICAMENTO]],TAB_REF!$B$3:$F$27,4,0), "")</f>
        <v/>
      </c>
      <c r="AC593" s="10" t="str">
        <f>IFERROR(VLOOKUP(Tabla1[[#This Row],[MEDICAMENTO]],TAB_REF!$B$3:$F$27,5,0), "")</f>
        <v/>
      </c>
      <c r="AD593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594" spans="2:30" x14ac:dyDescent="0.25">
      <c r="B594" s="10">
        <v>234</v>
      </c>
      <c r="C594" s="10" t="s">
        <v>2565</v>
      </c>
      <c r="D594" s="10" t="s">
        <v>2162</v>
      </c>
      <c r="E594" s="10" t="s">
        <v>2856</v>
      </c>
      <c r="F594" s="10" t="s">
        <v>2567</v>
      </c>
      <c r="G594" s="38" t="s">
        <v>2568</v>
      </c>
      <c r="H594" s="10" t="s">
        <v>2569</v>
      </c>
      <c r="I594" s="10" t="s">
        <v>2110</v>
      </c>
      <c r="J594" s="10" t="s">
        <v>1235</v>
      </c>
      <c r="K594" s="10" t="s">
        <v>2962</v>
      </c>
      <c r="L594" s="11">
        <v>202124100832452</v>
      </c>
      <c r="M594" s="20">
        <v>44327</v>
      </c>
      <c r="N594" s="20" t="str">
        <f>UPPER(TEXT(Tabla1[[#This Row],[FECHA RADICADO ENTRADA]],"MMM"))</f>
        <v>MAY</v>
      </c>
      <c r="O594" s="11">
        <v>202124110795091</v>
      </c>
      <c r="P594" s="20">
        <v>44340</v>
      </c>
      <c r="Q594" s="20" t="str">
        <f>UPPER(TEXT(Tabla1[[#This Row],[FECHA RADICADO ENTRADA]],"MMM"))</f>
        <v>MAY</v>
      </c>
      <c r="R594" s="10">
        <f t="shared" si="11"/>
        <v>-13</v>
      </c>
      <c r="S594" s="10" t="s">
        <v>2145</v>
      </c>
      <c r="T594" s="10" t="s">
        <v>3334</v>
      </c>
      <c r="U594" s="10" t="s">
        <v>2570</v>
      </c>
      <c r="V594" s="20">
        <v>44095</v>
      </c>
      <c r="W594" s="10" t="s">
        <v>63</v>
      </c>
      <c r="X594" s="10">
        <v>0</v>
      </c>
      <c r="Y594" s="11">
        <f>IFERROR(INT(Tabla1[[#This Row],[CANTIDAD UND FARMACEUTICAS]]/(VLOOKUP(Tabla1[[#This Row],[MEDICAMENTO]],TAB_REF!$K$3:$L$27,2,0))),"")</f>
        <v>0</v>
      </c>
      <c r="Z594" s="10" t="str">
        <f>IFERROR(VLOOKUP(Tabla1[[#This Row],[MEDICAMENTO]],TAB_REF!$B$3:$F$27,2,0), "")</f>
        <v xml:space="preserve">Morfina HCl </v>
      </c>
      <c r="AA594" s="10" t="str">
        <f>IFERROR(VLOOKUP(Tabla1[[#This Row],[MEDICAMENTO]],TAB_REF!$B$3:$F$27,3,0), "")</f>
        <v xml:space="preserve">10 mg/mL </v>
      </c>
      <c r="AB594" s="10" t="str">
        <f>IFERROR(VLOOKUP(Tabla1[[#This Row],[MEDICAMENTO]],TAB_REF!$B$3:$F$27,4,0), "")</f>
        <v>Solución Inyectable</v>
      </c>
      <c r="AC594" s="10" t="str">
        <f>IFERROR(VLOOKUP(Tabla1[[#This Row],[MEDICAMENTO]],TAB_REF!$B$3:$F$27,5,0), "")</f>
        <v>Caja x 10 unidades</v>
      </c>
      <c r="AD594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595" spans="2:30" x14ac:dyDescent="0.25">
      <c r="B595" s="10">
        <v>234</v>
      </c>
      <c r="C595" s="10" t="s">
        <v>2565</v>
      </c>
      <c r="D595" s="10" t="s">
        <v>2162</v>
      </c>
      <c r="E595" s="10" t="s">
        <v>2856</v>
      </c>
      <c r="F595" s="10" t="s">
        <v>2567</v>
      </c>
      <c r="G595" s="38" t="s">
        <v>2568</v>
      </c>
      <c r="H595" s="10" t="s">
        <v>2569</v>
      </c>
      <c r="I595" s="10" t="s">
        <v>2110</v>
      </c>
      <c r="J595" s="10" t="s">
        <v>1235</v>
      </c>
      <c r="K595" s="10" t="s">
        <v>2962</v>
      </c>
      <c r="L595" s="11">
        <v>202124100832452</v>
      </c>
      <c r="M595" s="20">
        <v>44327</v>
      </c>
      <c r="N595" s="20" t="str">
        <f>UPPER(TEXT(Tabla1[[#This Row],[FECHA RADICADO ENTRADA]],"MMM"))</f>
        <v>MAY</v>
      </c>
      <c r="O595" s="11">
        <v>202124110795091</v>
      </c>
      <c r="P595" s="20">
        <v>44340</v>
      </c>
      <c r="Q595" s="20" t="str">
        <f>UPPER(TEXT(Tabla1[[#This Row],[FECHA RADICADO ENTRADA]],"MMM"))</f>
        <v>MAY</v>
      </c>
      <c r="R595" s="10">
        <f t="shared" si="11"/>
        <v>-13</v>
      </c>
      <c r="S595" s="10" t="s">
        <v>2145</v>
      </c>
      <c r="T595" s="10" t="s">
        <v>3334</v>
      </c>
      <c r="U595" s="10" t="s">
        <v>2570</v>
      </c>
      <c r="V595" s="20">
        <v>44095</v>
      </c>
      <c r="W595" s="10" t="s">
        <v>41</v>
      </c>
      <c r="X595" s="10">
        <v>0</v>
      </c>
      <c r="Y595" s="11">
        <f>IFERROR(INT(Tabla1[[#This Row],[CANTIDAD UND FARMACEUTICAS]]/(VLOOKUP(Tabla1[[#This Row],[MEDICAMENTO]],TAB_REF!$K$3:$L$27,2,0))),"")</f>
        <v>0</v>
      </c>
      <c r="Z595" s="10" t="str">
        <f>IFERROR(VLOOKUP(Tabla1[[#This Row],[MEDICAMENTO]],TAB_REF!$B$3:$F$27,2,0), "")</f>
        <v xml:space="preserve">Meperidina HCl </v>
      </c>
      <c r="AA595" s="10" t="str">
        <f>IFERROR(VLOOKUP(Tabla1[[#This Row],[MEDICAMENTO]],TAB_REF!$B$3:$F$27,3,0), "")</f>
        <v xml:space="preserve">100 mg/2mL </v>
      </c>
      <c r="AB595" s="10" t="str">
        <f>IFERROR(VLOOKUP(Tabla1[[#This Row],[MEDICAMENTO]],TAB_REF!$B$3:$F$27,4,0), "")</f>
        <v>Solución Inyectable</v>
      </c>
      <c r="AC595" s="10" t="str">
        <f>IFERROR(VLOOKUP(Tabla1[[#This Row],[MEDICAMENTO]],TAB_REF!$B$3:$F$27,5,0), "")</f>
        <v>Caja 10 ampollas</v>
      </c>
      <c r="AD595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596" spans="2:30" x14ac:dyDescent="0.25">
      <c r="B596" s="10">
        <v>234</v>
      </c>
      <c r="C596" s="10" t="s">
        <v>2565</v>
      </c>
      <c r="D596" s="10" t="s">
        <v>2162</v>
      </c>
      <c r="E596" s="10" t="s">
        <v>2856</v>
      </c>
      <c r="F596" s="10" t="s">
        <v>2567</v>
      </c>
      <c r="G596" s="38" t="s">
        <v>2568</v>
      </c>
      <c r="H596" s="10" t="s">
        <v>2569</v>
      </c>
      <c r="I596" s="10" t="s">
        <v>2110</v>
      </c>
      <c r="J596" s="10" t="s">
        <v>1235</v>
      </c>
      <c r="K596" s="10" t="s">
        <v>2962</v>
      </c>
      <c r="L596" s="11">
        <v>202124100832452</v>
      </c>
      <c r="M596" s="20">
        <v>44327</v>
      </c>
      <c r="N596" s="20" t="str">
        <f>UPPER(TEXT(Tabla1[[#This Row],[FECHA RADICADO ENTRADA]],"MMM"))</f>
        <v>MAY</v>
      </c>
      <c r="O596" s="11">
        <v>202124110795091</v>
      </c>
      <c r="P596" s="20">
        <v>44340</v>
      </c>
      <c r="Q596" s="20" t="str">
        <f>UPPER(TEXT(Tabla1[[#This Row],[FECHA RADICADO ENTRADA]],"MMM"))</f>
        <v>MAY</v>
      </c>
      <c r="R596" s="10">
        <f t="shared" si="11"/>
        <v>-13</v>
      </c>
      <c r="S596" s="10" t="s">
        <v>2145</v>
      </c>
      <c r="T596" s="10" t="s">
        <v>3334</v>
      </c>
      <c r="U596" s="10" t="s">
        <v>2570</v>
      </c>
      <c r="V596" s="20">
        <v>44095</v>
      </c>
      <c r="W596" s="10" t="s">
        <v>44</v>
      </c>
      <c r="X596" s="10">
        <v>0</v>
      </c>
      <c r="Y596" s="11">
        <f>IFERROR(INT(Tabla1[[#This Row],[CANTIDAD UND FARMACEUTICAS]]/(VLOOKUP(Tabla1[[#This Row],[MEDICAMENTO]],TAB_REF!$K$3:$L$27,2,0))),"")</f>
        <v>0</v>
      </c>
      <c r="Z596" s="10" t="str">
        <f>IFERROR(VLOOKUP(Tabla1[[#This Row],[MEDICAMENTO]],TAB_REF!$B$3:$F$27,2,0), "")</f>
        <v xml:space="preserve">Metadona HCl </v>
      </c>
      <c r="AA596" s="10" t="str">
        <f>IFERROR(VLOOKUP(Tabla1[[#This Row],[MEDICAMENTO]],TAB_REF!$B$3:$F$27,3,0), "")</f>
        <v xml:space="preserve">10 mg </v>
      </c>
      <c r="AB596" s="10" t="str">
        <f>IFERROR(VLOOKUP(Tabla1[[#This Row],[MEDICAMENTO]],TAB_REF!$B$3:$F$27,4,0), "")</f>
        <v>Tabletas IMPORTADA</v>
      </c>
      <c r="AC596" s="10" t="str">
        <f>IFERROR(VLOOKUP(Tabla1[[#This Row],[MEDICAMENTO]],TAB_REF!$B$3:$F$27,5,0), "")</f>
        <v>Frasco x 20 unidades</v>
      </c>
      <c r="AD596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597" spans="2:30" x14ac:dyDescent="0.25">
      <c r="B597" s="10">
        <v>234</v>
      </c>
      <c r="C597" s="10" t="s">
        <v>2565</v>
      </c>
      <c r="D597" s="10" t="s">
        <v>2162</v>
      </c>
      <c r="E597" s="10" t="s">
        <v>2856</v>
      </c>
      <c r="F597" s="10" t="s">
        <v>2567</v>
      </c>
      <c r="G597" s="38" t="s">
        <v>2568</v>
      </c>
      <c r="H597" s="10" t="s">
        <v>2569</v>
      </c>
      <c r="I597" s="10" t="s">
        <v>2110</v>
      </c>
      <c r="J597" s="10" t="s">
        <v>1235</v>
      </c>
      <c r="K597" s="10" t="s">
        <v>2962</v>
      </c>
      <c r="L597" s="11">
        <v>202124100832452</v>
      </c>
      <c r="M597" s="20">
        <v>44327</v>
      </c>
      <c r="N597" s="20" t="str">
        <f>UPPER(TEXT(Tabla1[[#This Row],[FECHA RADICADO ENTRADA]],"MMM"))</f>
        <v>MAY</v>
      </c>
      <c r="O597" s="11">
        <v>202124110795091</v>
      </c>
      <c r="P597" s="20">
        <v>44340</v>
      </c>
      <c r="Q597" s="20" t="str">
        <f>UPPER(TEXT(Tabla1[[#This Row],[FECHA RADICADO ENTRADA]],"MMM"))</f>
        <v>MAY</v>
      </c>
      <c r="R597" s="10">
        <f t="shared" si="11"/>
        <v>-13</v>
      </c>
      <c r="S597" s="10" t="s">
        <v>2145</v>
      </c>
      <c r="T597" s="10" t="s">
        <v>3334</v>
      </c>
      <c r="U597" s="10" t="s">
        <v>2570</v>
      </c>
      <c r="V597" s="20">
        <v>44095</v>
      </c>
      <c r="W597" s="10" t="s">
        <v>32</v>
      </c>
      <c r="X597" s="10">
        <v>0</v>
      </c>
      <c r="Y597" s="11">
        <f>IFERROR(INT(Tabla1[[#This Row],[CANTIDAD UND FARMACEUTICAS]]/(VLOOKUP(Tabla1[[#This Row],[MEDICAMENTO]],TAB_REF!$K$3:$L$27,2,0))),"")</f>
        <v>0</v>
      </c>
      <c r="Z597" s="10" t="str">
        <f>IFERROR(VLOOKUP(Tabla1[[#This Row],[MEDICAMENTO]],TAB_REF!$B$3:$F$27,2,0), "")</f>
        <v xml:space="preserve">Fenobarbital </v>
      </c>
      <c r="AA597" s="10" t="str">
        <f>IFERROR(VLOOKUP(Tabla1[[#This Row],[MEDICAMENTO]],TAB_REF!$B$3:$F$27,3,0), "")</f>
        <v xml:space="preserve">100 mg </v>
      </c>
      <c r="AB597" s="10" t="str">
        <f>IFERROR(VLOOKUP(Tabla1[[#This Row],[MEDICAMENTO]],TAB_REF!$B$3:$F$27,4,0), "")</f>
        <v>Tabletas</v>
      </c>
      <c r="AC597" s="10" t="str">
        <f>IFERROR(VLOOKUP(Tabla1[[#This Row],[MEDICAMENTO]],TAB_REF!$B$3:$F$27,5,0), "")</f>
        <v>Caja x 30 unidades</v>
      </c>
      <c r="AD597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598" spans="2:30" x14ac:dyDescent="0.25">
      <c r="B598" s="10">
        <v>234</v>
      </c>
      <c r="C598" s="10" t="s">
        <v>2565</v>
      </c>
      <c r="D598" s="10" t="s">
        <v>2162</v>
      </c>
      <c r="E598" s="10" t="s">
        <v>2856</v>
      </c>
      <c r="F598" s="10" t="s">
        <v>2567</v>
      </c>
      <c r="G598" s="38" t="s">
        <v>2568</v>
      </c>
      <c r="H598" s="10" t="s">
        <v>2569</v>
      </c>
      <c r="I598" s="10" t="s">
        <v>2110</v>
      </c>
      <c r="J598" s="10" t="s">
        <v>1235</v>
      </c>
      <c r="K598" s="10" t="s">
        <v>2962</v>
      </c>
      <c r="L598" s="11">
        <v>202124100832452</v>
      </c>
      <c r="M598" s="20">
        <v>44327</v>
      </c>
      <c r="N598" s="20" t="str">
        <f>UPPER(TEXT(Tabla1[[#This Row],[FECHA RADICADO ENTRADA]],"MMM"))</f>
        <v>MAY</v>
      </c>
      <c r="O598" s="11">
        <v>202124110795091</v>
      </c>
      <c r="P598" s="20">
        <v>44340</v>
      </c>
      <c r="Q598" s="20" t="str">
        <f>UPPER(TEXT(Tabla1[[#This Row],[FECHA RADICADO ENTRADA]],"MMM"))</f>
        <v>MAY</v>
      </c>
      <c r="R598" s="10">
        <f t="shared" si="11"/>
        <v>-13</v>
      </c>
      <c r="S598" s="10" t="s">
        <v>2145</v>
      </c>
      <c r="T598" s="10" t="s">
        <v>3334</v>
      </c>
      <c r="U598" s="10" t="s">
        <v>2570</v>
      </c>
      <c r="V598" s="20">
        <v>44095</v>
      </c>
      <c r="W598" s="10" t="s">
        <v>48</v>
      </c>
      <c r="X598" s="10">
        <v>0</v>
      </c>
      <c r="Y598" s="11">
        <f>IFERROR(INT(Tabla1[[#This Row],[CANTIDAD UND FARMACEUTICAS]]/(VLOOKUP(Tabla1[[#This Row],[MEDICAMENTO]],TAB_REF!$K$3:$L$27,2,0))),"")</f>
        <v>0</v>
      </c>
      <c r="Z598" s="10" t="str">
        <f>IFERROR(VLOOKUP(Tabla1[[#This Row],[MEDICAMENTO]],TAB_REF!$B$3:$F$27,2,0), "")</f>
        <v xml:space="preserve">Metilfenidato HCl </v>
      </c>
      <c r="AA598" s="10" t="str">
        <f>IFERROR(VLOOKUP(Tabla1[[#This Row],[MEDICAMENTO]],TAB_REF!$B$3:$F$27,3,0), "")</f>
        <v xml:space="preserve">10 mg </v>
      </c>
      <c r="AB598" s="10" t="str">
        <f>IFERROR(VLOOKUP(Tabla1[[#This Row],[MEDICAMENTO]],TAB_REF!$B$3:$F$27,4,0), "")</f>
        <v>Comprimidos</v>
      </c>
      <c r="AC598" s="10" t="str">
        <f>IFERROR(VLOOKUP(Tabla1[[#This Row],[MEDICAMENTO]],TAB_REF!$B$3:$F$27,5,0), "")</f>
        <v>Caja x 30 unidades</v>
      </c>
      <c r="AD598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599" spans="2:30" x14ac:dyDescent="0.25">
      <c r="B599" s="10">
        <v>234</v>
      </c>
      <c r="C599" s="10" t="s">
        <v>2565</v>
      </c>
      <c r="D599" s="10" t="s">
        <v>2162</v>
      </c>
      <c r="E599" s="10" t="s">
        <v>2856</v>
      </c>
      <c r="F599" s="10" t="s">
        <v>2567</v>
      </c>
      <c r="G599" s="38" t="s">
        <v>2568</v>
      </c>
      <c r="H599" s="10" t="s">
        <v>2569</v>
      </c>
      <c r="I599" s="10" t="s">
        <v>2110</v>
      </c>
      <c r="J599" s="10" t="s">
        <v>1235</v>
      </c>
      <c r="K599" s="10" t="s">
        <v>2962</v>
      </c>
      <c r="L599" s="11">
        <v>202124100832452</v>
      </c>
      <c r="M599" s="20">
        <v>44327</v>
      </c>
      <c r="N599" s="20" t="str">
        <f>UPPER(TEXT(Tabla1[[#This Row],[FECHA RADICADO ENTRADA]],"MMM"))</f>
        <v>MAY</v>
      </c>
      <c r="O599" s="11">
        <v>202124110795091</v>
      </c>
      <c r="P599" s="20">
        <v>44340</v>
      </c>
      <c r="Q599" s="20" t="str">
        <f>UPPER(TEXT(Tabla1[[#This Row],[FECHA RADICADO ENTRADA]],"MMM"))</f>
        <v>MAY</v>
      </c>
      <c r="R599" s="10">
        <f t="shared" si="11"/>
        <v>-13</v>
      </c>
      <c r="S599" s="10" t="s">
        <v>2145</v>
      </c>
      <c r="T599" s="10" t="s">
        <v>3334</v>
      </c>
      <c r="U599" s="10" t="s">
        <v>2570</v>
      </c>
      <c r="V599" s="20">
        <v>44095</v>
      </c>
      <c r="W599" s="10" t="s">
        <v>38</v>
      </c>
      <c r="X599" s="10">
        <v>0</v>
      </c>
      <c r="Y599" s="11">
        <f>IFERROR(INT(Tabla1[[#This Row],[CANTIDAD UND FARMACEUTICAS]]/(VLOOKUP(Tabla1[[#This Row],[MEDICAMENTO]],TAB_REF!$K$3:$L$27,2,0))),"")</f>
        <v>0</v>
      </c>
      <c r="Z599" s="10" t="str">
        <f>IFERROR(VLOOKUP(Tabla1[[#This Row],[MEDICAMENTO]],TAB_REF!$B$3:$F$27,2,0), "")</f>
        <v xml:space="preserve">Hidromorfona HCl </v>
      </c>
      <c r="AA599" s="10" t="str">
        <f>IFERROR(VLOOKUP(Tabla1[[#This Row],[MEDICAMENTO]],TAB_REF!$B$3:$F$27,3,0), "")</f>
        <v xml:space="preserve">2,5 mg </v>
      </c>
      <c r="AB599" s="10" t="str">
        <f>IFERROR(VLOOKUP(Tabla1[[#This Row],[MEDICAMENTO]],TAB_REF!$B$3:$F$27,4,0), "")</f>
        <v>Tabletas</v>
      </c>
      <c r="AC599" s="10" t="str">
        <f>IFERROR(VLOOKUP(Tabla1[[#This Row],[MEDICAMENTO]],TAB_REF!$B$3:$F$27,5,0), "")</f>
        <v>Caja x 20 unidades</v>
      </c>
      <c r="AD599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600" spans="2:30" x14ac:dyDescent="0.25">
      <c r="B600" s="10">
        <v>235</v>
      </c>
      <c r="C600" s="10" t="s">
        <v>3293</v>
      </c>
      <c r="D600" s="10" t="s">
        <v>2617</v>
      </c>
      <c r="E600" s="10" t="s">
        <v>3294</v>
      </c>
      <c r="F600" s="10" t="s">
        <v>3152</v>
      </c>
      <c r="G600" s="21" t="s">
        <v>3153</v>
      </c>
      <c r="H600" s="10" t="s">
        <v>3154</v>
      </c>
      <c r="I600" s="10" t="s">
        <v>2116</v>
      </c>
      <c r="J600" s="10" t="s">
        <v>1550</v>
      </c>
      <c r="K600" s="10" t="s">
        <v>3295</v>
      </c>
      <c r="L600" s="11">
        <v>202124100834292</v>
      </c>
      <c r="M600" s="20">
        <v>44327</v>
      </c>
      <c r="N600" s="20" t="str">
        <f>UPPER(TEXT(Tabla1[[#This Row],[FECHA RADICADO ENTRADA]],"MMM"))</f>
        <v>MAY</v>
      </c>
      <c r="O600" s="11">
        <v>202124110795061</v>
      </c>
      <c r="P600" s="20">
        <v>44340</v>
      </c>
      <c r="Q600" s="20" t="str">
        <f>UPPER(TEXT(Tabla1[[#This Row],[FECHA RADICADO ENTRADA]],"MMM"))</f>
        <v>MAY</v>
      </c>
      <c r="R600" s="10">
        <f t="shared" si="11"/>
        <v>-13</v>
      </c>
      <c r="S600" s="10" t="s">
        <v>2154</v>
      </c>
      <c r="U600" s="10" t="s">
        <v>3156</v>
      </c>
      <c r="V600" s="20">
        <v>43742</v>
      </c>
      <c r="W600" s="10" t="s">
        <v>41</v>
      </c>
      <c r="X600" s="10">
        <v>50</v>
      </c>
      <c r="Y600" s="11">
        <f>IFERROR(INT(Tabla1[[#This Row],[CANTIDAD UND FARMACEUTICAS]]/(VLOOKUP(Tabla1[[#This Row],[MEDICAMENTO]],TAB_REF!$K$3:$L$27,2,0))),"")</f>
        <v>5</v>
      </c>
      <c r="Z600" s="10" t="str">
        <f>IFERROR(VLOOKUP(Tabla1[[#This Row],[MEDICAMENTO]],TAB_REF!$B$3:$F$27,2,0), "")</f>
        <v xml:space="preserve">Meperidina HCl </v>
      </c>
      <c r="AA600" s="10" t="str">
        <f>IFERROR(VLOOKUP(Tabla1[[#This Row],[MEDICAMENTO]],TAB_REF!$B$3:$F$27,3,0), "")</f>
        <v xml:space="preserve">100 mg/2mL </v>
      </c>
      <c r="AB600" s="10" t="str">
        <f>IFERROR(VLOOKUP(Tabla1[[#This Row],[MEDICAMENTO]],TAB_REF!$B$3:$F$27,4,0), "")</f>
        <v>Solución Inyectable</v>
      </c>
      <c r="AC600" s="10" t="str">
        <f>IFERROR(VLOOKUP(Tabla1[[#This Row],[MEDICAMENTO]],TAB_REF!$B$3:$F$27,5,0), "")</f>
        <v>Caja 10 ampollas</v>
      </c>
      <c r="AD600" s="10" t="str">
        <f>IFERROR(VLOOKUP(Tabla1[[#This Row],[CANTIDAD UND COMERCIALES]],TAB_REF!$H$3:$I$1003,2,0)&amp;" ("&amp;Tabla1[[#This Row],[CANTIDAD UND COMERCIALES]]&amp;")"&amp;"_"&amp;Tabla1[[#This Row],[CANTIDAD]],"")</f>
        <v>Cinco (5)_Caja 10 ampollas</v>
      </c>
    </row>
    <row r="601" spans="2:30" x14ac:dyDescent="0.25">
      <c r="B601" s="10">
        <v>235</v>
      </c>
      <c r="C601" s="10" t="s">
        <v>3293</v>
      </c>
      <c r="D601" s="10" t="s">
        <v>2617</v>
      </c>
      <c r="E601" s="10" t="s">
        <v>3294</v>
      </c>
      <c r="F601" s="10" t="s">
        <v>3152</v>
      </c>
      <c r="G601" s="21" t="s">
        <v>3153</v>
      </c>
      <c r="H601" s="10" t="s">
        <v>3154</v>
      </c>
      <c r="I601" s="10" t="s">
        <v>2116</v>
      </c>
      <c r="J601" s="10" t="s">
        <v>1550</v>
      </c>
      <c r="K601" s="10" t="s">
        <v>3295</v>
      </c>
      <c r="L601" s="11">
        <v>202124100834292</v>
      </c>
      <c r="M601" s="20">
        <v>44327</v>
      </c>
      <c r="N601" s="20" t="str">
        <f>UPPER(TEXT(Tabla1[[#This Row],[FECHA RADICADO ENTRADA]],"MMM"))</f>
        <v>MAY</v>
      </c>
      <c r="O601" s="11">
        <v>202124110795061</v>
      </c>
      <c r="P601" s="20">
        <v>44340</v>
      </c>
      <c r="Q601" s="20" t="str">
        <f>UPPER(TEXT(Tabla1[[#This Row],[FECHA RADICADO ENTRADA]],"MMM"))</f>
        <v>MAY</v>
      </c>
      <c r="R601" s="10">
        <f t="shared" si="11"/>
        <v>-13</v>
      </c>
      <c r="S601" s="10" t="s">
        <v>2154</v>
      </c>
      <c r="U601" s="10" t="s">
        <v>3156</v>
      </c>
      <c r="V601" s="20">
        <v>43742</v>
      </c>
      <c r="W601" s="10" t="s">
        <v>63</v>
      </c>
      <c r="X601" s="10">
        <v>50</v>
      </c>
      <c r="Y601" s="11">
        <f>IFERROR(INT(Tabla1[[#This Row],[CANTIDAD UND FARMACEUTICAS]]/(VLOOKUP(Tabla1[[#This Row],[MEDICAMENTO]],TAB_REF!$K$3:$L$27,2,0))),"")</f>
        <v>5</v>
      </c>
      <c r="Z601" s="10" t="str">
        <f>IFERROR(VLOOKUP(Tabla1[[#This Row],[MEDICAMENTO]],TAB_REF!$B$3:$F$27,2,0), "")</f>
        <v xml:space="preserve">Morfina HCl </v>
      </c>
      <c r="AA601" s="10" t="str">
        <f>IFERROR(VLOOKUP(Tabla1[[#This Row],[MEDICAMENTO]],TAB_REF!$B$3:$F$27,3,0), "")</f>
        <v xml:space="preserve">10 mg/mL </v>
      </c>
      <c r="AB601" s="10" t="str">
        <f>IFERROR(VLOOKUP(Tabla1[[#This Row],[MEDICAMENTO]],TAB_REF!$B$3:$F$27,4,0), "")</f>
        <v>Solución Inyectable</v>
      </c>
      <c r="AC601" s="10" t="str">
        <f>IFERROR(VLOOKUP(Tabla1[[#This Row],[MEDICAMENTO]],TAB_REF!$B$3:$F$27,5,0), "")</f>
        <v>Caja x 10 unidades</v>
      </c>
      <c r="AD601" s="10" t="str">
        <f>IFERROR(VLOOKUP(Tabla1[[#This Row],[CANTIDAD UND COMERCIALES]],TAB_REF!$H$3:$I$1003,2,0)&amp;" ("&amp;Tabla1[[#This Row],[CANTIDAD UND COMERCIALES]]&amp;")"&amp;"_"&amp;Tabla1[[#This Row],[CANTIDAD]],"")</f>
        <v>Cinco (5)_Caja x 10 unidades</v>
      </c>
    </row>
    <row r="602" spans="2:30" x14ac:dyDescent="0.25">
      <c r="B602" s="10">
        <v>235</v>
      </c>
      <c r="C602" s="10" t="s">
        <v>3293</v>
      </c>
      <c r="D602" s="10" t="s">
        <v>2617</v>
      </c>
      <c r="E602" s="10" t="s">
        <v>3294</v>
      </c>
      <c r="F602" s="10" t="s">
        <v>3152</v>
      </c>
      <c r="G602" s="21" t="s">
        <v>3153</v>
      </c>
      <c r="H602" s="10" t="s">
        <v>3154</v>
      </c>
      <c r="I602" s="10" t="s">
        <v>2116</v>
      </c>
      <c r="J602" s="10" t="s">
        <v>1550</v>
      </c>
      <c r="K602" s="10" t="s">
        <v>3295</v>
      </c>
      <c r="L602" s="11">
        <v>202124100834292</v>
      </c>
      <c r="M602" s="20">
        <v>44327</v>
      </c>
      <c r="N602" s="20" t="str">
        <f>UPPER(TEXT(Tabla1[[#This Row],[FECHA RADICADO ENTRADA]],"MMM"))</f>
        <v>MAY</v>
      </c>
      <c r="O602" s="11">
        <v>202124110795061</v>
      </c>
      <c r="P602" s="20">
        <v>44340</v>
      </c>
      <c r="Q602" s="20" t="str">
        <f>UPPER(TEXT(Tabla1[[#This Row],[FECHA RADICADO ENTRADA]],"MMM"))</f>
        <v>MAY</v>
      </c>
      <c r="R602" s="10">
        <f t="shared" si="11"/>
        <v>-13</v>
      </c>
      <c r="S602" s="10" t="s">
        <v>2154</v>
      </c>
      <c r="U602" s="10" t="s">
        <v>3156</v>
      </c>
      <c r="V602" s="20">
        <v>43742</v>
      </c>
      <c r="W602" s="10" t="s">
        <v>60</v>
      </c>
      <c r="X602" s="10">
        <v>40</v>
      </c>
      <c r="Y602" s="11">
        <f>IFERROR(INT(Tabla1[[#This Row],[CANTIDAD UND FARMACEUTICAS]]/(VLOOKUP(Tabla1[[#This Row],[MEDICAMENTO]],TAB_REF!$K$3:$L$27,2,0))),"")</f>
        <v>40</v>
      </c>
      <c r="Z602" s="10" t="str">
        <f>IFERROR(VLOOKUP(Tabla1[[#This Row],[MEDICAMENTO]],TAB_REF!$B$3:$F$27,2,0), "")</f>
        <v xml:space="preserve">Morfina HCl </v>
      </c>
      <c r="AA602" s="10" t="str">
        <f>IFERROR(VLOOKUP(Tabla1[[#This Row],[MEDICAMENTO]],TAB_REF!$B$3:$F$27,3,0), "")</f>
        <v xml:space="preserve">3%. </v>
      </c>
      <c r="AB602" s="10" t="str">
        <f>IFERROR(VLOOKUP(Tabla1[[#This Row],[MEDICAMENTO]],TAB_REF!$B$3:$F$27,4,0), "")</f>
        <v>Solución Oral</v>
      </c>
      <c r="AC602" s="10" t="str">
        <f>IFERROR(VLOOKUP(Tabla1[[#This Row],[MEDICAMENTO]],TAB_REF!$B$3:$F$27,5,0), "")</f>
        <v>Frasco x 30 mL</v>
      </c>
      <c r="AD602" s="10" t="str">
        <f>IFERROR(VLOOKUP(Tabla1[[#This Row],[CANTIDAD UND COMERCIALES]],TAB_REF!$H$3:$I$1003,2,0)&amp;" ("&amp;Tabla1[[#This Row],[CANTIDAD UND COMERCIALES]]&amp;")"&amp;"_"&amp;Tabla1[[#This Row],[CANTIDAD]],"")</f>
        <v>Cuarenta (40)_Frasco x 30 mL</v>
      </c>
    </row>
    <row r="603" spans="2:30" x14ac:dyDescent="0.25">
      <c r="B603" s="10">
        <v>235</v>
      </c>
      <c r="C603" s="10" t="s">
        <v>3293</v>
      </c>
      <c r="D603" s="10" t="s">
        <v>2617</v>
      </c>
      <c r="E603" s="10" t="s">
        <v>3294</v>
      </c>
      <c r="F603" s="10" t="s">
        <v>3152</v>
      </c>
      <c r="G603" s="21" t="s">
        <v>3153</v>
      </c>
      <c r="H603" s="10" t="s">
        <v>3154</v>
      </c>
      <c r="I603" s="10" t="s">
        <v>2116</v>
      </c>
      <c r="J603" s="10" t="s">
        <v>1550</v>
      </c>
      <c r="K603" s="10" t="s">
        <v>3295</v>
      </c>
      <c r="L603" s="11">
        <v>202124100834292</v>
      </c>
      <c r="M603" s="20">
        <v>44327</v>
      </c>
      <c r="N603" s="20" t="str">
        <f>UPPER(TEXT(Tabla1[[#This Row],[FECHA RADICADO ENTRADA]],"MMM"))</f>
        <v>MAY</v>
      </c>
      <c r="O603" s="11">
        <v>202124110795061</v>
      </c>
      <c r="P603" s="20">
        <v>44340</v>
      </c>
      <c r="Q603" s="20" t="str">
        <f>UPPER(TEXT(Tabla1[[#This Row],[FECHA RADICADO ENTRADA]],"MMM"))</f>
        <v>MAY</v>
      </c>
      <c r="R603" s="10">
        <f t="shared" si="11"/>
        <v>-13</v>
      </c>
      <c r="S603" s="10" t="s">
        <v>2154</v>
      </c>
      <c r="U603" s="10" t="s">
        <v>3156</v>
      </c>
      <c r="V603" s="20">
        <v>43742</v>
      </c>
      <c r="W603" s="10" t="s">
        <v>38</v>
      </c>
      <c r="X603" s="10">
        <v>600</v>
      </c>
      <c r="Y603" s="11">
        <f>IFERROR(INT(Tabla1[[#This Row],[CANTIDAD UND FARMACEUTICAS]]/(VLOOKUP(Tabla1[[#This Row],[MEDICAMENTO]],TAB_REF!$K$3:$L$27,2,0))),"")</f>
        <v>30</v>
      </c>
      <c r="Z603" s="10" t="str">
        <f>IFERROR(VLOOKUP(Tabla1[[#This Row],[MEDICAMENTO]],TAB_REF!$B$3:$F$27,2,0), "")</f>
        <v xml:space="preserve">Hidromorfona HCl </v>
      </c>
      <c r="AA603" s="10" t="str">
        <f>IFERROR(VLOOKUP(Tabla1[[#This Row],[MEDICAMENTO]],TAB_REF!$B$3:$F$27,3,0), "")</f>
        <v xml:space="preserve">2,5 mg </v>
      </c>
      <c r="AB603" s="10" t="str">
        <f>IFERROR(VLOOKUP(Tabla1[[#This Row],[MEDICAMENTO]],TAB_REF!$B$3:$F$27,4,0), "")</f>
        <v>Tabletas</v>
      </c>
      <c r="AC603" s="10" t="str">
        <f>IFERROR(VLOOKUP(Tabla1[[#This Row],[MEDICAMENTO]],TAB_REF!$B$3:$F$27,5,0), "")</f>
        <v>Caja x 20 unidades</v>
      </c>
      <c r="AD603" s="10" t="str">
        <f>IFERROR(VLOOKUP(Tabla1[[#This Row],[CANTIDAD UND COMERCIALES]],TAB_REF!$H$3:$I$1003,2,0)&amp;" ("&amp;Tabla1[[#This Row],[CANTIDAD UND COMERCIALES]]&amp;")"&amp;"_"&amp;Tabla1[[#This Row],[CANTIDAD]],"")</f>
        <v>Treinta (30)_Caja x 20 unidades</v>
      </c>
    </row>
    <row r="604" spans="2:30" x14ac:dyDescent="0.25">
      <c r="B604" s="10">
        <v>236</v>
      </c>
      <c r="C604" s="10" t="s">
        <v>2586</v>
      </c>
      <c r="D604" s="10" t="s">
        <v>2182</v>
      </c>
      <c r="E604" s="10" t="s">
        <v>2451</v>
      </c>
      <c r="F604" s="10" t="s">
        <v>2452</v>
      </c>
      <c r="G604" s="21" t="s">
        <v>2453</v>
      </c>
      <c r="H604" s="10" t="s">
        <v>2587</v>
      </c>
      <c r="I604" s="10" t="s">
        <v>2123</v>
      </c>
      <c r="J604" s="10" t="s">
        <v>1770</v>
      </c>
      <c r="K604" s="10" t="s">
        <v>3296</v>
      </c>
      <c r="L604" s="11">
        <v>202124100836062</v>
      </c>
      <c r="M604" s="20">
        <v>44327</v>
      </c>
      <c r="N604" s="20" t="str">
        <f>UPPER(TEXT(Tabla1[[#This Row],[FECHA RADICADO ENTRADA]],"MMM"))</f>
        <v>MAY</v>
      </c>
      <c r="O604" s="11">
        <v>202124110795001</v>
      </c>
      <c r="P604" s="20">
        <v>44340</v>
      </c>
      <c r="Q604" s="20" t="str">
        <f>UPPER(TEXT(Tabla1[[#This Row],[FECHA RADICADO ENTRADA]],"MMM"))</f>
        <v>MAY</v>
      </c>
      <c r="R604" s="10">
        <f t="shared" si="11"/>
        <v>-13</v>
      </c>
      <c r="S604" s="10" t="s">
        <v>2154</v>
      </c>
      <c r="U604" s="10" t="s">
        <v>2456</v>
      </c>
      <c r="V604" s="20">
        <v>42439</v>
      </c>
      <c r="W604" s="10" t="s">
        <v>48</v>
      </c>
      <c r="X604" s="10">
        <v>120</v>
      </c>
      <c r="Y604" s="11">
        <f>IFERROR(INT(Tabla1[[#This Row],[CANTIDAD UND FARMACEUTICAS]]/(VLOOKUP(Tabla1[[#This Row],[MEDICAMENTO]],TAB_REF!$K$3:$L$27,2,0))),"")</f>
        <v>4</v>
      </c>
      <c r="Z604" s="10" t="str">
        <f>IFERROR(VLOOKUP(Tabla1[[#This Row],[MEDICAMENTO]],TAB_REF!$B$3:$F$27,2,0), "")</f>
        <v xml:space="preserve">Metilfenidato HCl </v>
      </c>
      <c r="AA604" s="10" t="str">
        <f>IFERROR(VLOOKUP(Tabla1[[#This Row],[MEDICAMENTO]],TAB_REF!$B$3:$F$27,3,0), "")</f>
        <v xml:space="preserve">10 mg </v>
      </c>
      <c r="AB604" s="10" t="str">
        <f>IFERROR(VLOOKUP(Tabla1[[#This Row],[MEDICAMENTO]],TAB_REF!$B$3:$F$27,4,0), "")</f>
        <v>Comprimidos</v>
      </c>
      <c r="AC604" s="10" t="str">
        <f>IFERROR(VLOOKUP(Tabla1[[#This Row],[MEDICAMENTO]],TAB_REF!$B$3:$F$27,5,0), "")</f>
        <v>Caja x 30 unidades</v>
      </c>
      <c r="AD604" s="10" t="str">
        <f>IFERROR(VLOOKUP(Tabla1[[#This Row],[CANTIDAD UND COMERCIALES]],TAB_REF!$H$3:$I$1003,2,0)&amp;" ("&amp;Tabla1[[#This Row],[CANTIDAD UND COMERCIALES]]&amp;")"&amp;"_"&amp;Tabla1[[#This Row],[CANTIDAD]],"")</f>
        <v>Cuatro (4)_Caja x 30 unidades</v>
      </c>
    </row>
    <row r="605" spans="2:30" x14ac:dyDescent="0.25">
      <c r="B605" s="10">
        <v>236</v>
      </c>
      <c r="C605" s="10" t="s">
        <v>2586</v>
      </c>
      <c r="D605" s="10" t="s">
        <v>2182</v>
      </c>
      <c r="E605" s="10" t="s">
        <v>2451</v>
      </c>
      <c r="F605" s="10" t="s">
        <v>2452</v>
      </c>
      <c r="G605" s="21" t="s">
        <v>2453</v>
      </c>
      <c r="H605" s="10" t="s">
        <v>2587</v>
      </c>
      <c r="I605" s="10" t="s">
        <v>2123</v>
      </c>
      <c r="J605" s="10" t="s">
        <v>1770</v>
      </c>
      <c r="K605" s="10" t="s">
        <v>3296</v>
      </c>
      <c r="L605" s="11">
        <v>202124100836062</v>
      </c>
      <c r="M605" s="20">
        <v>44327</v>
      </c>
      <c r="N605" s="20" t="str">
        <f>UPPER(TEXT(Tabla1[[#This Row],[FECHA RADICADO ENTRADA]],"MMM"))</f>
        <v>MAY</v>
      </c>
      <c r="O605" s="11">
        <v>202124110795001</v>
      </c>
      <c r="P605" s="20">
        <v>44340</v>
      </c>
      <c r="Q605" s="20" t="str">
        <f>UPPER(TEXT(Tabla1[[#This Row],[FECHA RADICADO ENTRADA]],"MMM"))</f>
        <v>MAY</v>
      </c>
      <c r="R605" s="10">
        <f t="shared" si="11"/>
        <v>-13</v>
      </c>
      <c r="S605" s="10" t="s">
        <v>2154</v>
      </c>
      <c r="U605" s="10" t="s">
        <v>2456</v>
      </c>
      <c r="V605" s="20">
        <v>42439</v>
      </c>
      <c r="W605" s="10" t="s">
        <v>33</v>
      </c>
      <c r="X605" s="10">
        <v>450</v>
      </c>
      <c r="Y605" s="11">
        <f>IFERROR(INT(Tabla1[[#This Row],[CANTIDAD UND FARMACEUTICAS]]/(VLOOKUP(Tabla1[[#This Row],[MEDICAMENTO]],TAB_REF!$K$3:$L$27,2,0))),"")</f>
        <v>15</v>
      </c>
      <c r="Z605" s="10" t="str">
        <f>IFERROR(VLOOKUP(Tabla1[[#This Row],[MEDICAMENTO]],TAB_REF!$B$3:$F$27,2,0), "")</f>
        <v xml:space="preserve">Fenobarbital </v>
      </c>
      <c r="AA605" s="10" t="str">
        <f>IFERROR(VLOOKUP(Tabla1[[#This Row],[MEDICAMENTO]],TAB_REF!$B$3:$F$27,3,0), "")</f>
        <v xml:space="preserve">50 mg </v>
      </c>
      <c r="AB605" s="10" t="str">
        <f>IFERROR(VLOOKUP(Tabla1[[#This Row],[MEDICAMENTO]],TAB_REF!$B$3:$F$27,4,0), "")</f>
        <v>Tabletas</v>
      </c>
      <c r="AC605" s="10" t="str">
        <f>IFERROR(VLOOKUP(Tabla1[[#This Row],[MEDICAMENTO]],TAB_REF!$B$3:$F$27,5,0), "")</f>
        <v>Caja x 30 unidades</v>
      </c>
      <c r="AD605" s="10" t="str">
        <f>IFERROR(VLOOKUP(Tabla1[[#This Row],[CANTIDAD UND COMERCIALES]],TAB_REF!$H$3:$I$1003,2,0)&amp;" ("&amp;Tabla1[[#This Row],[CANTIDAD UND COMERCIALES]]&amp;")"&amp;"_"&amp;Tabla1[[#This Row],[CANTIDAD]],"")</f>
        <v>Quince (15)_Caja x 30 unidades</v>
      </c>
    </row>
    <row r="606" spans="2:30" x14ac:dyDescent="0.25">
      <c r="B606" s="10">
        <v>236</v>
      </c>
      <c r="C606" s="10" t="s">
        <v>2586</v>
      </c>
      <c r="D606" s="10" t="s">
        <v>2182</v>
      </c>
      <c r="E606" s="10" t="s">
        <v>2451</v>
      </c>
      <c r="F606" s="10" t="s">
        <v>2452</v>
      </c>
      <c r="G606" s="21" t="s">
        <v>2453</v>
      </c>
      <c r="H606" s="10" t="s">
        <v>2587</v>
      </c>
      <c r="I606" s="10" t="s">
        <v>2123</v>
      </c>
      <c r="J606" s="10" t="s">
        <v>1770</v>
      </c>
      <c r="K606" s="10" t="s">
        <v>3296</v>
      </c>
      <c r="L606" s="11">
        <v>202124100836062</v>
      </c>
      <c r="M606" s="20">
        <v>44327</v>
      </c>
      <c r="N606" s="20" t="str">
        <f>UPPER(TEXT(Tabla1[[#This Row],[FECHA RADICADO ENTRADA]],"MMM"))</f>
        <v>MAY</v>
      </c>
      <c r="O606" s="11">
        <v>202124110795001</v>
      </c>
      <c r="P606" s="20">
        <v>44340</v>
      </c>
      <c r="Q606" s="20" t="str">
        <f>UPPER(TEXT(Tabla1[[#This Row],[FECHA RADICADO ENTRADA]],"MMM"))</f>
        <v>MAY</v>
      </c>
      <c r="R606" s="10">
        <f t="shared" si="11"/>
        <v>-13</v>
      </c>
      <c r="S606" s="10" t="s">
        <v>2154</v>
      </c>
      <c r="U606" s="10" t="s">
        <v>2456</v>
      </c>
      <c r="V606" s="20">
        <v>42439</v>
      </c>
      <c r="W606" s="10" t="s">
        <v>28</v>
      </c>
      <c r="X606" s="10">
        <v>5</v>
      </c>
      <c r="Y606" s="11">
        <f>IFERROR(INT(Tabla1[[#This Row],[CANTIDAD UND FARMACEUTICAS]]/(VLOOKUP(Tabla1[[#This Row],[MEDICAMENTO]],TAB_REF!$K$3:$L$27,2,0))),"")</f>
        <v>5</v>
      </c>
      <c r="Z606" s="10" t="str">
        <f>IFERROR(VLOOKUP(Tabla1[[#This Row],[MEDICAMENTO]],TAB_REF!$B$3:$F$27,2,0), "")</f>
        <v xml:space="preserve">Fenobarbital </v>
      </c>
      <c r="AA606" s="10" t="str">
        <f>IFERROR(VLOOKUP(Tabla1[[#This Row],[MEDICAMENTO]],TAB_REF!$B$3:$F$27,3,0), "")</f>
        <v xml:space="preserve">0,4%. </v>
      </c>
      <c r="AB606" s="10" t="str">
        <f>IFERROR(VLOOKUP(Tabla1[[#This Row],[MEDICAMENTO]],TAB_REF!$B$3:$F$27,4,0), "")</f>
        <v>Solución Oral</v>
      </c>
      <c r="AC606" s="10" t="str">
        <f>IFERROR(VLOOKUP(Tabla1[[#This Row],[MEDICAMENTO]],TAB_REF!$B$3:$F$27,5,0), "")</f>
        <v>Frasco x 120 mL</v>
      </c>
      <c r="AD606" s="10" t="str">
        <f>IFERROR(VLOOKUP(Tabla1[[#This Row],[CANTIDAD UND COMERCIALES]],TAB_REF!$H$3:$I$1003,2,0)&amp;" ("&amp;Tabla1[[#This Row],[CANTIDAD UND COMERCIALES]]&amp;")"&amp;"_"&amp;Tabla1[[#This Row],[CANTIDAD]],"")</f>
        <v>Cinco (5)_Frasco x 120 mL</v>
      </c>
    </row>
    <row r="607" spans="2:30" x14ac:dyDescent="0.25">
      <c r="B607" s="10">
        <v>237</v>
      </c>
      <c r="C607" s="10" t="s">
        <v>2492</v>
      </c>
      <c r="D607" s="10" t="s">
        <v>2162</v>
      </c>
      <c r="E607" s="10" t="s">
        <v>2493</v>
      </c>
      <c r="F607" s="10" t="s">
        <v>2494</v>
      </c>
      <c r="G607" s="10" t="s">
        <v>2495</v>
      </c>
      <c r="H607" s="10" t="s">
        <v>2496</v>
      </c>
      <c r="I607" s="10" t="s">
        <v>2122</v>
      </c>
      <c r="J607" s="10" t="s">
        <v>1742</v>
      </c>
      <c r="K607" s="10" t="s">
        <v>2497</v>
      </c>
      <c r="L607" s="11">
        <v>202124100836152</v>
      </c>
      <c r="M607" s="20">
        <v>44327</v>
      </c>
      <c r="N607" s="20" t="str">
        <f>UPPER(TEXT(Tabla1[[#This Row],[FECHA RADICADO ENTRADA]],"MMM"))</f>
        <v>MAY</v>
      </c>
      <c r="O607" s="11">
        <v>202124110794951</v>
      </c>
      <c r="P607" s="20">
        <v>44340</v>
      </c>
      <c r="Q607" s="20" t="str">
        <f>UPPER(TEXT(Tabla1[[#This Row],[FECHA RADICADO ENTRADA]],"MMM"))</f>
        <v>MAY</v>
      </c>
      <c r="R607" s="10">
        <f t="shared" si="11"/>
        <v>-13</v>
      </c>
      <c r="S607" s="10" t="s">
        <v>2154</v>
      </c>
      <c r="U607" s="10" t="s">
        <v>2498</v>
      </c>
      <c r="V607" s="20">
        <v>43620</v>
      </c>
      <c r="W607" s="10" t="s">
        <v>63</v>
      </c>
      <c r="X607" s="10">
        <v>100</v>
      </c>
      <c r="Y607" s="11">
        <f>IFERROR(INT(Tabla1[[#This Row],[CANTIDAD UND FARMACEUTICAS]]/(VLOOKUP(Tabla1[[#This Row],[MEDICAMENTO]],TAB_REF!$K$3:$L$27,2,0))),"")</f>
        <v>10</v>
      </c>
      <c r="Z607" s="10" t="str">
        <f>IFERROR(VLOOKUP(Tabla1[[#This Row],[MEDICAMENTO]],TAB_REF!$B$3:$F$27,2,0), "")</f>
        <v xml:space="preserve">Morfina HCl </v>
      </c>
      <c r="AA607" s="10" t="str">
        <f>IFERROR(VLOOKUP(Tabla1[[#This Row],[MEDICAMENTO]],TAB_REF!$B$3:$F$27,3,0), "")</f>
        <v xml:space="preserve">10 mg/mL </v>
      </c>
      <c r="AB607" s="10" t="str">
        <f>IFERROR(VLOOKUP(Tabla1[[#This Row],[MEDICAMENTO]],TAB_REF!$B$3:$F$27,4,0), "")</f>
        <v>Solución Inyectable</v>
      </c>
      <c r="AC607" s="10" t="str">
        <f>IFERROR(VLOOKUP(Tabla1[[#This Row],[MEDICAMENTO]],TAB_REF!$B$3:$F$27,5,0), "")</f>
        <v>Caja x 10 unidades</v>
      </c>
      <c r="AD607" s="10" t="str">
        <f>IFERROR(VLOOKUP(Tabla1[[#This Row],[CANTIDAD UND COMERCIALES]],TAB_REF!$H$3:$I$1003,2,0)&amp;" ("&amp;Tabla1[[#This Row],[CANTIDAD UND COMERCIALES]]&amp;")"&amp;"_"&amp;Tabla1[[#This Row],[CANTIDAD]],"")</f>
        <v>Diez (10)_Caja x 10 unidades</v>
      </c>
    </row>
    <row r="608" spans="2:30" x14ac:dyDescent="0.25">
      <c r="B608" s="10">
        <v>237</v>
      </c>
      <c r="C608" s="10" t="s">
        <v>2492</v>
      </c>
      <c r="D608" s="10" t="s">
        <v>2162</v>
      </c>
      <c r="E608" s="10" t="s">
        <v>2493</v>
      </c>
      <c r="F608" s="10" t="s">
        <v>2494</v>
      </c>
      <c r="G608" s="10" t="s">
        <v>2495</v>
      </c>
      <c r="H608" s="10" t="s">
        <v>2496</v>
      </c>
      <c r="I608" s="10" t="s">
        <v>2122</v>
      </c>
      <c r="J608" s="10" t="s">
        <v>1742</v>
      </c>
      <c r="K608" s="10" t="s">
        <v>2497</v>
      </c>
      <c r="L608" s="11">
        <v>202124100836152</v>
      </c>
      <c r="M608" s="20">
        <v>44327</v>
      </c>
      <c r="N608" s="20" t="str">
        <f>UPPER(TEXT(Tabla1[[#This Row],[FECHA RADICADO ENTRADA]],"MMM"))</f>
        <v>MAY</v>
      </c>
      <c r="O608" s="11">
        <v>202124110794951</v>
      </c>
      <c r="P608" s="20">
        <v>44340</v>
      </c>
      <c r="Q608" s="20" t="str">
        <f>UPPER(TEXT(Tabla1[[#This Row],[FECHA RADICADO ENTRADA]],"MMM"))</f>
        <v>MAY</v>
      </c>
      <c r="R608" s="10">
        <f t="shared" si="11"/>
        <v>-13</v>
      </c>
      <c r="S608" s="10" t="s">
        <v>2154</v>
      </c>
      <c r="U608" s="10" t="s">
        <v>2498</v>
      </c>
      <c r="V608" s="20">
        <v>43620</v>
      </c>
      <c r="W608" s="10" t="s">
        <v>41</v>
      </c>
      <c r="X608" s="10">
        <v>100</v>
      </c>
      <c r="Y608" s="11">
        <f>IFERROR(INT(Tabla1[[#This Row],[CANTIDAD UND FARMACEUTICAS]]/(VLOOKUP(Tabla1[[#This Row],[MEDICAMENTO]],TAB_REF!$K$3:$L$27,2,0))),"")</f>
        <v>10</v>
      </c>
      <c r="Z608" s="10" t="str">
        <f>IFERROR(VLOOKUP(Tabla1[[#This Row],[MEDICAMENTO]],TAB_REF!$B$3:$F$27,2,0), "")</f>
        <v xml:space="preserve">Meperidina HCl </v>
      </c>
      <c r="AA608" s="10" t="str">
        <f>IFERROR(VLOOKUP(Tabla1[[#This Row],[MEDICAMENTO]],TAB_REF!$B$3:$F$27,3,0), "")</f>
        <v xml:space="preserve">100 mg/2mL </v>
      </c>
      <c r="AB608" s="10" t="str">
        <f>IFERROR(VLOOKUP(Tabla1[[#This Row],[MEDICAMENTO]],TAB_REF!$B$3:$F$27,4,0), "")</f>
        <v>Solución Inyectable</v>
      </c>
      <c r="AC608" s="10" t="str">
        <f>IFERROR(VLOOKUP(Tabla1[[#This Row],[MEDICAMENTO]],TAB_REF!$B$3:$F$27,5,0), "")</f>
        <v>Caja 10 ampollas</v>
      </c>
      <c r="AD608" s="10" t="str">
        <f>IFERROR(VLOOKUP(Tabla1[[#This Row],[CANTIDAD UND COMERCIALES]],TAB_REF!$H$3:$I$1003,2,0)&amp;" ("&amp;Tabla1[[#This Row],[CANTIDAD UND COMERCIALES]]&amp;")"&amp;"_"&amp;Tabla1[[#This Row],[CANTIDAD]],"")</f>
        <v>Diez (10)_Caja 10 ampollas</v>
      </c>
    </row>
    <row r="609" spans="2:30" x14ac:dyDescent="0.25">
      <c r="B609" s="10">
        <v>238</v>
      </c>
      <c r="C609" s="10" t="s">
        <v>3297</v>
      </c>
      <c r="D609" s="10" t="s">
        <v>2162</v>
      </c>
      <c r="E609" s="10" t="s">
        <v>2703</v>
      </c>
      <c r="F609" s="10" t="s">
        <v>3298</v>
      </c>
      <c r="G609" s="21" t="s">
        <v>2705</v>
      </c>
      <c r="H609" s="10" t="s">
        <v>3299</v>
      </c>
      <c r="I609" s="10" t="s">
        <v>2122</v>
      </c>
      <c r="J609" s="10" t="s">
        <v>1742</v>
      </c>
      <c r="K609" s="10" t="s">
        <v>3300</v>
      </c>
      <c r="L609" s="11">
        <v>202124100843842</v>
      </c>
      <c r="M609" s="20">
        <v>44328</v>
      </c>
      <c r="N609" s="20" t="str">
        <f>UPPER(TEXT(Tabla1[[#This Row],[FECHA RADICADO ENTRADA]],"MMM"))</f>
        <v>MAY</v>
      </c>
      <c r="O609" s="11">
        <v>202124110794851</v>
      </c>
      <c r="P609" s="20">
        <v>44340</v>
      </c>
      <c r="Q609" s="20" t="str">
        <f>UPPER(TEXT(Tabla1[[#This Row],[FECHA RADICADO ENTRADA]],"MMM"))</f>
        <v>MAY</v>
      </c>
      <c r="R609" s="10">
        <f t="shared" si="11"/>
        <v>-12</v>
      </c>
      <c r="S609" s="10" t="s">
        <v>2154</v>
      </c>
      <c r="U609" s="10" t="s">
        <v>3301</v>
      </c>
      <c r="V609" s="20">
        <v>43713</v>
      </c>
      <c r="W609" s="10" t="s">
        <v>36</v>
      </c>
      <c r="X609" s="10">
        <v>20</v>
      </c>
      <c r="Y609" s="11">
        <f>IFERROR(INT(Tabla1[[#This Row],[CANTIDAD UND FARMACEUTICAS]]/(VLOOKUP(Tabla1[[#This Row],[MEDICAMENTO]],TAB_REF!$K$3:$L$27,2,0))),"")</f>
        <v>2</v>
      </c>
      <c r="Z609" s="10" t="str">
        <f>IFERROR(VLOOKUP(Tabla1[[#This Row],[MEDICAMENTO]],TAB_REF!$B$3:$F$27,2,0), "")</f>
        <v xml:space="preserve">Fenobarbital Sódico </v>
      </c>
      <c r="AA609" s="10" t="str">
        <f>IFERROR(VLOOKUP(Tabla1[[#This Row],[MEDICAMENTO]],TAB_REF!$B$3:$F$27,3,0), "")</f>
        <v xml:space="preserve">40 mg/mL </v>
      </c>
      <c r="AB609" s="10" t="str">
        <f>IFERROR(VLOOKUP(Tabla1[[#This Row],[MEDICAMENTO]],TAB_REF!$B$3:$F$27,4,0), "")</f>
        <v>Solución Inyectable</v>
      </c>
      <c r="AC609" s="10" t="str">
        <f>IFERROR(VLOOKUP(Tabla1[[#This Row],[MEDICAMENTO]],TAB_REF!$B$3:$F$27,5,0), "")</f>
        <v>Caja x 10 unidades</v>
      </c>
      <c r="AD609" s="10" t="str">
        <f>IFERROR(VLOOKUP(Tabla1[[#This Row],[CANTIDAD UND COMERCIALES]],TAB_REF!$H$3:$I$1003,2,0)&amp;" ("&amp;Tabla1[[#This Row],[CANTIDAD UND COMERCIALES]]&amp;")"&amp;"_"&amp;Tabla1[[#This Row],[CANTIDAD]],"")</f>
        <v>Dos (2)_Caja x 10 unidades</v>
      </c>
    </row>
    <row r="610" spans="2:30" x14ac:dyDescent="0.25">
      <c r="B610" s="10">
        <v>238</v>
      </c>
      <c r="C610" s="10" t="s">
        <v>3297</v>
      </c>
      <c r="D610" s="10" t="s">
        <v>2162</v>
      </c>
      <c r="E610" s="10" t="s">
        <v>2703</v>
      </c>
      <c r="F610" s="10" t="s">
        <v>3298</v>
      </c>
      <c r="G610" s="21" t="s">
        <v>2705</v>
      </c>
      <c r="H610" s="10" t="s">
        <v>3299</v>
      </c>
      <c r="I610" s="10" t="s">
        <v>2122</v>
      </c>
      <c r="J610" s="10" t="s">
        <v>1742</v>
      </c>
      <c r="K610" s="10" t="s">
        <v>3300</v>
      </c>
      <c r="L610" s="11">
        <v>202124100843842</v>
      </c>
      <c r="M610" s="20">
        <v>44328</v>
      </c>
      <c r="N610" s="20" t="str">
        <f>UPPER(TEXT(Tabla1[[#This Row],[FECHA RADICADO ENTRADA]],"MMM"))</f>
        <v>MAY</v>
      </c>
      <c r="O610" s="11">
        <v>202124110794851</v>
      </c>
      <c r="P610" s="20">
        <v>44340</v>
      </c>
      <c r="Q610" s="20" t="str">
        <f>UPPER(TEXT(Tabla1[[#This Row],[FECHA RADICADO ENTRADA]],"MMM"))</f>
        <v>MAY</v>
      </c>
      <c r="R610" s="10">
        <f t="shared" si="11"/>
        <v>-12</v>
      </c>
      <c r="S610" s="10" t="s">
        <v>2154</v>
      </c>
      <c r="U610" s="10" t="s">
        <v>3301</v>
      </c>
      <c r="V610" s="20">
        <v>43713</v>
      </c>
      <c r="W610" s="10" t="s">
        <v>41</v>
      </c>
      <c r="X610" s="10">
        <v>50</v>
      </c>
      <c r="Y610" s="11">
        <f>IFERROR(INT(Tabla1[[#This Row],[CANTIDAD UND FARMACEUTICAS]]/(VLOOKUP(Tabla1[[#This Row],[MEDICAMENTO]],TAB_REF!$K$3:$L$27,2,0))),"")</f>
        <v>5</v>
      </c>
      <c r="Z610" s="10" t="str">
        <f>IFERROR(VLOOKUP(Tabla1[[#This Row],[MEDICAMENTO]],TAB_REF!$B$3:$F$27,2,0), "")</f>
        <v xml:space="preserve">Meperidina HCl </v>
      </c>
      <c r="AA610" s="10" t="str">
        <f>IFERROR(VLOOKUP(Tabla1[[#This Row],[MEDICAMENTO]],TAB_REF!$B$3:$F$27,3,0), "")</f>
        <v xml:space="preserve">100 mg/2mL </v>
      </c>
      <c r="AB610" s="10" t="str">
        <f>IFERROR(VLOOKUP(Tabla1[[#This Row],[MEDICAMENTO]],TAB_REF!$B$3:$F$27,4,0), "")</f>
        <v>Solución Inyectable</v>
      </c>
      <c r="AC610" s="10" t="str">
        <f>IFERROR(VLOOKUP(Tabla1[[#This Row],[MEDICAMENTO]],TAB_REF!$B$3:$F$27,5,0), "")</f>
        <v>Caja 10 ampollas</v>
      </c>
      <c r="AD610" s="10" t="str">
        <f>IFERROR(VLOOKUP(Tabla1[[#This Row],[CANTIDAD UND COMERCIALES]],TAB_REF!$H$3:$I$1003,2,0)&amp;" ("&amp;Tabla1[[#This Row],[CANTIDAD UND COMERCIALES]]&amp;")"&amp;"_"&amp;Tabla1[[#This Row],[CANTIDAD]],"")</f>
        <v>Cinco (5)_Caja 10 ampollas</v>
      </c>
    </row>
    <row r="611" spans="2:30" x14ac:dyDescent="0.25">
      <c r="B611" s="10">
        <v>238</v>
      </c>
      <c r="C611" s="10" t="s">
        <v>3297</v>
      </c>
      <c r="D611" s="10" t="s">
        <v>2162</v>
      </c>
      <c r="E611" s="10" t="s">
        <v>2703</v>
      </c>
      <c r="F611" s="10" t="s">
        <v>3298</v>
      </c>
      <c r="G611" s="21" t="s">
        <v>2705</v>
      </c>
      <c r="H611" s="10" t="s">
        <v>3299</v>
      </c>
      <c r="I611" s="10" t="s">
        <v>2122</v>
      </c>
      <c r="J611" s="10" t="s">
        <v>1742</v>
      </c>
      <c r="K611" s="10" t="s">
        <v>3300</v>
      </c>
      <c r="L611" s="11">
        <v>202124100843842</v>
      </c>
      <c r="M611" s="20">
        <v>44328</v>
      </c>
      <c r="N611" s="20" t="str">
        <f>UPPER(TEXT(Tabla1[[#This Row],[FECHA RADICADO ENTRADA]],"MMM"))</f>
        <v>MAY</v>
      </c>
      <c r="O611" s="11">
        <v>202124110794851</v>
      </c>
      <c r="P611" s="20">
        <v>44340</v>
      </c>
      <c r="Q611" s="20" t="str">
        <f>UPPER(TEXT(Tabla1[[#This Row],[FECHA RADICADO ENTRADA]],"MMM"))</f>
        <v>MAY</v>
      </c>
      <c r="R611" s="10">
        <f t="shared" si="11"/>
        <v>-12</v>
      </c>
      <c r="S611" s="10" t="s">
        <v>2154</v>
      </c>
      <c r="U611" s="10" t="s">
        <v>3301</v>
      </c>
      <c r="V611" s="20">
        <v>43713</v>
      </c>
      <c r="W611" s="10" t="s">
        <v>63</v>
      </c>
      <c r="X611" s="10">
        <v>200</v>
      </c>
      <c r="Y611" s="11">
        <f>IFERROR(INT(Tabla1[[#This Row],[CANTIDAD UND FARMACEUTICAS]]/(VLOOKUP(Tabla1[[#This Row],[MEDICAMENTO]],TAB_REF!$K$3:$L$27,2,0))),"")</f>
        <v>20</v>
      </c>
      <c r="Z611" s="10" t="str">
        <f>IFERROR(VLOOKUP(Tabla1[[#This Row],[MEDICAMENTO]],TAB_REF!$B$3:$F$27,2,0), "")</f>
        <v xml:space="preserve">Morfina HCl </v>
      </c>
      <c r="AA611" s="10" t="str">
        <f>IFERROR(VLOOKUP(Tabla1[[#This Row],[MEDICAMENTO]],TAB_REF!$B$3:$F$27,3,0), "")</f>
        <v xml:space="preserve">10 mg/mL </v>
      </c>
      <c r="AB611" s="10" t="str">
        <f>IFERROR(VLOOKUP(Tabla1[[#This Row],[MEDICAMENTO]],TAB_REF!$B$3:$F$27,4,0), "")</f>
        <v>Solución Inyectable</v>
      </c>
      <c r="AC611" s="10" t="str">
        <f>IFERROR(VLOOKUP(Tabla1[[#This Row],[MEDICAMENTO]],TAB_REF!$B$3:$F$27,5,0), "")</f>
        <v>Caja x 10 unidades</v>
      </c>
      <c r="AD611" s="10" t="str">
        <f>IFERROR(VLOOKUP(Tabla1[[#This Row],[CANTIDAD UND COMERCIALES]],TAB_REF!$H$3:$I$1003,2,0)&amp;" ("&amp;Tabla1[[#This Row],[CANTIDAD UND COMERCIALES]]&amp;")"&amp;"_"&amp;Tabla1[[#This Row],[CANTIDAD]],"")</f>
        <v>Veinte (20)_Caja x 10 unidades</v>
      </c>
    </row>
    <row r="612" spans="2:30" x14ac:dyDescent="0.25">
      <c r="B612" s="10">
        <v>239</v>
      </c>
      <c r="C612" s="10" t="s">
        <v>3302</v>
      </c>
      <c r="D612" s="10" t="s">
        <v>3162</v>
      </c>
      <c r="E612" s="10" t="s">
        <v>3303</v>
      </c>
      <c r="F612" s="10" t="s">
        <v>3304</v>
      </c>
      <c r="G612" s="21" t="s">
        <v>3305</v>
      </c>
      <c r="H612" s="10" t="s">
        <v>3306</v>
      </c>
      <c r="I612" s="10" t="s">
        <v>2123</v>
      </c>
      <c r="J612" s="10" t="s">
        <v>1770</v>
      </c>
      <c r="K612" s="10" t="s">
        <v>3291</v>
      </c>
      <c r="L612" s="11">
        <v>202124100845182</v>
      </c>
      <c r="M612" s="20">
        <v>44328</v>
      </c>
      <c r="N612" s="20" t="str">
        <f>UPPER(TEXT(Tabla1[[#This Row],[FECHA RADICADO ENTRADA]],"MMM"))</f>
        <v>MAY</v>
      </c>
      <c r="O612" s="11">
        <v>202124110794831</v>
      </c>
      <c r="P612" s="20">
        <v>44341</v>
      </c>
      <c r="Q612" s="20" t="str">
        <f>UPPER(TEXT(Tabla1[[#This Row],[FECHA RADICADO ENTRADA]],"MMM"))</f>
        <v>MAY</v>
      </c>
      <c r="R612" s="10">
        <f t="shared" si="11"/>
        <v>-13</v>
      </c>
      <c r="S612" s="10" t="s">
        <v>2154</v>
      </c>
      <c r="U612" s="10" t="s">
        <v>3307</v>
      </c>
      <c r="V612" s="20">
        <v>42996</v>
      </c>
      <c r="W612" s="10" t="s">
        <v>63</v>
      </c>
      <c r="X612" s="10">
        <v>100</v>
      </c>
      <c r="Y612" s="11">
        <f>IFERROR(INT(Tabla1[[#This Row],[CANTIDAD UND FARMACEUTICAS]]/(VLOOKUP(Tabla1[[#This Row],[MEDICAMENTO]],TAB_REF!$K$3:$L$27,2,0))),"")</f>
        <v>10</v>
      </c>
      <c r="Z612" s="10" t="str">
        <f>IFERROR(VLOOKUP(Tabla1[[#This Row],[MEDICAMENTO]],TAB_REF!$B$3:$F$27,2,0), "")</f>
        <v xml:space="preserve">Morfina HCl </v>
      </c>
      <c r="AA612" s="10" t="str">
        <f>IFERROR(VLOOKUP(Tabla1[[#This Row],[MEDICAMENTO]],TAB_REF!$B$3:$F$27,3,0), "")</f>
        <v xml:space="preserve">10 mg/mL </v>
      </c>
      <c r="AB612" s="10" t="str">
        <f>IFERROR(VLOOKUP(Tabla1[[#This Row],[MEDICAMENTO]],TAB_REF!$B$3:$F$27,4,0), "")</f>
        <v>Solución Inyectable</v>
      </c>
      <c r="AC612" s="10" t="str">
        <f>IFERROR(VLOOKUP(Tabla1[[#This Row],[MEDICAMENTO]],TAB_REF!$B$3:$F$27,5,0), "")</f>
        <v>Caja x 10 unidades</v>
      </c>
      <c r="AD612" s="10" t="str">
        <f>IFERROR(VLOOKUP(Tabla1[[#This Row],[CANTIDAD UND COMERCIALES]],TAB_REF!$H$3:$I$1003,2,0)&amp;" ("&amp;Tabla1[[#This Row],[CANTIDAD UND COMERCIALES]]&amp;")"&amp;"_"&amp;Tabla1[[#This Row],[CANTIDAD]],"")</f>
        <v>Diez (10)_Caja x 10 unidades</v>
      </c>
    </row>
    <row r="613" spans="2:30" x14ac:dyDescent="0.25">
      <c r="B613" s="10">
        <v>239</v>
      </c>
      <c r="C613" s="10" t="s">
        <v>3302</v>
      </c>
      <c r="D613" s="10" t="s">
        <v>3162</v>
      </c>
      <c r="E613" s="10" t="s">
        <v>3303</v>
      </c>
      <c r="F613" s="10" t="s">
        <v>3304</v>
      </c>
      <c r="G613" s="21" t="s">
        <v>3305</v>
      </c>
      <c r="H613" s="10" t="s">
        <v>3306</v>
      </c>
      <c r="I613" s="10" t="s">
        <v>2123</v>
      </c>
      <c r="J613" s="10" t="s">
        <v>1770</v>
      </c>
      <c r="K613" s="10" t="s">
        <v>3291</v>
      </c>
      <c r="L613" s="11">
        <v>202124100845182</v>
      </c>
      <c r="M613" s="20">
        <v>44328</v>
      </c>
      <c r="N613" s="20" t="str">
        <f>UPPER(TEXT(Tabla1[[#This Row],[FECHA RADICADO ENTRADA]],"MMM"))</f>
        <v>MAY</v>
      </c>
      <c r="O613" s="11">
        <v>202124110794831</v>
      </c>
      <c r="P613" s="20">
        <v>44341</v>
      </c>
      <c r="Q613" s="20" t="str">
        <f>UPPER(TEXT(Tabla1[[#This Row],[FECHA RADICADO ENTRADA]],"MMM"))</f>
        <v>MAY</v>
      </c>
      <c r="R613" s="10">
        <f t="shared" si="11"/>
        <v>-13</v>
      </c>
      <c r="S613" s="10" t="s">
        <v>2154</v>
      </c>
      <c r="U613" s="10" t="s">
        <v>3307</v>
      </c>
      <c r="V613" s="20">
        <v>42996</v>
      </c>
      <c r="W613" s="10" t="s">
        <v>41</v>
      </c>
      <c r="X613" s="10">
        <v>100</v>
      </c>
      <c r="Y613" s="11">
        <f>IFERROR(INT(Tabla1[[#This Row],[CANTIDAD UND FARMACEUTICAS]]/(VLOOKUP(Tabla1[[#This Row],[MEDICAMENTO]],TAB_REF!$K$3:$L$27,2,0))),"")</f>
        <v>10</v>
      </c>
      <c r="Z613" s="10" t="str">
        <f>IFERROR(VLOOKUP(Tabla1[[#This Row],[MEDICAMENTO]],TAB_REF!$B$3:$F$27,2,0), "")</f>
        <v xml:space="preserve">Meperidina HCl </v>
      </c>
      <c r="AA613" s="10" t="str">
        <f>IFERROR(VLOOKUP(Tabla1[[#This Row],[MEDICAMENTO]],TAB_REF!$B$3:$F$27,3,0), "")</f>
        <v xml:space="preserve">100 mg/2mL </v>
      </c>
      <c r="AB613" s="10" t="str">
        <f>IFERROR(VLOOKUP(Tabla1[[#This Row],[MEDICAMENTO]],TAB_REF!$B$3:$F$27,4,0), "")</f>
        <v>Solución Inyectable</v>
      </c>
      <c r="AC613" s="10" t="str">
        <f>IFERROR(VLOOKUP(Tabla1[[#This Row],[MEDICAMENTO]],TAB_REF!$B$3:$F$27,5,0), "")</f>
        <v>Caja 10 ampollas</v>
      </c>
      <c r="AD613" s="10" t="str">
        <f>IFERROR(VLOOKUP(Tabla1[[#This Row],[CANTIDAD UND COMERCIALES]],TAB_REF!$H$3:$I$1003,2,0)&amp;" ("&amp;Tabla1[[#This Row],[CANTIDAD UND COMERCIALES]]&amp;")"&amp;"_"&amp;Tabla1[[#This Row],[CANTIDAD]],"")</f>
        <v>Diez (10)_Caja 10 ampollas</v>
      </c>
    </row>
    <row r="614" spans="2:30" x14ac:dyDescent="0.25">
      <c r="B614" s="10">
        <v>240</v>
      </c>
      <c r="C614" s="10" t="s">
        <v>3218</v>
      </c>
      <c r="D614" s="10" t="s">
        <v>3219</v>
      </c>
      <c r="E614" s="10" t="s">
        <v>2539</v>
      </c>
      <c r="F614" s="10" t="s">
        <v>2540</v>
      </c>
      <c r="G614" s="10" t="s">
        <v>2541</v>
      </c>
      <c r="H614" s="10" t="s">
        <v>2887</v>
      </c>
      <c r="I614" s="10" t="s">
        <v>2120</v>
      </c>
      <c r="J614" s="10" t="s">
        <v>1696</v>
      </c>
      <c r="K614" s="10" t="s">
        <v>3220</v>
      </c>
      <c r="L614" s="11">
        <v>202124100845332</v>
      </c>
      <c r="M614" s="20">
        <v>44328</v>
      </c>
      <c r="N614" s="20" t="str">
        <f>UPPER(TEXT(Tabla1[[#This Row],[FECHA RADICADO ENTRADA]],"MMM"))</f>
        <v>MAY</v>
      </c>
      <c r="O614" s="11">
        <v>202124110794801</v>
      </c>
      <c r="P614" s="20">
        <v>44341</v>
      </c>
      <c r="Q614" s="20" t="str">
        <f>UPPER(TEXT(Tabla1[[#This Row],[FECHA RADICADO ENTRADA]],"MMM"))</f>
        <v>MAY</v>
      </c>
      <c r="R614" s="10">
        <f t="shared" si="11"/>
        <v>-13</v>
      </c>
      <c r="S614" s="10" t="s">
        <v>2145</v>
      </c>
      <c r="T614" s="10" t="s">
        <v>3308</v>
      </c>
      <c r="U614" s="10" t="s">
        <v>2544</v>
      </c>
      <c r="V614" s="20">
        <v>42830</v>
      </c>
      <c r="W614" s="10" t="s">
        <v>60</v>
      </c>
      <c r="X614" s="10">
        <v>0</v>
      </c>
      <c r="Y614" s="11">
        <f>IFERROR(INT(Tabla1[[#This Row],[CANTIDAD UND FARMACEUTICAS]]/(VLOOKUP(Tabla1[[#This Row],[MEDICAMENTO]],TAB_REF!$K$3:$L$27,2,0))),"")</f>
        <v>0</v>
      </c>
      <c r="Z614" s="10" t="str">
        <f>IFERROR(VLOOKUP(Tabla1[[#This Row],[MEDICAMENTO]],TAB_REF!$B$3:$F$27,2,0), "")</f>
        <v xml:space="preserve">Morfina HCl </v>
      </c>
      <c r="AA614" s="10" t="str">
        <f>IFERROR(VLOOKUP(Tabla1[[#This Row],[MEDICAMENTO]],TAB_REF!$B$3:$F$27,3,0), "")</f>
        <v xml:space="preserve">3%. </v>
      </c>
      <c r="AB614" s="10" t="str">
        <f>IFERROR(VLOOKUP(Tabla1[[#This Row],[MEDICAMENTO]],TAB_REF!$B$3:$F$27,4,0), "")</f>
        <v>Solución Oral</v>
      </c>
      <c r="AC614" s="10" t="str">
        <f>IFERROR(VLOOKUP(Tabla1[[#This Row],[MEDICAMENTO]],TAB_REF!$B$3:$F$27,5,0), "")</f>
        <v>Frasco x 30 mL</v>
      </c>
      <c r="AD614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615" spans="2:30" x14ac:dyDescent="0.25">
      <c r="B615" s="10">
        <v>240</v>
      </c>
      <c r="C615" s="10" t="s">
        <v>3218</v>
      </c>
      <c r="D615" s="10" t="s">
        <v>3219</v>
      </c>
      <c r="E615" s="10" t="s">
        <v>2539</v>
      </c>
      <c r="F615" s="10" t="s">
        <v>2540</v>
      </c>
      <c r="G615" s="10" t="s">
        <v>2541</v>
      </c>
      <c r="H615" s="10" t="s">
        <v>2887</v>
      </c>
      <c r="I615" s="10" t="s">
        <v>2120</v>
      </c>
      <c r="J615" s="10" t="s">
        <v>1696</v>
      </c>
      <c r="K615" s="10" t="s">
        <v>3220</v>
      </c>
      <c r="L615" s="11">
        <v>202124100845332</v>
      </c>
      <c r="M615" s="20">
        <v>44328</v>
      </c>
      <c r="N615" s="20" t="str">
        <f>UPPER(TEXT(Tabla1[[#This Row],[FECHA RADICADO ENTRADA]],"MMM"))</f>
        <v>MAY</v>
      </c>
      <c r="O615" s="11">
        <v>202124110794801</v>
      </c>
      <c r="P615" s="20">
        <v>44341</v>
      </c>
      <c r="Q615" s="20" t="str">
        <f>UPPER(TEXT(Tabla1[[#This Row],[FECHA RADICADO ENTRADA]],"MMM"))</f>
        <v>MAY</v>
      </c>
      <c r="R615" s="10">
        <f t="shared" si="11"/>
        <v>-13</v>
      </c>
      <c r="S615" s="10" t="s">
        <v>2145</v>
      </c>
      <c r="T615" s="10" t="s">
        <v>3308</v>
      </c>
      <c r="U615" s="10" t="s">
        <v>2544</v>
      </c>
      <c r="V615" s="20">
        <v>42830</v>
      </c>
      <c r="W615" s="10" t="s">
        <v>41</v>
      </c>
      <c r="X615" s="10">
        <v>0</v>
      </c>
      <c r="Y615" s="11">
        <f>IFERROR(INT(Tabla1[[#This Row],[CANTIDAD UND FARMACEUTICAS]]/(VLOOKUP(Tabla1[[#This Row],[MEDICAMENTO]],TAB_REF!$K$3:$L$27,2,0))),"")</f>
        <v>0</v>
      </c>
      <c r="Z615" s="10" t="str">
        <f>IFERROR(VLOOKUP(Tabla1[[#This Row],[MEDICAMENTO]],TAB_REF!$B$3:$F$27,2,0), "")</f>
        <v xml:space="preserve">Meperidina HCl </v>
      </c>
      <c r="AA615" s="10" t="str">
        <f>IFERROR(VLOOKUP(Tabla1[[#This Row],[MEDICAMENTO]],TAB_REF!$B$3:$F$27,3,0), "")</f>
        <v xml:space="preserve">100 mg/2mL </v>
      </c>
      <c r="AB615" s="10" t="str">
        <f>IFERROR(VLOOKUP(Tabla1[[#This Row],[MEDICAMENTO]],TAB_REF!$B$3:$F$27,4,0), "")</f>
        <v>Solución Inyectable</v>
      </c>
      <c r="AC615" s="10" t="str">
        <f>IFERROR(VLOOKUP(Tabla1[[#This Row],[MEDICAMENTO]],TAB_REF!$B$3:$F$27,5,0), "")</f>
        <v>Caja 10 ampollas</v>
      </c>
      <c r="AD615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616" spans="2:30" x14ac:dyDescent="0.25">
      <c r="B616" s="10">
        <v>241</v>
      </c>
      <c r="C616" s="10" t="s">
        <v>3309</v>
      </c>
      <c r="D616" s="10" t="s">
        <v>2312</v>
      </c>
      <c r="E616" s="10" t="s">
        <v>3310</v>
      </c>
      <c r="F616" s="10" t="s">
        <v>3311</v>
      </c>
      <c r="G616" s="21" t="s">
        <v>3312</v>
      </c>
      <c r="H616" s="10" t="s">
        <v>3313</v>
      </c>
      <c r="I616" s="10" t="s">
        <v>2122</v>
      </c>
      <c r="J616" s="10" t="s">
        <v>1742</v>
      </c>
      <c r="K616" s="10" t="s">
        <v>3314</v>
      </c>
      <c r="L616" s="11">
        <v>202124100857122</v>
      </c>
      <c r="M616" s="20">
        <v>44330</v>
      </c>
      <c r="N616" s="20" t="str">
        <f>UPPER(TEXT(Tabla1[[#This Row],[FECHA RADICADO ENTRADA]],"MMM"))</f>
        <v>MAY</v>
      </c>
      <c r="O616" s="11">
        <v>202124110794741</v>
      </c>
      <c r="P616" s="20">
        <v>44341</v>
      </c>
      <c r="Q616" s="20" t="str">
        <f>UPPER(TEXT(Tabla1[[#This Row],[FECHA RADICADO ENTRADA]],"MMM"))</f>
        <v>MAY</v>
      </c>
      <c r="R616" s="10">
        <f t="shared" si="11"/>
        <v>-11</v>
      </c>
      <c r="S616" s="10" t="s">
        <v>2154</v>
      </c>
      <c r="U616" s="10" t="s">
        <v>3315</v>
      </c>
      <c r="V616" s="20">
        <v>43574</v>
      </c>
      <c r="W616" s="10" t="s">
        <v>63</v>
      </c>
      <c r="X616" s="10">
        <v>10</v>
      </c>
      <c r="Y616" s="11">
        <f>IFERROR(INT(Tabla1[[#This Row],[CANTIDAD UND FARMACEUTICAS]]/(VLOOKUP(Tabla1[[#This Row],[MEDICAMENTO]],TAB_REF!$K$3:$L$27,2,0))),"")</f>
        <v>1</v>
      </c>
      <c r="Z616" s="10" t="str">
        <f>IFERROR(VLOOKUP(Tabla1[[#This Row],[MEDICAMENTO]],TAB_REF!$B$3:$F$27,2,0), "")</f>
        <v xml:space="preserve">Morfina HCl </v>
      </c>
      <c r="AA616" s="10" t="str">
        <f>IFERROR(VLOOKUP(Tabla1[[#This Row],[MEDICAMENTO]],TAB_REF!$B$3:$F$27,3,0), "")</f>
        <v xml:space="preserve">10 mg/mL </v>
      </c>
      <c r="AB616" s="10" t="str">
        <f>IFERROR(VLOOKUP(Tabla1[[#This Row],[MEDICAMENTO]],TAB_REF!$B$3:$F$27,4,0), "")</f>
        <v>Solución Inyectable</v>
      </c>
      <c r="AC616" s="10" t="str">
        <f>IFERROR(VLOOKUP(Tabla1[[#This Row],[MEDICAMENTO]],TAB_REF!$B$3:$F$27,5,0), "")</f>
        <v>Caja x 10 unidades</v>
      </c>
      <c r="AD616" s="10" t="str">
        <f>IFERROR(VLOOKUP(Tabla1[[#This Row],[CANTIDAD UND COMERCIALES]],TAB_REF!$H$3:$I$1003,2,0)&amp;" ("&amp;Tabla1[[#This Row],[CANTIDAD UND COMERCIALES]]&amp;")"&amp;"_"&amp;Tabla1[[#This Row],[CANTIDAD]],"")</f>
        <v>Uno (1)_Caja x 10 unidades</v>
      </c>
    </row>
    <row r="617" spans="2:30" x14ac:dyDescent="0.25">
      <c r="B617" s="10">
        <v>241</v>
      </c>
      <c r="C617" s="10" t="s">
        <v>3309</v>
      </c>
      <c r="D617" s="10" t="s">
        <v>2312</v>
      </c>
      <c r="E617" s="10" t="s">
        <v>3310</v>
      </c>
      <c r="F617" s="10" t="s">
        <v>3311</v>
      </c>
      <c r="G617" s="21" t="s">
        <v>3312</v>
      </c>
      <c r="H617" s="10" t="s">
        <v>3313</v>
      </c>
      <c r="I617" s="10" t="s">
        <v>2122</v>
      </c>
      <c r="J617" s="10" t="s">
        <v>1742</v>
      </c>
      <c r="K617" s="10" t="s">
        <v>3314</v>
      </c>
      <c r="L617" s="11">
        <v>202124100857122</v>
      </c>
      <c r="M617" s="20">
        <v>44330</v>
      </c>
      <c r="N617" s="20" t="str">
        <f>UPPER(TEXT(Tabla1[[#This Row],[FECHA RADICADO ENTRADA]],"MMM"))</f>
        <v>MAY</v>
      </c>
      <c r="O617" s="11">
        <v>202124110794741</v>
      </c>
      <c r="P617" s="20">
        <v>44341</v>
      </c>
      <c r="Q617" s="20" t="str">
        <f>UPPER(TEXT(Tabla1[[#This Row],[FECHA RADICADO ENTRADA]],"MMM"))</f>
        <v>MAY</v>
      </c>
      <c r="R617" s="10">
        <f t="shared" si="11"/>
        <v>-11</v>
      </c>
      <c r="S617" s="10" t="s">
        <v>2154</v>
      </c>
      <c r="U617" s="10" t="s">
        <v>3315</v>
      </c>
      <c r="V617" s="20">
        <v>43574</v>
      </c>
      <c r="W617" s="10" t="s">
        <v>41</v>
      </c>
      <c r="X617" s="10">
        <v>10</v>
      </c>
      <c r="Y617" s="11">
        <f>IFERROR(INT(Tabla1[[#This Row],[CANTIDAD UND FARMACEUTICAS]]/(VLOOKUP(Tabla1[[#This Row],[MEDICAMENTO]],TAB_REF!$K$3:$L$27,2,0))),"")</f>
        <v>1</v>
      </c>
      <c r="Z617" s="10" t="str">
        <f>IFERROR(VLOOKUP(Tabla1[[#This Row],[MEDICAMENTO]],TAB_REF!$B$3:$F$27,2,0), "")</f>
        <v xml:space="preserve">Meperidina HCl </v>
      </c>
      <c r="AA617" s="10" t="str">
        <f>IFERROR(VLOOKUP(Tabla1[[#This Row],[MEDICAMENTO]],TAB_REF!$B$3:$F$27,3,0), "")</f>
        <v xml:space="preserve">100 mg/2mL </v>
      </c>
      <c r="AB617" s="10" t="str">
        <f>IFERROR(VLOOKUP(Tabla1[[#This Row],[MEDICAMENTO]],TAB_REF!$B$3:$F$27,4,0), "")</f>
        <v>Solución Inyectable</v>
      </c>
      <c r="AC617" s="10" t="str">
        <f>IFERROR(VLOOKUP(Tabla1[[#This Row],[MEDICAMENTO]],TAB_REF!$B$3:$F$27,5,0), "")</f>
        <v>Caja 10 ampollas</v>
      </c>
      <c r="AD617" s="10" t="str">
        <f>IFERROR(VLOOKUP(Tabla1[[#This Row],[CANTIDAD UND COMERCIALES]],TAB_REF!$H$3:$I$1003,2,0)&amp;" ("&amp;Tabla1[[#This Row],[CANTIDAD UND COMERCIALES]]&amp;")"&amp;"_"&amp;Tabla1[[#This Row],[CANTIDAD]],"")</f>
        <v>Uno (1)_Caja 10 ampollas</v>
      </c>
    </row>
    <row r="618" spans="2:30" x14ac:dyDescent="0.25">
      <c r="B618" s="10">
        <v>242</v>
      </c>
      <c r="C618" s="10" t="s">
        <v>2616</v>
      </c>
      <c r="D618" s="10" t="s">
        <v>2617</v>
      </c>
      <c r="E618" s="10" t="s">
        <v>2280</v>
      </c>
      <c r="F618" s="10" t="s">
        <v>2619</v>
      </c>
      <c r="G618" s="21" t="s">
        <v>2620</v>
      </c>
      <c r="H618" s="10" t="s">
        <v>3029</v>
      </c>
      <c r="I618" s="10" t="s">
        <v>2129</v>
      </c>
      <c r="J618" s="10" t="s">
        <v>2032</v>
      </c>
      <c r="K618" s="10" t="s">
        <v>3030</v>
      </c>
      <c r="L618" s="11">
        <v>202124100857432</v>
      </c>
      <c r="M618" s="20">
        <v>44330</v>
      </c>
      <c r="N618" s="20" t="str">
        <f>UPPER(TEXT(Tabla1[[#This Row],[FECHA RADICADO ENTRADA]],"MMM"))</f>
        <v>MAY</v>
      </c>
      <c r="O618" s="11">
        <v>202124110794701</v>
      </c>
      <c r="P618" s="20">
        <v>44341</v>
      </c>
      <c r="Q618" s="20" t="str">
        <f>UPPER(TEXT(Tabla1[[#This Row],[FECHA RADICADO ENTRADA]],"MMM"))</f>
        <v>MAY</v>
      </c>
      <c r="R618" s="10">
        <f t="shared" si="11"/>
        <v>-11</v>
      </c>
      <c r="S618" s="10" t="s">
        <v>2145</v>
      </c>
      <c r="U618" s="10" t="s">
        <v>2622</v>
      </c>
      <c r="V618" s="20">
        <v>43734</v>
      </c>
      <c r="W618" s="10" t="s">
        <v>41</v>
      </c>
      <c r="X618" s="10">
        <v>0</v>
      </c>
      <c r="Y618" s="11">
        <f>IFERROR(INT(Tabla1[[#This Row],[CANTIDAD UND FARMACEUTICAS]]/(VLOOKUP(Tabla1[[#This Row],[MEDICAMENTO]],TAB_REF!$K$3:$L$27,2,0))),"")</f>
        <v>0</v>
      </c>
      <c r="Z618" s="10" t="str">
        <f>IFERROR(VLOOKUP(Tabla1[[#This Row],[MEDICAMENTO]],TAB_REF!$B$3:$F$27,2,0), "")</f>
        <v xml:space="preserve">Meperidina HCl </v>
      </c>
      <c r="AA618" s="10" t="str">
        <f>IFERROR(VLOOKUP(Tabla1[[#This Row],[MEDICAMENTO]],TAB_REF!$B$3:$F$27,3,0), "")</f>
        <v xml:space="preserve">100 mg/2mL </v>
      </c>
      <c r="AB618" s="10" t="str">
        <f>IFERROR(VLOOKUP(Tabla1[[#This Row],[MEDICAMENTO]],TAB_REF!$B$3:$F$27,4,0), "")</f>
        <v>Solución Inyectable</v>
      </c>
      <c r="AC618" s="10" t="str">
        <f>IFERROR(VLOOKUP(Tabla1[[#This Row],[MEDICAMENTO]],TAB_REF!$B$3:$F$27,5,0), "")</f>
        <v>Caja 10 ampollas</v>
      </c>
      <c r="AD618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619" spans="2:30" x14ac:dyDescent="0.25">
      <c r="B619" s="10">
        <v>242</v>
      </c>
      <c r="C619" s="10" t="s">
        <v>2616</v>
      </c>
      <c r="D619" s="10" t="s">
        <v>2617</v>
      </c>
      <c r="E619" s="10" t="s">
        <v>2280</v>
      </c>
      <c r="F619" s="10" t="s">
        <v>2619</v>
      </c>
      <c r="G619" s="21" t="s">
        <v>2620</v>
      </c>
      <c r="H619" s="10" t="s">
        <v>3029</v>
      </c>
      <c r="I619" s="10" t="s">
        <v>2129</v>
      </c>
      <c r="J619" s="10" t="s">
        <v>2032</v>
      </c>
      <c r="K619" s="10" t="s">
        <v>3030</v>
      </c>
      <c r="L619" s="11">
        <v>202124100857432</v>
      </c>
      <c r="M619" s="20">
        <v>44330</v>
      </c>
      <c r="N619" s="20" t="str">
        <f>UPPER(TEXT(Tabla1[[#This Row],[FECHA RADICADO ENTRADA]],"MMM"))</f>
        <v>MAY</v>
      </c>
      <c r="O619" s="11">
        <v>202124110794701</v>
      </c>
      <c r="P619" s="20">
        <v>44341</v>
      </c>
      <c r="Q619" s="20" t="str">
        <f>UPPER(TEXT(Tabla1[[#This Row],[FECHA RADICADO ENTRADA]],"MMM"))</f>
        <v>MAY</v>
      </c>
      <c r="R619" s="10">
        <f t="shared" si="11"/>
        <v>-11</v>
      </c>
      <c r="S619" s="10" t="s">
        <v>2154</v>
      </c>
      <c r="U619" s="10" t="s">
        <v>2622</v>
      </c>
      <c r="V619" s="20">
        <v>43734</v>
      </c>
      <c r="W619" s="10" t="s">
        <v>63</v>
      </c>
      <c r="X619" s="10">
        <v>400</v>
      </c>
      <c r="Y619" s="11">
        <f>IFERROR(INT(Tabla1[[#This Row],[CANTIDAD UND FARMACEUTICAS]]/(VLOOKUP(Tabla1[[#This Row],[MEDICAMENTO]],TAB_REF!$K$3:$L$27,2,0))),"")</f>
        <v>40</v>
      </c>
      <c r="Z619" s="10" t="str">
        <f>IFERROR(VLOOKUP(Tabla1[[#This Row],[MEDICAMENTO]],TAB_REF!$B$3:$F$27,2,0), "")</f>
        <v xml:space="preserve">Morfina HCl </v>
      </c>
      <c r="AA619" s="10" t="str">
        <f>IFERROR(VLOOKUP(Tabla1[[#This Row],[MEDICAMENTO]],TAB_REF!$B$3:$F$27,3,0), "")</f>
        <v xml:space="preserve">10 mg/mL </v>
      </c>
      <c r="AB619" s="10" t="str">
        <f>IFERROR(VLOOKUP(Tabla1[[#This Row],[MEDICAMENTO]],TAB_REF!$B$3:$F$27,4,0), "")</f>
        <v>Solución Inyectable</v>
      </c>
      <c r="AC619" s="10" t="str">
        <f>IFERROR(VLOOKUP(Tabla1[[#This Row],[MEDICAMENTO]],TAB_REF!$B$3:$F$27,5,0), "")</f>
        <v>Caja x 10 unidades</v>
      </c>
      <c r="AD619" s="10" t="str">
        <f>IFERROR(VLOOKUP(Tabla1[[#This Row],[CANTIDAD UND COMERCIALES]],TAB_REF!$H$3:$I$1003,2,0)&amp;" ("&amp;Tabla1[[#This Row],[CANTIDAD UND COMERCIALES]]&amp;")"&amp;"_"&amp;Tabla1[[#This Row],[CANTIDAD]],"")</f>
        <v>Cuarenta (40)_Caja x 10 unidades</v>
      </c>
    </row>
    <row r="620" spans="2:30" x14ac:dyDescent="0.25">
      <c r="B620" s="10">
        <v>242</v>
      </c>
      <c r="C620" s="10" t="s">
        <v>2616</v>
      </c>
      <c r="D620" s="10" t="s">
        <v>2617</v>
      </c>
      <c r="E620" s="10" t="s">
        <v>2280</v>
      </c>
      <c r="F620" s="10" t="s">
        <v>2619</v>
      </c>
      <c r="G620" s="21" t="s">
        <v>2620</v>
      </c>
      <c r="H620" s="10" t="s">
        <v>3029</v>
      </c>
      <c r="I620" s="10" t="s">
        <v>2129</v>
      </c>
      <c r="J620" s="10" t="s">
        <v>2032</v>
      </c>
      <c r="K620" s="10" t="s">
        <v>3030</v>
      </c>
      <c r="L620" s="11">
        <v>202124100857432</v>
      </c>
      <c r="M620" s="20">
        <v>44330</v>
      </c>
      <c r="N620" s="20" t="str">
        <f>UPPER(TEXT(Tabla1[[#This Row],[FECHA RADICADO ENTRADA]],"MMM"))</f>
        <v>MAY</v>
      </c>
      <c r="O620" s="11">
        <v>202124110794701</v>
      </c>
      <c r="P620" s="20">
        <v>44341</v>
      </c>
      <c r="Q620" s="20" t="str">
        <f>UPPER(TEXT(Tabla1[[#This Row],[FECHA RADICADO ENTRADA]],"MMM"))</f>
        <v>MAY</v>
      </c>
      <c r="R620" s="10">
        <f t="shared" si="11"/>
        <v>-11</v>
      </c>
      <c r="S620" s="10" t="s">
        <v>2145</v>
      </c>
      <c r="U620" s="10" t="s">
        <v>2622</v>
      </c>
      <c r="V620" s="20">
        <v>43734</v>
      </c>
      <c r="W620" s="10" t="s">
        <v>36</v>
      </c>
      <c r="X620" s="10">
        <v>0</v>
      </c>
      <c r="Y620" s="11">
        <f>IFERROR(INT(Tabla1[[#This Row],[CANTIDAD UND FARMACEUTICAS]]/(VLOOKUP(Tabla1[[#This Row],[MEDICAMENTO]],TAB_REF!$K$3:$L$27,2,0))),"")</f>
        <v>0</v>
      </c>
      <c r="Z620" s="10" t="str">
        <f>IFERROR(VLOOKUP(Tabla1[[#This Row],[MEDICAMENTO]],TAB_REF!$B$3:$F$27,2,0), "")</f>
        <v xml:space="preserve">Fenobarbital Sódico </v>
      </c>
      <c r="AA620" s="10" t="str">
        <f>IFERROR(VLOOKUP(Tabla1[[#This Row],[MEDICAMENTO]],TAB_REF!$B$3:$F$27,3,0), "")</f>
        <v xml:space="preserve">40 mg/mL </v>
      </c>
      <c r="AB620" s="10" t="str">
        <f>IFERROR(VLOOKUP(Tabla1[[#This Row],[MEDICAMENTO]],TAB_REF!$B$3:$F$27,4,0), "")</f>
        <v>Solución Inyectable</v>
      </c>
      <c r="AC620" s="10" t="str">
        <f>IFERROR(VLOOKUP(Tabla1[[#This Row],[MEDICAMENTO]],TAB_REF!$B$3:$F$27,5,0), "")</f>
        <v>Caja x 10 unidades</v>
      </c>
      <c r="AD620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621" spans="2:30" x14ac:dyDescent="0.25">
      <c r="B621" s="10">
        <v>243</v>
      </c>
      <c r="C621" s="10" t="s">
        <v>3242</v>
      </c>
      <c r="D621" s="10" t="s">
        <v>2175</v>
      </c>
      <c r="E621" s="10" t="s">
        <v>3243</v>
      </c>
      <c r="F621" s="10" t="s">
        <v>2533</v>
      </c>
      <c r="G621" s="10" t="s">
        <v>2534</v>
      </c>
      <c r="H621" s="10" t="s">
        <v>2572</v>
      </c>
      <c r="I621" s="10" t="s">
        <v>2121</v>
      </c>
      <c r="K621" s="10" t="s">
        <v>2536</v>
      </c>
      <c r="L621" s="11">
        <v>202124100857462</v>
      </c>
      <c r="M621" s="20">
        <v>44330</v>
      </c>
      <c r="N621" s="20" t="str">
        <f>UPPER(TEXT(Tabla1[[#This Row],[FECHA RADICADO ENTRADA]],"MMM"))</f>
        <v>MAY</v>
      </c>
      <c r="O621" s="11">
        <v>202124110794601</v>
      </c>
      <c r="P621" s="20">
        <v>44341</v>
      </c>
      <c r="Q621" s="20" t="str">
        <f>UPPER(TEXT(Tabla1[[#This Row],[FECHA RADICADO ENTRADA]],"MMM"))</f>
        <v>MAY</v>
      </c>
      <c r="R621" s="10">
        <f t="shared" si="11"/>
        <v>-11</v>
      </c>
      <c r="S621" s="10" t="s">
        <v>2145</v>
      </c>
      <c r="U621" s="10" t="s">
        <v>2573</v>
      </c>
      <c r="V621" s="20">
        <v>42870</v>
      </c>
      <c r="W621" s="10" t="s">
        <v>36</v>
      </c>
      <c r="X621" s="10">
        <v>0</v>
      </c>
      <c r="Y621" s="11">
        <f>IFERROR(INT(Tabla1[[#This Row],[CANTIDAD UND FARMACEUTICAS]]/(VLOOKUP(Tabla1[[#This Row],[MEDICAMENTO]],TAB_REF!$K$3:$L$27,2,0))),"")</f>
        <v>0</v>
      </c>
      <c r="Z621" s="10" t="str">
        <f>IFERROR(VLOOKUP(Tabla1[[#This Row],[MEDICAMENTO]],TAB_REF!$B$3:$F$27,2,0), "")</f>
        <v xml:space="preserve">Fenobarbital Sódico </v>
      </c>
      <c r="AA621" s="10" t="str">
        <f>IFERROR(VLOOKUP(Tabla1[[#This Row],[MEDICAMENTO]],TAB_REF!$B$3:$F$27,3,0), "")</f>
        <v xml:space="preserve">40 mg/mL </v>
      </c>
      <c r="AB621" s="10" t="str">
        <f>IFERROR(VLOOKUP(Tabla1[[#This Row],[MEDICAMENTO]],TAB_REF!$B$3:$F$27,4,0), "")</f>
        <v>Solución Inyectable</v>
      </c>
      <c r="AC621" s="10" t="str">
        <f>IFERROR(VLOOKUP(Tabla1[[#This Row],[MEDICAMENTO]],TAB_REF!$B$3:$F$27,5,0), "")</f>
        <v>Caja x 10 unidades</v>
      </c>
      <c r="AD621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622" spans="2:30" x14ac:dyDescent="0.25">
      <c r="B622" s="10">
        <v>243</v>
      </c>
      <c r="C622" s="10" t="s">
        <v>3242</v>
      </c>
      <c r="D622" s="10" t="s">
        <v>2175</v>
      </c>
      <c r="E622" s="10" t="s">
        <v>3243</v>
      </c>
      <c r="F622" s="10" t="s">
        <v>2533</v>
      </c>
      <c r="G622" s="10" t="s">
        <v>2534</v>
      </c>
      <c r="H622" s="10" t="s">
        <v>2572</v>
      </c>
      <c r="I622" s="10" t="s">
        <v>2121</v>
      </c>
      <c r="K622" s="10" t="s">
        <v>2536</v>
      </c>
      <c r="L622" s="11">
        <v>202124100857462</v>
      </c>
      <c r="M622" s="20">
        <v>44330</v>
      </c>
      <c r="N622" s="20" t="str">
        <f>UPPER(TEXT(Tabla1[[#This Row],[FECHA RADICADO ENTRADA]],"MMM"))</f>
        <v>MAY</v>
      </c>
      <c r="O622" s="11">
        <v>202124110794601</v>
      </c>
      <c r="P622" s="20">
        <v>44341</v>
      </c>
      <c r="Q622" s="20" t="str">
        <f>UPPER(TEXT(Tabla1[[#This Row],[FECHA RADICADO ENTRADA]],"MMM"))</f>
        <v>MAY</v>
      </c>
      <c r="R622" s="10">
        <f t="shared" si="11"/>
        <v>-11</v>
      </c>
      <c r="S622" s="10" t="s">
        <v>2145</v>
      </c>
      <c r="U622" s="10" t="s">
        <v>2573</v>
      </c>
      <c r="V622" s="20">
        <v>42870</v>
      </c>
      <c r="W622" s="10" t="s">
        <v>34</v>
      </c>
      <c r="X622" s="10">
        <v>0</v>
      </c>
      <c r="Y622" s="11">
        <f>IFERROR(INT(Tabla1[[#This Row],[CANTIDAD UND FARMACEUTICAS]]/(VLOOKUP(Tabla1[[#This Row],[MEDICAMENTO]],TAB_REF!$K$3:$L$27,2,0))),"")</f>
        <v>0</v>
      </c>
      <c r="Z622" s="10" t="str">
        <f>IFERROR(VLOOKUP(Tabla1[[#This Row],[MEDICAMENTO]],TAB_REF!$B$3:$F$27,2,0), "")</f>
        <v xml:space="preserve">Fenobarbital Sódico </v>
      </c>
      <c r="AA622" s="10" t="str">
        <f>IFERROR(VLOOKUP(Tabla1[[#This Row],[MEDICAMENTO]],TAB_REF!$B$3:$F$27,3,0), "")</f>
        <v xml:space="preserve">200 mg/Ml </v>
      </c>
      <c r="AB622" s="10" t="str">
        <f>IFERROR(VLOOKUP(Tabla1[[#This Row],[MEDICAMENTO]],TAB_REF!$B$3:$F$27,4,0), "")</f>
        <v>Solución Inyectable</v>
      </c>
      <c r="AC622" s="10" t="str">
        <f>IFERROR(VLOOKUP(Tabla1[[#This Row],[MEDICAMENTO]],TAB_REF!$B$3:$F$27,5,0), "")</f>
        <v>Caja x 10 unidades</v>
      </c>
      <c r="AD622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623" spans="2:30" x14ac:dyDescent="0.25">
      <c r="B623" s="10">
        <v>243</v>
      </c>
      <c r="C623" s="10" t="s">
        <v>3242</v>
      </c>
      <c r="D623" s="10" t="s">
        <v>2175</v>
      </c>
      <c r="E623" s="10" t="s">
        <v>3243</v>
      </c>
      <c r="F623" s="10" t="s">
        <v>2533</v>
      </c>
      <c r="G623" s="10" t="s">
        <v>2534</v>
      </c>
      <c r="H623" s="10" t="s">
        <v>2572</v>
      </c>
      <c r="I623" s="10" t="s">
        <v>2121</v>
      </c>
      <c r="K623" s="10" t="s">
        <v>2536</v>
      </c>
      <c r="L623" s="11">
        <v>202124100857462</v>
      </c>
      <c r="M623" s="20">
        <v>44330</v>
      </c>
      <c r="N623" s="20" t="str">
        <f>UPPER(TEXT(Tabla1[[#This Row],[FECHA RADICADO ENTRADA]],"MMM"))</f>
        <v>MAY</v>
      </c>
      <c r="O623" s="11">
        <v>202124110794601</v>
      </c>
      <c r="P623" s="20">
        <v>44341</v>
      </c>
      <c r="Q623" s="20" t="str">
        <f>UPPER(TEXT(Tabla1[[#This Row],[FECHA RADICADO ENTRADA]],"MMM"))</f>
        <v>MAY</v>
      </c>
      <c r="R623" s="10">
        <f t="shared" si="11"/>
        <v>-11</v>
      </c>
      <c r="S623" s="10" t="s">
        <v>2145</v>
      </c>
      <c r="U623" s="10" t="s">
        <v>2573</v>
      </c>
      <c r="V623" s="20">
        <v>42870</v>
      </c>
      <c r="W623" s="10" t="s">
        <v>32</v>
      </c>
      <c r="X623" s="10">
        <v>0</v>
      </c>
      <c r="Y623" s="11">
        <f>IFERROR(INT(Tabla1[[#This Row],[CANTIDAD UND FARMACEUTICAS]]/(VLOOKUP(Tabla1[[#This Row],[MEDICAMENTO]],TAB_REF!$K$3:$L$27,2,0))),"")</f>
        <v>0</v>
      </c>
      <c r="Z623" s="10" t="str">
        <f>IFERROR(VLOOKUP(Tabla1[[#This Row],[MEDICAMENTO]],TAB_REF!$B$3:$F$27,2,0), "")</f>
        <v xml:space="preserve">Fenobarbital </v>
      </c>
      <c r="AA623" s="10" t="str">
        <f>IFERROR(VLOOKUP(Tabla1[[#This Row],[MEDICAMENTO]],TAB_REF!$B$3:$F$27,3,0), "")</f>
        <v xml:space="preserve">100 mg </v>
      </c>
      <c r="AB623" s="10" t="str">
        <f>IFERROR(VLOOKUP(Tabla1[[#This Row],[MEDICAMENTO]],TAB_REF!$B$3:$F$27,4,0), "")</f>
        <v>Tabletas</v>
      </c>
      <c r="AC623" s="10" t="str">
        <f>IFERROR(VLOOKUP(Tabla1[[#This Row],[MEDICAMENTO]],TAB_REF!$B$3:$F$27,5,0), "")</f>
        <v>Caja x 30 unidades</v>
      </c>
      <c r="AD623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624" spans="2:30" x14ac:dyDescent="0.25">
      <c r="B624" s="10">
        <v>243</v>
      </c>
      <c r="C624" s="10" t="s">
        <v>3242</v>
      </c>
      <c r="D624" s="10" t="s">
        <v>2175</v>
      </c>
      <c r="E624" s="10" t="s">
        <v>3243</v>
      </c>
      <c r="F624" s="10" t="s">
        <v>2533</v>
      </c>
      <c r="G624" s="10" t="s">
        <v>2534</v>
      </c>
      <c r="H624" s="10" t="s">
        <v>2572</v>
      </c>
      <c r="I624" s="10" t="s">
        <v>2121</v>
      </c>
      <c r="K624" s="10" t="s">
        <v>2536</v>
      </c>
      <c r="L624" s="11">
        <v>202124100857462</v>
      </c>
      <c r="M624" s="20">
        <v>44330</v>
      </c>
      <c r="N624" s="20" t="str">
        <f>UPPER(TEXT(Tabla1[[#This Row],[FECHA RADICADO ENTRADA]],"MMM"))</f>
        <v>MAY</v>
      </c>
      <c r="O624" s="11">
        <v>202124110794601</v>
      </c>
      <c r="P624" s="20">
        <v>44341</v>
      </c>
      <c r="Q624" s="20" t="str">
        <f>UPPER(TEXT(Tabla1[[#This Row],[FECHA RADICADO ENTRADA]],"MMM"))</f>
        <v>MAY</v>
      </c>
      <c r="R624" s="10">
        <f t="shared" si="11"/>
        <v>-11</v>
      </c>
      <c r="S624" s="10" t="s">
        <v>2145</v>
      </c>
      <c r="U624" s="10" t="s">
        <v>2573</v>
      </c>
      <c r="V624" s="20">
        <v>42870</v>
      </c>
      <c r="W624" s="10" t="s">
        <v>63</v>
      </c>
      <c r="X624" s="10">
        <v>0</v>
      </c>
      <c r="Y624" s="11">
        <f>IFERROR(INT(Tabla1[[#This Row],[CANTIDAD UND FARMACEUTICAS]]/(VLOOKUP(Tabla1[[#This Row],[MEDICAMENTO]],TAB_REF!$K$3:$L$27,2,0))),"")</f>
        <v>0</v>
      </c>
      <c r="Z624" s="10" t="str">
        <f>IFERROR(VLOOKUP(Tabla1[[#This Row],[MEDICAMENTO]],TAB_REF!$B$3:$F$27,2,0), "")</f>
        <v xml:space="preserve">Morfina HCl </v>
      </c>
      <c r="AA624" s="10" t="str">
        <f>IFERROR(VLOOKUP(Tabla1[[#This Row],[MEDICAMENTO]],TAB_REF!$B$3:$F$27,3,0), "")</f>
        <v xml:space="preserve">10 mg/mL </v>
      </c>
      <c r="AB624" s="10" t="str">
        <f>IFERROR(VLOOKUP(Tabla1[[#This Row],[MEDICAMENTO]],TAB_REF!$B$3:$F$27,4,0), "")</f>
        <v>Solución Inyectable</v>
      </c>
      <c r="AC624" s="10" t="str">
        <f>IFERROR(VLOOKUP(Tabla1[[#This Row],[MEDICAMENTO]],TAB_REF!$B$3:$F$27,5,0), "")</f>
        <v>Caja x 10 unidades</v>
      </c>
      <c r="AD624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625" spans="2:30" x14ac:dyDescent="0.25">
      <c r="B625" s="10">
        <v>244</v>
      </c>
      <c r="C625" s="10" t="s">
        <v>3316</v>
      </c>
      <c r="D625" s="10" t="s">
        <v>2312</v>
      </c>
      <c r="E625" s="10" t="s">
        <v>2477</v>
      </c>
      <c r="F625" s="10" t="s">
        <v>2478</v>
      </c>
      <c r="G625" s="21" t="s">
        <v>2480</v>
      </c>
      <c r="H625" s="10" t="s">
        <v>2481</v>
      </c>
      <c r="I625" s="10" t="s">
        <v>2116</v>
      </c>
      <c r="J625" s="10" t="s">
        <v>1550</v>
      </c>
      <c r="K625" s="10" t="s">
        <v>3317</v>
      </c>
      <c r="L625" s="11">
        <v>202124100858382</v>
      </c>
      <c r="M625" s="20">
        <v>44330</v>
      </c>
      <c r="N625" s="20" t="str">
        <f>UPPER(TEXT(Tabla1[[#This Row],[FECHA RADICADO ENTRADA]],"MMM"))</f>
        <v>MAY</v>
      </c>
      <c r="O625" s="11">
        <v>202124110807071</v>
      </c>
      <c r="P625" s="20">
        <v>44340</v>
      </c>
      <c r="Q625" s="20" t="str">
        <f>UPPER(TEXT(Tabla1[[#This Row],[FECHA RADICADO ENTRADA]],"MMM"))</f>
        <v>MAY</v>
      </c>
      <c r="R625" s="10">
        <f t="shared" si="11"/>
        <v>-10</v>
      </c>
      <c r="S625" s="10" t="s">
        <v>2145</v>
      </c>
      <c r="T625" s="10" t="s">
        <v>3245</v>
      </c>
      <c r="U625" s="10" t="s">
        <v>3267</v>
      </c>
      <c r="V625" s="20" t="s">
        <v>2164</v>
      </c>
      <c r="W625" s="10" t="s">
        <v>63</v>
      </c>
      <c r="X625" s="10">
        <v>0</v>
      </c>
      <c r="Y625" s="11">
        <f>IFERROR(INT(Tabla1[[#This Row],[CANTIDAD UND FARMACEUTICAS]]/(VLOOKUP(Tabla1[[#This Row],[MEDICAMENTO]],TAB_REF!$K$3:$L$27,2,0))),"")</f>
        <v>0</v>
      </c>
      <c r="Z625" s="10" t="str">
        <f>IFERROR(VLOOKUP(Tabla1[[#This Row],[MEDICAMENTO]],TAB_REF!$B$3:$F$27,2,0), "")</f>
        <v xml:space="preserve">Morfina HCl </v>
      </c>
      <c r="AA625" s="10" t="str">
        <f>IFERROR(VLOOKUP(Tabla1[[#This Row],[MEDICAMENTO]],TAB_REF!$B$3:$F$27,3,0), "")</f>
        <v xml:space="preserve">10 mg/mL </v>
      </c>
      <c r="AB625" s="10" t="str">
        <f>IFERROR(VLOOKUP(Tabla1[[#This Row],[MEDICAMENTO]],TAB_REF!$B$3:$F$27,4,0), "")</f>
        <v>Solución Inyectable</v>
      </c>
      <c r="AC625" s="10" t="str">
        <f>IFERROR(VLOOKUP(Tabla1[[#This Row],[MEDICAMENTO]],TAB_REF!$B$3:$F$27,5,0), "")</f>
        <v>Caja x 10 unidades</v>
      </c>
      <c r="AD625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626" spans="2:30" x14ac:dyDescent="0.25">
      <c r="B626" s="10">
        <v>245</v>
      </c>
      <c r="C626" s="10" t="s">
        <v>3318</v>
      </c>
      <c r="D626" s="10" t="s">
        <v>3319</v>
      </c>
      <c r="E626" s="10" t="s">
        <v>3320</v>
      </c>
      <c r="F626" s="10" t="s">
        <v>3321</v>
      </c>
      <c r="G626" s="21" t="s">
        <v>3322</v>
      </c>
      <c r="H626" s="10" t="s">
        <v>3323</v>
      </c>
      <c r="I626" s="10" t="s">
        <v>2130</v>
      </c>
      <c r="K626" s="10" t="s">
        <v>3324</v>
      </c>
      <c r="L626" s="11">
        <v>202124100861612</v>
      </c>
      <c r="M626" s="20">
        <v>44330</v>
      </c>
      <c r="N626" s="20" t="str">
        <f>UPPER(TEXT(Tabla1[[#This Row],[FECHA RADICADO ENTRADA]],"MMM"))</f>
        <v>MAY</v>
      </c>
      <c r="O626" s="11">
        <v>202124110807111</v>
      </c>
      <c r="P626" s="20">
        <v>44340</v>
      </c>
      <c r="Q626" s="20" t="str">
        <f>UPPER(TEXT(Tabla1[[#This Row],[FECHA RADICADO ENTRADA]],"MMM"))</f>
        <v>MAY</v>
      </c>
      <c r="R626" s="10">
        <f t="shared" si="11"/>
        <v>-10</v>
      </c>
      <c r="S626" s="10" t="s">
        <v>2154</v>
      </c>
      <c r="U626" s="10" t="s">
        <v>3325</v>
      </c>
      <c r="V626" s="20">
        <v>42669</v>
      </c>
      <c r="W626" s="10" t="s">
        <v>32</v>
      </c>
      <c r="X626" s="10">
        <v>240</v>
      </c>
      <c r="Y626" s="11">
        <f>IFERROR(INT(Tabla1[[#This Row],[CANTIDAD UND FARMACEUTICAS]]/(VLOOKUP(Tabla1[[#This Row],[MEDICAMENTO]],TAB_REF!$K$3:$L$27,2,0))),"")</f>
        <v>8</v>
      </c>
      <c r="Z626" s="10" t="str">
        <f>IFERROR(VLOOKUP(Tabla1[[#This Row],[MEDICAMENTO]],TAB_REF!$B$3:$F$27,2,0), "")</f>
        <v xml:space="preserve">Fenobarbital </v>
      </c>
      <c r="AA626" s="10" t="str">
        <f>IFERROR(VLOOKUP(Tabla1[[#This Row],[MEDICAMENTO]],TAB_REF!$B$3:$F$27,3,0), "")</f>
        <v xml:space="preserve">100 mg </v>
      </c>
      <c r="AB626" s="10" t="str">
        <f>IFERROR(VLOOKUP(Tabla1[[#This Row],[MEDICAMENTO]],TAB_REF!$B$3:$F$27,4,0), "")</f>
        <v>Tabletas</v>
      </c>
      <c r="AC626" s="10" t="str">
        <f>IFERROR(VLOOKUP(Tabla1[[#This Row],[MEDICAMENTO]],TAB_REF!$B$3:$F$27,5,0), "")</f>
        <v>Caja x 30 unidades</v>
      </c>
      <c r="AD626" s="10" t="str">
        <f>IFERROR(VLOOKUP(Tabla1[[#This Row],[CANTIDAD UND COMERCIALES]],TAB_REF!$H$3:$I$1003,2,0)&amp;" ("&amp;Tabla1[[#This Row],[CANTIDAD UND COMERCIALES]]&amp;")"&amp;"_"&amp;Tabla1[[#This Row],[CANTIDAD]],"")</f>
        <v>Ocho (8)_Caja x 30 unidades</v>
      </c>
    </row>
    <row r="627" spans="2:30" x14ac:dyDescent="0.25">
      <c r="B627" s="10">
        <v>245</v>
      </c>
      <c r="C627" s="10" t="s">
        <v>3318</v>
      </c>
      <c r="D627" s="10" t="s">
        <v>3319</v>
      </c>
      <c r="E627" s="10" t="s">
        <v>3320</v>
      </c>
      <c r="F627" s="10" t="s">
        <v>3321</v>
      </c>
      <c r="G627" s="21" t="s">
        <v>3322</v>
      </c>
      <c r="H627" s="10" t="s">
        <v>3323</v>
      </c>
      <c r="I627" s="10" t="s">
        <v>2130</v>
      </c>
      <c r="K627" s="10" t="s">
        <v>3324</v>
      </c>
      <c r="L627" s="11">
        <v>202124100861612</v>
      </c>
      <c r="M627" s="20">
        <v>44330</v>
      </c>
      <c r="N627" s="20" t="str">
        <f>UPPER(TEXT(Tabla1[[#This Row],[FECHA RADICADO ENTRADA]],"MMM"))</f>
        <v>MAY</v>
      </c>
      <c r="O627" s="11">
        <v>202124110807111</v>
      </c>
      <c r="P627" s="20">
        <v>44340</v>
      </c>
      <c r="Q627" s="20" t="str">
        <f>UPPER(TEXT(Tabla1[[#This Row],[FECHA RADICADO ENTRADA]],"MMM"))</f>
        <v>MAY</v>
      </c>
      <c r="R627" s="10">
        <f t="shared" si="11"/>
        <v>-10</v>
      </c>
      <c r="S627" s="10" t="s">
        <v>2154</v>
      </c>
      <c r="U627" s="10" t="s">
        <v>3325</v>
      </c>
      <c r="V627" s="20">
        <v>42669</v>
      </c>
      <c r="W627" s="10" t="s">
        <v>60</v>
      </c>
      <c r="X627" s="10">
        <v>12</v>
      </c>
      <c r="Y627" s="11">
        <f>IFERROR(INT(Tabla1[[#This Row],[CANTIDAD UND FARMACEUTICAS]]/(VLOOKUP(Tabla1[[#This Row],[MEDICAMENTO]],TAB_REF!$K$3:$L$27,2,0))),"")</f>
        <v>12</v>
      </c>
      <c r="Z627" s="10" t="str">
        <f>IFERROR(VLOOKUP(Tabla1[[#This Row],[MEDICAMENTO]],TAB_REF!$B$3:$F$27,2,0), "")</f>
        <v xml:space="preserve">Morfina HCl </v>
      </c>
      <c r="AA627" s="10" t="str">
        <f>IFERROR(VLOOKUP(Tabla1[[#This Row],[MEDICAMENTO]],TAB_REF!$B$3:$F$27,3,0), "")</f>
        <v xml:space="preserve">3%. </v>
      </c>
      <c r="AB627" s="10" t="str">
        <f>IFERROR(VLOOKUP(Tabla1[[#This Row],[MEDICAMENTO]],TAB_REF!$B$3:$F$27,4,0), "")</f>
        <v>Solución Oral</v>
      </c>
      <c r="AC627" s="10" t="str">
        <f>IFERROR(VLOOKUP(Tabla1[[#This Row],[MEDICAMENTO]],TAB_REF!$B$3:$F$27,5,0), "")</f>
        <v>Frasco x 30 mL</v>
      </c>
      <c r="AD627" s="10" t="str">
        <f>IFERROR(VLOOKUP(Tabla1[[#This Row],[CANTIDAD UND COMERCIALES]],TAB_REF!$H$3:$I$1003,2,0)&amp;" ("&amp;Tabla1[[#This Row],[CANTIDAD UND COMERCIALES]]&amp;")"&amp;"_"&amp;Tabla1[[#This Row],[CANTIDAD]],"")</f>
        <v>Doce (12)_Frasco x 30 mL</v>
      </c>
    </row>
    <row r="628" spans="2:30" x14ac:dyDescent="0.25">
      <c r="B628" s="10">
        <v>245</v>
      </c>
      <c r="C628" s="10" t="s">
        <v>3318</v>
      </c>
      <c r="D628" s="10" t="s">
        <v>3319</v>
      </c>
      <c r="E628" s="10" t="s">
        <v>3320</v>
      </c>
      <c r="F628" s="10" t="s">
        <v>3321</v>
      </c>
      <c r="G628" s="21" t="s">
        <v>3322</v>
      </c>
      <c r="H628" s="10" t="s">
        <v>3323</v>
      </c>
      <c r="I628" s="10" t="s">
        <v>2130</v>
      </c>
      <c r="K628" s="10" t="s">
        <v>3324</v>
      </c>
      <c r="L628" s="11">
        <v>202124100861612</v>
      </c>
      <c r="M628" s="20">
        <v>44330</v>
      </c>
      <c r="N628" s="20" t="str">
        <f>UPPER(TEXT(Tabla1[[#This Row],[FECHA RADICADO ENTRADA]],"MMM"))</f>
        <v>MAY</v>
      </c>
      <c r="O628" s="11">
        <v>202124110807111</v>
      </c>
      <c r="P628" s="20">
        <v>44340</v>
      </c>
      <c r="Q628" s="20" t="str">
        <f>UPPER(TEXT(Tabla1[[#This Row],[FECHA RADICADO ENTRADA]],"MMM"))</f>
        <v>MAY</v>
      </c>
      <c r="R628" s="10">
        <f t="shared" si="11"/>
        <v>-10</v>
      </c>
      <c r="S628" s="10" t="s">
        <v>2154</v>
      </c>
      <c r="U628" s="10" t="s">
        <v>3325</v>
      </c>
      <c r="V628" s="20">
        <v>42669</v>
      </c>
      <c r="W628" s="10" t="s">
        <v>63</v>
      </c>
      <c r="X628" s="10">
        <v>50</v>
      </c>
      <c r="Y628" s="11">
        <f>IFERROR(INT(Tabla1[[#This Row],[CANTIDAD UND FARMACEUTICAS]]/(VLOOKUP(Tabla1[[#This Row],[MEDICAMENTO]],TAB_REF!$K$3:$L$27,2,0))),"")</f>
        <v>5</v>
      </c>
      <c r="Z628" s="10" t="str">
        <f>IFERROR(VLOOKUP(Tabla1[[#This Row],[MEDICAMENTO]],TAB_REF!$B$3:$F$27,2,0), "")</f>
        <v xml:space="preserve">Morfina HCl </v>
      </c>
      <c r="AA628" s="10" t="str">
        <f>IFERROR(VLOOKUP(Tabla1[[#This Row],[MEDICAMENTO]],TAB_REF!$B$3:$F$27,3,0), "")</f>
        <v xml:space="preserve">10 mg/mL </v>
      </c>
      <c r="AB628" s="10" t="str">
        <f>IFERROR(VLOOKUP(Tabla1[[#This Row],[MEDICAMENTO]],TAB_REF!$B$3:$F$27,4,0), "")</f>
        <v>Solución Inyectable</v>
      </c>
      <c r="AC628" s="10" t="str">
        <f>IFERROR(VLOOKUP(Tabla1[[#This Row],[MEDICAMENTO]],TAB_REF!$B$3:$F$27,5,0), "")</f>
        <v>Caja x 10 unidades</v>
      </c>
      <c r="AD628" s="10" t="str">
        <f>IFERROR(VLOOKUP(Tabla1[[#This Row],[CANTIDAD UND COMERCIALES]],TAB_REF!$H$3:$I$1003,2,0)&amp;" ("&amp;Tabla1[[#This Row],[CANTIDAD UND COMERCIALES]]&amp;")"&amp;"_"&amp;Tabla1[[#This Row],[CANTIDAD]],"")</f>
        <v>Cinco (5)_Caja x 10 unidades</v>
      </c>
    </row>
    <row r="629" spans="2:30" x14ac:dyDescent="0.25">
      <c r="B629" s="10">
        <v>246</v>
      </c>
      <c r="C629" s="10" t="s">
        <v>2781</v>
      </c>
      <c r="D629" s="10" t="s">
        <v>2782</v>
      </c>
      <c r="E629" s="10" t="s">
        <v>2783</v>
      </c>
      <c r="F629" s="10" t="s">
        <v>2164</v>
      </c>
      <c r="G629" s="10" t="s">
        <v>2784</v>
      </c>
      <c r="H629" s="10" t="s">
        <v>2785</v>
      </c>
      <c r="I629" s="10" t="s">
        <v>2129</v>
      </c>
      <c r="J629" s="10" t="s">
        <v>2011</v>
      </c>
      <c r="K629" s="10" t="s">
        <v>3326</v>
      </c>
      <c r="L629" s="11">
        <v>202124100861622</v>
      </c>
      <c r="M629" s="20">
        <v>44330</v>
      </c>
      <c r="N629" s="20" t="str">
        <f>UPPER(TEXT(Tabla1[[#This Row],[FECHA RADICADO ENTRADA]],"MMM"))</f>
        <v>MAY</v>
      </c>
      <c r="O629" s="11">
        <v>202124110807161</v>
      </c>
      <c r="P629" s="20">
        <v>44340</v>
      </c>
      <c r="Q629" s="20" t="str">
        <f>UPPER(TEXT(Tabla1[[#This Row],[FECHA RADICADO ENTRADA]],"MMM"))</f>
        <v>MAY</v>
      </c>
      <c r="R629" s="10">
        <f t="shared" si="11"/>
        <v>-10</v>
      </c>
      <c r="S629" s="10" t="s">
        <v>2145</v>
      </c>
      <c r="T629" s="10" t="s">
        <v>3335</v>
      </c>
      <c r="U629" s="10" t="s">
        <v>3327</v>
      </c>
      <c r="V629" s="20">
        <v>43392</v>
      </c>
      <c r="W629" s="10" t="s">
        <v>41</v>
      </c>
      <c r="X629" s="10">
        <v>0</v>
      </c>
      <c r="Y629" s="11">
        <f>IFERROR(INT(Tabla1[[#This Row],[CANTIDAD UND FARMACEUTICAS]]/(VLOOKUP(Tabla1[[#This Row],[MEDICAMENTO]],TAB_REF!$K$3:$L$27,2,0))),"")</f>
        <v>0</v>
      </c>
      <c r="Z629" s="10" t="str">
        <f>IFERROR(VLOOKUP(Tabla1[[#This Row],[MEDICAMENTO]],TAB_REF!$B$3:$F$27,2,0), "")</f>
        <v xml:space="preserve">Meperidina HCl </v>
      </c>
      <c r="AA629" s="10" t="str">
        <f>IFERROR(VLOOKUP(Tabla1[[#This Row],[MEDICAMENTO]],TAB_REF!$B$3:$F$27,3,0), "")</f>
        <v xml:space="preserve">100 mg/2mL </v>
      </c>
      <c r="AB629" s="10" t="str">
        <f>IFERROR(VLOOKUP(Tabla1[[#This Row],[MEDICAMENTO]],TAB_REF!$B$3:$F$27,4,0), "")</f>
        <v>Solución Inyectable</v>
      </c>
      <c r="AC629" s="10" t="str">
        <f>IFERROR(VLOOKUP(Tabla1[[#This Row],[MEDICAMENTO]],TAB_REF!$B$3:$F$27,5,0), "")</f>
        <v>Caja 10 ampollas</v>
      </c>
      <c r="AD629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630" spans="2:30" x14ac:dyDescent="0.25">
      <c r="B630" s="10">
        <v>246</v>
      </c>
      <c r="C630" s="10" t="s">
        <v>2781</v>
      </c>
      <c r="D630" s="10" t="s">
        <v>2782</v>
      </c>
      <c r="E630" s="10" t="s">
        <v>2783</v>
      </c>
      <c r="F630" s="10" t="s">
        <v>3136</v>
      </c>
      <c r="G630" s="10" t="s">
        <v>2784</v>
      </c>
      <c r="H630" s="10" t="s">
        <v>2785</v>
      </c>
      <c r="I630" s="10" t="s">
        <v>2129</v>
      </c>
      <c r="J630" s="10" t="s">
        <v>2011</v>
      </c>
      <c r="K630" s="10" t="s">
        <v>3326</v>
      </c>
      <c r="L630" s="11">
        <v>202124100861622</v>
      </c>
      <c r="M630" s="20">
        <v>44330</v>
      </c>
      <c r="N630" s="20" t="str">
        <f>UPPER(TEXT(Tabla1[[#This Row],[FECHA RADICADO ENTRADA]],"MMM"))</f>
        <v>MAY</v>
      </c>
      <c r="O630" s="11">
        <v>202124110807161</v>
      </c>
      <c r="P630" s="20">
        <v>44340</v>
      </c>
      <c r="Q630" s="20" t="str">
        <f>UPPER(TEXT(Tabla1[[#This Row],[FECHA RADICADO ENTRADA]],"MMM"))</f>
        <v>MAY</v>
      </c>
      <c r="R630" s="10">
        <f t="shared" si="11"/>
        <v>-10</v>
      </c>
      <c r="S630" s="10" t="s">
        <v>2145</v>
      </c>
      <c r="T630" s="10" t="s">
        <v>3966</v>
      </c>
      <c r="U630" s="10" t="s">
        <v>3327</v>
      </c>
      <c r="V630" s="20">
        <v>43392</v>
      </c>
      <c r="W630" s="10" t="s">
        <v>63</v>
      </c>
      <c r="X630" s="10">
        <v>0</v>
      </c>
      <c r="Y630" s="11">
        <f>IFERROR(INT(Tabla1[[#This Row],[CANTIDAD UND FARMACEUTICAS]]/(VLOOKUP(Tabla1[[#This Row],[MEDICAMENTO]],TAB_REF!$K$3:$L$27,2,0))),"")</f>
        <v>0</v>
      </c>
      <c r="Z630" s="10" t="str">
        <f>IFERROR(VLOOKUP(Tabla1[[#This Row],[MEDICAMENTO]],TAB_REF!$B$3:$F$27,2,0), "")</f>
        <v xml:space="preserve">Morfina HCl </v>
      </c>
      <c r="AA630" s="10" t="str">
        <f>IFERROR(VLOOKUP(Tabla1[[#This Row],[MEDICAMENTO]],TAB_REF!$B$3:$F$27,3,0), "")</f>
        <v xml:space="preserve">10 mg/mL </v>
      </c>
      <c r="AB630" s="10" t="str">
        <f>IFERROR(VLOOKUP(Tabla1[[#This Row],[MEDICAMENTO]],TAB_REF!$B$3:$F$27,4,0), "")</f>
        <v>Solución Inyectable</v>
      </c>
      <c r="AC630" s="10" t="str">
        <f>IFERROR(VLOOKUP(Tabla1[[#This Row],[MEDICAMENTO]],TAB_REF!$B$3:$F$27,5,0), "")</f>
        <v>Caja x 10 unidades</v>
      </c>
      <c r="AD630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631" spans="2:30" x14ac:dyDescent="0.25">
      <c r="B631" s="10">
        <v>247</v>
      </c>
      <c r="C631" s="10" t="s">
        <v>3328</v>
      </c>
      <c r="D631" s="10" t="s">
        <v>3329</v>
      </c>
      <c r="E631" s="10" t="s">
        <v>3330</v>
      </c>
      <c r="F631" s="10" t="s">
        <v>2979</v>
      </c>
      <c r="G631" s="21" t="s">
        <v>3331</v>
      </c>
      <c r="H631" s="10" t="s">
        <v>2164</v>
      </c>
      <c r="I631" s="10" t="s">
        <v>2116</v>
      </c>
      <c r="J631" s="10" t="s">
        <v>1559</v>
      </c>
      <c r="K631" s="10" t="s">
        <v>3332</v>
      </c>
      <c r="L631" s="11">
        <v>202124100862412</v>
      </c>
      <c r="M631" s="20">
        <v>44330</v>
      </c>
      <c r="N631" s="20" t="str">
        <f>UPPER(TEXT(Tabla1[[#This Row],[FECHA RADICADO ENTRADA]],"MMM"))</f>
        <v>MAY</v>
      </c>
      <c r="O631" s="11">
        <v>202124110812231</v>
      </c>
      <c r="P631" s="20">
        <v>44342</v>
      </c>
      <c r="Q631" s="20" t="str">
        <f>UPPER(TEXT(Tabla1[[#This Row],[FECHA RADICADO ENTRADA]],"MMM"))</f>
        <v>MAY</v>
      </c>
      <c r="R631" s="10">
        <f t="shared" si="11"/>
        <v>-12</v>
      </c>
      <c r="S631" s="10" t="s">
        <v>3180</v>
      </c>
      <c r="T631" s="10" t="s">
        <v>3245</v>
      </c>
      <c r="U631" s="10" t="s">
        <v>3267</v>
      </c>
      <c r="V631" s="20" t="s">
        <v>2164</v>
      </c>
      <c r="W631" s="10" t="s">
        <v>63</v>
      </c>
      <c r="X631" s="10">
        <v>0</v>
      </c>
      <c r="Y631" s="11">
        <f>IFERROR(INT(Tabla1[[#This Row],[CANTIDAD UND FARMACEUTICAS]]/(VLOOKUP(Tabla1[[#This Row],[MEDICAMENTO]],TAB_REF!$K$3:$L$27,2,0))),"")</f>
        <v>0</v>
      </c>
      <c r="Z631" s="10" t="str">
        <f>IFERROR(VLOOKUP(Tabla1[[#This Row],[MEDICAMENTO]],TAB_REF!$B$3:$F$27,2,0), "")</f>
        <v xml:space="preserve">Morfina HCl </v>
      </c>
      <c r="AA631" s="10" t="str">
        <f>IFERROR(VLOOKUP(Tabla1[[#This Row],[MEDICAMENTO]],TAB_REF!$B$3:$F$27,3,0), "")</f>
        <v xml:space="preserve">10 mg/mL </v>
      </c>
      <c r="AB631" s="10" t="str">
        <f>IFERROR(VLOOKUP(Tabla1[[#This Row],[MEDICAMENTO]],TAB_REF!$B$3:$F$27,4,0), "")</f>
        <v>Solución Inyectable</v>
      </c>
      <c r="AC631" s="10" t="str">
        <f>IFERROR(VLOOKUP(Tabla1[[#This Row],[MEDICAMENTO]],TAB_REF!$B$3:$F$27,5,0), "")</f>
        <v>Caja x 10 unidades</v>
      </c>
      <c r="AD631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632" spans="2:30" x14ac:dyDescent="0.25">
      <c r="B632" s="10">
        <v>248</v>
      </c>
      <c r="C632" s="10" t="s">
        <v>3017</v>
      </c>
      <c r="D632" s="10" t="s">
        <v>3018</v>
      </c>
      <c r="E632" s="10" t="s">
        <v>2668</v>
      </c>
      <c r="F632" s="10" t="s">
        <v>2669</v>
      </c>
      <c r="G632" s="21" t="s">
        <v>2670</v>
      </c>
      <c r="H632" s="10" t="s">
        <v>3019</v>
      </c>
      <c r="I632" s="10" t="s">
        <v>2110</v>
      </c>
      <c r="J632" s="10" t="s">
        <v>1235</v>
      </c>
      <c r="K632" s="10" t="s">
        <v>3333</v>
      </c>
      <c r="L632" s="11">
        <v>202124100862512</v>
      </c>
      <c r="M632" s="20">
        <v>44330</v>
      </c>
      <c r="N632" s="20" t="str">
        <f>UPPER(TEXT(Tabla1[[#This Row],[FECHA RADICADO ENTRADA]],"MMM"))</f>
        <v>MAY</v>
      </c>
      <c r="O632" s="11">
        <v>202124110807211</v>
      </c>
      <c r="P632" s="20">
        <v>44340</v>
      </c>
      <c r="Q632" s="20" t="str">
        <f>UPPER(TEXT(Tabla1[[#This Row],[FECHA RADICADO ENTRADA]],"MMM"))</f>
        <v>MAY</v>
      </c>
      <c r="R632" s="10">
        <f t="shared" si="11"/>
        <v>-10</v>
      </c>
      <c r="S632" s="10" t="s">
        <v>3180</v>
      </c>
      <c r="T632" s="10" t="s">
        <v>3336</v>
      </c>
      <c r="U632" s="10" t="s">
        <v>2673</v>
      </c>
      <c r="V632" s="20">
        <v>43578</v>
      </c>
      <c r="W632" s="10" t="s">
        <v>63</v>
      </c>
      <c r="X632" s="10">
        <v>0</v>
      </c>
      <c r="Y632" s="11">
        <f>IFERROR(INT(Tabla1[[#This Row],[CANTIDAD UND FARMACEUTICAS]]/(VLOOKUP(Tabla1[[#This Row],[MEDICAMENTO]],TAB_REF!$K$3:$L$27,2,0))),"")</f>
        <v>0</v>
      </c>
      <c r="Z632" s="10" t="str">
        <f>IFERROR(VLOOKUP(Tabla1[[#This Row],[MEDICAMENTO]],TAB_REF!$B$3:$F$27,2,0), "")</f>
        <v xml:space="preserve">Morfina HCl </v>
      </c>
      <c r="AA632" s="10" t="str">
        <f>IFERROR(VLOOKUP(Tabla1[[#This Row],[MEDICAMENTO]],TAB_REF!$B$3:$F$27,3,0), "")</f>
        <v xml:space="preserve">10 mg/mL </v>
      </c>
      <c r="AB632" s="10" t="str">
        <f>IFERROR(VLOOKUP(Tabla1[[#This Row],[MEDICAMENTO]],TAB_REF!$B$3:$F$27,4,0), "")</f>
        <v>Solución Inyectable</v>
      </c>
      <c r="AC632" s="10" t="str">
        <f>IFERROR(VLOOKUP(Tabla1[[#This Row],[MEDICAMENTO]],TAB_REF!$B$3:$F$27,5,0), "")</f>
        <v>Caja x 10 unidades</v>
      </c>
      <c r="AD632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633" spans="2:30" x14ac:dyDescent="0.25">
      <c r="B633" s="10">
        <v>248</v>
      </c>
      <c r="C633" s="10" t="s">
        <v>3017</v>
      </c>
      <c r="D633" s="10" t="s">
        <v>3018</v>
      </c>
      <c r="E633" s="10" t="s">
        <v>2668</v>
      </c>
      <c r="F633" s="10" t="s">
        <v>2669</v>
      </c>
      <c r="G633" s="21" t="s">
        <v>2670</v>
      </c>
      <c r="H633" s="10" t="s">
        <v>3019</v>
      </c>
      <c r="I633" s="10" t="s">
        <v>2110</v>
      </c>
      <c r="J633" s="10" t="s">
        <v>1235</v>
      </c>
      <c r="K633" s="10" t="s">
        <v>3333</v>
      </c>
      <c r="L633" s="11">
        <v>202124100862512</v>
      </c>
      <c r="M633" s="20">
        <v>44330</v>
      </c>
      <c r="N633" s="20" t="str">
        <f>UPPER(TEXT(Tabla1[[#This Row],[FECHA RADICADO ENTRADA]],"MMM"))</f>
        <v>MAY</v>
      </c>
      <c r="O633" s="11">
        <v>202124110807211</v>
      </c>
      <c r="P633" s="20">
        <v>44340</v>
      </c>
      <c r="Q633" s="20" t="str">
        <f>UPPER(TEXT(Tabla1[[#This Row],[FECHA RADICADO ENTRADA]],"MMM"))</f>
        <v>MAY</v>
      </c>
      <c r="R633" s="10">
        <f t="shared" si="11"/>
        <v>-10</v>
      </c>
      <c r="S633" s="10" t="s">
        <v>3180</v>
      </c>
      <c r="T633" s="10" t="s">
        <v>3336</v>
      </c>
      <c r="U633" s="10" t="s">
        <v>2673</v>
      </c>
      <c r="V633" s="20">
        <v>43578</v>
      </c>
      <c r="W633" s="10" t="s">
        <v>41</v>
      </c>
      <c r="X633" s="10">
        <v>0</v>
      </c>
      <c r="Y633" s="11">
        <f>IFERROR(INT(Tabla1[[#This Row],[CANTIDAD UND FARMACEUTICAS]]/(VLOOKUP(Tabla1[[#This Row],[MEDICAMENTO]],TAB_REF!$K$3:$L$27,2,0))),"")</f>
        <v>0</v>
      </c>
      <c r="Z633" s="10" t="str">
        <f>IFERROR(VLOOKUP(Tabla1[[#This Row],[MEDICAMENTO]],TAB_REF!$B$3:$F$27,2,0), "")</f>
        <v xml:space="preserve">Meperidina HCl </v>
      </c>
      <c r="AA633" s="10" t="str">
        <f>IFERROR(VLOOKUP(Tabla1[[#This Row],[MEDICAMENTO]],TAB_REF!$B$3:$F$27,3,0), "")</f>
        <v xml:space="preserve">100 mg/2mL </v>
      </c>
      <c r="AB633" s="10" t="str">
        <f>IFERROR(VLOOKUP(Tabla1[[#This Row],[MEDICAMENTO]],TAB_REF!$B$3:$F$27,4,0), "")</f>
        <v>Solución Inyectable</v>
      </c>
      <c r="AC633" s="10" t="str">
        <f>IFERROR(VLOOKUP(Tabla1[[#This Row],[MEDICAMENTO]],TAB_REF!$B$3:$F$27,5,0), "")</f>
        <v>Caja 10 ampollas</v>
      </c>
      <c r="AD633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634" spans="2:30" x14ac:dyDescent="0.25">
      <c r="B634" s="10">
        <v>249</v>
      </c>
      <c r="C634" s="10" t="s">
        <v>3337</v>
      </c>
      <c r="D634" s="10" t="s">
        <v>3338</v>
      </c>
      <c r="E634" s="10" t="s">
        <v>3339</v>
      </c>
      <c r="F634" s="10" t="s">
        <v>2164</v>
      </c>
      <c r="G634" s="21" t="s">
        <v>3340</v>
      </c>
      <c r="H634" s="10" t="s">
        <v>2164</v>
      </c>
      <c r="I634" s="10" t="s">
        <v>2107</v>
      </c>
      <c r="J634" s="10" t="s">
        <v>1212</v>
      </c>
      <c r="K634" s="10" t="s">
        <v>3341</v>
      </c>
      <c r="L634" s="11">
        <v>202124100875362</v>
      </c>
      <c r="M634" s="20">
        <v>44334</v>
      </c>
      <c r="N634" s="20" t="str">
        <f>UPPER(TEXT(Tabla1[[#This Row],[FECHA RADICADO ENTRADA]],"MMM"))</f>
        <v>MAY</v>
      </c>
      <c r="O634" s="11">
        <v>202124110807251</v>
      </c>
      <c r="P634" s="20">
        <v>44341</v>
      </c>
      <c r="Q634" s="20" t="str">
        <f>UPPER(TEXT(Tabla1[[#This Row],[FECHA RADICADO ENTRADA]],"MMM"))</f>
        <v>MAY</v>
      </c>
      <c r="R634" s="10">
        <f t="shared" si="11"/>
        <v>-7</v>
      </c>
      <c r="S634" s="10" t="s">
        <v>2145</v>
      </c>
      <c r="T634" s="10" t="s">
        <v>3115</v>
      </c>
      <c r="U634" s="10" t="s">
        <v>2164</v>
      </c>
      <c r="V634" s="20" t="s">
        <v>2164</v>
      </c>
      <c r="W634" s="10" t="s">
        <v>63</v>
      </c>
      <c r="X634" s="10">
        <v>0</v>
      </c>
      <c r="Y634" s="11">
        <f>IFERROR(INT(Tabla1[[#This Row],[CANTIDAD UND FARMACEUTICAS]]/(VLOOKUP(Tabla1[[#This Row],[MEDICAMENTO]],TAB_REF!$K$3:$L$27,2,0))),"")</f>
        <v>0</v>
      </c>
      <c r="Z634" s="10" t="str">
        <f>IFERROR(VLOOKUP(Tabla1[[#This Row],[MEDICAMENTO]],TAB_REF!$B$3:$F$27,2,0), "")</f>
        <v xml:space="preserve">Morfina HCl </v>
      </c>
      <c r="AA634" s="10" t="str">
        <f>IFERROR(VLOOKUP(Tabla1[[#This Row],[MEDICAMENTO]],TAB_REF!$B$3:$F$27,3,0), "")</f>
        <v xml:space="preserve">10 mg/mL </v>
      </c>
      <c r="AB634" s="10" t="str">
        <f>IFERROR(VLOOKUP(Tabla1[[#This Row],[MEDICAMENTO]],TAB_REF!$B$3:$F$27,4,0), "")</f>
        <v>Solución Inyectable</v>
      </c>
      <c r="AC634" s="10" t="str">
        <f>IFERROR(VLOOKUP(Tabla1[[#This Row],[MEDICAMENTO]],TAB_REF!$B$3:$F$27,5,0), "")</f>
        <v>Caja x 10 unidades</v>
      </c>
      <c r="AD634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635" spans="2:30" x14ac:dyDescent="0.25">
      <c r="B635" s="10">
        <v>250</v>
      </c>
      <c r="C635" s="10" t="s">
        <v>3279</v>
      </c>
      <c r="D635" s="10" t="s">
        <v>2182</v>
      </c>
      <c r="E635" s="10" t="s">
        <v>3280</v>
      </c>
      <c r="F635" s="10" t="s">
        <v>2164</v>
      </c>
      <c r="G635" s="10" t="s">
        <v>3281</v>
      </c>
      <c r="H635" s="10" t="s">
        <v>3282</v>
      </c>
      <c r="I635" s="10" t="s">
        <v>2130</v>
      </c>
      <c r="K635" s="10" t="s">
        <v>3283</v>
      </c>
      <c r="L635" s="11">
        <v>202124100879202</v>
      </c>
      <c r="M635" s="20">
        <v>44335</v>
      </c>
      <c r="N635" s="20" t="str">
        <f>UPPER(TEXT(Tabla1[[#This Row],[FECHA RADICADO ENTRADA]],"MMM"))</f>
        <v>MAY</v>
      </c>
      <c r="O635" s="11">
        <v>202124110807271</v>
      </c>
      <c r="P635" s="20">
        <v>44341</v>
      </c>
      <c r="Q635" s="20" t="str">
        <f>UPPER(TEXT(Tabla1[[#This Row],[FECHA RADICADO ENTRADA]],"MMM"))</f>
        <v>MAY</v>
      </c>
      <c r="R635" s="10">
        <f t="shared" si="11"/>
        <v>-6</v>
      </c>
      <c r="S635" s="10" t="s">
        <v>2145</v>
      </c>
      <c r="T635" s="10" t="s">
        <v>3115</v>
      </c>
      <c r="U635" s="10" t="s">
        <v>2164</v>
      </c>
      <c r="V635" s="20" t="s">
        <v>2164</v>
      </c>
      <c r="W635" s="10" t="s">
        <v>38</v>
      </c>
      <c r="X635" s="10">
        <v>0</v>
      </c>
      <c r="Y635" s="11">
        <f>IFERROR(INT(Tabla1[[#This Row],[CANTIDAD UND FARMACEUTICAS]]/(VLOOKUP(Tabla1[[#This Row],[MEDICAMENTO]],TAB_REF!$K$3:$L$27,2,0))),"")</f>
        <v>0</v>
      </c>
      <c r="Z635" s="10" t="str">
        <f>IFERROR(VLOOKUP(Tabla1[[#This Row],[MEDICAMENTO]],TAB_REF!$B$3:$F$27,2,0), "")</f>
        <v xml:space="preserve">Hidromorfona HCl </v>
      </c>
      <c r="AA635" s="10" t="str">
        <f>IFERROR(VLOOKUP(Tabla1[[#This Row],[MEDICAMENTO]],TAB_REF!$B$3:$F$27,3,0), "")</f>
        <v xml:space="preserve">2,5 mg </v>
      </c>
      <c r="AB635" s="10" t="str">
        <f>IFERROR(VLOOKUP(Tabla1[[#This Row],[MEDICAMENTO]],TAB_REF!$B$3:$F$27,4,0), "")</f>
        <v>Tabletas</v>
      </c>
      <c r="AC635" s="10" t="str">
        <f>IFERROR(VLOOKUP(Tabla1[[#This Row],[MEDICAMENTO]],TAB_REF!$B$3:$F$27,5,0), "")</f>
        <v>Caja x 20 unidades</v>
      </c>
      <c r="AD635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636" spans="2:30" x14ac:dyDescent="0.25">
      <c r="B636" s="10">
        <v>250</v>
      </c>
      <c r="C636" s="10" t="s">
        <v>3279</v>
      </c>
      <c r="D636" s="10" t="s">
        <v>2182</v>
      </c>
      <c r="E636" s="10" t="s">
        <v>3280</v>
      </c>
      <c r="F636" s="10" t="s">
        <v>2164</v>
      </c>
      <c r="G636" s="10" t="s">
        <v>3281</v>
      </c>
      <c r="H636" s="10" t="s">
        <v>3282</v>
      </c>
      <c r="I636" s="10" t="s">
        <v>2130</v>
      </c>
      <c r="K636" s="10" t="s">
        <v>3283</v>
      </c>
      <c r="L636" s="11">
        <v>202124100879202</v>
      </c>
      <c r="M636" s="20">
        <v>44336</v>
      </c>
      <c r="N636" s="20" t="str">
        <f>UPPER(TEXT(Tabla1[[#This Row],[FECHA RADICADO ENTRADA]],"MMM"))</f>
        <v>MAY</v>
      </c>
      <c r="O636" s="11">
        <v>202124110807271</v>
      </c>
      <c r="P636" s="20">
        <v>44341</v>
      </c>
      <c r="Q636" s="20" t="str">
        <f>UPPER(TEXT(Tabla1[[#This Row],[FECHA RADICADO ENTRADA]],"MMM"))</f>
        <v>MAY</v>
      </c>
      <c r="R636" s="10">
        <f t="shared" si="11"/>
        <v>-5</v>
      </c>
      <c r="S636" s="10" t="s">
        <v>2145</v>
      </c>
      <c r="T636" s="10" t="s">
        <v>3115</v>
      </c>
      <c r="U636" s="10" t="s">
        <v>2164</v>
      </c>
      <c r="V636" s="20" t="s">
        <v>2164</v>
      </c>
      <c r="W636" s="10" t="s">
        <v>32</v>
      </c>
      <c r="X636" s="10">
        <v>0</v>
      </c>
      <c r="Y636" s="11">
        <f>IFERROR(INT(Tabla1[[#This Row],[CANTIDAD UND FARMACEUTICAS]]/(VLOOKUP(Tabla1[[#This Row],[MEDICAMENTO]],TAB_REF!$K$3:$L$27,2,0))),"")</f>
        <v>0</v>
      </c>
      <c r="Z636" s="10" t="str">
        <f>IFERROR(VLOOKUP(Tabla1[[#This Row],[MEDICAMENTO]],TAB_REF!$B$3:$F$27,2,0), "")</f>
        <v xml:space="preserve">Fenobarbital </v>
      </c>
      <c r="AA636" s="10" t="str">
        <f>IFERROR(VLOOKUP(Tabla1[[#This Row],[MEDICAMENTO]],TAB_REF!$B$3:$F$27,3,0), "")</f>
        <v xml:space="preserve">100 mg </v>
      </c>
      <c r="AB636" s="10" t="str">
        <f>IFERROR(VLOOKUP(Tabla1[[#This Row],[MEDICAMENTO]],TAB_REF!$B$3:$F$27,4,0), "")</f>
        <v>Tabletas</v>
      </c>
      <c r="AC636" s="10" t="str">
        <f>IFERROR(VLOOKUP(Tabla1[[#This Row],[MEDICAMENTO]],TAB_REF!$B$3:$F$27,5,0), "")</f>
        <v>Caja x 30 unidades</v>
      </c>
      <c r="AD636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637" spans="2:30" x14ac:dyDescent="0.25">
      <c r="B637" s="10">
        <v>251</v>
      </c>
      <c r="C637" s="10" t="s">
        <v>3342</v>
      </c>
      <c r="E637" s="10" t="s">
        <v>3343</v>
      </c>
      <c r="F637" s="10" t="s">
        <v>2164</v>
      </c>
      <c r="G637" s="10" t="s">
        <v>3344</v>
      </c>
      <c r="H637" s="10" t="s">
        <v>2164</v>
      </c>
      <c r="I637" s="10" t="s">
        <v>1152</v>
      </c>
      <c r="J637" s="10" t="s">
        <v>1152</v>
      </c>
      <c r="K637" s="10" t="s">
        <v>2101</v>
      </c>
      <c r="L637" s="11">
        <v>202124100880552</v>
      </c>
      <c r="M637" s="20">
        <v>44337</v>
      </c>
      <c r="N637" s="20" t="str">
        <f>UPPER(TEXT(Tabla1[[#This Row],[FECHA RADICADO ENTRADA]],"MMM"))</f>
        <v>MAY</v>
      </c>
      <c r="O637" s="11">
        <v>202124110807311</v>
      </c>
      <c r="P637" s="20">
        <v>44341</v>
      </c>
      <c r="Q637" s="20" t="str">
        <f>UPPER(TEXT(Tabla1[[#This Row],[FECHA RADICADO ENTRADA]],"MMM"))</f>
        <v>MAY</v>
      </c>
      <c r="R637" s="10">
        <f t="shared" si="11"/>
        <v>-4</v>
      </c>
      <c r="S637" s="10" t="s">
        <v>2145</v>
      </c>
      <c r="T637" s="10" t="s">
        <v>3115</v>
      </c>
      <c r="U637" s="10" t="s">
        <v>2164</v>
      </c>
      <c r="V637" s="20" t="s">
        <v>2164</v>
      </c>
      <c r="X637" s="10">
        <v>0</v>
      </c>
      <c r="Y637" s="11" t="str">
        <f>IFERROR(INT(Tabla1[[#This Row],[CANTIDAD UND FARMACEUTICAS]]/(VLOOKUP(Tabla1[[#This Row],[MEDICAMENTO]],TAB_REF!$K$3:$L$27,2,0))),"")</f>
        <v/>
      </c>
      <c r="Z637" s="10" t="str">
        <f>IFERROR(VLOOKUP(Tabla1[[#This Row],[MEDICAMENTO]],TAB_REF!$B$3:$F$27,2,0), "")</f>
        <v/>
      </c>
      <c r="AA637" s="10" t="str">
        <f>IFERROR(VLOOKUP(Tabla1[[#This Row],[MEDICAMENTO]],TAB_REF!$B$3:$F$27,3,0), "")</f>
        <v/>
      </c>
      <c r="AB637" s="10" t="str">
        <f>IFERROR(VLOOKUP(Tabla1[[#This Row],[MEDICAMENTO]],TAB_REF!$B$3:$F$27,4,0), "")</f>
        <v/>
      </c>
      <c r="AC637" s="10" t="str">
        <f>IFERROR(VLOOKUP(Tabla1[[#This Row],[MEDICAMENTO]],TAB_REF!$B$3:$F$27,5,0), "")</f>
        <v/>
      </c>
      <c r="AD637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638" spans="2:30" x14ac:dyDescent="0.25">
      <c r="B638" s="10">
        <v>252</v>
      </c>
      <c r="C638" s="10" t="s">
        <v>3279</v>
      </c>
      <c r="D638" s="10" t="s">
        <v>2182</v>
      </c>
      <c r="E638" s="10" t="s">
        <v>3280</v>
      </c>
      <c r="F638" s="10" t="s">
        <v>2815</v>
      </c>
      <c r="G638" s="10" t="s">
        <v>3281</v>
      </c>
      <c r="H638" s="10" t="s">
        <v>3345</v>
      </c>
      <c r="I638" s="10" t="s">
        <v>2130</v>
      </c>
      <c r="K638" s="10" t="s">
        <v>3346</v>
      </c>
      <c r="L638" s="11">
        <v>202124100881492</v>
      </c>
      <c r="M638" s="20">
        <v>44338</v>
      </c>
      <c r="N638" s="20" t="str">
        <f>UPPER(TEXT(Tabla1[[#This Row],[FECHA RADICADO ENTRADA]],"MMM"))</f>
        <v>MAY</v>
      </c>
      <c r="O638" s="11">
        <v>202124110812881</v>
      </c>
      <c r="P638" s="20">
        <v>44341</v>
      </c>
      <c r="Q638" s="20" t="str">
        <f>UPPER(TEXT(Tabla1[[#This Row],[FECHA RADICADO ENTRADA]],"MMM"))</f>
        <v>MAY</v>
      </c>
      <c r="R638" s="10">
        <f t="shared" si="11"/>
        <v>-3</v>
      </c>
      <c r="S638" s="10" t="s">
        <v>2145</v>
      </c>
      <c r="U638" s="10" t="s">
        <v>3347</v>
      </c>
      <c r="V638" s="20">
        <v>44031</v>
      </c>
      <c r="W638" s="10" t="s">
        <v>38</v>
      </c>
      <c r="X638" s="10">
        <v>0</v>
      </c>
      <c r="Y638" s="11">
        <f>IFERROR(INT(Tabla1[[#This Row],[CANTIDAD UND FARMACEUTICAS]]/(VLOOKUP(Tabla1[[#This Row],[MEDICAMENTO]],TAB_REF!$K$3:$L$27,2,0))),"")</f>
        <v>0</v>
      </c>
      <c r="Z638" s="10" t="str">
        <f>IFERROR(VLOOKUP(Tabla1[[#This Row],[MEDICAMENTO]],TAB_REF!$B$3:$F$27,2,0), "")</f>
        <v xml:space="preserve">Hidromorfona HCl </v>
      </c>
      <c r="AA638" s="10" t="str">
        <f>IFERROR(VLOOKUP(Tabla1[[#This Row],[MEDICAMENTO]],TAB_REF!$B$3:$F$27,3,0), "")</f>
        <v xml:space="preserve">2,5 mg </v>
      </c>
      <c r="AB638" s="10" t="str">
        <f>IFERROR(VLOOKUP(Tabla1[[#This Row],[MEDICAMENTO]],TAB_REF!$B$3:$F$27,4,0), "")</f>
        <v>Tabletas</v>
      </c>
      <c r="AC638" s="10" t="str">
        <f>IFERROR(VLOOKUP(Tabla1[[#This Row],[MEDICAMENTO]],TAB_REF!$B$3:$F$27,5,0), "")</f>
        <v>Caja x 20 unidades</v>
      </c>
      <c r="AD638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639" spans="2:30" x14ac:dyDescent="0.25">
      <c r="B639" s="10">
        <v>252</v>
      </c>
      <c r="C639" s="10" t="s">
        <v>3279</v>
      </c>
      <c r="D639" s="10" t="s">
        <v>2182</v>
      </c>
      <c r="E639" s="10" t="s">
        <v>3280</v>
      </c>
      <c r="F639" s="10" t="s">
        <v>2815</v>
      </c>
      <c r="G639" s="10" t="s">
        <v>3281</v>
      </c>
      <c r="H639" s="10" t="s">
        <v>3345</v>
      </c>
      <c r="I639" s="10" t="s">
        <v>2130</v>
      </c>
      <c r="K639" s="10" t="s">
        <v>3346</v>
      </c>
      <c r="L639" s="11">
        <v>202124100881492</v>
      </c>
      <c r="M639" s="20">
        <v>44339</v>
      </c>
      <c r="N639" s="20" t="str">
        <f>UPPER(TEXT(Tabla1[[#This Row],[FECHA RADICADO ENTRADA]],"MMM"))</f>
        <v>MAY</v>
      </c>
      <c r="O639" s="11">
        <v>202124110812881</v>
      </c>
      <c r="P639" s="20">
        <v>44341</v>
      </c>
      <c r="Q639" s="20" t="str">
        <f>UPPER(TEXT(Tabla1[[#This Row],[FECHA RADICADO ENTRADA]],"MMM"))</f>
        <v>MAY</v>
      </c>
      <c r="R639" s="10">
        <f t="shared" si="11"/>
        <v>-2</v>
      </c>
      <c r="S639" s="10" t="s">
        <v>2145</v>
      </c>
      <c r="U639" s="10" t="s">
        <v>3347</v>
      </c>
      <c r="V639" s="20">
        <v>44031</v>
      </c>
      <c r="W639" s="10" t="s">
        <v>32</v>
      </c>
      <c r="X639" s="10">
        <v>0</v>
      </c>
      <c r="Y639" s="11">
        <f>IFERROR(INT(Tabla1[[#This Row],[CANTIDAD UND FARMACEUTICAS]]/(VLOOKUP(Tabla1[[#This Row],[MEDICAMENTO]],TAB_REF!$K$3:$L$27,2,0))),"")</f>
        <v>0</v>
      </c>
      <c r="Z639" s="10" t="str">
        <f>IFERROR(VLOOKUP(Tabla1[[#This Row],[MEDICAMENTO]],TAB_REF!$B$3:$F$27,2,0), "")</f>
        <v xml:space="preserve">Fenobarbital </v>
      </c>
      <c r="AA639" s="10" t="str">
        <f>IFERROR(VLOOKUP(Tabla1[[#This Row],[MEDICAMENTO]],TAB_REF!$B$3:$F$27,3,0), "")</f>
        <v xml:space="preserve">100 mg </v>
      </c>
      <c r="AB639" s="10" t="str">
        <f>IFERROR(VLOOKUP(Tabla1[[#This Row],[MEDICAMENTO]],TAB_REF!$B$3:$F$27,4,0), "")</f>
        <v>Tabletas</v>
      </c>
      <c r="AC639" s="10" t="str">
        <f>IFERROR(VLOOKUP(Tabla1[[#This Row],[MEDICAMENTO]],TAB_REF!$B$3:$F$27,5,0), "")</f>
        <v>Caja x 30 unidades</v>
      </c>
      <c r="AD639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640" spans="2:30" x14ac:dyDescent="0.25">
      <c r="B640" s="10">
        <v>253</v>
      </c>
      <c r="C640" s="10" t="s">
        <v>2299</v>
      </c>
      <c r="D640" s="10" t="s">
        <v>2300</v>
      </c>
      <c r="E640" s="10" t="s">
        <v>2301</v>
      </c>
      <c r="F640" s="10" t="s">
        <v>2867</v>
      </c>
      <c r="G640" s="10" t="s">
        <v>2303</v>
      </c>
      <c r="H640" s="10" t="s">
        <v>3348</v>
      </c>
      <c r="I640" s="10" t="s">
        <v>2122</v>
      </c>
      <c r="J640" s="10" t="s">
        <v>1752</v>
      </c>
      <c r="K640" s="10" t="s">
        <v>3349</v>
      </c>
      <c r="L640" s="11">
        <v>202124100884742</v>
      </c>
      <c r="M640" s="20">
        <v>44335</v>
      </c>
      <c r="N640" s="20" t="str">
        <f>UPPER(TEXT(Tabla1[[#This Row],[FECHA RADICADO ENTRADA]],"MMM"))</f>
        <v>MAY</v>
      </c>
      <c r="O640" s="11">
        <v>202124110812991</v>
      </c>
      <c r="P640" s="20">
        <v>44341</v>
      </c>
      <c r="Q640" s="20" t="str">
        <f>UPPER(TEXT(Tabla1[[#This Row],[FECHA RADICADO ENTRADA]],"MMM"))</f>
        <v>MAY</v>
      </c>
      <c r="R640" s="10">
        <f t="shared" si="11"/>
        <v>-6</v>
      </c>
      <c r="S640" s="10" t="s">
        <v>2154</v>
      </c>
      <c r="U640" s="10" t="s">
        <v>2304</v>
      </c>
      <c r="V640" s="20">
        <v>43787</v>
      </c>
      <c r="W640" s="10" t="s">
        <v>32</v>
      </c>
      <c r="X640" s="10">
        <v>3000</v>
      </c>
      <c r="Y640" s="11">
        <f>IFERROR(INT(Tabla1[[#This Row],[CANTIDAD UND FARMACEUTICAS]]/(VLOOKUP(Tabla1[[#This Row],[MEDICAMENTO]],TAB_REF!$K$3:$L$27,2,0))),"")</f>
        <v>100</v>
      </c>
      <c r="Z640" s="10" t="str">
        <f>IFERROR(VLOOKUP(Tabla1[[#This Row],[MEDICAMENTO]],TAB_REF!$B$3:$F$27,2,0), "")</f>
        <v xml:space="preserve">Fenobarbital </v>
      </c>
      <c r="AA640" s="10" t="str">
        <f>IFERROR(VLOOKUP(Tabla1[[#This Row],[MEDICAMENTO]],TAB_REF!$B$3:$F$27,3,0), "")</f>
        <v xml:space="preserve">100 mg </v>
      </c>
      <c r="AB640" s="10" t="str">
        <f>IFERROR(VLOOKUP(Tabla1[[#This Row],[MEDICAMENTO]],TAB_REF!$B$3:$F$27,4,0), "")</f>
        <v>Tabletas</v>
      </c>
      <c r="AC640" s="10" t="str">
        <f>IFERROR(VLOOKUP(Tabla1[[#This Row],[MEDICAMENTO]],TAB_REF!$B$3:$F$27,5,0), "")</f>
        <v>Caja x 30 unidades</v>
      </c>
      <c r="AD640" s="10" t="str">
        <f>IFERROR(VLOOKUP(Tabla1[[#This Row],[CANTIDAD UND COMERCIALES]],TAB_REF!$H$3:$I$1003,2,0)&amp;" ("&amp;Tabla1[[#This Row],[CANTIDAD UND COMERCIALES]]&amp;")"&amp;"_"&amp;Tabla1[[#This Row],[CANTIDAD]],"")</f>
        <v>Cien (100)_Caja x 30 unidades</v>
      </c>
    </row>
    <row r="641" spans="2:30" x14ac:dyDescent="0.25">
      <c r="B641" s="10">
        <v>254</v>
      </c>
      <c r="C641" s="10" t="s">
        <v>2333</v>
      </c>
      <c r="D641" s="10" t="s">
        <v>2162</v>
      </c>
      <c r="E641" s="10" t="s">
        <v>2334</v>
      </c>
      <c r="F641" s="10" t="s">
        <v>2335</v>
      </c>
      <c r="G641" s="10" t="s">
        <v>2336</v>
      </c>
      <c r="H641" s="10" t="s">
        <v>2337</v>
      </c>
      <c r="I641" s="10" t="s">
        <v>2116</v>
      </c>
      <c r="J641" s="10" t="s">
        <v>1550</v>
      </c>
      <c r="K641" s="10" t="s">
        <v>3287</v>
      </c>
      <c r="L641" s="11">
        <v>202124100887912</v>
      </c>
      <c r="M641" s="20">
        <v>44336</v>
      </c>
      <c r="N641" s="20" t="str">
        <f>UPPER(TEXT(Tabla1[[#This Row],[FECHA RADICADO ENTRADA]],"MMM"))</f>
        <v>MAY</v>
      </c>
      <c r="O641" s="11">
        <v>202124110807351</v>
      </c>
      <c r="P641" s="20">
        <v>44340</v>
      </c>
      <c r="Q641" s="20" t="str">
        <f>UPPER(TEXT(Tabla1[[#This Row],[FECHA RADICADO ENTRADA]],"MMM"))</f>
        <v>MAY</v>
      </c>
      <c r="R641" s="10">
        <f t="shared" si="11"/>
        <v>-4</v>
      </c>
      <c r="S641" s="10" t="s">
        <v>2154</v>
      </c>
      <c r="U641" s="10" t="s">
        <v>2339</v>
      </c>
      <c r="V641" s="20">
        <v>43962</v>
      </c>
      <c r="W641" s="10" t="s">
        <v>60</v>
      </c>
      <c r="X641" s="10">
        <v>10</v>
      </c>
      <c r="Y641" s="11">
        <f>IFERROR(INT(Tabla1[[#This Row],[CANTIDAD UND FARMACEUTICAS]]/(VLOOKUP(Tabla1[[#This Row],[MEDICAMENTO]],TAB_REF!$K$3:$L$27,2,0))),"")</f>
        <v>10</v>
      </c>
      <c r="Z641" s="10" t="str">
        <f>IFERROR(VLOOKUP(Tabla1[[#This Row],[MEDICAMENTO]],TAB_REF!$B$3:$F$27,2,0), "")</f>
        <v xml:space="preserve">Morfina HCl </v>
      </c>
      <c r="AA641" s="10" t="str">
        <f>IFERROR(VLOOKUP(Tabla1[[#This Row],[MEDICAMENTO]],TAB_REF!$B$3:$F$27,3,0), "")</f>
        <v xml:space="preserve">3%. </v>
      </c>
      <c r="AB641" s="10" t="str">
        <f>IFERROR(VLOOKUP(Tabla1[[#This Row],[MEDICAMENTO]],TAB_REF!$B$3:$F$27,4,0), "")</f>
        <v>Solución Oral</v>
      </c>
      <c r="AC641" s="10" t="str">
        <f>IFERROR(VLOOKUP(Tabla1[[#This Row],[MEDICAMENTO]],TAB_REF!$B$3:$F$27,5,0), "")</f>
        <v>Frasco x 30 mL</v>
      </c>
      <c r="AD641" s="10" t="str">
        <f>IFERROR(VLOOKUP(Tabla1[[#This Row],[CANTIDAD UND COMERCIALES]],TAB_REF!$H$3:$I$1003,2,0)&amp;" ("&amp;Tabla1[[#This Row],[CANTIDAD UND COMERCIALES]]&amp;")"&amp;"_"&amp;Tabla1[[#This Row],[CANTIDAD]],"")</f>
        <v>Diez (10)_Frasco x 30 mL</v>
      </c>
    </row>
    <row r="642" spans="2:30" x14ac:dyDescent="0.25">
      <c r="B642" s="10">
        <v>254</v>
      </c>
      <c r="C642" s="10" t="s">
        <v>2333</v>
      </c>
      <c r="D642" s="10" t="s">
        <v>2162</v>
      </c>
      <c r="E642" s="10" t="s">
        <v>2334</v>
      </c>
      <c r="F642" s="10" t="s">
        <v>2335</v>
      </c>
      <c r="G642" s="10" t="s">
        <v>2336</v>
      </c>
      <c r="H642" s="10" t="s">
        <v>2337</v>
      </c>
      <c r="I642" s="10" t="s">
        <v>2116</v>
      </c>
      <c r="J642" s="10" t="s">
        <v>1550</v>
      </c>
      <c r="K642" s="10" t="s">
        <v>3287</v>
      </c>
      <c r="L642" s="11">
        <v>202124100887912</v>
      </c>
      <c r="M642" s="20">
        <v>44336</v>
      </c>
      <c r="N642" s="20" t="str">
        <f>UPPER(TEXT(Tabla1[[#This Row],[FECHA RADICADO ENTRADA]],"MMM"))</f>
        <v>MAY</v>
      </c>
      <c r="O642" s="11">
        <v>202124110807351</v>
      </c>
      <c r="P642" s="20">
        <v>44340</v>
      </c>
      <c r="Q642" s="20" t="str">
        <f>UPPER(TEXT(Tabla1[[#This Row],[FECHA RADICADO ENTRADA]],"MMM"))</f>
        <v>MAY</v>
      </c>
      <c r="R642" s="10">
        <f t="shared" ref="R642:R703" si="13">_xlfn.DAYS(M642,P642)</f>
        <v>-4</v>
      </c>
      <c r="S642" s="10" t="s">
        <v>2154</v>
      </c>
      <c r="U642" s="10" t="s">
        <v>2339</v>
      </c>
      <c r="V642" s="20">
        <v>43962</v>
      </c>
      <c r="W642" s="10" t="s">
        <v>48</v>
      </c>
      <c r="X642" s="10">
        <v>600</v>
      </c>
      <c r="Y642" s="11">
        <f>IFERROR(INT(Tabla1[[#This Row],[CANTIDAD UND FARMACEUTICAS]]/(VLOOKUP(Tabla1[[#This Row],[MEDICAMENTO]],TAB_REF!$K$3:$L$27,2,0))),"")</f>
        <v>20</v>
      </c>
      <c r="Z642" s="10" t="str">
        <f>IFERROR(VLOOKUP(Tabla1[[#This Row],[MEDICAMENTO]],TAB_REF!$B$3:$F$27,2,0), "")</f>
        <v xml:space="preserve">Metilfenidato HCl </v>
      </c>
      <c r="AA642" s="10" t="str">
        <f>IFERROR(VLOOKUP(Tabla1[[#This Row],[MEDICAMENTO]],TAB_REF!$B$3:$F$27,3,0), "")</f>
        <v xml:space="preserve">10 mg </v>
      </c>
      <c r="AB642" s="10" t="str">
        <f>IFERROR(VLOOKUP(Tabla1[[#This Row],[MEDICAMENTO]],TAB_REF!$B$3:$F$27,4,0), "")</f>
        <v>Comprimidos</v>
      </c>
      <c r="AC642" s="10" t="str">
        <f>IFERROR(VLOOKUP(Tabla1[[#This Row],[MEDICAMENTO]],TAB_REF!$B$3:$F$27,5,0), "")</f>
        <v>Caja x 30 unidades</v>
      </c>
      <c r="AD642" s="10" t="str">
        <f>IFERROR(VLOOKUP(Tabla1[[#This Row],[CANTIDAD UND COMERCIALES]],TAB_REF!$H$3:$I$1003,2,0)&amp;" ("&amp;Tabla1[[#This Row],[CANTIDAD UND COMERCIALES]]&amp;")"&amp;"_"&amp;Tabla1[[#This Row],[CANTIDAD]],"")</f>
        <v>Veinte (20)_Caja x 30 unidades</v>
      </c>
    </row>
    <row r="643" spans="2:30" x14ac:dyDescent="0.25">
      <c r="B643" s="10">
        <v>254</v>
      </c>
      <c r="C643" s="10" t="s">
        <v>2333</v>
      </c>
      <c r="D643" s="10" t="s">
        <v>2162</v>
      </c>
      <c r="E643" s="10" t="s">
        <v>2334</v>
      </c>
      <c r="F643" s="10" t="s">
        <v>2335</v>
      </c>
      <c r="G643" s="10" t="s">
        <v>2336</v>
      </c>
      <c r="H643" s="10" t="s">
        <v>2337</v>
      </c>
      <c r="I643" s="10" t="s">
        <v>2116</v>
      </c>
      <c r="J643" s="10" t="s">
        <v>1550</v>
      </c>
      <c r="K643" s="10" t="s">
        <v>3287</v>
      </c>
      <c r="L643" s="11">
        <v>202124100887912</v>
      </c>
      <c r="M643" s="20">
        <v>44336</v>
      </c>
      <c r="N643" s="20" t="str">
        <f>UPPER(TEXT(Tabla1[[#This Row],[FECHA RADICADO ENTRADA]],"MMM"))</f>
        <v>MAY</v>
      </c>
      <c r="O643" s="11">
        <v>202124110807351</v>
      </c>
      <c r="P643" s="20">
        <v>44340</v>
      </c>
      <c r="Q643" s="20" t="str">
        <f>UPPER(TEXT(Tabla1[[#This Row],[FECHA RADICADO ENTRADA]],"MMM"))</f>
        <v>MAY</v>
      </c>
      <c r="R643" s="10">
        <f t="shared" si="13"/>
        <v>-4</v>
      </c>
      <c r="S643" s="10" t="s">
        <v>2145</v>
      </c>
      <c r="U643" s="10" t="s">
        <v>2339</v>
      </c>
      <c r="V643" s="20">
        <v>43962</v>
      </c>
      <c r="W643" s="10" t="s">
        <v>37</v>
      </c>
      <c r="X643" s="10">
        <v>0</v>
      </c>
      <c r="Y643" s="11">
        <f>IFERROR(INT(Tabla1[[#This Row],[CANTIDAD UND FARMACEUTICAS]]/(VLOOKUP(Tabla1[[#This Row],[MEDICAMENTO]],TAB_REF!$K$3:$L$27,2,0))),"")</f>
        <v>0</v>
      </c>
      <c r="Z643" s="10" t="str">
        <f>IFERROR(VLOOKUP(Tabla1[[#This Row],[MEDICAMENTO]],TAB_REF!$B$3:$F$27,2,0), "")</f>
        <v xml:space="preserve">Hidromorfona HCl </v>
      </c>
      <c r="AA643" s="10" t="str">
        <f>IFERROR(VLOOKUP(Tabla1[[#This Row],[MEDICAMENTO]],TAB_REF!$B$3:$F$27,3,0), "")</f>
        <v xml:space="preserve">2 mg/mL </v>
      </c>
      <c r="AB643" s="10" t="str">
        <f>IFERROR(VLOOKUP(Tabla1[[#This Row],[MEDICAMENTO]],TAB_REF!$B$3:$F$27,4,0), "")</f>
        <v>Solución Inyectable</v>
      </c>
      <c r="AC643" s="10" t="str">
        <f>IFERROR(VLOOKUP(Tabla1[[#This Row],[MEDICAMENTO]],TAB_REF!$B$3:$F$27,5,0), "")</f>
        <v>Caja x 10 unidades</v>
      </c>
      <c r="AD643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644" spans="2:30" x14ac:dyDescent="0.25">
      <c r="B644" s="10">
        <v>254</v>
      </c>
      <c r="C644" s="10" t="s">
        <v>2333</v>
      </c>
      <c r="D644" s="10" t="s">
        <v>2162</v>
      </c>
      <c r="E644" s="10" t="s">
        <v>2334</v>
      </c>
      <c r="F644" s="10" t="s">
        <v>2335</v>
      </c>
      <c r="G644" s="10" t="s">
        <v>2336</v>
      </c>
      <c r="H644" s="10" t="s">
        <v>2337</v>
      </c>
      <c r="I644" s="10" t="s">
        <v>2116</v>
      </c>
      <c r="J644" s="10" t="s">
        <v>1550</v>
      </c>
      <c r="K644" s="10" t="s">
        <v>3287</v>
      </c>
      <c r="L644" s="11">
        <v>202124100887912</v>
      </c>
      <c r="M644" s="20">
        <v>44336</v>
      </c>
      <c r="N644" s="20" t="str">
        <f>UPPER(TEXT(Tabla1[[#This Row],[FECHA RADICADO ENTRADA]],"MMM"))</f>
        <v>MAY</v>
      </c>
      <c r="O644" s="11">
        <v>202124110807351</v>
      </c>
      <c r="P644" s="20">
        <v>44340</v>
      </c>
      <c r="Q644" s="20" t="str">
        <f>UPPER(TEXT(Tabla1[[#This Row],[FECHA RADICADO ENTRADA]],"MMM"))</f>
        <v>MAY</v>
      </c>
      <c r="R644" s="10">
        <f t="shared" si="13"/>
        <v>-4</v>
      </c>
      <c r="S644" s="10" t="s">
        <v>2145</v>
      </c>
      <c r="U644" s="10" t="s">
        <v>2339</v>
      </c>
      <c r="V644" s="20">
        <v>43962</v>
      </c>
      <c r="W644" s="10" t="s">
        <v>63</v>
      </c>
      <c r="X644" s="10">
        <v>0</v>
      </c>
      <c r="Y644" s="11">
        <f>IFERROR(INT(Tabla1[[#This Row],[CANTIDAD UND FARMACEUTICAS]]/(VLOOKUP(Tabla1[[#This Row],[MEDICAMENTO]],TAB_REF!$K$3:$L$27,2,0))),"")</f>
        <v>0</v>
      </c>
      <c r="Z644" s="10" t="str">
        <f>IFERROR(VLOOKUP(Tabla1[[#This Row],[MEDICAMENTO]],TAB_REF!$B$3:$F$27,2,0), "")</f>
        <v xml:space="preserve">Morfina HCl </v>
      </c>
      <c r="AA644" s="10" t="str">
        <f>IFERROR(VLOOKUP(Tabla1[[#This Row],[MEDICAMENTO]],TAB_REF!$B$3:$F$27,3,0), "")</f>
        <v xml:space="preserve">10 mg/mL </v>
      </c>
      <c r="AB644" s="10" t="str">
        <f>IFERROR(VLOOKUP(Tabla1[[#This Row],[MEDICAMENTO]],TAB_REF!$B$3:$F$27,4,0), "")</f>
        <v>Solución Inyectable</v>
      </c>
      <c r="AC644" s="10" t="str">
        <f>IFERROR(VLOOKUP(Tabla1[[#This Row],[MEDICAMENTO]],TAB_REF!$B$3:$F$27,5,0), "")</f>
        <v>Caja x 10 unidades</v>
      </c>
      <c r="AD644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645" spans="2:30" x14ac:dyDescent="0.25">
      <c r="B645" s="10">
        <v>255</v>
      </c>
      <c r="C645" s="10" t="s">
        <v>3350</v>
      </c>
      <c r="D645" s="10" t="s">
        <v>2162</v>
      </c>
      <c r="E645" s="10" t="s">
        <v>3351</v>
      </c>
      <c r="F645" s="10" t="s">
        <v>3054</v>
      </c>
      <c r="G645" s="10" t="s">
        <v>3055</v>
      </c>
      <c r="H645" s="10" t="s">
        <v>3352</v>
      </c>
      <c r="I645" s="10" t="s">
        <v>2116</v>
      </c>
      <c r="J645" s="10" t="s">
        <v>1550</v>
      </c>
      <c r="K645" s="10" t="s">
        <v>3353</v>
      </c>
      <c r="L645" s="11">
        <v>202124100890072</v>
      </c>
      <c r="M645" s="20">
        <v>44336</v>
      </c>
      <c r="N645" s="20" t="str">
        <f>UPPER(TEXT(Tabla1[[#This Row],[FECHA RADICADO ENTRADA]],"MMM"))</f>
        <v>MAY</v>
      </c>
      <c r="O645" s="11">
        <v>202124110807411</v>
      </c>
      <c r="P645" s="20">
        <v>44340</v>
      </c>
      <c r="Q645" s="20" t="str">
        <f>UPPER(TEXT(Tabla1[[#This Row],[FECHA RADICADO ENTRADA]],"MMM"))</f>
        <v>MAY</v>
      </c>
      <c r="R645" s="10">
        <f t="shared" si="13"/>
        <v>-4</v>
      </c>
      <c r="S645" s="10" t="s">
        <v>2145</v>
      </c>
      <c r="U645" s="10" t="s">
        <v>3354</v>
      </c>
      <c r="V645" s="20">
        <v>43819</v>
      </c>
      <c r="W645" s="10" t="s">
        <v>63</v>
      </c>
      <c r="X645" s="10">
        <v>0</v>
      </c>
      <c r="Y645" s="11">
        <f>IFERROR(INT(Tabla1[[#This Row],[CANTIDAD UND FARMACEUTICAS]]/(VLOOKUP(Tabla1[[#This Row],[MEDICAMENTO]],TAB_REF!$K$3:$L$27,2,0))),"")</f>
        <v>0</v>
      </c>
      <c r="Z645" s="10" t="str">
        <f>IFERROR(VLOOKUP(Tabla1[[#This Row],[MEDICAMENTO]],TAB_REF!$B$3:$F$27,2,0), "")</f>
        <v xml:space="preserve">Morfina HCl </v>
      </c>
      <c r="AA645" s="10" t="str">
        <f>IFERROR(VLOOKUP(Tabla1[[#This Row],[MEDICAMENTO]],TAB_REF!$B$3:$F$27,3,0), "")</f>
        <v xml:space="preserve">10 mg/mL </v>
      </c>
      <c r="AB645" s="10" t="str">
        <f>IFERROR(VLOOKUP(Tabla1[[#This Row],[MEDICAMENTO]],TAB_REF!$B$3:$F$27,4,0), "")</f>
        <v>Solución Inyectable</v>
      </c>
      <c r="AC645" s="10" t="str">
        <f>IFERROR(VLOOKUP(Tabla1[[#This Row],[MEDICAMENTO]],TAB_REF!$B$3:$F$27,5,0), "")</f>
        <v>Caja x 10 unidades</v>
      </c>
      <c r="AD645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646" spans="2:30" x14ac:dyDescent="0.25">
      <c r="B646" s="10">
        <v>255</v>
      </c>
      <c r="C646" s="10" t="s">
        <v>3350</v>
      </c>
      <c r="D646" s="10" t="s">
        <v>2162</v>
      </c>
      <c r="E646" s="10" t="s">
        <v>3351</v>
      </c>
      <c r="F646" s="10" t="s">
        <v>3054</v>
      </c>
      <c r="G646" s="10" t="s">
        <v>3055</v>
      </c>
      <c r="H646" s="10" t="s">
        <v>3352</v>
      </c>
      <c r="I646" s="10" t="s">
        <v>2116</v>
      </c>
      <c r="J646" s="10" t="s">
        <v>1550</v>
      </c>
      <c r="K646" s="10" t="s">
        <v>3353</v>
      </c>
      <c r="L646" s="11">
        <v>202124100890072</v>
      </c>
      <c r="M646" s="20">
        <v>44336</v>
      </c>
      <c r="N646" s="20" t="str">
        <f>UPPER(TEXT(Tabla1[[#This Row],[FECHA RADICADO ENTRADA]],"MMM"))</f>
        <v>MAY</v>
      </c>
      <c r="O646" s="11">
        <v>202124110807411</v>
      </c>
      <c r="P646" s="20">
        <v>44340</v>
      </c>
      <c r="Q646" s="20" t="str">
        <f>UPPER(TEXT(Tabla1[[#This Row],[FECHA RADICADO ENTRADA]],"MMM"))</f>
        <v>MAY</v>
      </c>
      <c r="R646" s="10">
        <f t="shared" si="13"/>
        <v>-4</v>
      </c>
      <c r="S646" s="10" t="s">
        <v>2145</v>
      </c>
      <c r="U646" s="10" t="s">
        <v>3354</v>
      </c>
      <c r="V646" s="20">
        <v>43819</v>
      </c>
      <c r="W646" s="10" t="s">
        <v>37</v>
      </c>
      <c r="X646" s="10">
        <v>0</v>
      </c>
      <c r="Y646" s="11">
        <f>IFERROR(INT(Tabla1[[#This Row],[CANTIDAD UND FARMACEUTICAS]]/(VLOOKUP(Tabla1[[#This Row],[MEDICAMENTO]],TAB_REF!$K$3:$L$27,2,0))),"")</f>
        <v>0</v>
      </c>
      <c r="Z646" s="10" t="str">
        <f>IFERROR(VLOOKUP(Tabla1[[#This Row],[MEDICAMENTO]],TAB_REF!$B$3:$F$27,2,0), "")</f>
        <v xml:space="preserve">Hidromorfona HCl </v>
      </c>
      <c r="AA646" s="10" t="str">
        <f>IFERROR(VLOOKUP(Tabla1[[#This Row],[MEDICAMENTO]],TAB_REF!$B$3:$F$27,3,0), "")</f>
        <v xml:space="preserve">2 mg/mL </v>
      </c>
      <c r="AB646" s="10" t="str">
        <f>IFERROR(VLOOKUP(Tabla1[[#This Row],[MEDICAMENTO]],TAB_REF!$B$3:$F$27,4,0), "")</f>
        <v>Solución Inyectable</v>
      </c>
      <c r="AC646" s="10" t="str">
        <f>IFERROR(VLOOKUP(Tabla1[[#This Row],[MEDICAMENTO]],TAB_REF!$B$3:$F$27,5,0), "")</f>
        <v>Caja x 10 unidades</v>
      </c>
      <c r="AD646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647" spans="2:30" x14ac:dyDescent="0.25">
      <c r="B647" s="10">
        <v>255</v>
      </c>
      <c r="C647" s="10" t="s">
        <v>3350</v>
      </c>
      <c r="D647" s="10" t="s">
        <v>2162</v>
      </c>
      <c r="E647" s="10" t="s">
        <v>3351</v>
      </c>
      <c r="F647" s="10" t="s">
        <v>3054</v>
      </c>
      <c r="G647" s="10" t="s">
        <v>3055</v>
      </c>
      <c r="H647" s="10" t="s">
        <v>3352</v>
      </c>
      <c r="I647" s="10" t="s">
        <v>2116</v>
      </c>
      <c r="J647" s="10" t="s">
        <v>1550</v>
      </c>
      <c r="K647" s="10" t="s">
        <v>3353</v>
      </c>
      <c r="L647" s="11">
        <v>202124100890072</v>
      </c>
      <c r="M647" s="20">
        <v>44336</v>
      </c>
      <c r="N647" s="20" t="str">
        <f>UPPER(TEXT(Tabla1[[#This Row],[FECHA RADICADO ENTRADA]],"MMM"))</f>
        <v>MAY</v>
      </c>
      <c r="O647" s="11">
        <v>202124110807411</v>
      </c>
      <c r="P647" s="20">
        <v>44340</v>
      </c>
      <c r="Q647" s="20" t="str">
        <f>UPPER(TEXT(Tabla1[[#This Row],[FECHA RADICADO ENTRADA]],"MMM"))</f>
        <v>MAY</v>
      </c>
      <c r="R647" s="10">
        <f t="shared" si="13"/>
        <v>-4</v>
      </c>
      <c r="S647" s="10" t="s">
        <v>2154</v>
      </c>
      <c r="U647" s="10" t="s">
        <v>3354</v>
      </c>
      <c r="V647" s="20">
        <v>43819</v>
      </c>
      <c r="W647" s="10" t="s">
        <v>38</v>
      </c>
      <c r="X647" s="10">
        <v>600</v>
      </c>
      <c r="Y647" s="11">
        <f>IFERROR(INT(Tabla1[[#This Row],[CANTIDAD UND FARMACEUTICAS]]/(VLOOKUP(Tabla1[[#This Row],[MEDICAMENTO]],TAB_REF!$K$3:$L$27,2,0))),"")</f>
        <v>30</v>
      </c>
      <c r="Z647" s="10" t="str">
        <f>IFERROR(VLOOKUP(Tabla1[[#This Row],[MEDICAMENTO]],TAB_REF!$B$3:$F$27,2,0), "")</f>
        <v xml:space="preserve">Hidromorfona HCl </v>
      </c>
      <c r="AA647" s="10" t="str">
        <f>IFERROR(VLOOKUP(Tabla1[[#This Row],[MEDICAMENTO]],TAB_REF!$B$3:$F$27,3,0), "")</f>
        <v xml:space="preserve">2,5 mg </v>
      </c>
      <c r="AB647" s="10" t="str">
        <f>IFERROR(VLOOKUP(Tabla1[[#This Row],[MEDICAMENTO]],TAB_REF!$B$3:$F$27,4,0), "")</f>
        <v>Tabletas</v>
      </c>
      <c r="AC647" s="10" t="str">
        <f>IFERROR(VLOOKUP(Tabla1[[#This Row],[MEDICAMENTO]],TAB_REF!$B$3:$F$27,5,0), "")</f>
        <v>Caja x 20 unidades</v>
      </c>
      <c r="AD647" s="10" t="str">
        <f>IFERROR(VLOOKUP(Tabla1[[#This Row],[CANTIDAD UND COMERCIALES]],TAB_REF!$H$3:$I$1003,2,0)&amp;" ("&amp;Tabla1[[#This Row],[CANTIDAD UND COMERCIALES]]&amp;")"&amp;"_"&amp;Tabla1[[#This Row],[CANTIDAD]],"")</f>
        <v>Treinta (30)_Caja x 20 unidades</v>
      </c>
    </row>
    <row r="648" spans="2:30" x14ac:dyDescent="0.25">
      <c r="B648" s="10">
        <v>256</v>
      </c>
      <c r="C648" s="10" t="s">
        <v>2797</v>
      </c>
      <c r="D648" s="10" t="s">
        <v>2798</v>
      </c>
      <c r="E648" s="10" t="s">
        <v>2799</v>
      </c>
      <c r="F648" s="10" t="s">
        <v>2697</v>
      </c>
      <c r="G648" s="10" t="s">
        <v>2800</v>
      </c>
      <c r="H648" s="10" t="s">
        <v>2801</v>
      </c>
      <c r="I648" s="10" t="s">
        <v>2116</v>
      </c>
      <c r="J648" s="10" t="s">
        <v>1550</v>
      </c>
      <c r="K648" s="10" t="s">
        <v>3355</v>
      </c>
      <c r="L648" s="11">
        <v>202124100890222</v>
      </c>
      <c r="M648" s="20">
        <v>44336</v>
      </c>
      <c r="N648" s="20" t="str">
        <f>UPPER(TEXT(Tabla1[[#This Row],[FECHA RADICADO ENTRADA]],"MMM"))</f>
        <v>MAY</v>
      </c>
      <c r="O648" s="11">
        <v>202124110807441</v>
      </c>
      <c r="P648" s="20">
        <v>44340</v>
      </c>
      <c r="Q648" s="20" t="str">
        <f>UPPER(TEXT(Tabla1[[#This Row],[FECHA RADICADO ENTRADA]],"MMM"))</f>
        <v>MAY</v>
      </c>
      <c r="R648" s="10">
        <f t="shared" si="13"/>
        <v>-4</v>
      </c>
      <c r="S648" s="10" t="s">
        <v>2154</v>
      </c>
      <c r="U648" s="10" t="s">
        <v>2803</v>
      </c>
      <c r="V648" s="20">
        <v>44075</v>
      </c>
      <c r="W648" s="10" t="s">
        <v>60</v>
      </c>
      <c r="X648" s="10">
        <v>20</v>
      </c>
      <c r="Y648" s="11">
        <f>IFERROR(INT(Tabla1[[#This Row],[CANTIDAD UND FARMACEUTICAS]]/(VLOOKUP(Tabla1[[#This Row],[MEDICAMENTO]],TAB_REF!$K$3:$L$27,2,0))),"")</f>
        <v>20</v>
      </c>
      <c r="Z648" s="10" t="str">
        <f>IFERROR(VLOOKUP(Tabla1[[#This Row],[MEDICAMENTO]],TAB_REF!$B$3:$F$27,2,0), "")</f>
        <v xml:space="preserve">Morfina HCl </v>
      </c>
      <c r="AA648" s="10" t="str">
        <f>IFERROR(VLOOKUP(Tabla1[[#This Row],[MEDICAMENTO]],TAB_REF!$B$3:$F$27,3,0), "")</f>
        <v xml:space="preserve">3%. </v>
      </c>
      <c r="AB648" s="10" t="str">
        <f>IFERROR(VLOOKUP(Tabla1[[#This Row],[MEDICAMENTO]],TAB_REF!$B$3:$F$27,4,0), "")</f>
        <v>Solución Oral</v>
      </c>
      <c r="AC648" s="10" t="str">
        <f>IFERROR(VLOOKUP(Tabla1[[#This Row],[MEDICAMENTO]],TAB_REF!$B$3:$F$27,5,0), "")</f>
        <v>Frasco x 30 mL</v>
      </c>
      <c r="AD648" s="10" t="str">
        <f>IFERROR(VLOOKUP(Tabla1[[#This Row],[CANTIDAD UND COMERCIALES]],TAB_REF!$H$3:$I$1003,2,0)&amp;" ("&amp;Tabla1[[#This Row],[CANTIDAD UND COMERCIALES]]&amp;")"&amp;"_"&amp;Tabla1[[#This Row],[CANTIDAD]],"")</f>
        <v>Veinte (20)_Frasco x 30 mL</v>
      </c>
    </row>
    <row r="649" spans="2:30" x14ac:dyDescent="0.25">
      <c r="B649" s="10">
        <v>256</v>
      </c>
      <c r="C649" s="10" t="s">
        <v>2797</v>
      </c>
      <c r="D649" s="10" t="s">
        <v>2798</v>
      </c>
      <c r="E649" s="10" t="s">
        <v>2799</v>
      </c>
      <c r="F649" s="10" t="s">
        <v>2697</v>
      </c>
      <c r="G649" s="10" t="s">
        <v>2800</v>
      </c>
      <c r="H649" s="10" t="s">
        <v>2801</v>
      </c>
      <c r="I649" s="10" t="s">
        <v>2116</v>
      </c>
      <c r="J649" s="10" t="s">
        <v>1550</v>
      </c>
      <c r="K649" s="10" t="s">
        <v>3355</v>
      </c>
      <c r="L649" s="11">
        <v>202124100890222</v>
      </c>
      <c r="M649" s="20">
        <v>44336</v>
      </c>
      <c r="N649" s="20" t="str">
        <f>UPPER(TEXT(Tabla1[[#This Row],[FECHA RADICADO ENTRADA]],"MMM"))</f>
        <v>MAY</v>
      </c>
      <c r="O649" s="11">
        <v>202124110807441</v>
      </c>
      <c r="P649" s="20">
        <v>44340</v>
      </c>
      <c r="Q649" s="20" t="str">
        <f>UPPER(TEXT(Tabla1[[#This Row],[FECHA RADICADO ENTRADA]],"MMM"))</f>
        <v>MAY</v>
      </c>
      <c r="R649" s="10">
        <f t="shared" si="13"/>
        <v>-4</v>
      </c>
      <c r="S649" s="10" t="s">
        <v>2154</v>
      </c>
      <c r="U649" s="10" t="s">
        <v>2803</v>
      </c>
      <c r="V649" s="20">
        <v>44075</v>
      </c>
      <c r="W649" s="10" t="s">
        <v>28</v>
      </c>
      <c r="X649" s="10">
        <v>8</v>
      </c>
      <c r="Y649" s="11">
        <f>IFERROR(INT(Tabla1[[#This Row],[CANTIDAD UND FARMACEUTICAS]]/(VLOOKUP(Tabla1[[#This Row],[MEDICAMENTO]],TAB_REF!$K$3:$L$27,2,0))),"")</f>
        <v>8</v>
      </c>
      <c r="Z649" s="10" t="str">
        <f>IFERROR(VLOOKUP(Tabla1[[#This Row],[MEDICAMENTO]],TAB_REF!$B$3:$F$27,2,0), "")</f>
        <v xml:space="preserve">Fenobarbital </v>
      </c>
      <c r="AA649" s="10" t="str">
        <f>IFERROR(VLOOKUP(Tabla1[[#This Row],[MEDICAMENTO]],TAB_REF!$B$3:$F$27,3,0), "")</f>
        <v xml:space="preserve">0,4%. </v>
      </c>
      <c r="AB649" s="10" t="str">
        <f>IFERROR(VLOOKUP(Tabla1[[#This Row],[MEDICAMENTO]],TAB_REF!$B$3:$F$27,4,0), "")</f>
        <v>Solución Oral</v>
      </c>
      <c r="AC649" s="10" t="str">
        <f>IFERROR(VLOOKUP(Tabla1[[#This Row],[MEDICAMENTO]],TAB_REF!$B$3:$F$27,5,0), "")</f>
        <v>Frasco x 120 mL</v>
      </c>
      <c r="AD649" s="10" t="str">
        <f>IFERROR(VLOOKUP(Tabla1[[#This Row],[CANTIDAD UND COMERCIALES]],TAB_REF!$H$3:$I$1003,2,0)&amp;" ("&amp;Tabla1[[#This Row],[CANTIDAD UND COMERCIALES]]&amp;")"&amp;"_"&amp;Tabla1[[#This Row],[CANTIDAD]],"")</f>
        <v>Ocho (8)_Frasco x 120 mL</v>
      </c>
    </row>
    <row r="650" spans="2:30" x14ac:dyDescent="0.25">
      <c r="B650" s="10">
        <v>257</v>
      </c>
      <c r="C650" s="10" t="s">
        <v>2164</v>
      </c>
      <c r="D650" s="10" t="s">
        <v>2164</v>
      </c>
      <c r="E650" s="10" t="s">
        <v>3356</v>
      </c>
      <c r="F650" s="10" t="s">
        <v>2164</v>
      </c>
      <c r="G650" s="10" t="s">
        <v>3236</v>
      </c>
      <c r="H650" s="10" t="s">
        <v>2164</v>
      </c>
      <c r="I650" s="10" t="s">
        <v>2109</v>
      </c>
      <c r="J650" s="10" t="s">
        <v>2109</v>
      </c>
      <c r="K650" s="10" t="s">
        <v>3357</v>
      </c>
      <c r="L650" s="11">
        <v>202124100894082</v>
      </c>
      <c r="M650" s="20">
        <v>44336</v>
      </c>
      <c r="N650" s="20" t="str">
        <f>UPPER(TEXT(Tabla1[[#This Row],[FECHA RADICADO ENTRADA]],"MMM"))</f>
        <v>MAY</v>
      </c>
      <c r="O650" s="11">
        <v>202124110870661</v>
      </c>
      <c r="P650" s="20">
        <v>44351</v>
      </c>
      <c r="Q650" s="20" t="str">
        <f>UPPER(TEXT(Tabla1[[#This Row],[FECHA RADICADO ENTRADA]],"MMM"))</f>
        <v>MAY</v>
      </c>
      <c r="R650" s="10">
        <f t="shared" si="13"/>
        <v>-15</v>
      </c>
      <c r="S650" s="10" t="s">
        <v>2145</v>
      </c>
      <c r="U650" s="10" t="s">
        <v>2164</v>
      </c>
      <c r="V650" s="20" t="s">
        <v>2164</v>
      </c>
      <c r="W650" s="10" t="s">
        <v>63</v>
      </c>
      <c r="X650" s="10">
        <v>0</v>
      </c>
      <c r="Y650" s="11">
        <f>IFERROR(INT(Tabla1[[#This Row],[CANTIDAD UND FARMACEUTICAS]]/(VLOOKUP(Tabla1[[#This Row],[MEDICAMENTO]],TAB_REF!$K$3:$L$27,2,0))),"")</f>
        <v>0</v>
      </c>
      <c r="Z650" s="10" t="str">
        <f>IFERROR(VLOOKUP(Tabla1[[#This Row],[MEDICAMENTO]],TAB_REF!$B$3:$F$27,2,0), "")</f>
        <v xml:space="preserve">Morfina HCl </v>
      </c>
      <c r="AA650" s="10" t="str">
        <f>IFERROR(VLOOKUP(Tabla1[[#This Row],[MEDICAMENTO]],TAB_REF!$B$3:$F$27,3,0), "")</f>
        <v xml:space="preserve">10 mg/mL </v>
      </c>
      <c r="AB650" s="10" t="str">
        <f>IFERROR(VLOOKUP(Tabla1[[#This Row],[MEDICAMENTO]],TAB_REF!$B$3:$F$27,4,0), "")</f>
        <v>Solución Inyectable</v>
      </c>
      <c r="AC650" s="10" t="str">
        <f>IFERROR(VLOOKUP(Tabla1[[#This Row],[MEDICAMENTO]],TAB_REF!$B$3:$F$27,5,0), "")</f>
        <v>Caja x 10 unidades</v>
      </c>
      <c r="AD650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651" spans="2:30" x14ac:dyDescent="0.25">
      <c r="B651" s="10">
        <v>258</v>
      </c>
      <c r="C651" s="10" t="s">
        <v>3358</v>
      </c>
      <c r="D651" s="10" t="s">
        <v>3359</v>
      </c>
      <c r="E651" s="10" t="s">
        <v>3360</v>
      </c>
      <c r="F651" s="10" t="s">
        <v>2897</v>
      </c>
      <c r="G651" s="10" t="s">
        <v>3361</v>
      </c>
      <c r="H651" s="10" t="s">
        <v>3362</v>
      </c>
      <c r="I651" s="10" t="s">
        <v>2107</v>
      </c>
      <c r="J651" s="10" t="s">
        <v>1212</v>
      </c>
      <c r="K651" s="10" t="s">
        <v>3363</v>
      </c>
      <c r="L651" s="11">
        <v>202124100898262</v>
      </c>
      <c r="M651" s="20">
        <v>44337</v>
      </c>
      <c r="N651" s="20" t="str">
        <f>UPPER(TEXT(Tabla1[[#This Row],[FECHA RADICADO ENTRADA]],"MMM"))</f>
        <v>MAY</v>
      </c>
      <c r="O651" s="11">
        <v>202124110807491</v>
      </c>
      <c r="P651" s="20">
        <v>44340</v>
      </c>
      <c r="Q651" s="20" t="str">
        <f>UPPER(TEXT(Tabla1[[#This Row],[FECHA RADICADO ENTRADA]],"MMM"))</f>
        <v>MAY</v>
      </c>
      <c r="R651" s="10">
        <f t="shared" si="13"/>
        <v>-3</v>
      </c>
      <c r="S651" s="10" t="s">
        <v>2145</v>
      </c>
      <c r="U651" s="10" t="s">
        <v>3156</v>
      </c>
      <c r="V651" s="20">
        <v>43677</v>
      </c>
      <c r="W651" s="10" t="s">
        <v>63</v>
      </c>
      <c r="X651" s="10">
        <v>0</v>
      </c>
      <c r="Y651" s="11">
        <f>IFERROR(INT(Tabla1[[#This Row],[CANTIDAD UND FARMACEUTICAS]]/(VLOOKUP(Tabla1[[#This Row],[MEDICAMENTO]],TAB_REF!$K$3:$L$27,2,0))),"")</f>
        <v>0</v>
      </c>
      <c r="Z651" s="10" t="str">
        <f>IFERROR(VLOOKUP(Tabla1[[#This Row],[MEDICAMENTO]],TAB_REF!$B$3:$F$27,2,0), "")</f>
        <v xml:space="preserve">Morfina HCl </v>
      </c>
      <c r="AA651" s="10" t="str">
        <f>IFERROR(VLOOKUP(Tabla1[[#This Row],[MEDICAMENTO]],TAB_REF!$B$3:$F$27,3,0), "")</f>
        <v xml:space="preserve">10 mg/mL </v>
      </c>
      <c r="AB651" s="10" t="str">
        <f>IFERROR(VLOOKUP(Tabla1[[#This Row],[MEDICAMENTO]],TAB_REF!$B$3:$F$27,4,0), "")</f>
        <v>Solución Inyectable</v>
      </c>
      <c r="AC651" s="10" t="str">
        <f>IFERROR(VLOOKUP(Tabla1[[#This Row],[MEDICAMENTO]],TAB_REF!$B$3:$F$27,5,0), "")</f>
        <v>Caja x 10 unidades</v>
      </c>
      <c r="AD651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652" spans="2:30" x14ac:dyDescent="0.25">
      <c r="B652" s="10">
        <v>259</v>
      </c>
      <c r="C652" s="10" t="s">
        <v>3364</v>
      </c>
      <c r="D652" s="10" t="s">
        <v>2723</v>
      </c>
      <c r="E652" s="10" t="s">
        <v>3365</v>
      </c>
      <c r="F652" s="10" t="s">
        <v>3366</v>
      </c>
      <c r="G652" s="10" t="s">
        <v>3367</v>
      </c>
      <c r="H652" s="10" t="s">
        <v>3368</v>
      </c>
      <c r="I652" s="10" t="s">
        <v>2128</v>
      </c>
      <c r="J652" s="10" t="s">
        <v>1918</v>
      </c>
      <c r="K652" s="10" t="s">
        <v>3369</v>
      </c>
      <c r="L652" s="11">
        <v>202124100907392</v>
      </c>
      <c r="M652" s="20">
        <v>44340</v>
      </c>
      <c r="N652" s="20" t="str">
        <f>UPPER(TEXT(Tabla1[[#This Row],[FECHA RADICADO ENTRADA]],"MMM"))</f>
        <v>MAY</v>
      </c>
      <c r="O652" s="11">
        <v>202124110841461</v>
      </c>
      <c r="P652" s="20">
        <v>44347</v>
      </c>
      <c r="Q652" s="20" t="str">
        <f>UPPER(TEXT(Tabla1[[#This Row],[FECHA RADICADO ENTRADA]],"MMM"))</f>
        <v>MAY</v>
      </c>
      <c r="R652" s="10">
        <f t="shared" si="13"/>
        <v>-7</v>
      </c>
      <c r="S652" s="10" t="s">
        <v>2145</v>
      </c>
      <c r="U652" s="10" t="s">
        <v>3370</v>
      </c>
      <c r="V652" s="20">
        <v>42888</v>
      </c>
      <c r="W652" s="10" t="s">
        <v>37</v>
      </c>
      <c r="X652" s="10">
        <v>0</v>
      </c>
      <c r="Y652" s="11">
        <f>IFERROR(INT(Tabla1[[#This Row],[CANTIDAD UND FARMACEUTICAS]]/(VLOOKUP(Tabla1[[#This Row],[MEDICAMENTO]],TAB_REF!$K$3:$L$27,2,0))),"")</f>
        <v>0</v>
      </c>
      <c r="Z652" s="10" t="str">
        <f>IFERROR(VLOOKUP(Tabla1[[#This Row],[MEDICAMENTO]],TAB_REF!$B$3:$F$27,2,0), "")</f>
        <v xml:space="preserve">Hidromorfona HCl </v>
      </c>
      <c r="AA652" s="10" t="str">
        <f>IFERROR(VLOOKUP(Tabla1[[#This Row],[MEDICAMENTO]],TAB_REF!$B$3:$F$27,3,0), "")</f>
        <v xml:space="preserve">2 mg/mL </v>
      </c>
      <c r="AB652" s="10" t="str">
        <f>IFERROR(VLOOKUP(Tabla1[[#This Row],[MEDICAMENTO]],TAB_REF!$B$3:$F$27,4,0), "")</f>
        <v>Solución Inyectable</v>
      </c>
      <c r="AC652" s="10" t="str">
        <f>IFERROR(VLOOKUP(Tabla1[[#This Row],[MEDICAMENTO]],TAB_REF!$B$3:$F$27,5,0), "")</f>
        <v>Caja x 10 unidades</v>
      </c>
      <c r="AD652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653" spans="2:30" x14ac:dyDescent="0.25">
      <c r="B653" s="10">
        <v>259</v>
      </c>
      <c r="C653" s="10" t="s">
        <v>3364</v>
      </c>
      <c r="D653" s="10" t="s">
        <v>2723</v>
      </c>
      <c r="E653" s="10" t="s">
        <v>3365</v>
      </c>
      <c r="F653" s="10" t="s">
        <v>3366</v>
      </c>
      <c r="G653" s="10" t="s">
        <v>3367</v>
      </c>
      <c r="H653" s="10" t="s">
        <v>3368</v>
      </c>
      <c r="I653" s="10" t="s">
        <v>2128</v>
      </c>
      <c r="J653" s="10" t="s">
        <v>1918</v>
      </c>
      <c r="K653" s="10" t="s">
        <v>3369</v>
      </c>
      <c r="L653" s="11">
        <v>202124100907392</v>
      </c>
      <c r="M653" s="20">
        <v>44340</v>
      </c>
      <c r="N653" s="20" t="str">
        <f>UPPER(TEXT(Tabla1[[#This Row],[FECHA RADICADO ENTRADA]],"MMM"))</f>
        <v>MAY</v>
      </c>
      <c r="O653" s="11">
        <v>202124110841461</v>
      </c>
      <c r="P653" s="20">
        <v>44347</v>
      </c>
      <c r="Q653" s="20" t="str">
        <f>UPPER(TEXT(Tabla1[[#This Row],[FECHA RADICADO ENTRADA]],"MMM"))</f>
        <v>MAY</v>
      </c>
      <c r="R653" s="10">
        <f t="shared" si="13"/>
        <v>-7</v>
      </c>
      <c r="S653" s="10" t="s">
        <v>2145</v>
      </c>
      <c r="U653" s="10" t="s">
        <v>3370</v>
      </c>
      <c r="V653" s="20">
        <v>42888</v>
      </c>
      <c r="W653" s="10" t="s">
        <v>63</v>
      </c>
      <c r="X653" s="10">
        <v>0</v>
      </c>
      <c r="Y653" s="11">
        <f>IFERROR(INT(Tabla1[[#This Row],[CANTIDAD UND FARMACEUTICAS]]/(VLOOKUP(Tabla1[[#This Row],[MEDICAMENTO]],TAB_REF!$K$3:$L$27,2,0))),"")</f>
        <v>0</v>
      </c>
      <c r="Z653" s="10" t="str">
        <f>IFERROR(VLOOKUP(Tabla1[[#This Row],[MEDICAMENTO]],TAB_REF!$B$3:$F$27,2,0), "")</f>
        <v xml:space="preserve">Morfina HCl </v>
      </c>
      <c r="AA653" s="10" t="str">
        <f>IFERROR(VLOOKUP(Tabla1[[#This Row],[MEDICAMENTO]],TAB_REF!$B$3:$F$27,3,0), "")</f>
        <v xml:space="preserve">10 mg/mL </v>
      </c>
      <c r="AB653" s="10" t="str">
        <f>IFERROR(VLOOKUP(Tabla1[[#This Row],[MEDICAMENTO]],TAB_REF!$B$3:$F$27,4,0), "")</f>
        <v>Solución Inyectable</v>
      </c>
      <c r="AC653" s="10" t="str">
        <f>IFERROR(VLOOKUP(Tabla1[[#This Row],[MEDICAMENTO]],TAB_REF!$B$3:$F$27,5,0), "")</f>
        <v>Caja x 10 unidades</v>
      </c>
      <c r="AD653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654" spans="2:30" x14ac:dyDescent="0.25">
      <c r="B654" s="10">
        <v>260</v>
      </c>
      <c r="C654" s="10" t="s">
        <v>2754</v>
      </c>
      <c r="D654" s="10" t="s">
        <v>2755</v>
      </c>
      <c r="E654" s="10" t="s">
        <v>2756</v>
      </c>
      <c r="F654" s="10" t="s">
        <v>2757</v>
      </c>
      <c r="G654" s="10" t="s">
        <v>2758</v>
      </c>
      <c r="H654" s="10" t="s">
        <v>2759</v>
      </c>
      <c r="I654" s="10" t="s">
        <v>2122</v>
      </c>
      <c r="J654" s="10" t="s">
        <v>1742</v>
      </c>
      <c r="K654" s="10" t="s">
        <v>3371</v>
      </c>
      <c r="L654" s="11">
        <v>202124100907422</v>
      </c>
      <c r="M654" s="20">
        <v>44340</v>
      </c>
      <c r="N654" s="20" t="str">
        <f>UPPER(TEXT(Tabla1[[#This Row],[FECHA RADICADO ENTRADA]],"MMM"))</f>
        <v>MAY</v>
      </c>
      <c r="O654" s="11">
        <v>202124110843141</v>
      </c>
      <c r="P654" s="20">
        <v>44347</v>
      </c>
      <c r="Q654" s="20" t="str">
        <f>UPPER(TEXT(Tabla1[[#This Row],[FECHA RADICADO ENTRADA]],"MMM"))</f>
        <v>MAY</v>
      </c>
      <c r="R654" s="10">
        <f t="shared" si="13"/>
        <v>-7</v>
      </c>
      <c r="S654" s="10" t="s">
        <v>2154</v>
      </c>
      <c r="U654" s="10" t="s">
        <v>2760</v>
      </c>
      <c r="V654" s="20">
        <v>44174</v>
      </c>
      <c r="W654" s="10" t="s">
        <v>41</v>
      </c>
      <c r="X654" s="10">
        <v>200</v>
      </c>
      <c r="Y654" s="11">
        <f>IFERROR(INT(Tabla1[[#This Row],[CANTIDAD UND FARMACEUTICAS]]/(VLOOKUP(Tabla1[[#This Row],[MEDICAMENTO]],TAB_REF!$K$3:$L$27,2,0))),"")</f>
        <v>20</v>
      </c>
      <c r="Z654" s="10" t="str">
        <f>IFERROR(VLOOKUP(Tabla1[[#This Row],[MEDICAMENTO]],TAB_REF!$B$3:$F$27,2,0), "")</f>
        <v xml:space="preserve">Meperidina HCl </v>
      </c>
      <c r="AA654" s="10" t="str">
        <f>IFERROR(VLOOKUP(Tabla1[[#This Row],[MEDICAMENTO]],TAB_REF!$B$3:$F$27,3,0), "")</f>
        <v xml:space="preserve">100 mg/2mL </v>
      </c>
      <c r="AB654" s="10" t="str">
        <f>IFERROR(VLOOKUP(Tabla1[[#This Row],[MEDICAMENTO]],TAB_REF!$B$3:$F$27,4,0), "")</f>
        <v>Solución Inyectable</v>
      </c>
      <c r="AC654" s="10" t="str">
        <f>IFERROR(VLOOKUP(Tabla1[[#This Row],[MEDICAMENTO]],TAB_REF!$B$3:$F$27,5,0), "")</f>
        <v>Caja 10 ampollas</v>
      </c>
      <c r="AD654" s="10" t="str">
        <f>IFERROR(VLOOKUP(Tabla1[[#This Row],[CANTIDAD UND COMERCIALES]],TAB_REF!$H$3:$I$1003,2,0)&amp;" ("&amp;Tabla1[[#This Row],[CANTIDAD UND COMERCIALES]]&amp;")"&amp;"_"&amp;Tabla1[[#This Row],[CANTIDAD]],"")</f>
        <v>Veinte (20)_Caja 10 ampollas</v>
      </c>
    </row>
    <row r="655" spans="2:30" x14ac:dyDescent="0.25">
      <c r="B655" s="10">
        <v>260</v>
      </c>
      <c r="C655" s="10" t="s">
        <v>2754</v>
      </c>
      <c r="D655" s="10" t="s">
        <v>2755</v>
      </c>
      <c r="E655" s="10" t="s">
        <v>2756</v>
      </c>
      <c r="F655" s="10" t="s">
        <v>2757</v>
      </c>
      <c r="G655" s="10" t="s">
        <v>2758</v>
      </c>
      <c r="H655" s="10" t="s">
        <v>2759</v>
      </c>
      <c r="I655" s="10" t="s">
        <v>2122</v>
      </c>
      <c r="J655" s="10" t="s">
        <v>1742</v>
      </c>
      <c r="K655" s="10" t="s">
        <v>3371</v>
      </c>
      <c r="L655" s="11">
        <v>202124100907422</v>
      </c>
      <c r="M655" s="20">
        <v>44340</v>
      </c>
      <c r="N655" s="20" t="str">
        <f>UPPER(TEXT(Tabla1[[#This Row],[FECHA RADICADO ENTRADA]],"MMM"))</f>
        <v>MAY</v>
      </c>
      <c r="O655" s="11">
        <v>202124110843141</v>
      </c>
      <c r="P655" s="20">
        <v>44347</v>
      </c>
      <c r="Q655" s="20" t="str">
        <f>UPPER(TEXT(Tabla1[[#This Row],[FECHA RADICADO ENTRADA]],"MMM"))</f>
        <v>MAY</v>
      </c>
      <c r="R655" s="10">
        <f t="shared" si="13"/>
        <v>-7</v>
      </c>
      <c r="S655" s="10" t="s">
        <v>2154</v>
      </c>
      <c r="U655" s="10" t="s">
        <v>2760</v>
      </c>
      <c r="V655" s="20">
        <v>44174</v>
      </c>
      <c r="W655" s="10" t="s">
        <v>28</v>
      </c>
      <c r="X655" s="10">
        <v>3</v>
      </c>
      <c r="Y655" s="11">
        <f>IFERROR(INT(Tabla1[[#This Row],[CANTIDAD UND FARMACEUTICAS]]/(VLOOKUP(Tabla1[[#This Row],[MEDICAMENTO]],TAB_REF!$K$3:$L$27,2,0))),"")</f>
        <v>3</v>
      </c>
      <c r="Z655" s="10" t="str">
        <f>IFERROR(VLOOKUP(Tabla1[[#This Row],[MEDICAMENTO]],TAB_REF!$B$3:$F$27,2,0), "")</f>
        <v xml:space="preserve">Fenobarbital </v>
      </c>
      <c r="AA655" s="10" t="str">
        <f>IFERROR(VLOOKUP(Tabla1[[#This Row],[MEDICAMENTO]],TAB_REF!$B$3:$F$27,3,0), "")</f>
        <v xml:space="preserve">0,4%. </v>
      </c>
      <c r="AB655" s="10" t="str">
        <f>IFERROR(VLOOKUP(Tabla1[[#This Row],[MEDICAMENTO]],TAB_REF!$B$3:$F$27,4,0), "")</f>
        <v>Solución Oral</v>
      </c>
      <c r="AC655" s="10" t="str">
        <f>IFERROR(VLOOKUP(Tabla1[[#This Row],[MEDICAMENTO]],TAB_REF!$B$3:$F$27,5,0), "")</f>
        <v>Frasco x 120 mL</v>
      </c>
      <c r="AD655" s="10" t="str">
        <f>IFERROR(VLOOKUP(Tabla1[[#This Row],[CANTIDAD UND COMERCIALES]],TAB_REF!$H$3:$I$1003,2,0)&amp;" ("&amp;Tabla1[[#This Row],[CANTIDAD UND COMERCIALES]]&amp;")"&amp;"_"&amp;Tabla1[[#This Row],[CANTIDAD]],"")</f>
        <v>Tres (3)_Frasco x 120 mL</v>
      </c>
    </row>
    <row r="656" spans="2:30" x14ac:dyDescent="0.25">
      <c r="B656" s="10">
        <v>260</v>
      </c>
      <c r="C656" s="10" t="s">
        <v>2754</v>
      </c>
      <c r="D656" s="10" t="s">
        <v>2755</v>
      </c>
      <c r="E656" s="10" t="s">
        <v>2756</v>
      </c>
      <c r="F656" s="10" t="s">
        <v>2757</v>
      </c>
      <c r="G656" s="10" t="s">
        <v>2758</v>
      </c>
      <c r="H656" s="10" t="s">
        <v>2759</v>
      </c>
      <c r="I656" s="10" t="s">
        <v>2122</v>
      </c>
      <c r="J656" s="10" t="s">
        <v>1742</v>
      </c>
      <c r="K656" s="10" t="s">
        <v>3371</v>
      </c>
      <c r="L656" s="11">
        <v>202124100907422</v>
      </c>
      <c r="M656" s="20">
        <v>44340</v>
      </c>
      <c r="N656" s="20" t="str">
        <f>UPPER(TEXT(Tabla1[[#This Row],[FECHA RADICADO ENTRADA]],"MMM"))</f>
        <v>MAY</v>
      </c>
      <c r="O656" s="11">
        <v>202124110843141</v>
      </c>
      <c r="P656" s="20">
        <v>44347</v>
      </c>
      <c r="Q656" s="20" t="str">
        <f>UPPER(TEXT(Tabla1[[#This Row],[FECHA RADICADO ENTRADA]],"MMM"))</f>
        <v>MAY</v>
      </c>
      <c r="R656" s="10">
        <f t="shared" si="13"/>
        <v>-7</v>
      </c>
      <c r="S656" s="10" t="s">
        <v>2154</v>
      </c>
      <c r="U656" s="10" t="s">
        <v>2760</v>
      </c>
      <c r="V656" s="20">
        <v>44174</v>
      </c>
      <c r="W656" s="10" t="s">
        <v>63</v>
      </c>
      <c r="X656" s="10">
        <v>500</v>
      </c>
      <c r="Y656" s="11">
        <f>IFERROR(INT(Tabla1[[#This Row],[CANTIDAD UND FARMACEUTICAS]]/(VLOOKUP(Tabla1[[#This Row],[MEDICAMENTO]],TAB_REF!$K$3:$L$27,2,0))),"")</f>
        <v>50</v>
      </c>
      <c r="Z656" s="10" t="str">
        <f>IFERROR(VLOOKUP(Tabla1[[#This Row],[MEDICAMENTO]],TAB_REF!$B$3:$F$27,2,0), "")</f>
        <v xml:space="preserve">Morfina HCl </v>
      </c>
      <c r="AA656" s="10" t="str">
        <f>IFERROR(VLOOKUP(Tabla1[[#This Row],[MEDICAMENTO]],TAB_REF!$B$3:$F$27,3,0), "")</f>
        <v xml:space="preserve">10 mg/mL </v>
      </c>
      <c r="AB656" s="10" t="str">
        <f>IFERROR(VLOOKUP(Tabla1[[#This Row],[MEDICAMENTO]],TAB_REF!$B$3:$F$27,4,0), "")</f>
        <v>Solución Inyectable</v>
      </c>
      <c r="AC656" s="10" t="str">
        <f>IFERROR(VLOOKUP(Tabla1[[#This Row],[MEDICAMENTO]],TAB_REF!$B$3:$F$27,5,0), "")</f>
        <v>Caja x 10 unidades</v>
      </c>
      <c r="AD656" s="10" t="str">
        <f>IFERROR(VLOOKUP(Tabla1[[#This Row],[CANTIDAD UND COMERCIALES]],TAB_REF!$H$3:$I$1003,2,0)&amp;" ("&amp;Tabla1[[#This Row],[CANTIDAD UND COMERCIALES]]&amp;")"&amp;"_"&amp;Tabla1[[#This Row],[CANTIDAD]],"")</f>
        <v>Cincuenta (50)_Caja x 10 unidades</v>
      </c>
    </row>
    <row r="657" spans="2:30" x14ac:dyDescent="0.25">
      <c r="B657" s="10">
        <v>260</v>
      </c>
      <c r="C657" s="10" t="s">
        <v>2754</v>
      </c>
      <c r="D657" s="10" t="s">
        <v>2755</v>
      </c>
      <c r="E657" s="10" t="s">
        <v>2756</v>
      </c>
      <c r="F657" s="10" t="s">
        <v>2757</v>
      </c>
      <c r="G657" s="10" t="s">
        <v>2758</v>
      </c>
      <c r="H657" s="10" t="s">
        <v>2759</v>
      </c>
      <c r="I657" s="10" t="s">
        <v>2122</v>
      </c>
      <c r="J657" s="10" t="s">
        <v>1742</v>
      </c>
      <c r="K657" s="10" t="s">
        <v>3371</v>
      </c>
      <c r="L657" s="11">
        <v>202124100907422</v>
      </c>
      <c r="M657" s="20">
        <v>44340</v>
      </c>
      <c r="N657" s="20" t="str">
        <f>UPPER(TEXT(Tabla1[[#This Row],[FECHA RADICADO ENTRADA]],"MMM"))</f>
        <v>MAY</v>
      </c>
      <c r="O657" s="11">
        <v>202124110843141</v>
      </c>
      <c r="P657" s="20">
        <v>44347</v>
      </c>
      <c r="Q657" s="20" t="str">
        <f>UPPER(TEXT(Tabla1[[#This Row],[FECHA RADICADO ENTRADA]],"MMM"))</f>
        <v>MAY</v>
      </c>
      <c r="R657" s="10">
        <f t="shared" si="13"/>
        <v>-7</v>
      </c>
      <c r="S657" s="10" t="s">
        <v>2154</v>
      </c>
      <c r="U657" s="10" t="s">
        <v>2760</v>
      </c>
      <c r="V657" s="20">
        <v>44174</v>
      </c>
      <c r="W657" s="10" t="s">
        <v>36</v>
      </c>
      <c r="X657" s="10">
        <v>300</v>
      </c>
      <c r="Y657" s="11">
        <f>IFERROR(INT(Tabla1[[#This Row],[CANTIDAD UND FARMACEUTICAS]]/(VLOOKUP(Tabla1[[#This Row],[MEDICAMENTO]],TAB_REF!$K$3:$L$27,2,0))),"")</f>
        <v>30</v>
      </c>
      <c r="Z657" s="10" t="str">
        <f>IFERROR(VLOOKUP(Tabla1[[#This Row],[MEDICAMENTO]],TAB_REF!$B$3:$F$27,2,0), "")</f>
        <v xml:space="preserve">Fenobarbital Sódico </v>
      </c>
      <c r="AA657" s="10" t="str">
        <f>IFERROR(VLOOKUP(Tabla1[[#This Row],[MEDICAMENTO]],TAB_REF!$B$3:$F$27,3,0), "")</f>
        <v xml:space="preserve">40 mg/mL </v>
      </c>
      <c r="AB657" s="10" t="str">
        <f>IFERROR(VLOOKUP(Tabla1[[#This Row],[MEDICAMENTO]],TAB_REF!$B$3:$F$27,4,0), "")</f>
        <v>Solución Inyectable</v>
      </c>
      <c r="AC657" s="10" t="str">
        <f>IFERROR(VLOOKUP(Tabla1[[#This Row],[MEDICAMENTO]],TAB_REF!$B$3:$F$27,5,0), "")</f>
        <v>Caja x 10 unidades</v>
      </c>
      <c r="AD657" s="10" t="str">
        <f>IFERROR(VLOOKUP(Tabla1[[#This Row],[CANTIDAD UND COMERCIALES]],TAB_REF!$H$3:$I$1003,2,0)&amp;" ("&amp;Tabla1[[#This Row],[CANTIDAD UND COMERCIALES]]&amp;")"&amp;"_"&amp;Tabla1[[#This Row],[CANTIDAD]],"")</f>
        <v>Treinta (30)_Caja x 10 unidades</v>
      </c>
    </row>
    <row r="658" spans="2:30" x14ac:dyDescent="0.25">
      <c r="B658" s="10">
        <v>260</v>
      </c>
      <c r="C658" s="10" t="s">
        <v>2754</v>
      </c>
      <c r="D658" s="10" t="s">
        <v>2755</v>
      </c>
      <c r="E658" s="10" t="s">
        <v>2756</v>
      </c>
      <c r="F658" s="10" t="s">
        <v>2757</v>
      </c>
      <c r="G658" s="10" t="s">
        <v>2758</v>
      </c>
      <c r="H658" s="10" t="s">
        <v>2759</v>
      </c>
      <c r="I658" s="10" t="s">
        <v>2122</v>
      </c>
      <c r="J658" s="10" t="s">
        <v>1742</v>
      </c>
      <c r="K658" s="10" t="s">
        <v>3371</v>
      </c>
      <c r="L658" s="11">
        <v>202124100907422</v>
      </c>
      <c r="M658" s="20">
        <v>44340</v>
      </c>
      <c r="N658" s="20" t="str">
        <f>UPPER(TEXT(Tabla1[[#This Row],[FECHA RADICADO ENTRADA]],"MMM"))</f>
        <v>MAY</v>
      </c>
      <c r="O658" s="11">
        <v>202124110843141</v>
      </c>
      <c r="P658" s="20">
        <v>44347</v>
      </c>
      <c r="Q658" s="20" t="str">
        <f>UPPER(TEXT(Tabla1[[#This Row],[FECHA RADICADO ENTRADA]],"MMM"))</f>
        <v>MAY</v>
      </c>
      <c r="R658" s="10">
        <f t="shared" si="13"/>
        <v>-7</v>
      </c>
      <c r="S658" s="10" t="s">
        <v>2154</v>
      </c>
      <c r="U658" s="10" t="s">
        <v>2760</v>
      </c>
      <c r="V658" s="20">
        <v>44174</v>
      </c>
      <c r="W658" s="10" t="s">
        <v>34</v>
      </c>
      <c r="X658" s="10">
        <v>100</v>
      </c>
      <c r="Y658" s="11">
        <f>IFERROR(INT(Tabla1[[#This Row],[CANTIDAD UND FARMACEUTICAS]]/(VLOOKUP(Tabla1[[#This Row],[MEDICAMENTO]],TAB_REF!$K$3:$L$27,2,0))),"")</f>
        <v>10</v>
      </c>
      <c r="Z658" s="10" t="str">
        <f>IFERROR(VLOOKUP(Tabla1[[#This Row],[MEDICAMENTO]],TAB_REF!$B$3:$F$27,2,0), "")</f>
        <v xml:space="preserve">Fenobarbital Sódico </v>
      </c>
      <c r="AA658" s="10" t="str">
        <f>IFERROR(VLOOKUP(Tabla1[[#This Row],[MEDICAMENTO]],TAB_REF!$B$3:$F$27,3,0), "")</f>
        <v xml:space="preserve">200 mg/Ml </v>
      </c>
      <c r="AB658" s="10" t="str">
        <f>IFERROR(VLOOKUP(Tabla1[[#This Row],[MEDICAMENTO]],TAB_REF!$B$3:$F$27,4,0), "")</f>
        <v>Solución Inyectable</v>
      </c>
      <c r="AC658" s="10" t="str">
        <f>IFERROR(VLOOKUP(Tabla1[[#This Row],[MEDICAMENTO]],TAB_REF!$B$3:$F$27,5,0), "")</f>
        <v>Caja x 10 unidades</v>
      </c>
      <c r="AD658" s="10" t="str">
        <f>IFERROR(VLOOKUP(Tabla1[[#This Row],[CANTIDAD UND COMERCIALES]],TAB_REF!$H$3:$I$1003,2,0)&amp;" ("&amp;Tabla1[[#This Row],[CANTIDAD UND COMERCIALES]]&amp;")"&amp;"_"&amp;Tabla1[[#This Row],[CANTIDAD]],"")</f>
        <v>Diez (10)_Caja x 10 unidades</v>
      </c>
    </row>
    <row r="659" spans="2:30" x14ac:dyDescent="0.25">
      <c r="B659" s="10">
        <v>260</v>
      </c>
      <c r="C659" s="10" t="s">
        <v>2754</v>
      </c>
      <c r="D659" s="10" t="s">
        <v>2755</v>
      </c>
      <c r="E659" s="10" t="s">
        <v>2756</v>
      </c>
      <c r="F659" s="10" t="s">
        <v>2757</v>
      </c>
      <c r="G659" s="10" t="s">
        <v>2758</v>
      </c>
      <c r="H659" s="10" t="s">
        <v>2759</v>
      </c>
      <c r="I659" s="10" t="s">
        <v>2122</v>
      </c>
      <c r="J659" s="10" t="s">
        <v>1742</v>
      </c>
      <c r="K659" s="10" t="s">
        <v>3371</v>
      </c>
      <c r="L659" s="11">
        <v>202124100907422</v>
      </c>
      <c r="M659" s="20">
        <v>44340</v>
      </c>
      <c r="N659" s="20" t="str">
        <f>UPPER(TEXT(Tabla1[[#This Row],[FECHA RADICADO ENTRADA]],"MMM"))</f>
        <v>MAY</v>
      </c>
      <c r="O659" s="11">
        <v>202124110843141</v>
      </c>
      <c r="P659" s="20">
        <v>44347</v>
      </c>
      <c r="Q659" s="20" t="str">
        <f>UPPER(TEXT(Tabla1[[#This Row],[FECHA RADICADO ENTRADA]],"MMM"))</f>
        <v>MAY</v>
      </c>
      <c r="R659" s="10">
        <f t="shared" si="13"/>
        <v>-7</v>
      </c>
      <c r="S659" s="10" t="s">
        <v>2154</v>
      </c>
      <c r="U659" s="10" t="s">
        <v>2760</v>
      </c>
      <c r="V659" s="20">
        <v>44174</v>
      </c>
      <c r="W659" s="10" t="s">
        <v>32</v>
      </c>
      <c r="X659" s="10">
        <v>180</v>
      </c>
      <c r="Y659" s="11">
        <f>IFERROR(INT(Tabla1[[#This Row],[CANTIDAD UND FARMACEUTICAS]]/(VLOOKUP(Tabla1[[#This Row],[MEDICAMENTO]],TAB_REF!$K$3:$L$27,2,0))),"")</f>
        <v>6</v>
      </c>
      <c r="Z659" s="10" t="str">
        <f>IFERROR(VLOOKUP(Tabla1[[#This Row],[MEDICAMENTO]],TAB_REF!$B$3:$F$27,2,0), "")</f>
        <v xml:space="preserve">Fenobarbital </v>
      </c>
      <c r="AA659" s="10" t="str">
        <f>IFERROR(VLOOKUP(Tabla1[[#This Row],[MEDICAMENTO]],TAB_REF!$B$3:$F$27,3,0), "")</f>
        <v xml:space="preserve">100 mg </v>
      </c>
      <c r="AB659" s="10" t="str">
        <f>IFERROR(VLOOKUP(Tabla1[[#This Row],[MEDICAMENTO]],TAB_REF!$B$3:$F$27,4,0), "")</f>
        <v>Tabletas</v>
      </c>
      <c r="AC659" s="10" t="str">
        <f>IFERROR(VLOOKUP(Tabla1[[#This Row],[MEDICAMENTO]],TAB_REF!$B$3:$F$27,5,0), "")</f>
        <v>Caja x 30 unidades</v>
      </c>
      <c r="AD659" s="10" t="str">
        <f>IFERROR(VLOOKUP(Tabla1[[#This Row],[CANTIDAD UND COMERCIALES]],TAB_REF!$H$3:$I$1003,2,0)&amp;" ("&amp;Tabla1[[#This Row],[CANTIDAD UND COMERCIALES]]&amp;")"&amp;"_"&amp;Tabla1[[#This Row],[CANTIDAD]],"")</f>
        <v>Seis (6)_Caja x 30 unidades</v>
      </c>
    </row>
    <row r="660" spans="2:30" x14ac:dyDescent="0.25">
      <c r="B660" s="10">
        <v>261</v>
      </c>
      <c r="C660" s="10" t="s">
        <v>3372</v>
      </c>
      <c r="D660" s="10" t="s">
        <v>2162</v>
      </c>
      <c r="E660" s="10" t="s">
        <v>3373</v>
      </c>
      <c r="F660" s="10" t="s">
        <v>3374</v>
      </c>
      <c r="G660" s="10" t="s">
        <v>3375</v>
      </c>
      <c r="H660" s="10" t="s">
        <v>3376</v>
      </c>
      <c r="I660" s="10" t="s">
        <v>2122</v>
      </c>
      <c r="J660" s="10" t="s">
        <v>1742</v>
      </c>
      <c r="K660" s="10" t="s">
        <v>3377</v>
      </c>
      <c r="L660" s="11">
        <v>202124100909222</v>
      </c>
      <c r="M660" s="20">
        <v>44340</v>
      </c>
      <c r="N660" s="20" t="str">
        <f>UPPER(TEXT(Tabla1[[#This Row],[FECHA RADICADO ENTRADA]],"MMM"))</f>
        <v>MAY</v>
      </c>
      <c r="O660" s="11">
        <v>202124110841351</v>
      </c>
      <c r="P660" s="20">
        <v>44351</v>
      </c>
      <c r="Q660" s="20" t="str">
        <f>UPPER(TEXT(Tabla1[[#This Row],[FECHA RADICADO ENTRADA]],"MMM"))</f>
        <v>MAY</v>
      </c>
      <c r="R660" s="10">
        <f t="shared" si="13"/>
        <v>-11</v>
      </c>
      <c r="S660" s="10" t="s">
        <v>2154</v>
      </c>
      <c r="T660" s="10" t="s">
        <v>3383</v>
      </c>
      <c r="U660" s="10" t="s">
        <v>3378</v>
      </c>
      <c r="V660" s="20">
        <v>43263</v>
      </c>
      <c r="W660" s="10" t="s">
        <v>60</v>
      </c>
      <c r="X660" s="10">
        <v>5</v>
      </c>
      <c r="Y660" s="11">
        <f>IFERROR(INT(Tabla1[[#This Row],[CANTIDAD UND FARMACEUTICAS]]/(VLOOKUP(Tabla1[[#This Row],[MEDICAMENTO]],TAB_REF!$K$3:$L$27,2,0))),"")</f>
        <v>5</v>
      </c>
      <c r="Z660" s="10" t="str">
        <f>IFERROR(VLOOKUP(Tabla1[[#This Row],[MEDICAMENTO]],TAB_REF!$B$3:$F$27,2,0), "")</f>
        <v xml:space="preserve">Morfina HCl </v>
      </c>
      <c r="AA660" s="10" t="str">
        <f>IFERROR(VLOOKUP(Tabla1[[#This Row],[MEDICAMENTO]],TAB_REF!$B$3:$F$27,3,0), "")</f>
        <v xml:space="preserve">3%. </v>
      </c>
      <c r="AB660" s="10" t="str">
        <f>IFERROR(VLOOKUP(Tabla1[[#This Row],[MEDICAMENTO]],TAB_REF!$B$3:$F$27,4,0), "")</f>
        <v>Solución Oral</v>
      </c>
      <c r="AC660" s="10" t="str">
        <f>IFERROR(VLOOKUP(Tabla1[[#This Row],[MEDICAMENTO]],TAB_REF!$B$3:$F$27,5,0), "")</f>
        <v>Frasco x 30 mL</v>
      </c>
      <c r="AD660" s="10" t="str">
        <f>IFERROR(VLOOKUP(Tabla1[[#This Row],[CANTIDAD UND COMERCIALES]],TAB_REF!$H$3:$I$1003,2,0)&amp;" ("&amp;Tabla1[[#This Row],[CANTIDAD UND COMERCIALES]]&amp;")"&amp;"_"&amp;Tabla1[[#This Row],[CANTIDAD]],"")</f>
        <v>Cinco (5)_Frasco x 30 mL</v>
      </c>
    </row>
    <row r="661" spans="2:30" x14ac:dyDescent="0.25">
      <c r="B661" s="10">
        <v>262</v>
      </c>
      <c r="C661" s="10" t="s">
        <v>3318</v>
      </c>
      <c r="D661" s="10" t="s">
        <v>3379</v>
      </c>
      <c r="E661" s="10" t="s">
        <v>3380</v>
      </c>
      <c r="F661" s="10" t="s">
        <v>3321</v>
      </c>
      <c r="G661" s="10" t="s">
        <v>3381</v>
      </c>
      <c r="H661" s="10" t="s">
        <v>3382</v>
      </c>
      <c r="I661" s="10" t="s">
        <v>2130</v>
      </c>
      <c r="K661" s="10" t="s">
        <v>3324</v>
      </c>
      <c r="L661" s="11">
        <v>202124100911712</v>
      </c>
      <c r="M661" s="20">
        <v>44340</v>
      </c>
      <c r="N661" s="20" t="str">
        <f>UPPER(TEXT(Tabla1[[#This Row],[FECHA RADICADO ENTRADA]],"MMM"))</f>
        <v>MAY</v>
      </c>
      <c r="O661" s="11">
        <v>202124110807111</v>
      </c>
      <c r="P661" s="20">
        <v>44340</v>
      </c>
      <c r="Q661" s="20" t="str">
        <f>UPPER(TEXT(Tabla1[[#This Row],[FECHA RADICADO ENTRADA]],"MMM"))</f>
        <v>MAY</v>
      </c>
      <c r="R661" s="10">
        <f t="shared" si="13"/>
        <v>0</v>
      </c>
      <c r="S661" s="10" t="s">
        <v>2145</v>
      </c>
      <c r="T661" s="10" t="s">
        <v>3383</v>
      </c>
      <c r="U661" s="10" t="s">
        <v>3325</v>
      </c>
      <c r="V661" s="20">
        <v>42669</v>
      </c>
      <c r="W661" s="10" t="s">
        <v>32</v>
      </c>
      <c r="X661" s="10">
        <v>0</v>
      </c>
      <c r="Y661" s="11">
        <f>IFERROR(INT(Tabla1[[#This Row],[CANTIDAD UND FARMACEUTICAS]]/(VLOOKUP(Tabla1[[#This Row],[MEDICAMENTO]],TAB_REF!$K$3:$L$27,2,0))),"")</f>
        <v>0</v>
      </c>
      <c r="Z661" s="10" t="str">
        <f>IFERROR(VLOOKUP(Tabla1[[#This Row],[MEDICAMENTO]],TAB_REF!$B$3:$F$27,2,0), "")</f>
        <v xml:space="preserve">Fenobarbital </v>
      </c>
      <c r="AA661" s="10" t="str">
        <f>IFERROR(VLOOKUP(Tabla1[[#This Row],[MEDICAMENTO]],TAB_REF!$B$3:$F$27,3,0), "")</f>
        <v xml:space="preserve">100 mg </v>
      </c>
      <c r="AB661" s="10" t="str">
        <f>IFERROR(VLOOKUP(Tabla1[[#This Row],[MEDICAMENTO]],TAB_REF!$B$3:$F$27,4,0), "")</f>
        <v>Tabletas</v>
      </c>
      <c r="AC661" s="10" t="str">
        <f>IFERROR(VLOOKUP(Tabla1[[#This Row],[MEDICAMENTO]],TAB_REF!$B$3:$F$27,5,0), "")</f>
        <v>Caja x 30 unidades</v>
      </c>
      <c r="AD661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662" spans="2:30" x14ac:dyDescent="0.25">
      <c r="B662" s="10">
        <v>262</v>
      </c>
      <c r="C662" s="10" t="s">
        <v>3318</v>
      </c>
      <c r="D662" s="10" t="s">
        <v>3379</v>
      </c>
      <c r="E662" s="10" t="s">
        <v>3380</v>
      </c>
      <c r="F662" s="10" t="s">
        <v>3321</v>
      </c>
      <c r="G662" s="10" t="s">
        <v>3381</v>
      </c>
      <c r="H662" s="10" t="s">
        <v>3382</v>
      </c>
      <c r="I662" s="10" t="s">
        <v>2130</v>
      </c>
      <c r="K662" s="10" t="s">
        <v>3324</v>
      </c>
      <c r="L662" s="11">
        <v>202124100911712</v>
      </c>
      <c r="M662" s="20">
        <v>44340</v>
      </c>
      <c r="N662" s="20" t="str">
        <f>UPPER(TEXT(Tabla1[[#This Row],[FECHA RADICADO ENTRADA]],"MMM"))</f>
        <v>MAY</v>
      </c>
      <c r="O662" s="11">
        <v>202124110807111</v>
      </c>
      <c r="P662" s="20">
        <v>44340</v>
      </c>
      <c r="Q662" s="20" t="str">
        <f>UPPER(TEXT(Tabla1[[#This Row],[FECHA RADICADO ENTRADA]],"MMM"))</f>
        <v>MAY</v>
      </c>
      <c r="R662" s="10">
        <f t="shared" si="13"/>
        <v>0</v>
      </c>
      <c r="S662" s="10" t="s">
        <v>2145</v>
      </c>
      <c r="T662" s="10" t="s">
        <v>3383</v>
      </c>
      <c r="U662" s="10" t="s">
        <v>3325</v>
      </c>
      <c r="V662" s="20">
        <v>42669</v>
      </c>
      <c r="W662" s="10" t="s">
        <v>60</v>
      </c>
      <c r="X662" s="10">
        <v>0</v>
      </c>
      <c r="Y662" s="11">
        <f>IFERROR(INT(Tabla1[[#This Row],[CANTIDAD UND FARMACEUTICAS]]/(VLOOKUP(Tabla1[[#This Row],[MEDICAMENTO]],TAB_REF!$K$3:$L$27,2,0))),"")</f>
        <v>0</v>
      </c>
      <c r="Z662" s="10" t="str">
        <f>IFERROR(VLOOKUP(Tabla1[[#This Row],[MEDICAMENTO]],TAB_REF!$B$3:$F$27,2,0), "")</f>
        <v xml:space="preserve">Morfina HCl </v>
      </c>
      <c r="AA662" s="10" t="str">
        <f>IFERROR(VLOOKUP(Tabla1[[#This Row],[MEDICAMENTO]],TAB_REF!$B$3:$F$27,3,0), "")</f>
        <v xml:space="preserve">3%. </v>
      </c>
      <c r="AB662" s="10" t="str">
        <f>IFERROR(VLOOKUP(Tabla1[[#This Row],[MEDICAMENTO]],TAB_REF!$B$3:$F$27,4,0), "")</f>
        <v>Solución Oral</v>
      </c>
      <c r="AC662" s="10" t="str">
        <f>IFERROR(VLOOKUP(Tabla1[[#This Row],[MEDICAMENTO]],TAB_REF!$B$3:$F$27,5,0), "")</f>
        <v>Frasco x 30 mL</v>
      </c>
      <c r="AD662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663" spans="2:30" x14ac:dyDescent="0.25">
      <c r="B663" s="10">
        <v>262</v>
      </c>
      <c r="C663" s="10" t="s">
        <v>3318</v>
      </c>
      <c r="D663" s="10" t="s">
        <v>3379</v>
      </c>
      <c r="E663" s="10" t="s">
        <v>3380</v>
      </c>
      <c r="F663" s="10" t="s">
        <v>3321</v>
      </c>
      <c r="G663" s="10" t="s">
        <v>3381</v>
      </c>
      <c r="H663" s="10" t="s">
        <v>3382</v>
      </c>
      <c r="I663" s="10" t="s">
        <v>2130</v>
      </c>
      <c r="K663" s="10" t="s">
        <v>3324</v>
      </c>
      <c r="L663" s="11">
        <v>202124100911712</v>
      </c>
      <c r="M663" s="20">
        <v>44340</v>
      </c>
      <c r="N663" s="20" t="str">
        <f>UPPER(TEXT(Tabla1[[#This Row],[FECHA RADICADO ENTRADA]],"MMM"))</f>
        <v>MAY</v>
      </c>
      <c r="O663" s="11">
        <v>202124110807111</v>
      </c>
      <c r="P663" s="20">
        <v>44340</v>
      </c>
      <c r="Q663" s="20" t="str">
        <f>UPPER(TEXT(Tabla1[[#This Row],[FECHA RADICADO ENTRADA]],"MMM"))</f>
        <v>MAY</v>
      </c>
      <c r="R663" s="10">
        <f t="shared" si="13"/>
        <v>0</v>
      </c>
      <c r="S663" s="10" t="s">
        <v>2145</v>
      </c>
      <c r="T663" s="10" t="s">
        <v>3383</v>
      </c>
      <c r="U663" s="10" t="s">
        <v>3325</v>
      </c>
      <c r="V663" s="20">
        <v>42669</v>
      </c>
      <c r="W663" s="10" t="s">
        <v>63</v>
      </c>
      <c r="X663" s="10">
        <v>0</v>
      </c>
      <c r="Y663" s="11">
        <f>IFERROR(INT(Tabla1[[#This Row],[CANTIDAD UND FARMACEUTICAS]]/(VLOOKUP(Tabla1[[#This Row],[MEDICAMENTO]],TAB_REF!$K$3:$L$27,2,0))),"")</f>
        <v>0</v>
      </c>
      <c r="Z663" s="10" t="str">
        <f>IFERROR(VLOOKUP(Tabla1[[#This Row],[MEDICAMENTO]],TAB_REF!$B$3:$F$27,2,0), "")</f>
        <v xml:space="preserve">Morfina HCl </v>
      </c>
      <c r="AA663" s="10" t="str">
        <f>IFERROR(VLOOKUP(Tabla1[[#This Row],[MEDICAMENTO]],TAB_REF!$B$3:$F$27,3,0), "")</f>
        <v xml:space="preserve">10 mg/mL </v>
      </c>
      <c r="AB663" s="10" t="str">
        <f>IFERROR(VLOOKUP(Tabla1[[#This Row],[MEDICAMENTO]],TAB_REF!$B$3:$F$27,4,0), "")</f>
        <v>Solución Inyectable</v>
      </c>
      <c r="AC663" s="10" t="str">
        <f>IFERROR(VLOOKUP(Tabla1[[#This Row],[MEDICAMENTO]],TAB_REF!$B$3:$F$27,5,0), "")</f>
        <v>Caja x 10 unidades</v>
      </c>
      <c r="AD663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664" spans="2:30" x14ac:dyDescent="0.25">
      <c r="B664" s="10">
        <v>263</v>
      </c>
      <c r="C664" s="10" t="s">
        <v>2593</v>
      </c>
      <c r="D664" s="10" t="s">
        <v>2575</v>
      </c>
      <c r="E664" s="10" t="s">
        <v>2594</v>
      </c>
      <c r="F664" s="10" t="s">
        <v>2603</v>
      </c>
      <c r="G664" s="10" t="s">
        <v>2595</v>
      </c>
      <c r="H664" s="10" t="s">
        <v>2596</v>
      </c>
      <c r="I664" s="10" t="s">
        <v>2122</v>
      </c>
      <c r="J664" s="10" t="s">
        <v>1742</v>
      </c>
      <c r="K664" s="10" t="s">
        <v>2597</v>
      </c>
      <c r="L664" s="11">
        <v>202124100914472</v>
      </c>
      <c r="M664" s="20">
        <v>44340</v>
      </c>
      <c r="N664" s="20" t="str">
        <f>UPPER(TEXT(Tabla1[[#This Row],[FECHA RADICADO ENTRADA]],"MMM"))</f>
        <v>MAY</v>
      </c>
      <c r="O664" s="11">
        <v>202124110812971</v>
      </c>
      <c r="P664" s="20">
        <v>44341</v>
      </c>
      <c r="Q664" s="20" t="str">
        <f>UPPER(TEXT(Tabla1[[#This Row],[FECHA RADICADO ENTRADA]],"MMM"))</f>
        <v>MAY</v>
      </c>
      <c r="R664" s="10">
        <f t="shared" si="13"/>
        <v>-1</v>
      </c>
      <c r="S664" s="10" t="s">
        <v>2154</v>
      </c>
      <c r="T664" s="10" t="s">
        <v>3383</v>
      </c>
      <c r="U664" s="10" t="s">
        <v>2623</v>
      </c>
      <c r="V664" s="20">
        <v>44099</v>
      </c>
      <c r="W664" s="10" t="s">
        <v>32</v>
      </c>
      <c r="X664" s="10">
        <v>6780</v>
      </c>
      <c r="Y664" s="11">
        <f>IFERROR(INT(Tabla1[[#This Row],[CANTIDAD UND FARMACEUTICAS]]/(VLOOKUP(Tabla1[[#This Row],[MEDICAMENTO]],TAB_REF!$K$3:$L$27,2,0))),"")</f>
        <v>226</v>
      </c>
      <c r="Z664" s="10" t="str">
        <f>IFERROR(VLOOKUP(Tabla1[[#This Row],[MEDICAMENTO]],TAB_REF!$B$3:$F$27,2,0), "")</f>
        <v xml:space="preserve">Fenobarbital </v>
      </c>
      <c r="AA664" s="10" t="str">
        <f>IFERROR(VLOOKUP(Tabla1[[#This Row],[MEDICAMENTO]],TAB_REF!$B$3:$F$27,3,0), "")</f>
        <v xml:space="preserve">100 mg </v>
      </c>
      <c r="AB664" s="10" t="str">
        <f>IFERROR(VLOOKUP(Tabla1[[#This Row],[MEDICAMENTO]],TAB_REF!$B$3:$F$27,4,0), "")</f>
        <v>Tabletas</v>
      </c>
      <c r="AC664" s="10" t="str">
        <f>IFERROR(VLOOKUP(Tabla1[[#This Row],[MEDICAMENTO]],TAB_REF!$B$3:$F$27,5,0), "")</f>
        <v>Caja x 30 unidades</v>
      </c>
      <c r="AD664" s="10" t="str">
        <f>IFERROR(VLOOKUP(Tabla1[[#This Row],[CANTIDAD UND COMERCIALES]],TAB_REF!$H$3:$I$1003,2,0)&amp;" ("&amp;Tabla1[[#This Row],[CANTIDAD UND COMERCIALES]]&amp;")"&amp;"_"&amp;Tabla1[[#This Row],[CANTIDAD]],"")</f>
        <v>Doscientos Veintiséis (226)_Caja x 30 unidades</v>
      </c>
    </row>
    <row r="665" spans="2:30" x14ac:dyDescent="0.25">
      <c r="B665" s="10">
        <v>263</v>
      </c>
      <c r="C665" s="10" t="s">
        <v>2593</v>
      </c>
      <c r="D665" s="10" t="s">
        <v>2575</v>
      </c>
      <c r="E665" s="10" t="s">
        <v>2594</v>
      </c>
      <c r="F665" s="10" t="s">
        <v>2603</v>
      </c>
      <c r="G665" s="10" t="s">
        <v>2595</v>
      </c>
      <c r="H665" s="10" t="s">
        <v>2596</v>
      </c>
      <c r="I665" s="10" t="s">
        <v>2122</v>
      </c>
      <c r="J665" s="10" t="s">
        <v>1742</v>
      </c>
      <c r="K665" s="10" t="s">
        <v>2597</v>
      </c>
      <c r="L665" s="11">
        <v>202124100914472</v>
      </c>
      <c r="M665" s="20">
        <v>44340</v>
      </c>
      <c r="N665" s="20" t="str">
        <f>UPPER(TEXT(Tabla1[[#This Row],[FECHA RADICADO ENTRADA]],"MMM"))</f>
        <v>MAY</v>
      </c>
      <c r="O665" s="11">
        <v>202124110812971</v>
      </c>
      <c r="P665" s="20">
        <v>44341</v>
      </c>
      <c r="Q665" s="20" t="str">
        <f>UPPER(TEXT(Tabla1[[#This Row],[FECHA RADICADO ENTRADA]],"MMM"))</f>
        <v>MAY</v>
      </c>
      <c r="R665" s="10">
        <f t="shared" si="13"/>
        <v>-1</v>
      </c>
      <c r="S665" s="10" t="s">
        <v>2154</v>
      </c>
      <c r="T665" s="10" t="s">
        <v>3383</v>
      </c>
      <c r="U665" s="10" t="s">
        <v>2623</v>
      </c>
      <c r="V665" s="20">
        <v>44099</v>
      </c>
      <c r="W665" s="10" t="s">
        <v>60</v>
      </c>
      <c r="X665" s="10">
        <v>4</v>
      </c>
      <c r="Y665" s="11">
        <f>IFERROR(INT(Tabla1[[#This Row],[CANTIDAD UND FARMACEUTICAS]]/(VLOOKUP(Tabla1[[#This Row],[MEDICAMENTO]],TAB_REF!$K$3:$L$27,2,0))),"")</f>
        <v>4</v>
      </c>
      <c r="Z665" s="10" t="str">
        <f>IFERROR(VLOOKUP(Tabla1[[#This Row],[MEDICAMENTO]],TAB_REF!$B$3:$F$27,2,0), "")</f>
        <v xml:space="preserve">Morfina HCl </v>
      </c>
      <c r="AA665" s="10" t="str">
        <f>IFERROR(VLOOKUP(Tabla1[[#This Row],[MEDICAMENTO]],TAB_REF!$B$3:$F$27,3,0), "")</f>
        <v xml:space="preserve">3%. </v>
      </c>
      <c r="AB665" s="10" t="str">
        <f>IFERROR(VLOOKUP(Tabla1[[#This Row],[MEDICAMENTO]],TAB_REF!$B$3:$F$27,4,0), "")</f>
        <v>Solución Oral</v>
      </c>
      <c r="AC665" s="10" t="str">
        <f>IFERROR(VLOOKUP(Tabla1[[#This Row],[MEDICAMENTO]],TAB_REF!$B$3:$F$27,5,0), "")</f>
        <v>Frasco x 30 mL</v>
      </c>
      <c r="AD665" s="10" t="str">
        <f>IFERROR(VLOOKUP(Tabla1[[#This Row],[CANTIDAD UND COMERCIALES]],TAB_REF!$H$3:$I$1003,2,0)&amp;" ("&amp;Tabla1[[#This Row],[CANTIDAD UND COMERCIALES]]&amp;")"&amp;"_"&amp;Tabla1[[#This Row],[CANTIDAD]],"")</f>
        <v>Cuatro (4)_Frasco x 30 mL</v>
      </c>
    </row>
    <row r="666" spans="2:30" x14ac:dyDescent="0.25">
      <c r="B666" s="10">
        <v>264</v>
      </c>
      <c r="C666" s="10" t="s">
        <v>2428</v>
      </c>
      <c r="D666" s="10" t="s">
        <v>2162</v>
      </c>
      <c r="E666" s="10" t="s">
        <v>2429</v>
      </c>
      <c r="F666" s="10" t="s">
        <v>2430</v>
      </c>
      <c r="G666" s="10" t="s">
        <v>2431</v>
      </c>
      <c r="H666" s="10" t="s">
        <v>2432</v>
      </c>
      <c r="I666" s="10" t="s">
        <v>2128</v>
      </c>
      <c r="J666" s="10" t="s">
        <v>1968</v>
      </c>
      <c r="K666" s="10" t="s">
        <v>3384</v>
      </c>
      <c r="L666" s="11">
        <v>202124100915802</v>
      </c>
      <c r="M666" s="20">
        <v>44340</v>
      </c>
      <c r="N666" s="20" t="str">
        <f>UPPER(TEXT(Tabla1[[#This Row],[FECHA RADICADO ENTRADA]],"MMM"))</f>
        <v>MAY</v>
      </c>
      <c r="O666" s="11">
        <v>202124110840791</v>
      </c>
      <c r="P666" s="20">
        <v>44347</v>
      </c>
      <c r="Q666" s="20" t="str">
        <f>UPPER(TEXT(Tabla1[[#This Row],[FECHA RADICADO ENTRADA]],"MMM"))</f>
        <v>MAY</v>
      </c>
      <c r="R666" s="10">
        <f t="shared" si="13"/>
        <v>-7</v>
      </c>
      <c r="S666" s="10" t="s">
        <v>2154</v>
      </c>
      <c r="U666" s="10" t="s">
        <v>2434</v>
      </c>
      <c r="V666" s="20">
        <v>43630</v>
      </c>
      <c r="W666" s="10" t="s">
        <v>63</v>
      </c>
      <c r="X666" s="10">
        <v>1000</v>
      </c>
      <c r="Y666" s="11">
        <f>IFERROR(INT(Tabla1[[#This Row],[CANTIDAD UND FARMACEUTICAS]]/(VLOOKUP(Tabla1[[#This Row],[MEDICAMENTO]],TAB_REF!$K$3:$L$27,2,0))),"")</f>
        <v>100</v>
      </c>
      <c r="Z666" s="10" t="str">
        <f>IFERROR(VLOOKUP(Tabla1[[#This Row],[MEDICAMENTO]],TAB_REF!$B$3:$F$27,2,0), "")</f>
        <v xml:space="preserve">Morfina HCl </v>
      </c>
      <c r="AA666" s="10" t="str">
        <f>IFERROR(VLOOKUP(Tabla1[[#This Row],[MEDICAMENTO]],TAB_REF!$B$3:$F$27,3,0), "")</f>
        <v xml:space="preserve">10 mg/mL </v>
      </c>
      <c r="AB666" s="10" t="str">
        <f>IFERROR(VLOOKUP(Tabla1[[#This Row],[MEDICAMENTO]],TAB_REF!$B$3:$F$27,4,0), "")</f>
        <v>Solución Inyectable</v>
      </c>
      <c r="AC666" s="10" t="str">
        <f>IFERROR(VLOOKUP(Tabla1[[#This Row],[MEDICAMENTO]],TAB_REF!$B$3:$F$27,5,0), "")</f>
        <v>Caja x 10 unidades</v>
      </c>
      <c r="AD666" s="10" t="str">
        <f>IFERROR(VLOOKUP(Tabla1[[#This Row],[CANTIDAD UND COMERCIALES]],TAB_REF!$H$3:$I$1003,2,0)&amp;" ("&amp;Tabla1[[#This Row],[CANTIDAD UND COMERCIALES]]&amp;")"&amp;"_"&amp;Tabla1[[#This Row],[CANTIDAD]],"")</f>
        <v>Cien (100)_Caja x 10 unidades</v>
      </c>
    </row>
    <row r="667" spans="2:30" x14ac:dyDescent="0.25">
      <c r="B667" s="10">
        <v>264</v>
      </c>
      <c r="C667" s="10" t="s">
        <v>2428</v>
      </c>
      <c r="D667" s="10" t="s">
        <v>2162</v>
      </c>
      <c r="E667" s="10" t="s">
        <v>2429</v>
      </c>
      <c r="F667" s="10" t="s">
        <v>2430</v>
      </c>
      <c r="G667" s="10" t="s">
        <v>2431</v>
      </c>
      <c r="H667" s="10" t="s">
        <v>2432</v>
      </c>
      <c r="I667" s="10" t="s">
        <v>2128</v>
      </c>
      <c r="J667" s="10" t="s">
        <v>1968</v>
      </c>
      <c r="K667" s="10" t="s">
        <v>3384</v>
      </c>
      <c r="L667" s="11">
        <v>202124100915802</v>
      </c>
      <c r="M667" s="20">
        <v>44340</v>
      </c>
      <c r="N667" s="20" t="str">
        <f>UPPER(TEXT(Tabla1[[#This Row],[FECHA RADICADO ENTRADA]],"MMM"))</f>
        <v>MAY</v>
      </c>
      <c r="O667" s="11">
        <v>202124110840791</v>
      </c>
      <c r="P667" s="20">
        <v>44347</v>
      </c>
      <c r="Q667" s="20" t="str">
        <f>UPPER(TEXT(Tabla1[[#This Row],[FECHA RADICADO ENTRADA]],"MMM"))</f>
        <v>MAY</v>
      </c>
      <c r="R667" s="10">
        <f t="shared" si="13"/>
        <v>-7</v>
      </c>
      <c r="S667" s="10" t="s">
        <v>2154</v>
      </c>
      <c r="U667" s="10" t="s">
        <v>2434</v>
      </c>
      <c r="V667" s="20">
        <v>43630</v>
      </c>
      <c r="W667" s="10" t="s">
        <v>34</v>
      </c>
      <c r="X667" s="10">
        <v>100</v>
      </c>
      <c r="Y667" s="11">
        <f>IFERROR(INT(Tabla1[[#This Row],[CANTIDAD UND FARMACEUTICAS]]/(VLOOKUP(Tabla1[[#This Row],[MEDICAMENTO]],TAB_REF!$K$3:$L$27,2,0))),"")</f>
        <v>10</v>
      </c>
      <c r="Z667" s="10" t="str">
        <f>IFERROR(VLOOKUP(Tabla1[[#This Row],[MEDICAMENTO]],TAB_REF!$B$3:$F$27,2,0), "")</f>
        <v xml:space="preserve">Fenobarbital Sódico </v>
      </c>
      <c r="AA667" s="10" t="str">
        <f>IFERROR(VLOOKUP(Tabla1[[#This Row],[MEDICAMENTO]],TAB_REF!$B$3:$F$27,3,0), "")</f>
        <v xml:space="preserve">200 mg/Ml </v>
      </c>
      <c r="AB667" s="10" t="str">
        <f>IFERROR(VLOOKUP(Tabla1[[#This Row],[MEDICAMENTO]],TAB_REF!$B$3:$F$27,4,0), "")</f>
        <v>Solución Inyectable</v>
      </c>
      <c r="AC667" s="10" t="str">
        <f>IFERROR(VLOOKUP(Tabla1[[#This Row],[MEDICAMENTO]],TAB_REF!$B$3:$F$27,5,0), "")</f>
        <v>Caja x 10 unidades</v>
      </c>
      <c r="AD667" s="10" t="str">
        <f>IFERROR(VLOOKUP(Tabla1[[#This Row],[CANTIDAD UND COMERCIALES]],TAB_REF!$H$3:$I$1003,2,0)&amp;" ("&amp;Tabla1[[#This Row],[CANTIDAD UND COMERCIALES]]&amp;")"&amp;"_"&amp;Tabla1[[#This Row],[CANTIDAD]],"")</f>
        <v>Diez (10)_Caja x 10 unidades</v>
      </c>
    </row>
    <row r="668" spans="2:30" x14ac:dyDescent="0.25">
      <c r="B668" s="10">
        <v>265</v>
      </c>
      <c r="C668" s="10" t="s">
        <v>3385</v>
      </c>
      <c r="D668" s="10" t="s">
        <v>3060</v>
      </c>
      <c r="E668" s="10" t="s">
        <v>3386</v>
      </c>
      <c r="F668" s="10" t="s">
        <v>2164</v>
      </c>
      <c r="G668" s="10" t="s">
        <v>3387</v>
      </c>
      <c r="H668" s="10" t="s">
        <v>2164</v>
      </c>
      <c r="I668" s="10" t="s">
        <v>3388</v>
      </c>
      <c r="J668" s="10" t="s">
        <v>2164</v>
      </c>
      <c r="K668" s="10" t="s">
        <v>3389</v>
      </c>
      <c r="L668" s="11">
        <v>202124100918562</v>
      </c>
      <c r="M668" s="20">
        <v>44341</v>
      </c>
      <c r="N668" s="20" t="str">
        <f>UPPER(TEXT(Tabla1[[#This Row],[FECHA RADICADO ENTRADA]],"MMM"))</f>
        <v>MAY</v>
      </c>
      <c r="O668" s="11">
        <v>202124110843121</v>
      </c>
      <c r="P668" s="20">
        <v>44347</v>
      </c>
      <c r="Q668" s="20" t="str">
        <f>UPPER(TEXT(Tabla1[[#This Row],[FECHA RADICADO ENTRADA]],"MMM"))</f>
        <v>MAY</v>
      </c>
      <c r="R668" s="10">
        <f>_xlfn.DAYS(M668,P668)</f>
        <v>-6</v>
      </c>
      <c r="S668" s="10" t="s">
        <v>2145</v>
      </c>
      <c r="T668" s="10" t="s">
        <v>3390</v>
      </c>
      <c r="U668" s="10" t="s">
        <v>2164</v>
      </c>
      <c r="V668" s="20" t="s">
        <v>2164</v>
      </c>
      <c r="X668" s="10">
        <v>0</v>
      </c>
      <c r="Y668" s="11" t="str">
        <f>IFERROR(INT(Tabla1[[#This Row],[CANTIDAD UND FARMACEUTICAS]]/(VLOOKUP(Tabla1[[#This Row],[MEDICAMENTO]],TAB_REF!$K$3:$L$27,2,0))),"")</f>
        <v/>
      </c>
      <c r="Z668" s="10" t="str">
        <f>IFERROR(VLOOKUP(Tabla1[[#This Row],[MEDICAMENTO]],TAB_REF!$B$3:$F$27,2,0), "")</f>
        <v/>
      </c>
      <c r="AA668" s="10" t="str">
        <f>IFERROR(VLOOKUP(Tabla1[[#This Row],[MEDICAMENTO]],TAB_REF!$B$3:$F$27,3,0), "")</f>
        <v/>
      </c>
      <c r="AB668" s="10" t="str">
        <f>IFERROR(VLOOKUP(Tabla1[[#This Row],[MEDICAMENTO]],TAB_REF!$B$3:$F$27,4,0), "")</f>
        <v/>
      </c>
      <c r="AC668" s="10" t="str">
        <f>IFERROR(VLOOKUP(Tabla1[[#This Row],[MEDICAMENTO]],TAB_REF!$B$3:$F$27,5,0), "")</f>
        <v/>
      </c>
      <c r="AD668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669" spans="2:30" x14ac:dyDescent="0.25">
      <c r="B669" s="10">
        <v>266</v>
      </c>
      <c r="C669" s="10" t="s">
        <v>2275</v>
      </c>
      <c r="D669" s="10" t="s">
        <v>2276</v>
      </c>
      <c r="E669" s="10" t="s">
        <v>2277</v>
      </c>
      <c r="F669" s="10" t="s">
        <v>2327</v>
      </c>
      <c r="G669" s="10" t="s">
        <v>2278</v>
      </c>
      <c r="H669" s="10" t="s">
        <v>2328</v>
      </c>
      <c r="I669" s="10" t="s">
        <v>2122</v>
      </c>
      <c r="J669" s="10" t="s">
        <v>1757</v>
      </c>
      <c r="K669" s="10" t="s">
        <v>3291</v>
      </c>
      <c r="L669" s="11">
        <v>202124100918592</v>
      </c>
      <c r="M669" s="20">
        <v>44341</v>
      </c>
      <c r="N669" s="20" t="str">
        <f>UPPER(TEXT(Tabla1[[#This Row],[FECHA RADICADO ENTRADA]],"MMM"))</f>
        <v>MAY</v>
      </c>
      <c r="O669" s="11">
        <v>202124110795141</v>
      </c>
      <c r="P669" s="20">
        <v>44337</v>
      </c>
      <c r="Q669" s="20" t="str">
        <f>UPPER(TEXT(Tabla1[[#This Row],[FECHA RADICADO ENTRADA]],"MMM"))</f>
        <v>MAY</v>
      </c>
      <c r="R669" s="10">
        <f t="shared" si="13"/>
        <v>4</v>
      </c>
      <c r="S669" s="10" t="s">
        <v>2154</v>
      </c>
      <c r="T669" s="10" t="s">
        <v>3383</v>
      </c>
      <c r="U669" s="10" t="s">
        <v>2330</v>
      </c>
      <c r="V669" s="20">
        <v>44088</v>
      </c>
      <c r="Y669" s="11" t="str">
        <f>IFERROR(INT(Tabla1[[#This Row],[CANTIDAD UND FARMACEUTICAS]]/(VLOOKUP(Tabla1[[#This Row],[MEDICAMENTO]],TAB_REF!$K$3:$L$27,2,0))),"")</f>
        <v/>
      </c>
      <c r="Z669" s="10" t="str">
        <f>IFERROR(VLOOKUP(Tabla1[[#This Row],[MEDICAMENTO]],TAB_REF!$B$3:$F$27,2,0), "")</f>
        <v/>
      </c>
      <c r="AA669" s="10" t="str">
        <f>IFERROR(VLOOKUP(Tabla1[[#This Row],[MEDICAMENTO]],TAB_REF!$B$3:$F$27,3,0), "")</f>
        <v/>
      </c>
      <c r="AB669" s="10" t="str">
        <f>IFERROR(VLOOKUP(Tabla1[[#This Row],[MEDICAMENTO]],TAB_REF!$B$3:$F$27,4,0), "")</f>
        <v/>
      </c>
      <c r="AC669" s="10" t="str">
        <f>IFERROR(VLOOKUP(Tabla1[[#This Row],[MEDICAMENTO]],TAB_REF!$B$3:$F$27,5,0), "")</f>
        <v/>
      </c>
      <c r="AD669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670" spans="2:30" x14ac:dyDescent="0.25">
      <c r="B670" s="10">
        <v>266</v>
      </c>
      <c r="C670" s="10" t="s">
        <v>2275</v>
      </c>
      <c r="D670" s="10" t="s">
        <v>2276</v>
      </c>
      <c r="E670" s="10" t="s">
        <v>2277</v>
      </c>
      <c r="F670" s="10" t="s">
        <v>2327</v>
      </c>
      <c r="G670" s="10" t="s">
        <v>2278</v>
      </c>
      <c r="H670" s="10" t="s">
        <v>2328</v>
      </c>
      <c r="I670" s="10" t="s">
        <v>2122</v>
      </c>
      <c r="J670" s="10" t="s">
        <v>1757</v>
      </c>
      <c r="K670" s="10" t="s">
        <v>3291</v>
      </c>
      <c r="L670" s="11">
        <v>202124100918592</v>
      </c>
      <c r="M670" s="20">
        <v>44341</v>
      </c>
      <c r="N670" s="20" t="str">
        <f>UPPER(TEXT(Tabla1[[#This Row],[FECHA RADICADO ENTRADA]],"MMM"))</f>
        <v>MAY</v>
      </c>
      <c r="O670" s="11">
        <v>202124110795141</v>
      </c>
      <c r="P670" s="20">
        <v>44337</v>
      </c>
      <c r="Q670" s="20" t="str">
        <f>UPPER(TEXT(Tabla1[[#This Row],[FECHA RADICADO ENTRADA]],"MMM"))</f>
        <v>MAY</v>
      </c>
      <c r="R670" s="10">
        <f t="shared" si="13"/>
        <v>4</v>
      </c>
      <c r="S670" s="10" t="s">
        <v>2154</v>
      </c>
      <c r="T670" s="10" t="s">
        <v>3383</v>
      </c>
      <c r="U670" s="10" t="s">
        <v>2330</v>
      </c>
      <c r="V670" s="20">
        <v>44088</v>
      </c>
      <c r="Y670" s="11" t="str">
        <f>IFERROR(INT(Tabla1[[#This Row],[CANTIDAD UND FARMACEUTICAS]]/(VLOOKUP(Tabla1[[#This Row],[MEDICAMENTO]],TAB_REF!$K$3:$L$27,2,0))),"")</f>
        <v/>
      </c>
      <c r="Z670" s="10" t="str">
        <f>IFERROR(VLOOKUP(Tabla1[[#This Row],[MEDICAMENTO]],TAB_REF!$B$3:$F$27,2,0), "")</f>
        <v/>
      </c>
      <c r="AA670" s="10" t="str">
        <f>IFERROR(VLOOKUP(Tabla1[[#This Row],[MEDICAMENTO]],TAB_REF!$B$3:$F$27,3,0), "")</f>
        <v/>
      </c>
      <c r="AB670" s="10" t="str">
        <f>IFERROR(VLOOKUP(Tabla1[[#This Row],[MEDICAMENTO]],TAB_REF!$B$3:$F$27,4,0), "")</f>
        <v/>
      </c>
      <c r="AC670" s="10" t="str">
        <f>IFERROR(VLOOKUP(Tabla1[[#This Row],[MEDICAMENTO]],TAB_REF!$B$3:$F$27,5,0), "")</f>
        <v/>
      </c>
      <c r="AD670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671" spans="2:30" x14ac:dyDescent="0.25">
      <c r="B671" s="10">
        <v>267</v>
      </c>
      <c r="C671" s="10" t="s">
        <v>3316</v>
      </c>
      <c r="D671" s="10" t="s">
        <v>2312</v>
      </c>
      <c r="E671" s="10" t="s">
        <v>2477</v>
      </c>
      <c r="F671" s="10" t="s">
        <v>2478</v>
      </c>
      <c r="G671" s="10" t="s">
        <v>2480</v>
      </c>
      <c r="H671" s="10" t="s">
        <v>2481</v>
      </c>
      <c r="I671" s="10" t="s">
        <v>2116</v>
      </c>
      <c r="J671" s="10" t="s">
        <v>1550</v>
      </c>
      <c r="K671" s="10" t="s">
        <v>3391</v>
      </c>
      <c r="L671" s="11">
        <v>202124100919262</v>
      </c>
      <c r="M671" s="20">
        <v>44341</v>
      </c>
      <c r="N671" s="20" t="str">
        <f>UPPER(TEXT(Tabla1[[#This Row],[FECHA RADICADO ENTRADA]],"MMM"))</f>
        <v>MAY</v>
      </c>
      <c r="O671" s="11">
        <v>202124110840721</v>
      </c>
      <c r="P671" s="20">
        <v>44347</v>
      </c>
      <c r="Q671" s="20" t="str">
        <f>UPPER(TEXT(Tabla1[[#This Row],[FECHA RADICADO ENTRADA]],"MMM"))</f>
        <v>MAY</v>
      </c>
      <c r="R671" s="10">
        <f t="shared" si="13"/>
        <v>-6</v>
      </c>
      <c r="S671" s="10" t="s">
        <v>2154</v>
      </c>
      <c r="U671" s="10" t="s">
        <v>2483</v>
      </c>
      <c r="V671" s="20">
        <v>43256</v>
      </c>
      <c r="W671" s="10" t="s">
        <v>63</v>
      </c>
      <c r="X671" s="10">
        <v>450</v>
      </c>
      <c r="Y671" s="11">
        <f>IFERROR(INT(Tabla1[[#This Row],[CANTIDAD UND FARMACEUTICAS]]/(VLOOKUP(Tabla1[[#This Row],[MEDICAMENTO]],TAB_REF!$K$3:$L$27,2,0))),"")</f>
        <v>45</v>
      </c>
      <c r="Z671" s="10" t="str">
        <f>IFERROR(VLOOKUP(Tabla1[[#This Row],[MEDICAMENTO]],TAB_REF!$B$3:$F$27,2,0), "")</f>
        <v xml:space="preserve">Morfina HCl </v>
      </c>
      <c r="AA671" s="10" t="str">
        <f>IFERROR(VLOOKUP(Tabla1[[#This Row],[MEDICAMENTO]],TAB_REF!$B$3:$F$27,3,0), "")</f>
        <v xml:space="preserve">10 mg/mL </v>
      </c>
      <c r="AB671" s="10" t="str">
        <f>IFERROR(VLOOKUP(Tabla1[[#This Row],[MEDICAMENTO]],TAB_REF!$B$3:$F$27,4,0), "")</f>
        <v>Solución Inyectable</v>
      </c>
      <c r="AC671" s="10" t="str">
        <f>IFERROR(VLOOKUP(Tabla1[[#This Row],[MEDICAMENTO]],TAB_REF!$B$3:$F$27,5,0), "")</f>
        <v>Caja x 10 unidades</v>
      </c>
      <c r="AD671" s="10" t="str">
        <f>IFERROR(VLOOKUP(Tabla1[[#This Row],[CANTIDAD UND COMERCIALES]],TAB_REF!$H$3:$I$1003,2,0)&amp;" ("&amp;Tabla1[[#This Row],[CANTIDAD UND COMERCIALES]]&amp;")"&amp;"_"&amp;Tabla1[[#This Row],[CANTIDAD]],"")</f>
        <v>Cuarenta Y Cinco (45)_Caja x 10 unidades</v>
      </c>
    </row>
    <row r="672" spans="2:30" x14ac:dyDescent="0.25">
      <c r="B672" s="10">
        <v>268</v>
      </c>
      <c r="C672" s="10" t="s">
        <v>3392</v>
      </c>
      <c r="D672" s="10" t="s">
        <v>3329</v>
      </c>
      <c r="E672" s="10" t="s">
        <v>3393</v>
      </c>
      <c r="F672" s="10" t="s">
        <v>2164</v>
      </c>
      <c r="G672" s="10" t="s">
        <v>3394</v>
      </c>
      <c r="H672" s="10" t="s">
        <v>3395</v>
      </c>
      <c r="I672" s="10" t="s">
        <v>2116</v>
      </c>
      <c r="J672" s="10" t="s">
        <v>1550</v>
      </c>
      <c r="K672" s="10" t="s">
        <v>3396</v>
      </c>
      <c r="L672" s="11">
        <v>202124100921512</v>
      </c>
      <c r="M672" s="20">
        <v>44341</v>
      </c>
      <c r="N672" s="20" t="str">
        <f>UPPER(TEXT(Tabla1[[#This Row],[FECHA RADICADO ENTRADA]],"MMM"))</f>
        <v>MAY</v>
      </c>
      <c r="O672" s="11">
        <v>202124110843351</v>
      </c>
      <c r="P672" s="20">
        <v>44347</v>
      </c>
      <c r="Q672" s="20" t="str">
        <f>UPPER(TEXT(Tabla1[[#This Row],[FECHA RADICADO ENTRADA]],"MMM"))</f>
        <v>MAY</v>
      </c>
      <c r="R672" s="10">
        <f t="shared" si="13"/>
        <v>-6</v>
      </c>
      <c r="S672" s="10" t="s">
        <v>2145</v>
      </c>
      <c r="T672" s="10" t="s">
        <v>3397</v>
      </c>
      <c r="U672" s="10" t="s">
        <v>2164</v>
      </c>
      <c r="V672" s="20" t="s">
        <v>2164</v>
      </c>
      <c r="W672" s="10" t="s">
        <v>60</v>
      </c>
      <c r="X672" s="10">
        <v>0</v>
      </c>
      <c r="Y672" s="11">
        <f>IFERROR(INT(Tabla1[[#This Row],[CANTIDAD UND FARMACEUTICAS]]/(VLOOKUP(Tabla1[[#This Row],[MEDICAMENTO]],TAB_REF!$K$3:$L$27,2,0))),"")</f>
        <v>0</v>
      </c>
      <c r="Z672" s="10" t="str">
        <f>IFERROR(VLOOKUP(Tabla1[[#This Row],[MEDICAMENTO]],TAB_REF!$B$3:$F$27,2,0), "")</f>
        <v xml:space="preserve">Morfina HCl </v>
      </c>
      <c r="AA672" s="10" t="str">
        <f>IFERROR(VLOOKUP(Tabla1[[#This Row],[MEDICAMENTO]],TAB_REF!$B$3:$F$27,3,0), "")</f>
        <v xml:space="preserve">3%. </v>
      </c>
      <c r="AB672" s="10" t="str">
        <f>IFERROR(VLOOKUP(Tabla1[[#This Row],[MEDICAMENTO]],TAB_REF!$B$3:$F$27,4,0), "")</f>
        <v>Solución Oral</v>
      </c>
      <c r="AC672" s="10" t="str">
        <f>IFERROR(VLOOKUP(Tabla1[[#This Row],[MEDICAMENTO]],TAB_REF!$B$3:$F$27,5,0), "")</f>
        <v>Frasco x 30 mL</v>
      </c>
      <c r="AD672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673" spans="2:30" x14ac:dyDescent="0.25">
      <c r="B673" s="10">
        <v>268</v>
      </c>
      <c r="C673" s="10" t="s">
        <v>3392</v>
      </c>
      <c r="D673" s="10" t="s">
        <v>3329</v>
      </c>
      <c r="E673" s="10" t="s">
        <v>3393</v>
      </c>
      <c r="F673" s="10" t="s">
        <v>2164</v>
      </c>
      <c r="G673" s="10" t="s">
        <v>3394</v>
      </c>
      <c r="H673" s="10" t="s">
        <v>3395</v>
      </c>
      <c r="I673" s="10" t="s">
        <v>2116</v>
      </c>
      <c r="J673" s="10" t="s">
        <v>1550</v>
      </c>
      <c r="K673" s="10" t="s">
        <v>3396</v>
      </c>
      <c r="L673" s="11">
        <v>202124100921512</v>
      </c>
      <c r="M673" s="20">
        <v>44341</v>
      </c>
      <c r="N673" s="20" t="str">
        <f>UPPER(TEXT(Tabla1[[#This Row],[FECHA RADICADO ENTRADA]],"MMM"))</f>
        <v>MAY</v>
      </c>
      <c r="O673" s="11">
        <v>202124110843351</v>
      </c>
      <c r="P673" s="20">
        <v>44347</v>
      </c>
      <c r="Q673" s="20" t="str">
        <f>UPPER(TEXT(Tabla1[[#This Row],[FECHA RADICADO ENTRADA]],"MMM"))</f>
        <v>MAY</v>
      </c>
      <c r="R673" s="10">
        <f t="shared" si="13"/>
        <v>-6</v>
      </c>
      <c r="S673" s="10" t="s">
        <v>2145</v>
      </c>
      <c r="T673" s="10" t="s">
        <v>3397</v>
      </c>
      <c r="U673" s="10" t="s">
        <v>2164</v>
      </c>
      <c r="V673" s="20" t="s">
        <v>2164</v>
      </c>
      <c r="W673" s="10" t="s">
        <v>48</v>
      </c>
      <c r="X673" s="10">
        <v>0</v>
      </c>
      <c r="Y673" s="11">
        <f>IFERROR(INT(Tabla1[[#This Row],[CANTIDAD UND FARMACEUTICAS]]/(VLOOKUP(Tabla1[[#This Row],[MEDICAMENTO]],TAB_REF!$K$3:$L$27,2,0))),"")</f>
        <v>0</v>
      </c>
      <c r="Z673" s="10" t="str">
        <f>IFERROR(VLOOKUP(Tabla1[[#This Row],[MEDICAMENTO]],TAB_REF!$B$3:$F$27,2,0), "")</f>
        <v xml:space="preserve">Metilfenidato HCl </v>
      </c>
      <c r="AA673" s="10" t="str">
        <f>IFERROR(VLOOKUP(Tabla1[[#This Row],[MEDICAMENTO]],TAB_REF!$B$3:$F$27,3,0), "")</f>
        <v xml:space="preserve">10 mg </v>
      </c>
      <c r="AB673" s="10" t="str">
        <f>IFERROR(VLOOKUP(Tabla1[[#This Row],[MEDICAMENTO]],TAB_REF!$B$3:$F$27,4,0), "")</f>
        <v>Comprimidos</v>
      </c>
      <c r="AC673" s="10" t="str">
        <f>IFERROR(VLOOKUP(Tabla1[[#This Row],[MEDICAMENTO]],TAB_REF!$B$3:$F$27,5,0), "")</f>
        <v>Caja x 30 unidades</v>
      </c>
      <c r="AD673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674" spans="2:30" x14ac:dyDescent="0.25">
      <c r="B674" s="10">
        <v>268</v>
      </c>
      <c r="C674" s="10" t="s">
        <v>3392</v>
      </c>
      <c r="D674" s="10" t="s">
        <v>3329</v>
      </c>
      <c r="E674" s="10" t="s">
        <v>3393</v>
      </c>
      <c r="F674" s="10" t="s">
        <v>2164</v>
      </c>
      <c r="G674" s="10" t="s">
        <v>3394</v>
      </c>
      <c r="H674" s="10" t="s">
        <v>3395</v>
      </c>
      <c r="I674" s="10" t="s">
        <v>2116</v>
      </c>
      <c r="J674" s="10" t="s">
        <v>1550</v>
      </c>
      <c r="K674" s="10" t="s">
        <v>3396</v>
      </c>
      <c r="L674" s="11">
        <v>202124100921512</v>
      </c>
      <c r="M674" s="20">
        <v>44341</v>
      </c>
      <c r="N674" s="20" t="str">
        <f>UPPER(TEXT(Tabla1[[#This Row],[FECHA RADICADO ENTRADA]],"MMM"))</f>
        <v>MAY</v>
      </c>
      <c r="O674" s="11">
        <v>202124110843351</v>
      </c>
      <c r="P674" s="20">
        <v>44347</v>
      </c>
      <c r="Q674" s="20" t="str">
        <f>UPPER(TEXT(Tabla1[[#This Row],[FECHA RADICADO ENTRADA]],"MMM"))</f>
        <v>MAY</v>
      </c>
      <c r="R674" s="10">
        <f t="shared" si="13"/>
        <v>-6</v>
      </c>
      <c r="S674" s="10" t="s">
        <v>2145</v>
      </c>
      <c r="T674" s="10" t="s">
        <v>3397</v>
      </c>
      <c r="U674" s="10" t="s">
        <v>2164</v>
      </c>
      <c r="V674" s="20" t="s">
        <v>2164</v>
      </c>
      <c r="W674" s="10" t="s">
        <v>38</v>
      </c>
      <c r="X674" s="10">
        <v>0</v>
      </c>
      <c r="Y674" s="11">
        <f>IFERROR(INT(Tabla1[[#This Row],[CANTIDAD UND FARMACEUTICAS]]/(VLOOKUP(Tabla1[[#This Row],[MEDICAMENTO]],TAB_REF!$K$3:$L$27,2,0))),"")</f>
        <v>0</v>
      </c>
      <c r="Z674" s="10" t="str">
        <f>IFERROR(VLOOKUP(Tabla1[[#This Row],[MEDICAMENTO]],TAB_REF!$B$3:$F$27,2,0), "")</f>
        <v xml:space="preserve">Hidromorfona HCl </v>
      </c>
      <c r="AA674" s="10" t="str">
        <f>IFERROR(VLOOKUP(Tabla1[[#This Row],[MEDICAMENTO]],TAB_REF!$B$3:$F$27,3,0), "")</f>
        <v xml:space="preserve">2,5 mg </v>
      </c>
      <c r="AB674" s="10" t="str">
        <f>IFERROR(VLOOKUP(Tabla1[[#This Row],[MEDICAMENTO]],TAB_REF!$B$3:$F$27,4,0), "")</f>
        <v>Tabletas</v>
      </c>
      <c r="AC674" s="10" t="str">
        <f>IFERROR(VLOOKUP(Tabla1[[#This Row],[MEDICAMENTO]],TAB_REF!$B$3:$F$27,5,0), "")</f>
        <v>Caja x 20 unidades</v>
      </c>
      <c r="AD674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675" spans="2:30" x14ac:dyDescent="0.25">
      <c r="B675" s="10">
        <v>269</v>
      </c>
      <c r="C675" s="10" t="s">
        <v>3398</v>
      </c>
      <c r="D675" s="10" t="s">
        <v>2312</v>
      </c>
      <c r="E675" s="10" t="s">
        <v>3399</v>
      </c>
      <c r="F675" s="10" t="s">
        <v>3400</v>
      </c>
      <c r="G675" s="10" t="s">
        <v>3401</v>
      </c>
      <c r="H675" s="10" t="s">
        <v>3402</v>
      </c>
      <c r="I675" s="10" t="s">
        <v>2128</v>
      </c>
      <c r="J675" s="10" t="s">
        <v>1942</v>
      </c>
      <c r="K675" s="10" t="s">
        <v>3403</v>
      </c>
      <c r="L675" s="11">
        <v>202124100925622</v>
      </c>
      <c r="M675" s="20">
        <v>44341</v>
      </c>
      <c r="N675" s="20" t="str">
        <f>UPPER(TEXT(Tabla1[[#This Row],[FECHA RADICADO ENTRADA]],"MMM"))</f>
        <v>MAY</v>
      </c>
      <c r="O675" s="11">
        <v>202124110840651</v>
      </c>
      <c r="P675" s="20">
        <v>44347</v>
      </c>
      <c r="Q675" s="20" t="str">
        <f>UPPER(TEXT(Tabla1[[#This Row],[FECHA RADICADO ENTRADA]],"MMM"))</f>
        <v>MAY</v>
      </c>
      <c r="R675" s="10">
        <f t="shared" si="13"/>
        <v>-6</v>
      </c>
      <c r="S675" s="10" t="s">
        <v>2154</v>
      </c>
      <c r="U675" s="10" t="s">
        <v>2615</v>
      </c>
      <c r="V675" s="20">
        <v>44222</v>
      </c>
      <c r="W675" s="10" t="s">
        <v>64</v>
      </c>
      <c r="X675" s="10">
        <v>200</v>
      </c>
      <c r="Y675" s="11">
        <f>IFERROR(INT(Tabla1[[#This Row],[CANTIDAD UND FARMACEUTICAS]]/(VLOOKUP(Tabla1[[#This Row],[MEDICAMENTO]],TAB_REF!$K$3:$L$27,2,0))),"")</f>
        <v>20</v>
      </c>
      <c r="Z675" s="10" t="str">
        <f>IFERROR(VLOOKUP(Tabla1[[#This Row],[MEDICAMENTO]],TAB_REF!$B$3:$F$27,2,0), "")</f>
        <v xml:space="preserve">Morfina HCl </v>
      </c>
      <c r="AA675" s="10" t="str">
        <f>IFERROR(VLOOKUP(Tabla1[[#This Row],[MEDICAMENTO]],TAB_REF!$B$3:$F$27,3,0), "")</f>
        <v xml:space="preserve">10 (50mg/5mL) </v>
      </c>
      <c r="AB675" s="10" t="str">
        <f>IFERROR(VLOOKUP(Tabla1[[#This Row],[MEDICAMENTO]],TAB_REF!$B$3:$F$27,4,0), "")</f>
        <v>Solución Inyectable</v>
      </c>
      <c r="AC675" s="10" t="str">
        <f>IFERROR(VLOOKUP(Tabla1[[#This Row],[MEDICAMENTO]],TAB_REF!$B$3:$F$27,5,0), "")</f>
        <v>Caja x 5 unidades</v>
      </c>
      <c r="AD675" s="10" t="str">
        <f>IFERROR(VLOOKUP(Tabla1[[#This Row],[CANTIDAD UND COMERCIALES]],TAB_REF!$H$3:$I$1003,2,0)&amp;" ("&amp;Tabla1[[#This Row],[CANTIDAD UND COMERCIALES]]&amp;")"&amp;"_"&amp;Tabla1[[#This Row],[CANTIDAD]],"")</f>
        <v>Veinte (20)_Caja x 5 unidades</v>
      </c>
    </row>
    <row r="676" spans="2:30" x14ac:dyDescent="0.25">
      <c r="B676" s="10">
        <v>270</v>
      </c>
      <c r="C676" s="10" t="s">
        <v>2896</v>
      </c>
      <c r="D676" s="10" t="s">
        <v>2162</v>
      </c>
      <c r="E676" s="10" t="s">
        <v>2674</v>
      </c>
      <c r="F676" s="10" t="s">
        <v>2897</v>
      </c>
      <c r="G676" s="10" t="s">
        <v>2898</v>
      </c>
      <c r="H676" s="10" t="s">
        <v>2963</v>
      </c>
      <c r="I676" s="10" t="s">
        <v>2110</v>
      </c>
      <c r="J676" s="10" t="s">
        <v>1235</v>
      </c>
      <c r="K676" s="10" t="s">
        <v>2899</v>
      </c>
      <c r="L676" s="11">
        <v>202124100927202</v>
      </c>
      <c r="M676" s="20">
        <v>44342</v>
      </c>
      <c r="N676" s="20" t="str">
        <f>UPPER(TEXT(Tabla1[[#This Row],[FECHA RADICADO ENTRADA]],"MMM"))</f>
        <v>MAY</v>
      </c>
      <c r="O676" s="11">
        <v>202124110843081</v>
      </c>
      <c r="P676" s="20">
        <v>44347</v>
      </c>
      <c r="Q676" s="20" t="str">
        <f>UPPER(TEXT(Tabla1[[#This Row],[FECHA RADICADO ENTRADA]],"MMM"))</f>
        <v>MAY</v>
      </c>
      <c r="R676" s="10">
        <f t="shared" si="13"/>
        <v>-5</v>
      </c>
      <c r="S676" s="10" t="s">
        <v>2145</v>
      </c>
      <c r="U676" s="10" t="s">
        <v>2964</v>
      </c>
      <c r="V676" s="20">
        <v>42580</v>
      </c>
      <c r="W676" s="10" t="s">
        <v>48</v>
      </c>
      <c r="X676" s="10">
        <v>0</v>
      </c>
      <c r="Y676" s="11">
        <f>IFERROR(INT(Tabla1[[#This Row],[CANTIDAD UND FARMACEUTICAS]]/(VLOOKUP(Tabla1[[#This Row],[MEDICAMENTO]],TAB_REF!$K$3:$L$27,2,0))),"")</f>
        <v>0</v>
      </c>
      <c r="Z676" s="10" t="str">
        <f>IFERROR(VLOOKUP(Tabla1[[#This Row],[MEDICAMENTO]],TAB_REF!$B$3:$F$27,2,0), "")</f>
        <v xml:space="preserve">Metilfenidato HCl </v>
      </c>
      <c r="AA676" s="10" t="str">
        <f>IFERROR(VLOOKUP(Tabla1[[#This Row],[MEDICAMENTO]],TAB_REF!$B$3:$F$27,3,0), "")</f>
        <v xml:space="preserve">10 mg </v>
      </c>
      <c r="AB676" s="10" t="str">
        <f>IFERROR(VLOOKUP(Tabla1[[#This Row],[MEDICAMENTO]],TAB_REF!$B$3:$F$27,4,0), "")</f>
        <v>Comprimidos</v>
      </c>
      <c r="AC676" s="10" t="str">
        <f>IFERROR(VLOOKUP(Tabla1[[#This Row],[MEDICAMENTO]],TAB_REF!$B$3:$F$27,5,0), "")</f>
        <v>Caja x 30 unidades</v>
      </c>
      <c r="AD676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677" spans="2:30" x14ac:dyDescent="0.25">
      <c r="B677" s="10">
        <v>270</v>
      </c>
      <c r="C677" s="10" t="s">
        <v>2896</v>
      </c>
      <c r="D677" s="10" t="s">
        <v>2162</v>
      </c>
      <c r="E677" s="10" t="s">
        <v>2674</v>
      </c>
      <c r="F677" s="10" t="s">
        <v>2897</v>
      </c>
      <c r="G677" s="10" t="s">
        <v>2898</v>
      </c>
      <c r="H677" s="10" t="s">
        <v>2963</v>
      </c>
      <c r="I677" s="10" t="s">
        <v>2110</v>
      </c>
      <c r="J677" s="10" t="s">
        <v>1235</v>
      </c>
      <c r="K677" s="10" t="s">
        <v>2899</v>
      </c>
      <c r="L677" s="11">
        <v>202124100927202</v>
      </c>
      <c r="M677" s="20">
        <v>44342</v>
      </c>
      <c r="N677" s="20" t="str">
        <f>UPPER(TEXT(Tabla1[[#This Row],[FECHA RADICADO ENTRADA]],"MMM"))</f>
        <v>MAY</v>
      </c>
      <c r="O677" s="11">
        <v>202124110843081</v>
      </c>
      <c r="P677" s="20">
        <v>44347</v>
      </c>
      <c r="Q677" s="20" t="str">
        <f>UPPER(TEXT(Tabla1[[#This Row],[FECHA RADICADO ENTRADA]],"MMM"))</f>
        <v>MAY</v>
      </c>
      <c r="R677" s="10">
        <f t="shared" si="13"/>
        <v>-5</v>
      </c>
      <c r="S677" s="10" t="s">
        <v>2145</v>
      </c>
      <c r="U677" s="10" t="s">
        <v>2964</v>
      </c>
      <c r="V677" s="20">
        <v>42580</v>
      </c>
      <c r="W677" s="10" t="s">
        <v>32</v>
      </c>
      <c r="X677" s="10">
        <v>0</v>
      </c>
      <c r="Y677" s="11">
        <f>IFERROR(INT(Tabla1[[#This Row],[CANTIDAD UND FARMACEUTICAS]]/(VLOOKUP(Tabla1[[#This Row],[MEDICAMENTO]],TAB_REF!$K$3:$L$27,2,0))),"")</f>
        <v>0</v>
      </c>
      <c r="Z677" s="10" t="str">
        <f>IFERROR(VLOOKUP(Tabla1[[#This Row],[MEDICAMENTO]],TAB_REF!$B$3:$F$27,2,0), "")</f>
        <v xml:space="preserve">Fenobarbital </v>
      </c>
      <c r="AA677" s="10" t="str">
        <f>IFERROR(VLOOKUP(Tabla1[[#This Row],[MEDICAMENTO]],TAB_REF!$B$3:$F$27,3,0), "")</f>
        <v xml:space="preserve">100 mg </v>
      </c>
      <c r="AB677" s="10" t="str">
        <f>IFERROR(VLOOKUP(Tabla1[[#This Row],[MEDICAMENTO]],TAB_REF!$B$3:$F$27,4,0), "")</f>
        <v>Tabletas</v>
      </c>
      <c r="AC677" s="10" t="str">
        <f>IFERROR(VLOOKUP(Tabla1[[#This Row],[MEDICAMENTO]],TAB_REF!$B$3:$F$27,5,0), "")</f>
        <v>Caja x 30 unidades</v>
      </c>
      <c r="AD677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678" spans="2:30" x14ac:dyDescent="0.25">
      <c r="B678" s="10">
        <v>271</v>
      </c>
      <c r="C678" s="10" t="s">
        <v>3102</v>
      </c>
      <c r="D678" s="10" t="s">
        <v>2175</v>
      </c>
      <c r="E678" s="10" t="s">
        <v>3103</v>
      </c>
      <c r="F678" s="10" t="s">
        <v>3104</v>
      </c>
      <c r="G678" s="10" t="s">
        <v>3105</v>
      </c>
      <c r="H678" s="10" t="s">
        <v>3106</v>
      </c>
      <c r="I678" s="10" t="s">
        <v>2125</v>
      </c>
      <c r="J678" s="10" t="s">
        <v>1887</v>
      </c>
      <c r="K678" s="10" t="s">
        <v>3404</v>
      </c>
      <c r="L678" s="11">
        <v>202124100927242</v>
      </c>
      <c r="M678" s="20">
        <v>44342</v>
      </c>
      <c r="N678" s="20" t="str">
        <f>UPPER(TEXT(Tabla1[[#This Row],[FECHA RADICADO ENTRADA]],"MMM"))</f>
        <v>MAY</v>
      </c>
      <c r="O678" s="11">
        <v>202124110840571</v>
      </c>
      <c r="P678" s="20">
        <v>44347</v>
      </c>
      <c r="Q678" s="20" t="str">
        <f>UPPER(TEXT(Tabla1[[#This Row],[FECHA RADICADO ENTRADA]],"MMM"))</f>
        <v>MAY</v>
      </c>
      <c r="R678" s="10">
        <f t="shared" si="13"/>
        <v>-5</v>
      </c>
      <c r="S678" s="10" t="s">
        <v>2154</v>
      </c>
      <c r="U678" s="10" t="s">
        <v>3108</v>
      </c>
      <c r="V678" s="20">
        <v>44216</v>
      </c>
      <c r="W678" s="10" t="s">
        <v>28</v>
      </c>
      <c r="X678" s="10">
        <v>40</v>
      </c>
      <c r="Y678" s="11">
        <f>IFERROR(INT(Tabla1[[#This Row],[CANTIDAD UND FARMACEUTICAS]]/(VLOOKUP(Tabla1[[#This Row],[MEDICAMENTO]],TAB_REF!$K$3:$L$27,2,0))),"")</f>
        <v>40</v>
      </c>
      <c r="Z678" s="10" t="str">
        <f>IFERROR(VLOOKUP(Tabla1[[#This Row],[MEDICAMENTO]],TAB_REF!$B$3:$F$27,2,0), "")</f>
        <v xml:space="preserve">Fenobarbital </v>
      </c>
      <c r="AA678" s="10" t="str">
        <f>IFERROR(VLOOKUP(Tabla1[[#This Row],[MEDICAMENTO]],TAB_REF!$B$3:$F$27,3,0), "")</f>
        <v xml:space="preserve">0,4%. </v>
      </c>
      <c r="AB678" s="10" t="str">
        <f>IFERROR(VLOOKUP(Tabla1[[#This Row],[MEDICAMENTO]],TAB_REF!$B$3:$F$27,4,0), "")</f>
        <v>Solución Oral</v>
      </c>
      <c r="AC678" s="10" t="str">
        <f>IFERROR(VLOOKUP(Tabla1[[#This Row],[MEDICAMENTO]],TAB_REF!$B$3:$F$27,5,0), "")</f>
        <v>Frasco x 120 mL</v>
      </c>
      <c r="AD678" s="10" t="str">
        <f>IFERROR(VLOOKUP(Tabla1[[#This Row],[CANTIDAD UND COMERCIALES]],TAB_REF!$H$3:$I$1003,2,0)&amp;" ("&amp;Tabla1[[#This Row],[CANTIDAD UND COMERCIALES]]&amp;")"&amp;"_"&amp;Tabla1[[#This Row],[CANTIDAD]],"")</f>
        <v>Cuarenta (40)_Frasco x 120 mL</v>
      </c>
    </row>
    <row r="679" spans="2:30" x14ac:dyDescent="0.25">
      <c r="B679" s="10">
        <v>272</v>
      </c>
      <c r="C679" s="10" t="s">
        <v>3405</v>
      </c>
      <c r="D679" s="10" t="s">
        <v>2617</v>
      </c>
      <c r="E679" s="10" t="s">
        <v>3406</v>
      </c>
      <c r="F679" s="10" t="s">
        <v>3407</v>
      </c>
      <c r="G679" s="10" t="s">
        <v>3408</v>
      </c>
      <c r="H679" s="10" t="s">
        <v>3409</v>
      </c>
      <c r="I679" s="10" t="s">
        <v>2128</v>
      </c>
      <c r="J679" s="10" t="s">
        <v>1918</v>
      </c>
      <c r="K679" s="10" t="s">
        <v>3410</v>
      </c>
      <c r="L679" s="11">
        <v>202124100927882</v>
      </c>
      <c r="M679" s="20">
        <v>44342</v>
      </c>
      <c r="N679" s="20" t="str">
        <f>UPPER(TEXT(Tabla1[[#This Row],[FECHA RADICADO ENTRADA]],"MMM"))</f>
        <v>MAY</v>
      </c>
      <c r="O679" s="11">
        <v>202124110847461</v>
      </c>
      <c r="P679" s="20">
        <v>44348</v>
      </c>
      <c r="Q679" s="20" t="str">
        <f>UPPER(TEXT(Tabla1[[#This Row],[FECHA RADICADO ENTRADA]],"MMM"))</f>
        <v>MAY</v>
      </c>
      <c r="R679" s="10">
        <f t="shared" si="13"/>
        <v>-6</v>
      </c>
      <c r="S679" s="10" t="s">
        <v>2154</v>
      </c>
      <c r="U679" s="10" t="s">
        <v>3411</v>
      </c>
      <c r="V679" s="20">
        <v>43276</v>
      </c>
      <c r="W679" s="10" t="s">
        <v>63</v>
      </c>
      <c r="X679" s="10">
        <v>800</v>
      </c>
      <c r="Y679" s="11">
        <f>IFERROR(INT(Tabla1[[#This Row],[CANTIDAD UND FARMACEUTICAS]]/(VLOOKUP(Tabla1[[#This Row],[MEDICAMENTO]],TAB_REF!$K$3:$L$27,2,0))),"")</f>
        <v>80</v>
      </c>
      <c r="Z679" s="10" t="str">
        <f>IFERROR(VLOOKUP(Tabla1[[#This Row],[MEDICAMENTO]],TAB_REF!$B$3:$F$27,2,0), "")</f>
        <v xml:space="preserve">Morfina HCl </v>
      </c>
      <c r="AA679" s="10" t="str">
        <f>IFERROR(VLOOKUP(Tabla1[[#This Row],[MEDICAMENTO]],TAB_REF!$B$3:$F$27,3,0), "")</f>
        <v xml:space="preserve">10 mg/mL </v>
      </c>
      <c r="AB679" s="10" t="str">
        <f>IFERROR(VLOOKUP(Tabla1[[#This Row],[MEDICAMENTO]],TAB_REF!$B$3:$F$27,4,0), "")</f>
        <v>Solución Inyectable</v>
      </c>
      <c r="AC679" s="10" t="str">
        <f>IFERROR(VLOOKUP(Tabla1[[#This Row],[MEDICAMENTO]],TAB_REF!$B$3:$F$27,5,0), "")</f>
        <v>Caja x 10 unidades</v>
      </c>
      <c r="AD679" s="10" t="str">
        <f>IFERROR(VLOOKUP(Tabla1[[#This Row],[CANTIDAD UND COMERCIALES]],TAB_REF!$H$3:$I$1003,2,0)&amp;" ("&amp;Tabla1[[#This Row],[CANTIDAD UND COMERCIALES]]&amp;")"&amp;"_"&amp;Tabla1[[#This Row],[CANTIDAD]],"")</f>
        <v>Ochenta (80)_Caja x 10 unidades</v>
      </c>
    </row>
    <row r="680" spans="2:30" x14ac:dyDescent="0.25">
      <c r="B680" s="10">
        <v>272</v>
      </c>
      <c r="C680" s="10" t="s">
        <v>3405</v>
      </c>
      <c r="D680" s="10" t="s">
        <v>2617</v>
      </c>
      <c r="E680" s="10" t="s">
        <v>3406</v>
      </c>
      <c r="F680" s="10" t="s">
        <v>3407</v>
      </c>
      <c r="G680" s="10" t="s">
        <v>3408</v>
      </c>
      <c r="H680" s="10" t="s">
        <v>3409</v>
      </c>
      <c r="I680" s="10" t="s">
        <v>2128</v>
      </c>
      <c r="J680" s="10" t="s">
        <v>1918</v>
      </c>
      <c r="K680" s="10" t="s">
        <v>3410</v>
      </c>
      <c r="L680" s="11">
        <v>202124100927882</v>
      </c>
      <c r="M680" s="20">
        <v>44342</v>
      </c>
      <c r="N680" s="20" t="str">
        <f>UPPER(TEXT(Tabla1[[#This Row],[FECHA RADICADO ENTRADA]],"MMM"))</f>
        <v>MAY</v>
      </c>
      <c r="O680" s="11">
        <v>202124110847461</v>
      </c>
      <c r="P680" s="20">
        <v>44348</v>
      </c>
      <c r="Q680" s="20" t="str">
        <f>UPPER(TEXT(Tabla1[[#This Row],[FECHA RADICADO ENTRADA]],"MMM"))</f>
        <v>MAY</v>
      </c>
      <c r="R680" s="10">
        <f t="shared" si="13"/>
        <v>-6</v>
      </c>
      <c r="S680" s="10" t="s">
        <v>2154</v>
      </c>
      <c r="U680" s="10" t="s">
        <v>3411</v>
      </c>
      <c r="V680" s="20">
        <v>43276</v>
      </c>
      <c r="W680" s="10" t="s">
        <v>64</v>
      </c>
      <c r="X680" s="10">
        <v>3000</v>
      </c>
      <c r="Y680" s="11">
        <f>IFERROR(INT(Tabla1[[#This Row],[CANTIDAD UND FARMACEUTICAS]]/(VLOOKUP(Tabla1[[#This Row],[MEDICAMENTO]],TAB_REF!$K$3:$L$27,2,0))),"")</f>
        <v>300</v>
      </c>
      <c r="Z680" s="10" t="str">
        <f>IFERROR(VLOOKUP(Tabla1[[#This Row],[MEDICAMENTO]],TAB_REF!$B$3:$F$27,2,0), "")</f>
        <v xml:space="preserve">Morfina HCl </v>
      </c>
      <c r="AA680" s="10" t="str">
        <f>IFERROR(VLOOKUP(Tabla1[[#This Row],[MEDICAMENTO]],TAB_REF!$B$3:$F$27,3,0), "")</f>
        <v xml:space="preserve">10 (50mg/5mL) </v>
      </c>
      <c r="AB680" s="10" t="str">
        <f>IFERROR(VLOOKUP(Tabla1[[#This Row],[MEDICAMENTO]],TAB_REF!$B$3:$F$27,4,0), "")</f>
        <v>Solución Inyectable</v>
      </c>
      <c r="AC680" s="10" t="str">
        <f>IFERROR(VLOOKUP(Tabla1[[#This Row],[MEDICAMENTO]],TAB_REF!$B$3:$F$27,5,0), "")</f>
        <v>Caja x 5 unidades</v>
      </c>
      <c r="AD680" s="10" t="str">
        <f>IFERROR(VLOOKUP(Tabla1[[#This Row],[CANTIDAD UND COMERCIALES]],TAB_REF!$H$3:$I$1003,2,0)&amp;" ("&amp;Tabla1[[#This Row],[CANTIDAD UND COMERCIALES]]&amp;")"&amp;"_"&amp;Tabla1[[#This Row],[CANTIDAD]],"")</f>
        <v>Trescientos (300)_Caja x 5 unidades</v>
      </c>
    </row>
    <row r="681" spans="2:30" x14ac:dyDescent="0.25">
      <c r="B681" s="10">
        <v>273</v>
      </c>
      <c r="C681" s="10" t="s">
        <v>3412</v>
      </c>
      <c r="D681" s="10" t="s">
        <v>2507</v>
      </c>
      <c r="E681" s="10" t="s">
        <v>3413</v>
      </c>
      <c r="F681" s="10" t="s">
        <v>3414</v>
      </c>
      <c r="G681" s="10" t="s">
        <v>3415</v>
      </c>
      <c r="H681" s="10" t="s">
        <v>3416</v>
      </c>
      <c r="I681" s="10" t="s">
        <v>2128</v>
      </c>
      <c r="J681" s="10" t="s">
        <v>1942</v>
      </c>
      <c r="K681" s="10" t="s">
        <v>3417</v>
      </c>
      <c r="L681" s="11">
        <v>202124100930892</v>
      </c>
      <c r="M681" s="20">
        <v>44342</v>
      </c>
      <c r="N681" s="20" t="str">
        <f>UPPER(TEXT(Tabla1[[#This Row],[FECHA RADICADO ENTRADA]],"MMM"))</f>
        <v>MAY</v>
      </c>
      <c r="O681" s="11">
        <v>202124110840491</v>
      </c>
      <c r="P681" s="20">
        <v>44347</v>
      </c>
      <c r="Q681" s="20" t="str">
        <f>UPPER(TEXT(Tabla1[[#This Row],[FECHA RADICADO ENTRADA]],"MMM"))</f>
        <v>MAY</v>
      </c>
      <c r="R681" s="10">
        <f t="shared" si="13"/>
        <v>-5</v>
      </c>
      <c r="S681" s="10" t="s">
        <v>3180</v>
      </c>
      <c r="U681" s="10" t="s">
        <v>3418</v>
      </c>
      <c r="V681" s="20">
        <v>43360</v>
      </c>
      <c r="W681" s="10" t="s">
        <v>60</v>
      </c>
      <c r="X681" s="10">
        <v>0</v>
      </c>
      <c r="Y681" s="11">
        <f>IFERROR(INT(Tabla1[[#This Row],[CANTIDAD UND FARMACEUTICAS]]/(VLOOKUP(Tabla1[[#This Row],[MEDICAMENTO]],TAB_REF!$K$3:$L$27,2,0))),"")</f>
        <v>0</v>
      </c>
      <c r="Z681" s="10" t="str">
        <f>IFERROR(VLOOKUP(Tabla1[[#This Row],[MEDICAMENTO]],TAB_REF!$B$3:$F$27,2,0), "")</f>
        <v xml:space="preserve">Morfina HCl </v>
      </c>
      <c r="AA681" s="10" t="str">
        <f>IFERROR(VLOOKUP(Tabla1[[#This Row],[MEDICAMENTO]],TAB_REF!$B$3:$F$27,3,0), "")</f>
        <v xml:space="preserve">3%. </v>
      </c>
      <c r="AB681" s="10" t="str">
        <f>IFERROR(VLOOKUP(Tabla1[[#This Row],[MEDICAMENTO]],TAB_REF!$B$3:$F$27,4,0), "")</f>
        <v>Solución Oral</v>
      </c>
      <c r="AC681" s="10" t="str">
        <f>IFERROR(VLOOKUP(Tabla1[[#This Row],[MEDICAMENTO]],TAB_REF!$B$3:$F$27,5,0), "")</f>
        <v>Frasco x 30 mL</v>
      </c>
      <c r="AD681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682" spans="2:30" x14ac:dyDescent="0.25">
      <c r="B682" s="10">
        <v>274</v>
      </c>
      <c r="C682" s="10" t="s">
        <v>3328</v>
      </c>
      <c r="D682" s="10" t="s">
        <v>2162</v>
      </c>
      <c r="E682" s="10" t="s">
        <v>2978</v>
      </c>
      <c r="F682" s="10" t="s">
        <v>2979</v>
      </c>
      <c r="G682" s="10" t="s">
        <v>2980</v>
      </c>
      <c r="H682" s="10" t="s">
        <v>3419</v>
      </c>
      <c r="I682" s="10" t="s">
        <v>2116</v>
      </c>
      <c r="J682" s="10" t="s">
        <v>1559</v>
      </c>
      <c r="K682" s="10" t="s">
        <v>3420</v>
      </c>
      <c r="L682" s="11">
        <v>202142300931802</v>
      </c>
      <c r="M682" s="20">
        <v>44342</v>
      </c>
      <c r="N682" s="20" t="str">
        <f>UPPER(TEXT(Tabla1[[#This Row],[FECHA RADICADO ENTRADA]],"MMM"))</f>
        <v>MAY</v>
      </c>
      <c r="O682" s="11">
        <v>202124110848241</v>
      </c>
      <c r="P682" s="20">
        <v>44348</v>
      </c>
      <c r="Q682" s="20" t="str">
        <f>UPPER(TEXT(Tabla1[[#This Row],[FECHA RADICADO ENTRADA]],"MMM"))</f>
        <v>MAY</v>
      </c>
      <c r="R682" s="10">
        <f>_xlfn.DAYS(M682,P682)</f>
        <v>-6</v>
      </c>
      <c r="S682" s="10" t="s">
        <v>2145</v>
      </c>
      <c r="U682" s="10" t="s">
        <v>3421</v>
      </c>
      <c r="V682" s="20">
        <v>43391</v>
      </c>
      <c r="W682" s="10" t="s">
        <v>63</v>
      </c>
      <c r="X682" s="10">
        <v>0</v>
      </c>
      <c r="Y682" s="11">
        <f>IFERROR(INT(Tabla1[[#This Row],[CANTIDAD UND FARMACEUTICAS]]/(VLOOKUP(Tabla1[[#This Row],[MEDICAMENTO]],TAB_REF!$K$3:$L$27,2,0))),"")</f>
        <v>0</v>
      </c>
      <c r="Z682" s="10" t="str">
        <f>IFERROR(VLOOKUP(Tabla1[[#This Row],[MEDICAMENTO]],TAB_REF!$B$3:$F$27,2,0), "")</f>
        <v xml:space="preserve">Morfina HCl </v>
      </c>
      <c r="AA682" s="10" t="str">
        <f>IFERROR(VLOOKUP(Tabla1[[#This Row],[MEDICAMENTO]],TAB_REF!$B$3:$F$27,3,0), "")</f>
        <v xml:space="preserve">10 mg/mL </v>
      </c>
      <c r="AB682" s="10" t="str">
        <f>IFERROR(VLOOKUP(Tabla1[[#This Row],[MEDICAMENTO]],TAB_REF!$B$3:$F$27,4,0), "")</f>
        <v>Solución Inyectable</v>
      </c>
      <c r="AC682" s="10" t="str">
        <f>IFERROR(VLOOKUP(Tabla1[[#This Row],[MEDICAMENTO]],TAB_REF!$B$3:$F$27,5,0), "")</f>
        <v>Caja x 10 unidades</v>
      </c>
      <c r="AD682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683" spans="2:30" x14ac:dyDescent="0.25">
      <c r="B683" s="10">
        <v>274</v>
      </c>
      <c r="C683" s="10" t="s">
        <v>3328</v>
      </c>
      <c r="D683" s="10" t="s">
        <v>2162</v>
      </c>
      <c r="E683" s="10" t="s">
        <v>2978</v>
      </c>
      <c r="F683" s="10" t="s">
        <v>2979</v>
      </c>
      <c r="G683" s="10" t="s">
        <v>2980</v>
      </c>
      <c r="H683" s="10" t="s">
        <v>3419</v>
      </c>
      <c r="I683" s="10" t="s">
        <v>2116</v>
      </c>
      <c r="J683" s="10" t="s">
        <v>1559</v>
      </c>
      <c r="K683" s="10" t="s">
        <v>3420</v>
      </c>
      <c r="L683" s="11">
        <v>202142300931802</v>
      </c>
      <c r="M683" s="20">
        <v>44342</v>
      </c>
      <c r="N683" s="20" t="str">
        <f>UPPER(TEXT(Tabla1[[#This Row],[FECHA RADICADO ENTRADA]],"MMM"))</f>
        <v>MAY</v>
      </c>
      <c r="O683" s="11">
        <v>202124110848241</v>
      </c>
      <c r="P683" s="20">
        <v>44348</v>
      </c>
      <c r="Q683" s="20" t="str">
        <f>UPPER(TEXT(Tabla1[[#This Row],[FECHA RADICADO ENTRADA]],"MMM"))</f>
        <v>MAY</v>
      </c>
      <c r="R683" s="10">
        <f t="shared" si="13"/>
        <v>-6</v>
      </c>
      <c r="S683" s="10" t="s">
        <v>2154</v>
      </c>
      <c r="U683" s="10" t="s">
        <v>3421</v>
      </c>
      <c r="V683" s="20">
        <v>43391</v>
      </c>
      <c r="W683" s="10" t="s">
        <v>34</v>
      </c>
      <c r="X683" s="10">
        <v>20</v>
      </c>
      <c r="Y683" s="11">
        <f>IFERROR(INT(Tabla1[[#This Row],[CANTIDAD UND FARMACEUTICAS]]/(VLOOKUP(Tabla1[[#This Row],[MEDICAMENTO]],TAB_REF!$K$3:$L$27,2,0))),"")</f>
        <v>2</v>
      </c>
      <c r="Z683" s="10" t="str">
        <f>IFERROR(VLOOKUP(Tabla1[[#This Row],[MEDICAMENTO]],TAB_REF!$B$3:$F$27,2,0), "")</f>
        <v xml:space="preserve">Fenobarbital Sódico </v>
      </c>
      <c r="AA683" s="10" t="str">
        <f>IFERROR(VLOOKUP(Tabla1[[#This Row],[MEDICAMENTO]],TAB_REF!$B$3:$F$27,3,0), "")</f>
        <v xml:space="preserve">200 mg/Ml </v>
      </c>
      <c r="AB683" s="10" t="str">
        <f>IFERROR(VLOOKUP(Tabla1[[#This Row],[MEDICAMENTO]],TAB_REF!$B$3:$F$27,4,0), "")</f>
        <v>Solución Inyectable</v>
      </c>
      <c r="AC683" s="10" t="str">
        <f>IFERROR(VLOOKUP(Tabla1[[#This Row],[MEDICAMENTO]],TAB_REF!$B$3:$F$27,5,0), "")</f>
        <v>Caja x 10 unidades</v>
      </c>
      <c r="AD683" s="10" t="str">
        <f>IFERROR(VLOOKUP(Tabla1[[#This Row],[CANTIDAD UND COMERCIALES]],TAB_REF!$H$3:$I$1003,2,0)&amp;" ("&amp;Tabla1[[#This Row],[CANTIDAD UND COMERCIALES]]&amp;")"&amp;"_"&amp;Tabla1[[#This Row],[CANTIDAD]],"")</f>
        <v>Dos (2)_Caja x 10 unidades</v>
      </c>
    </row>
    <row r="684" spans="2:30" x14ac:dyDescent="0.25">
      <c r="B684" s="10">
        <v>275</v>
      </c>
      <c r="C684" s="10" t="s">
        <v>3269</v>
      </c>
      <c r="D684" s="10" t="s">
        <v>3422</v>
      </c>
      <c r="E684" s="10" t="s">
        <v>3423</v>
      </c>
      <c r="F684" s="10" t="s">
        <v>3272</v>
      </c>
      <c r="G684" s="10" t="s">
        <v>3273</v>
      </c>
      <c r="H684" s="10" t="s">
        <v>3424</v>
      </c>
      <c r="I684" s="10" t="s">
        <v>2122</v>
      </c>
      <c r="J684" s="10" t="s">
        <v>1749</v>
      </c>
      <c r="K684" s="10" t="s">
        <v>3425</v>
      </c>
      <c r="L684" s="11">
        <v>202124100931912</v>
      </c>
      <c r="M684" s="20">
        <v>44342</v>
      </c>
      <c r="N684" s="20" t="str">
        <f>UPPER(TEXT(Tabla1[[#This Row],[FECHA RADICADO ENTRADA]],"MMM"))</f>
        <v>MAY</v>
      </c>
      <c r="O684" s="11">
        <v>202124110840471</v>
      </c>
      <c r="P684" s="20">
        <v>44347</v>
      </c>
      <c r="Q684" s="20" t="str">
        <f>UPPER(TEXT(Tabla1[[#This Row],[FECHA RADICADO ENTRADA]],"MMM"))</f>
        <v>MAY</v>
      </c>
      <c r="R684" s="10">
        <f t="shared" si="13"/>
        <v>-5</v>
      </c>
      <c r="S684" s="10" t="s">
        <v>2154</v>
      </c>
      <c r="U684" s="10" t="s">
        <v>3426</v>
      </c>
      <c r="V684" s="20">
        <v>43703</v>
      </c>
      <c r="W684" s="10" t="s">
        <v>41</v>
      </c>
      <c r="X684" s="10">
        <v>40</v>
      </c>
      <c r="Y684" s="11">
        <f>IFERROR(INT(Tabla1[[#This Row],[CANTIDAD UND FARMACEUTICAS]]/(VLOOKUP(Tabla1[[#This Row],[MEDICAMENTO]],TAB_REF!$K$3:$L$27,2,0))),"")</f>
        <v>4</v>
      </c>
      <c r="Z684" s="10" t="str">
        <f>IFERROR(VLOOKUP(Tabla1[[#This Row],[MEDICAMENTO]],TAB_REF!$B$3:$F$27,2,0), "")</f>
        <v xml:space="preserve">Meperidina HCl </v>
      </c>
      <c r="AA684" s="10" t="str">
        <f>IFERROR(VLOOKUP(Tabla1[[#This Row],[MEDICAMENTO]],TAB_REF!$B$3:$F$27,3,0), "")</f>
        <v xml:space="preserve">100 mg/2mL </v>
      </c>
      <c r="AB684" s="10" t="str">
        <f>IFERROR(VLOOKUP(Tabla1[[#This Row],[MEDICAMENTO]],TAB_REF!$B$3:$F$27,4,0), "")</f>
        <v>Solución Inyectable</v>
      </c>
      <c r="AC684" s="10" t="str">
        <f>IFERROR(VLOOKUP(Tabla1[[#This Row],[MEDICAMENTO]],TAB_REF!$B$3:$F$27,5,0), "")</f>
        <v>Caja 10 ampollas</v>
      </c>
      <c r="AD684" s="10" t="str">
        <f>IFERROR(VLOOKUP(Tabla1[[#This Row],[CANTIDAD UND COMERCIALES]],TAB_REF!$H$3:$I$1003,2,0)&amp;" ("&amp;Tabla1[[#This Row],[CANTIDAD UND COMERCIALES]]&amp;")"&amp;"_"&amp;Tabla1[[#This Row],[CANTIDAD]],"")</f>
        <v>Cuatro (4)_Caja 10 ampollas</v>
      </c>
    </row>
    <row r="685" spans="2:30" x14ac:dyDescent="0.25">
      <c r="B685" s="10">
        <v>275</v>
      </c>
      <c r="C685" s="10" t="s">
        <v>3269</v>
      </c>
      <c r="D685" s="10" t="s">
        <v>3422</v>
      </c>
      <c r="E685" s="10" t="s">
        <v>3423</v>
      </c>
      <c r="F685" s="10" t="s">
        <v>3427</v>
      </c>
      <c r="G685" s="10" t="s">
        <v>3273</v>
      </c>
      <c r="H685" s="10" t="s">
        <v>3428</v>
      </c>
      <c r="I685" s="10" t="s">
        <v>2122</v>
      </c>
      <c r="J685" s="10" t="s">
        <v>1749</v>
      </c>
      <c r="K685" s="10" t="s">
        <v>3425</v>
      </c>
      <c r="L685" s="11">
        <v>202124100931912</v>
      </c>
      <c r="M685" s="20">
        <v>44342</v>
      </c>
      <c r="N685" s="20" t="str">
        <f>UPPER(TEXT(Tabla1[[#This Row],[FECHA RADICADO ENTRADA]],"MMM"))</f>
        <v>MAY</v>
      </c>
      <c r="O685" s="11">
        <v>202124110840471</v>
      </c>
      <c r="P685" s="20">
        <v>44347</v>
      </c>
      <c r="Q685" s="20" t="str">
        <f>UPPER(TEXT(Tabla1[[#This Row],[FECHA RADICADO ENTRADA]],"MMM"))</f>
        <v>MAY</v>
      </c>
      <c r="R685" s="10">
        <f t="shared" si="13"/>
        <v>-5</v>
      </c>
      <c r="S685" s="10" t="s">
        <v>2154</v>
      </c>
      <c r="U685" s="10" t="s">
        <v>3429</v>
      </c>
      <c r="V685" s="20">
        <v>43703</v>
      </c>
      <c r="W685" s="10" t="s">
        <v>63</v>
      </c>
      <c r="X685" s="10">
        <v>30</v>
      </c>
      <c r="Y685" s="11">
        <f>IFERROR(INT(Tabla1[[#This Row],[CANTIDAD UND FARMACEUTICAS]]/(VLOOKUP(Tabla1[[#This Row],[MEDICAMENTO]],TAB_REF!$K$3:$L$27,2,0))),"")</f>
        <v>3</v>
      </c>
      <c r="Z685" s="10" t="str">
        <f>IFERROR(VLOOKUP(Tabla1[[#This Row],[MEDICAMENTO]],TAB_REF!$B$3:$F$27,2,0), "")</f>
        <v xml:space="preserve">Morfina HCl </v>
      </c>
      <c r="AA685" s="10" t="str">
        <f>IFERROR(VLOOKUP(Tabla1[[#This Row],[MEDICAMENTO]],TAB_REF!$B$3:$F$27,3,0), "")</f>
        <v xml:space="preserve">10 mg/mL </v>
      </c>
      <c r="AB685" s="10" t="str">
        <f>IFERROR(VLOOKUP(Tabla1[[#This Row],[MEDICAMENTO]],TAB_REF!$B$3:$F$27,4,0), "")</f>
        <v>Solución Inyectable</v>
      </c>
      <c r="AC685" s="10" t="str">
        <f>IFERROR(VLOOKUP(Tabla1[[#This Row],[MEDICAMENTO]],TAB_REF!$B$3:$F$27,5,0), "")</f>
        <v>Caja x 10 unidades</v>
      </c>
      <c r="AD685" s="10" t="str">
        <f>IFERROR(VLOOKUP(Tabla1[[#This Row],[CANTIDAD UND COMERCIALES]],TAB_REF!$H$3:$I$1003,2,0)&amp;" ("&amp;Tabla1[[#This Row],[CANTIDAD UND COMERCIALES]]&amp;")"&amp;"_"&amp;Tabla1[[#This Row],[CANTIDAD]],"")</f>
        <v>Tres (3)_Caja x 10 unidades</v>
      </c>
    </row>
    <row r="686" spans="2:30" x14ac:dyDescent="0.25">
      <c r="B686" s="10">
        <v>275</v>
      </c>
      <c r="C686" s="10" t="s">
        <v>3269</v>
      </c>
      <c r="D686" s="10" t="s">
        <v>3422</v>
      </c>
      <c r="E686" s="10" t="s">
        <v>3423</v>
      </c>
      <c r="F686" s="10" t="s">
        <v>3430</v>
      </c>
      <c r="G686" s="10" t="s">
        <v>3273</v>
      </c>
      <c r="H686" s="10" t="s">
        <v>3431</v>
      </c>
      <c r="I686" s="10" t="s">
        <v>2122</v>
      </c>
      <c r="J686" s="10" t="s">
        <v>1749</v>
      </c>
      <c r="K686" s="10" t="s">
        <v>3425</v>
      </c>
      <c r="L686" s="11">
        <v>202124100931912</v>
      </c>
      <c r="M686" s="20">
        <v>44342</v>
      </c>
      <c r="N686" s="20" t="str">
        <f>UPPER(TEXT(Tabla1[[#This Row],[FECHA RADICADO ENTRADA]],"MMM"))</f>
        <v>MAY</v>
      </c>
      <c r="O686" s="11">
        <v>202124110840471</v>
      </c>
      <c r="P686" s="20">
        <v>44347</v>
      </c>
      <c r="Q686" s="20" t="str">
        <f>UPPER(TEXT(Tabla1[[#This Row],[FECHA RADICADO ENTRADA]],"MMM"))</f>
        <v>MAY</v>
      </c>
      <c r="R686" s="10">
        <f t="shared" si="13"/>
        <v>-5</v>
      </c>
      <c r="S686" s="10" t="s">
        <v>2154</v>
      </c>
      <c r="U686" s="10" t="s">
        <v>3432</v>
      </c>
      <c r="V686" s="20">
        <v>43703</v>
      </c>
      <c r="W686" s="10" t="s">
        <v>36</v>
      </c>
      <c r="X686" s="10">
        <v>30</v>
      </c>
      <c r="Y686" s="11">
        <f>IFERROR(INT(Tabla1[[#This Row],[CANTIDAD UND FARMACEUTICAS]]/(VLOOKUP(Tabla1[[#This Row],[MEDICAMENTO]],TAB_REF!$K$3:$L$27,2,0))),"")</f>
        <v>3</v>
      </c>
      <c r="Z686" s="10" t="str">
        <f>IFERROR(VLOOKUP(Tabla1[[#This Row],[MEDICAMENTO]],TAB_REF!$B$3:$F$27,2,0), "")</f>
        <v xml:space="preserve">Fenobarbital Sódico </v>
      </c>
      <c r="AA686" s="10" t="str">
        <f>IFERROR(VLOOKUP(Tabla1[[#This Row],[MEDICAMENTO]],TAB_REF!$B$3:$F$27,3,0), "")</f>
        <v xml:space="preserve">40 mg/mL </v>
      </c>
      <c r="AB686" s="10" t="str">
        <f>IFERROR(VLOOKUP(Tabla1[[#This Row],[MEDICAMENTO]],TAB_REF!$B$3:$F$27,4,0), "")</f>
        <v>Solución Inyectable</v>
      </c>
      <c r="AC686" s="10" t="str">
        <f>IFERROR(VLOOKUP(Tabla1[[#This Row],[MEDICAMENTO]],TAB_REF!$B$3:$F$27,5,0), "")</f>
        <v>Caja x 10 unidades</v>
      </c>
      <c r="AD686" s="10" t="str">
        <f>IFERROR(VLOOKUP(Tabla1[[#This Row],[CANTIDAD UND COMERCIALES]],TAB_REF!$H$3:$I$1003,2,0)&amp;" ("&amp;Tabla1[[#This Row],[CANTIDAD UND COMERCIALES]]&amp;")"&amp;"_"&amp;Tabla1[[#This Row],[CANTIDAD]],"")</f>
        <v>Tres (3)_Caja x 10 unidades</v>
      </c>
    </row>
    <row r="687" spans="2:30" x14ac:dyDescent="0.25">
      <c r="B687" s="10">
        <v>276</v>
      </c>
      <c r="C687" s="10" t="s">
        <v>3293</v>
      </c>
      <c r="D687" s="10" t="s">
        <v>2617</v>
      </c>
      <c r="E687" s="10" t="s">
        <v>3433</v>
      </c>
      <c r="F687" s="10" t="s">
        <v>3152</v>
      </c>
      <c r="G687" s="10" t="s">
        <v>3434</v>
      </c>
      <c r="H687" s="10" t="s">
        <v>3435</v>
      </c>
      <c r="I687" s="10" t="s">
        <v>2116</v>
      </c>
      <c r="J687" s="10" t="s">
        <v>1550</v>
      </c>
      <c r="K687" s="10" t="s">
        <v>3436</v>
      </c>
      <c r="L687" s="11">
        <v>202124100933722</v>
      </c>
      <c r="M687" s="20">
        <v>44342</v>
      </c>
      <c r="N687" s="20" t="str">
        <f>UPPER(TEXT(Tabla1[[#This Row],[FECHA RADICADO ENTRADA]],"MMM"))</f>
        <v>MAY</v>
      </c>
      <c r="O687" s="11">
        <v>202124110847821</v>
      </c>
      <c r="P687" s="20">
        <v>44348</v>
      </c>
      <c r="Q687" s="20" t="str">
        <f>UPPER(TEXT(Tabla1[[#This Row],[FECHA RADICADO ENTRADA]],"MMM"))</f>
        <v>MAY</v>
      </c>
      <c r="R687" s="10">
        <f t="shared" si="13"/>
        <v>-6</v>
      </c>
      <c r="S687" s="10" t="s">
        <v>2154</v>
      </c>
      <c r="U687" s="10" t="s">
        <v>3437</v>
      </c>
      <c r="V687" s="20">
        <v>43742</v>
      </c>
      <c r="W687" s="10" t="s">
        <v>48</v>
      </c>
      <c r="X687" s="10">
        <v>60</v>
      </c>
      <c r="Y687" s="11">
        <f>IFERROR(INT(Tabla1[[#This Row],[CANTIDAD UND FARMACEUTICAS]]/(VLOOKUP(Tabla1[[#This Row],[MEDICAMENTO]],TAB_REF!$K$3:$L$27,2,0))),"")</f>
        <v>2</v>
      </c>
      <c r="Z687" s="10" t="str">
        <f>IFERROR(VLOOKUP(Tabla1[[#This Row],[MEDICAMENTO]],TAB_REF!$B$3:$F$27,2,0), "")</f>
        <v xml:space="preserve">Metilfenidato HCl </v>
      </c>
      <c r="AA687" s="10" t="str">
        <f>IFERROR(VLOOKUP(Tabla1[[#This Row],[MEDICAMENTO]],TAB_REF!$B$3:$F$27,3,0), "")</f>
        <v xml:space="preserve">10 mg </v>
      </c>
      <c r="AB687" s="10" t="str">
        <f>IFERROR(VLOOKUP(Tabla1[[#This Row],[MEDICAMENTO]],TAB_REF!$B$3:$F$27,4,0), "")</f>
        <v>Comprimidos</v>
      </c>
      <c r="AC687" s="10" t="str">
        <f>IFERROR(VLOOKUP(Tabla1[[#This Row],[MEDICAMENTO]],TAB_REF!$B$3:$F$27,5,0), "")</f>
        <v>Caja x 30 unidades</v>
      </c>
      <c r="AD687" s="10" t="str">
        <f>IFERROR(VLOOKUP(Tabla1[[#This Row],[CANTIDAD UND COMERCIALES]],TAB_REF!$H$3:$I$1003,2,0)&amp;" ("&amp;Tabla1[[#This Row],[CANTIDAD UND COMERCIALES]]&amp;")"&amp;"_"&amp;Tabla1[[#This Row],[CANTIDAD]],"")</f>
        <v>Dos (2)_Caja x 30 unidades</v>
      </c>
    </row>
    <row r="688" spans="2:30" x14ac:dyDescent="0.25">
      <c r="B688" s="10">
        <v>277</v>
      </c>
      <c r="C688" s="10" t="s">
        <v>3398</v>
      </c>
      <c r="D688" s="10" t="s">
        <v>2312</v>
      </c>
      <c r="E688" s="10" t="s">
        <v>3399</v>
      </c>
      <c r="F688" s="10" t="s">
        <v>3400</v>
      </c>
      <c r="G688" s="10" t="s">
        <v>3401</v>
      </c>
      <c r="H688" s="10" t="s">
        <v>3402</v>
      </c>
      <c r="I688" s="10" t="s">
        <v>2128</v>
      </c>
      <c r="J688" s="10" t="s">
        <v>1942</v>
      </c>
      <c r="K688" s="10" t="s">
        <v>3403</v>
      </c>
      <c r="L688" s="11">
        <v>202124100943002</v>
      </c>
      <c r="M688" s="20">
        <v>44344</v>
      </c>
      <c r="N688" s="20" t="str">
        <f>UPPER(TEXT(Tabla1[[#This Row],[FECHA RADICADO ENTRADA]],"MMM"))</f>
        <v>MAY</v>
      </c>
      <c r="O688" s="11"/>
      <c r="P688" s="20"/>
      <c r="Q688" s="20" t="str">
        <f>UPPER(TEXT(Tabla1[[#This Row],[FECHA RADICADO ENTRADA]],"MMM"))</f>
        <v>MAY</v>
      </c>
      <c r="R688" s="10">
        <f t="shared" si="13"/>
        <v>44344</v>
      </c>
      <c r="S688" s="10" t="s">
        <v>2145</v>
      </c>
      <c r="T688" s="10" t="s">
        <v>3383</v>
      </c>
      <c r="U688" s="10" t="s">
        <v>2615</v>
      </c>
      <c r="V688" s="20">
        <v>44222</v>
      </c>
      <c r="W688" s="10" t="s">
        <v>64</v>
      </c>
      <c r="X688" s="10">
        <v>0</v>
      </c>
      <c r="Y688" s="11">
        <f>IFERROR(INT(Tabla1[[#This Row],[CANTIDAD UND FARMACEUTICAS]]/(VLOOKUP(Tabla1[[#This Row],[MEDICAMENTO]],TAB_REF!$K$3:$L$27,2,0))),"")</f>
        <v>0</v>
      </c>
      <c r="Z688" s="10" t="str">
        <f>IFERROR(VLOOKUP(Tabla1[[#This Row],[MEDICAMENTO]],TAB_REF!$B$3:$F$27,2,0), "")</f>
        <v xml:space="preserve">Morfina HCl </v>
      </c>
      <c r="AA688" s="10" t="str">
        <f>IFERROR(VLOOKUP(Tabla1[[#This Row],[MEDICAMENTO]],TAB_REF!$B$3:$F$27,3,0), "")</f>
        <v xml:space="preserve">10 (50mg/5mL) </v>
      </c>
      <c r="AB688" s="10" t="str">
        <f>IFERROR(VLOOKUP(Tabla1[[#This Row],[MEDICAMENTO]],TAB_REF!$B$3:$F$27,4,0), "")</f>
        <v>Solución Inyectable</v>
      </c>
      <c r="AC688" s="10" t="str">
        <f>IFERROR(VLOOKUP(Tabla1[[#This Row],[MEDICAMENTO]],TAB_REF!$B$3:$F$27,5,0), "")</f>
        <v>Caja x 5 unidades</v>
      </c>
      <c r="AD688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689" spans="2:30" x14ac:dyDescent="0.25">
      <c r="B689" s="10">
        <v>278</v>
      </c>
      <c r="C689" s="10" t="s">
        <v>3358</v>
      </c>
      <c r="D689" s="10" t="s">
        <v>3359</v>
      </c>
      <c r="E689" s="10" t="s">
        <v>3360</v>
      </c>
      <c r="F689" s="10" t="s">
        <v>2897</v>
      </c>
      <c r="G689" s="10" t="s">
        <v>3361</v>
      </c>
      <c r="H689" s="10" t="s">
        <v>3362</v>
      </c>
      <c r="I689" s="10" t="s">
        <v>2107</v>
      </c>
      <c r="J689" s="10" t="s">
        <v>1212</v>
      </c>
      <c r="K689" s="10" t="s">
        <v>3438</v>
      </c>
      <c r="L689" s="11">
        <v>202124100944722</v>
      </c>
      <c r="M689" s="20">
        <v>44344</v>
      </c>
      <c r="N689" s="20" t="str">
        <f>UPPER(TEXT(Tabla1[[#This Row],[FECHA RADICADO ENTRADA]],"MMM"))</f>
        <v>MAY</v>
      </c>
      <c r="O689" s="11">
        <v>202124110840451</v>
      </c>
      <c r="P689" s="20">
        <v>44347</v>
      </c>
      <c r="Q689" s="20" t="str">
        <f>UPPER(TEXT(Tabla1[[#This Row],[FECHA RADICADO ENTRADA]],"MMM"))</f>
        <v>MAY</v>
      </c>
      <c r="R689" s="10">
        <f t="shared" si="13"/>
        <v>-3</v>
      </c>
      <c r="S689" s="10" t="s">
        <v>2145</v>
      </c>
      <c r="T689" s="10" t="s">
        <v>3390</v>
      </c>
      <c r="U689" s="10" t="s">
        <v>2164</v>
      </c>
      <c r="V689" s="20" t="s">
        <v>2164</v>
      </c>
      <c r="X689" s="10">
        <v>0</v>
      </c>
      <c r="Y689" s="11" t="str">
        <f>IFERROR(INT(Tabla1[[#This Row],[CANTIDAD UND FARMACEUTICAS]]/(VLOOKUP(Tabla1[[#This Row],[MEDICAMENTO]],TAB_REF!$K$3:$L$27,2,0))),"")</f>
        <v/>
      </c>
      <c r="Z689" s="10" t="str">
        <f>IFERROR(VLOOKUP(Tabla1[[#This Row],[MEDICAMENTO]],TAB_REF!$B$3:$F$27,2,0), "")</f>
        <v/>
      </c>
      <c r="AA689" s="10" t="str">
        <f>IFERROR(VLOOKUP(Tabla1[[#This Row],[MEDICAMENTO]],TAB_REF!$B$3:$F$27,3,0), "")</f>
        <v/>
      </c>
      <c r="AB689" s="10" t="str">
        <f>IFERROR(VLOOKUP(Tabla1[[#This Row],[MEDICAMENTO]],TAB_REF!$B$3:$F$27,4,0), "")</f>
        <v/>
      </c>
      <c r="AC689" s="10" t="str">
        <f>IFERROR(VLOOKUP(Tabla1[[#This Row],[MEDICAMENTO]],TAB_REF!$B$3:$F$27,5,0), "")</f>
        <v/>
      </c>
      <c r="AD689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690" spans="2:30" x14ac:dyDescent="0.25">
      <c r="B690" s="10">
        <v>279</v>
      </c>
      <c r="C690" s="10" t="s">
        <v>3182</v>
      </c>
      <c r="D690" s="10" t="s">
        <v>2312</v>
      </c>
      <c r="E690" s="10" t="s">
        <v>2313</v>
      </c>
      <c r="F690" s="10" t="s">
        <v>2314</v>
      </c>
      <c r="G690" s="10" t="s">
        <v>2315</v>
      </c>
      <c r="H690" s="10" t="s">
        <v>2316</v>
      </c>
      <c r="I690" s="10" t="s">
        <v>2122</v>
      </c>
      <c r="J690" s="10" t="s">
        <v>1742</v>
      </c>
      <c r="K690" s="10" t="s">
        <v>3439</v>
      </c>
      <c r="L690" s="11">
        <v>202124100949652</v>
      </c>
      <c r="M690" s="20">
        <v>44344</v>
      </c>
      <c r="N690" s="20" t="str">
        <f>UPPER(TEXT(Tabla1[[#This Row],[FECHA RADICADO ENTRADA]],"MMM"))</f>
        <v>MAY</v>
      </c>
      <c r="O690" s="11">
        <v>202124110847801</v>
      </c>
      <c r="P690" s="20">
        <v>44348</v>
      </c>
      <c r="Q690" s="20" t="str">
        <f>UPPER(TEXT(Tabla1[[#This Row],[FECHA RADICADO ENTRADA]],"MMM"))</f>
        <v>MAY</v>
      </c>
      <c r="R690" s="10">
        <f t="shared" si="13"/>
        <v>-4</v>
      </c>
      <c r="S690" s="10" t="s">
        <v>2154</v>
      </c>
      <c r="U690" s="10" t="s">
        <v>2317</v>
      </c>
      <c r="V690" s="20">
        <v>43081</v>
      </c>
      <c r="W690" s="10" t="s">
        <v>30</v>
      </c>
      <c r="X690" s="10">
        <v>180</v>
      </c>
      <c r="Y690" s="11">
        <f>IFERROR(INT(Tabla1[[#This Row],[CANTIDAD UND FARMACEUTICAS]]/(VLOOKUP(Tabla1[[#This Row],[MEDICAMENTO]],TAB_REF!$K$3:$L$27,2,0))),"")</f>
        <v>6</v>
      </c>
      <c r="Z690" s="10" t="str">
        <f>IFERROR(VLOOKUP(Tabla1[[#This Row],[MEDICAMENTO]],TAB_REF!$B$3:$F$27,2,0), "")</f>
        <v xml:space="preserve">Fenobarbital </v>
      </c>
      <c r="AA690" s="10" t="str">
        <f>IFERROR(VLOOKUP(Tabla1[[#This Row],[MEDICAMENTO]],TAB_REF!$B$3:$F$27,3,0), "")</f>
        <v xml:space="preserve">10 mg </v>
      </c>
      <c r="AB690" s="10" t="str">
        <f>IFERROR(VLOOKUP(Tabla1[[#This Row],[MEDICAMENTO]],TAB_REF!$B$3:$F$27,4,0), "")</f>
        <v>Tabletas</v>
      </c>
      <c r="AC690" s="10" t="str">
        <f>IFERROR(VLOOKUP(Tabla1[[#This Row],[MEDICAMENTO]],TAB_REF!$B$3:$F$27,5,0), "")</f>
        <v>Caja x 30 unidades</v>
      </c>
      <c r="AD690" s="10" t="str">
        <f>IFERROR(VLOOKUP(Tabla1[[#This Row],[CANTIDAD UND COMERCIALES]],TAB_REF!$H$3:$I$1003,2,0)&amp;" ("&amp;Tabla1[[#This Row],[CANTIDAD UND COMERCIALES]]&amp;")"&amp;"_"&amp;Tabla1[[#This Row],[CANTIDAD]],"")</f>
        <v>Seis (6)_Caja x 30 unidades</v>
      </c>
    </row>
    <row r="691" spans="2:30" x14ac:dyDescent="0.25">
      <c r="B691" s="10">
        <v>280</v>
      </c>
      <c r="C691" s="10" t="s">
        <v>3358</v>
      </c>
      <c r="D691" s="10" t="s">
        <v>3359</v>
      </c>
      <c r="E691" s="10" t="s">
        <v>3360</v>
      </c>
      <c r="F691" s="10" t="s">
        <v>2897</v>
      </c>
      <c r="G691" s="10" t="s">
        <v>3361</v>
      </c>
      <c r="H691" s="10" t="s">
        <v>3362</v>
      </c>
      <c r="I691" s="10" t="s">
        <v>2107</v>
      </c>
      <c r="J691" s="10" t="s">
        <v>1212</v>
      </c>
      <c r="K691" s="10" t="s">
        <v>3440</v>
      </c>
      <c r="L691" s="11">
        <v>202124100952062</v>
      </c>
      <c r="M691" s="20">
        <v>44347</v>
      </c>
      <c r="N691" s="20" t="str">
        <f>UPPER(TEXT(Tabla1[[#This Row],[FECHA RADICADO ENTRADA]],"MMM"))</f>
        <v>MAY</v>
      </c>
      <c r="O691" s="11">
        <v>202124110840411</v>
      </c>
      <c r="P691" s="20">
        <v>44347</v>
      </c>
      <c r="Q691" s="20" t="str">
        <f>UPPER(TEXT(Tabla1[[#This Row],[FECHA RADICADO ENTRADA]],"MMM"))</f>
        <v>MAY</v>
      </c>
      <c r="R691" s="10">
        <f t="shared" si="13"/>
        <v>0</v>
      </c>
      <c r="S691" s="10" t="s">
        <v>2145</v>
      </c>
      <c r="T691" s="10" t="s">
        <v>3390</v>
      </c>
      <c r="U691" s="10" t="s">
        <v>2164</v>
      </c>
      <c r="V691" s="20" t="s">
        <v>2164</v>
      </c>
      <c r="X691" s="10">
        <v>0</v>
      </c>
      <c r="Y691" s="11" t="str">
        <f>IFERROR(INT(Tabla1[[#This Row],[CANTIDAD UND FARMACEUTICAS]]/(VLOOKUP(Tabla1[[#This Row],[MEDICAMENTO]],TAB_REF!$K$3:$L$27,2,0))),"")</f>
        <v/>
      </c>
      <c r="Z691" s="10" t="str">
        <f>IFERROR(VLOOKUP(Tabla1[[#This Row],[MEDICAMENTO]],TAB_REF!$B$3:$F$27,2,0), "")</f>
        <v/>
      </c>
      <c r="AA691" s="10" t="str">
        <f>IFERROR(VLOOKUP(Tabla1[[#This Row],[MEDICAMENTO]],TAB_REF!$B$3:$F$27,3,0), "")</f>
        <v/>
      </c>
      <c r="AB691" s="10" t="str">
        <f>IFERROR(VLOOKUP(Tabla1[[#This Row],[MEDICAMENTO]],TAB_REF!$B$3:$F$27,4,0), "")</f>
        <v/>
      </c>
      <c r="AC691" s="10" t="str">
        <f>IFERROR(VLOOKUP(Tabla1[[#This Row],[MEDICAMENTO]],TAB_REF!$B$3:$F$27,5,0), "")</f>
        <v/>
      </c>
      <c r="AD691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692" spans="2:30" x14ac:dyDescent="0.25">
      <c r="B692" s="10">
        <v>281</v>
      </c>
      <c r="C692" s="10" t="s">
        <v>3441</v>
      </c>
      <c r="D692" s="10" t="s">
        <v>2162</v>
      </c>
      <c r="E692" s="10" t="s">
        <v>3442</v>
      </c>
      <c r="F692" s="10" t="s">
        <v>3146</v>
      </c>
      <c r="G692" s="10" t="s">
        <v>3147</v>
      </c>
      <c r="H692" s="10" t="s">
        <v>3443</v>
      </c>
      <c r="I692" s="10" t="s">
        <v>2128</v>
      </c>
      <c r="J692" s="10" t="s">
        <v>1918</v>
      </c>
      <c r="K692" s="10" t="s">
        <v>3444</v>
      </c>
      <c r="L692" s="11">
        <v>202124100956412</v>
      </c>
      <c r="M692" s="20">
        <v>44347</v>
      </c>
      <c r="N692" s="20" t="str">
        <f>UPPER(TEXT(Tabla1[[#This Row],[FECHA RADICADO ENTRADA]],"MMM"))</f>
        <v>MAY</v>
      </c>
      <c r="O692" s="11">
        <v>202124110849131</v>
      </c>
      <c r="P692" s="20">
        <v>44348</v>
      </c>
      <c r="Q692" s="20" t="str">
        <f>UPPER(TEXT(Tabla1[[#This Row],[FECHA RADICADO ENTRADA]],"MMM"))</f>
        <v>MAY</v>
      </c>
      <c r="R692" s="10">
        <f t="shared" si="13"/>
        <v>-1</v>
      </c>
      <c r="S692" s="10" t="s">
        <v>2154</v>
      </c>
      <c r="U692" s="10" t="s">
        <v>3150</v>
      </c>
      <c r="V692" s="20">
        <v>43307</v>
      </c>
      <c r="W692" s="10" t="s">
        <v>37</v>
      </c>
      <c r="X692" s="10">
        <v>500</v>
      </c>
      <c r="Y692" s="11">
        <f>IFERROR(INT(Tabla1[[#This Row],[CANTIDAD UND FARMACEUTICAS]]/(VLOOKUP(Tabla1[[#This Row],[MEDICAMENTO]],TAB_REF!$K$3:$L$27,2,0))),"")</f>
        <v>50</v>
      </c>
      <c r="Z692" s="10" t="str">
        <f>IFERROR(VLOOKUP(Tabla1[[#This Row],[MEDICAMENTO]],TAB_REF!$B$3:$F$27,2,0), "")</f>
        <v xml:space="preserve">Hidromorfona HCl </v>
      </c>
      <c r="AA692" s="10" t="str">
        <f>IFERROR(VLOOKUP(Tabla1[[#This Row],[MEDICAMENTO]],TAB_REF!$B$3:$F$27,3,0), "")</f>
        <v xml:space="preserve">2 mg/mL </v>
      </c>
      <c r="AB692" s="10" t="str">
        <f>IFERROR(VLOOKUP(Tabla1[[#This Row],[MEDICAMENTO]],TAB_REF!$B$3:$F$27,4,0), "")</f>
        <v>Solución Inyectable</v>
      </c>
      <c r="AC692" s="10" t="str">
        <f>IFERROR(VLOOKUP(Tabla1[[#This Row],[MEDICAMENTO]],TAB_REF!$B$3:$F$27,5,0), "")</f>
        <v>Caja x 10 unidades</v>
      </c>
      <c r="AD692" s="10" t="str">
        <f>IFERROR(VLOOKUP(Tabla1[[#This Row],[CANTIDAD UND COMERCIALES]],TAB_REF!$H$3:$I$1003,2,0)&amp;" ("&amp;Tabla1[[#This Row],[CANTIDAD UND COMERCIALES]]&amp;")"&amp;"_"&amp;Tabla1[[#This Row],[CANTIDAD]],"")</f>
        <v>Cincuenta (50)_Caja x 10 unidades</v>
      </c>
    </row>
    <row r="693" spans="2:30" x14ac:dyDescent="0.25">
      <c r="B693" s="10">
        <v>281</v>
      </c>
      <c r="C693" s="10" t="s">
        <v>3441</v>
      </c>
      <c r="D693" s="10" t="s">
        <v>2162</v>
      </c>
      <c r="E693" s="10" t="s">
        <v>3442</v>
      </c>
      <c r="F693" s="10" t="s">
        <v>3146</v>
      </c>
      <c r="G693" s="10" t="s">
        <v>3147</v>
      </c>
      <c r="H693" s="10" t="s">
        <v>3443</v>
      </c>
      <c r="I693" s="10" t="s">
        <v>2128</v>
      </c>
      <c r="J693" s="10" t="s">
        <v>1918</v>
      </c>
      <c r="K693" s="10" t="s">
        <v>3444</v>
      </c>
      <c r="L693" s="11">
        <v>202124100956412</v>
      </c>
      <c r="M693" s="20">
        <v>44347</v>
      </c>
      <c r="N693" s="20" t="str">
        <f>UPPER(TEXT(Tabla1[[#This Row],[FECHA RADICADO ENTRADA]],"MMM"))</f>
        <v>MAY</v>
      </c>
      <c r="O693" s="11">
        <v>202124110849131</v>
      </c>
      <c r="P693" s="20">
        <v>44348</v>
      </c>
      <c r="Q693" s="20" t="str">
        <f>UPPER(TEXT(Tabla1[[#This Row],[FECHA RADICADO ENTRADA]],"MMM"))</f>
        <v>MAY</v>
      </c>
      <c r="R693" s="10">
        <f t="shared" si="13"/>
        <v>-1</v>
      </c>
      <c r="S693" s="10" t="s">
        <v>2154</v>
      </c>
      <c r="U693" s="10" t="s">
        <v>3445</v>
      </c>
      <c r="V693" s="20">
        <v>43308</v>
      </c>
      <c r="W693" s="10" t="s">
        <v>63</v>
      </c>
      <c r="X693" s="10">
        <v>500</v>
      </c>
      <c r="Y693" s="11">
        <f>IFERROR(INT(Tabla1[[#This Row],[CANTIDAD UND FARMACEUTICAS]]/(VLOOKUP(Tabla1[[#This Row],[MEDICAMENTO]],TAB_REF!$K$3:$L$27,2,0))),"")</f>
        <v>50</v>
      </c>
      <c r="Z693" s="10" t="str">
        <f>IFERROR(VLOOKUP(Tabla1[[#This Row],[MEDICAMENTO]],TAB_REF!$B$3:$F$27,2,0), "")</f>
        <v xml:space="preserve">Morfina HCl </v>
      </c>
      <c r="AA693" s="10" t="str">
        <f>IFERROR(VLOOKUP(Tabla1[[#This Row],[MEDICAMENTO]],TAB_REF!$B$3:$F$27,3,0), "")</f>
        <v xml:space="preserve">10 mg/mL </v>
      </c>
      <c r="AB693" s="10" t="str">
        <f>IFERROR(VLOOKUP(Tabla1[[#This Row],[MEDICAMENTO]],TAB_REF!$B$3:$F$27,4,0), "")</f>
        <v>Solución Inyectable</v>
      </c>
      <c r="AC693" s="10" t="str">
        <f>IFERROR(VLOOKUP(Tabla1[[#This Row],[MEDICAMENTO]],TAB_REF!$B$3:$F$27,5,0), "")</f>
        <v>Caja x 10 unidades</v>
      </c>
      <c r="AD693" s="10" t="str">
        <f>IFERROR(VLOOKUP(Tabla1[[#This Row],[CANTIDAD UND COMERCIALES]],TAB_REF!$H$3:$I$1003,2,0)&amp;" ("&amp;Tabla1[[#This Row],[CANTIDAD UND COMERCIALES]]&amp;")"&amp;"_"&amp;Tabla1[[#This Row],[CANTIDAD]],"")</f>
        <v>Cincuenta (50)_Caja x 10 unidades</v>
      </c>
    </row>
    <row r="694" spans="2:30" x14ac:dyDescent="0.25">
      <c r="B694" s="10">
        <v>282</v>
      </c>
      <c r="C694" s="10" t="s">
        <v>3446</v>
      </c>
      <c r="D694" s="10" t="s">
        <v>2162</v>
      </c>
      <c r="E694" s="10" t="s">
        <v>3447</v>
      </c>
      <c r="F694" s="10" t="s">
        <v>2164</v>
      </c>
      <c r="G694" s="10" t="s">
        <v>3448</v>
      </c>
      <c r="H694" s="10" t="s">
        <v>2164</v>
      </c>
      <c r="I694" s="10" t="s">
        <v>2128</v>
      </c>
      <c r="J694" s="10" t="s">
        <v>1975</v>
      </c>
      <c r="K694" s="10" t="s">
        <v>3449</v>
      </c>
      <c r="L694" s="11">
        <v>202124100956822</v>
      </c>
      <c r="M694" s="20">
        <v>44347</v>
      </c>
      <c r="N694" s="20" t="str">
        <f>UPPER(TEXT(Tabla1[[#This Row],[FECHA RADICADO ENTRADA]],"MMM"))</f>
        <v>MAY</v>
      </c>
      <c r="O694" s="11">
        <v>202124110849111</v>
      </c>
      <c r="P694" s="20">
        <v>44348</v>
      </c>
      <c r="Q694" s="20" t="str">
        <f>UPPER(TEXT(Tabla1[[#This Row],[FECHA RADICADO ENTRADA]],"MMM"))</f>
        <v>MAY</v>
      </c>
      <c r="R694" s="10">
        <f t="shared" si="13"/>
        <v>-1</v>
      </c>
      <c r="S694" s="10" t="s">
        <v>2145</v>
      </c>
      <c r="T694" s="10" t="s">
        <v>3390</v>
      </c>
      <c r="U694" s="10" t="s">
        <v>2164</v>
      </c>
      <c r="V694" s="20" t="s">
        <v>2164</v>
      </c>
      <c r="W694" s="10" t="s">
        <v>63</v>
      </c>
      <c r="X694" s="10">
        <v>0</v>
      </c>
      <c r="Y694" s="11">
        <f>IFERROR(INT(Tabla1[[#This Row],[CANTIDAD UND FARMACEUTICAS]]/(VLOOKUP(Tabla1[[#This Row],[MEDICAMENTO]],TAB_REF!$K$3:$L$27,2,0))),"")</f>
        <v>0</v>
      </c>
      <c r="Z694" s="10" t="str">
        <f>IFERROR(VLOOKUP(Tabla1[[#This Row],[MEDICAMENTO]],TAB_REF!$B$3:$F$27,2,0), "")</f>
        <v xml:space="preserve">Morfina HCl </v>
      </c>
      <c r="AA694" s="10" t="str">
        <f>IFERROR(VLOOKUP(Tabla1[[#This Row],[MEDICAMENTO]],TAB_REF!$B$3:$F$27,3,0), "")</f>
        <v xml:space="preserve">10 mg/mL </v>
      </c>
      <c r="AB694" s="10" t="str">
        <f>IFERROR(VLOOKUP(Tabla1[[#This Row],[MEDICAMENTO]],TAB_REF!$B$3:$F$27,4,0), "")</f>
        <v>Solución Inyectable</v>
      </c>
      <c r="AC694" s="10" t="str">
        <f>IFERROR(VLOOKUP(Tabla1[[#This Row],[MEDICAMENTO]],TAB_REF!$B$3:$F$27,5,0), "")</f>
        <v>Caja x 10 unidades</v>
      </c>
      <c r="AD694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695" spans="2:30" x14ac:dyDescent="0.25">
      <c r="B695" s="10">
        <v>283</v>
      </c>
      <c r="C695" s="10" t="s">
        <v>3450</v>
      </c>
      <c r="D695" s="10" t="s">
        <v>2182</v>
      </c>
      <c r="E695" s="10" t="s">
        <v>2445</v>
      </c>
      <c r="F695" s="10" t="s">
        <v>2446</v>
      </c>
      <c r="G695" s="10" t="s">
        <v>2447</v>
      </c>
      <c r="H695" s="10" t="s">
        <v>2448</v>
      </c>
      <c r="I695" s="10" t="s">
        <v>2129</v>
      </c>
      <c r="J695" s="10" t="s">
        <v>2011</v>
      </c>
      <c r="K695" s="10" t="s">
        <v>3451</v>
      </c>
      <c r="L695" s="11">
        <v>202124100958732</v>
      </c>
      <c r="M695" s="20">
        <v>44347</v>
      </c>
      <c r="N695" s="20" t="str">
        <f>UPPER(TEXT(Tabla1[[#This Row],[FECHA RADICADO ENTRADA]],"MMM"))</f>
        <v>MAY</v>
      </c>
      <c r="O695" s="11">
        <v>202124110849061</v>
      </c>
      <c r="P695" s="20">
        <v>44348</v>
      </c>
      <c r="Q695" s="20" t="str">
        <f>UPPER(TEXT(Tabla1[[#This Row],[FECHA RADICADO ENTRADA]],"MMM"))</f>
        <v>MAY</v>
      </c>
      <c r="R695" s="10">
        <f t="shared" si="13"/>
        <v>-1</v>
      </c>
      <c r="S695" s="10" t="s">
        <v>2154</v>
      </c>
      <c r="U695" s="10" t="s">
        <v>2450</v>
      </c>
      <c r="V695" s="20">
        <v>44186</v>
      </c>
      <c r="W695" s="10" t="s">
        <v>64</v>
      </c>
      <c r="X695" s="10">
        <v>500</v>
      </c>
      <c r="Y695" s="11">
        <f>IFERROR(INT(Tabla1[[#This Row],[CANTIDAD UND FARMACEUTICAS]]/(VLOOKUP(Tabla1[[#This Row],[MEDICAMENTO]],TAB_REF!$K$3:$L$27,2,0))),"")</f>
        <v>50</v>
      </c>
      <c r="Z695" s="10" t="str">
        <f>IFERROR(VLOOKUP(Tabla1[[#This Row],[MEDICAMENTO]],TAB_REF!$B$3:$F$27,2,0), "")</f>
        <v xml:space="preserve">Morfina HCl </v>
      </c>
      <c r="AA695" s="10" t="str">
        <f>IFERROR(VLOOKUP(Tabla1[[#This Row],[MEDICAMENTO]],TAB_REF!$B$3:$F$27,3,0), "")</f>
        <v xml:space="preserve">10 (50mg/5mL) </v>
      </c>
      <c r="AB695" s="10" t="str">
        <f>IFERROR(VLOOKUP(Tabla1[[#This Row],[MEDICAMENTO]],TAB_REF!$B$3:$F$27,4,0), "")</f>
        <v>Solución Inyectable</v>
      </c>
      <c r="AC695" s="10" t="str">
        <f>IFERROR(VLOOKUP(Tabla1[[#This Row],[MEDICAMENTO]],TAB_REF!$B$3:$F$27,5,0), "")</f>
        <v>Caja x 5 unidades</v>
      </c>
      <c r="AD695" s="10" t="str">
        <f>IFERROR(VLOOKUP(Tabla1[[#This Row],[CANTIDAD UND COMERCIALES]],TAB_REF!$H$3:$I$1003,2,0)&amp;" ("&amp;Tabla1[[#This Row],[CANTIDAD UND COMERCIALES]]&amp;")"&amp;"_"&amp;Tabla1[[#This Row],[CANTIDAD]],"")</f>
        <v>Cincuenta (50)_Caja x 5 unidades</v>
      </c>
    </row>
    <row r="696" spans="2:30" x14ac:dyDescent="0.25">
      <c r="B696" s="10">
        <v>283</v>
      </c>
      <c r="C696" s="10" t="s">
        <v>3450</v>
      </c>
      <c r="D696" s="10" t="s">
        <v>2182</v>
      </c>
      <c r="E696" s="10" t="s">
        <v>2445</v>
      </c>
      <c r="F696" s="10" t="s">
        <v>3452</v>
      </c>
      <c r="G696" s="10" t="s">
        <v>2447</v>
      </c>
      <c r="H696" s="10" t="s">
        <v>2448</v>
      </c>
      <c r="I696" s="10" t="s">
        <v>2129</v>
      </c>
      <c r="J696" s="10" t="s">
        <v>2011</v>
      </c>
      <c r="K696" s="10" t="s">
        <v>3451</v>
      </c>
      <c r="L696" s="11">
        <v>202124100958732</v>
      </c>
      <c r="M696" s="20">
        <v>44347</v>
      </c>
      <c r="N696" s="20" t="str">
        <f>UPPER(TEXT(Tabla1[[#This Row],[FECHA RADICADO ENTRADA]],"MMM"))</f>
        <v>MAY</v>
      </c>
      <c r="O696" s="11">
        <v>202124110849061</v>
      </c>
      <c r="P696" s="20">
        <v>44348</v>
      </c>
      <c r="Q696" s="20" t="str">
        <f>UPPER(TEXT(Tabla1[[#This Row],[FECHA RADICADO ENTRADA]],"MMM"))</f>
        <v>MAY</v>
      </c>
      <c r="R696" s="10">
        <f t="shared" si="13"/>
        <v>-1</v>
      </c>
      <c r="S696" s="10" t="s">
        <v>2145</v>
      </c>
      <c r="U696" s="10" t="s">
        <v>2450</v>
      </c>
      <c r="V696" s="20">
        <v>44186</v>
      </c>
      <c r="W696" s="10" t="s">
        <v>63</v>
      </c>
      <c r="X696" s="10">
        <v>0</v>
      </c>
      <c r="Y696" s="11">
        <f>IFERROR(INT(Tabla1[[#This Row],[CANTIDAD UND FARMACEUTICAS]]/(VLOOKUP(Tabla1[[#This Row],[MEDICAMENTO]],TAB_REF!$K$3:$L$27,2,0))),"")</f>
        <v>0</v>
      </c>
      <c r="Z696" s="10" t="str">
        <f>IFERROR(VLOOKUP(Tabla1[[#This Row],[MEDICAMENTO]],TAB_REF!$B$3:$F$27,2,0), "")</f>
        <v xml:space="preserve">Morfina HCl </v>
      </c>
      <c r="AA696" s="10" t="str">
        <f>IFERROR(VLOOKUP(Tabla1[[#This Row],[MEDICAMENTO]],TAB_REF!$B$3:$F$27,3,0), "")</f>
        <v xml:space="preserve">10 mg/mL </v>
      </c>
      <c r="AB696" s="10" t="str">
        <f>IFERROR(VLOOKUP(Tabla1[[#This Row],[MEDICAMENTO]],TAB_REF!$B$3:$F$27,4,0), "")</f>
        <v>Solución Inyectable</v>
      </c>
      <c r="AC696" s="10" t="str">
        <f>IFERROR(VLOOKUP(Tabla1[[#This Row],[MEDICAMENTO]],TAB_REF!$B$3:$F$27,5,0), "")</f>
        <v>Caja x 10 unidades</v>
      </c>
      <c r="AD696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697" spans="2:30" x14ac:dyDescent="0.25">
      <c r="B697" s="10">
        <v>283</v>
      </c>
      <c r="C697" s="10" t="s">
        <v>3450</v>
      </c>
      <c r="D697" s="10" t="s">
        <v>2182</v>
      </c>
      <c r="E697" s="10" t="s">
        <v>2445</v>
      </c>
      <c r="F697" s="10" t="s">
        <v>3453</v>
      </c>
      <c r="G697" s="10" t="s">
        <v>2447</v>
      </c>
      <c r="H697" s="10" t="s">
        <v>2448</v>
      </c>
      <c r="I697" s="10" t="s">
        <v>2129</v>
      </c>
      <c r="J697" s="10" t="s">
        <v>2011</v>
      </c>
      <c r="K697" s="10" t="s">
        <v>3451</v>
      </c>
      <c r="L697" s="11">
        <v>202124100958732</v>
      </c>
      <c r="M697" s="20">
        <v>44347</v>
      </c>
      <c r="N697" s="20" t="str">
        <f>UPPER(TEXT(Tabla1[[#This Row],[FECHA RADICADO ENTRADA]],"MMM"))</f>
        <v>MAY</v>
      </c>
      <c r="O697" s="11">
        <v>202124110849061</v>
      </c>
      <c r="P697" s="20">
        <v>44348</v>
      </c>
      <c r="Q697" s="20" t="str">
        <f>UPPER(TEXT(Tabla1[[#This Row],[FECHA RADICADO ENTRADA]],"MMM"))</f>
        <v>MAY</v>
      </c>
      <c r="R697" s="10">
        <f t="shared" si="13"/>
        <v>-1</v>
      </c>
      <c r="S697" s="10" t="s">
        <v>2145</v>
      </c>
      <c r="U697" s="10" t="s">
        <v>2450</v>
      </c>
      <c r="V697" s="20">
        <v>44186</v>
      </c>
      <c r="W697" s="10" t="s">
        <v>60</v>
      </c>
      <c r="X697" s="10">
        <v>0</v>
      </c>
      <c r="Y697" s="11">
        <f>IFERROR(INT(Tabla1[[#This Row],[CANTIDAD UND FARMACEUTICAS]]/(VLOOKUP(Tabla1[[#This Row],[MEDICAMENTO]],TAB_REF!$K$3:$L$27,2,0))),"")</f>
        <v>0</v>
      </c>
      <c r="Z697" s="10" t="str">
        <f>IFERROR(VLOOKUP(Tabla1[[#This Row],[MEDICAMENTO]],TAB_REF!$B$3:$F$27,2,0), "")</f>
        <v xml:space="preserve">Morfina HCl </v>
      </c>
      <c r="AA697" s="10" t="str">
        <f>IFERROR(VLOOKUP(Tabla1[[#This Row],[MEDICAMENTO]],TAB_REF!$B$3:$F$27,3,0), "")</f>
        <v xml:space="preserve">3%. </v>
      </c>
      <c r="AB697" s="10" t="str">
        <f>IFERROR(VLOOKUP(Tabla1[[#This Row],[MEDICAMENTO]],TAB_REF!$B$3:$F$27,4,0), "")</f>
        <v>Solución Oral</v>
      </c>
      <c r="AC697" s="10" t="str">
        <f>IFERROR(VLOOKUP(Tabla1[[#This Row],[MEDICAMENTO]],TAB_REF!$B$3:$F$27,5,0), "")</f>
        <v>Frasco x 30 mL</v>
      </c>
      <c r="AD697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698" spans="2:30" x14ac:dyDescent="0.25">
      <c r="B698" s="10">
        <v>283</v>
      </c>
      <c r="C698" s="10" t="s">
        <v>3450</v>
      </c>
      <c r="D698" s="10" t="s">
        <v>2182</v>
      </c>
      <c r="E698" s="10" t="s">
        <v>2445</v>
      </c>
      <c r="F698" s="10" t="s">
        <v>3454</v>
      </c>
      <c r="G698" s="10" t="s">
        <v>2447</v>
      </c>
      <c r="H698" s="10" t="s">
        <v>2448</v>
      </c>
      <c r="I698" s="10" t="s">
        <v>2129</v>
      </c>
      <c r="J698" s="10" t="s">
        <v>2011</v>
      </c>
      <c r="K698" s="10" t="s">
        <v>3451</v>
      </c>
      <c r="L698" s="11">
        <v>202124100958732</v>
      </c>
      <c r="M698" s="20">
        <v>44347</v>
      </c>
      <c r="N698" s="20" t="str">
        <f>UPPER(TEXT(Tabla1[[#This Row],[FECHA RADICADO ENTRADA]],"MMM"))</f>
        <v>MAY</v>
      </c>
      <c r="O698" s="11">
        <v>202124110849061</v>
      </c>
      <c r="P698" s="20">
        <v>44348</v>
      </c>
      <c r="Q698" s="20" t="str">
        <f>UPPER(TEXT(Tabla1[[#This Row],[FECHA RADICADO ENTRADA]],"MMM"))</f>
        <v>MAY</v>
      </c>
      <c r="R698" s="10">
        <f t="shared" si="13"/>
        <v>-1</v>
      </c>
      <c r="S698" s="10" t="s">
        <v>2145</v>
      </c>
      <c r="U698" s="10" t="s">
        <v>2450</v>
      </c>
      <c r="V698" s="20">
        <v>44186</v>
      </c>
      <c r="W698" s="10" t="s">
        <v>32</v>
      </c>
      <c r="X698" s="10">
        <v>0</v>
      </c>
      <c r="Y698" s="11">
        <f>IFERROR(INT(Tabla1[[#This Row],[CANTIDAD UND FARMACEUTICAS]]/(VLOOKUP(Tabla1[[#This Row],[MEDICAMENTO]],TAB_REF!$K$3:$L$27,2,0))),"")</f>
        <v>0</v>
      </c>
      <c r="Z698" s="10" t="str">
        <f>IFERROR(VLOOKUP(Tabla1[[#This Row],[MEDICAMENTO]],TAB_REF!$B$3:$F$27,2,0), "")</f>
        <v xml:space="preserve">Fenobarbital </v>
      </c>
      <c r="AA698" s="10" t="str">
        <f>IFERROR(VLOOKUP(Tabla1[[#This Row],[MEDICAMENTO]],TAB_REF!$B$3:$F$27,3,0), "")</f>
        <v xml:space="preserve">100 mg </v>
      </c>
      <c r="AB698" s="10" t="str">
        <f>IFERROR(VLOOKUP(Tabla1[[#This Row],[MEDICAMENTO]],TAB_REF!$B$3:$F$27,4,0), "")</f>
        <v>Tabletas</v>
      </c>
      <c r="AC698" s="10" t="str">
        <f>IFERROR(VLOOKUP(Tabla1[[#This Row],[MEDICAMENTO]],TAB_REF!$B$3:$F$27,5,0), "")</f>
        <v>Caja x 30 unidades</v>
      </c>
      <c r="AD698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699" spans="2:30" x14ac:dyDescent="0.25">
      <c r="B699" s="10">
        <v>283</v>
      </c>
      <c r="C699" s="10" t="s">
        <v>3450</v>
      </c>
      <c r="D699" s="10" t="s">
        <v>2182</v>
      </c>
      <c r="E699" s="10" t="s">
        <v>2445</v>
      </c>
      <c r="F699" s="10" t="s">
        <v>3455</v>
      </c>
      <c r="G699" s="10" t="s">
        <v>2447</v>
      </c>
      <c r="H699" s="10" t="s">
        <v>2448</v>
      </c>
      <c r="I699" s="10" t="s">
        <v>2129</v>
      </c>
      <c r="J699" s="10" t="s">
        <v>2011</v>
      </c>
      <c r="K699" s="10" t="s">
        <v>3451</v>
      </c>
      <c r="L699" s="11">
        <v>202124100958732</v>
      </c>
      <c r="M699" s="20">
        <v>44347</v>
      </c>
      <c r="N699" s="20" t="str">
        <f>UPPER(TEXT(Tabla1[[#This Row],[FECHA RADICADO ENTRADA]],"MMM"))</f>
        <v>MAY</v>
      </c>
      <c r="O699" s="11">
        <v>202124110849061</v>
      </c>
      <c r="P699" s="20">
        <v>44348</v>
      </c>
      <c r="Q699" s="20" t="str">
        <f>UPPER(TEXT(Tabla1[[#This Row],[FECHA RADICADO ENTRADA]],"MMM"))</f>
        <v>MAY</v>
      </c>
      <c r="R699" s="10">
        <f t="shared" si="13"/>
        <v>-1</v>
      </c>
      <c r="S699" s="10" t="s">
        <v>2145</v>
      </c>
      <c r="U699" s="10" t="s">
        <v>2450</v>
      </c>
      <c r="V699" s="20">
        <v>44186</v>
      </c>
      <c r="W699" s="10" t="s">
        <v>48</v>
      </c>
      <c r="X699" s="10">
        <v>0</v>
      </c>
      <c r="Y699" s="11">
        <f>IFERROR(INT(Tabla1[[#This Row],[CANTIDAD UND FARMACEUTICAS]]/(VLOOKUP(Tabla1[[#This Row],[MEDICAMENTO]],TAB_REF!$K$3:$L$27,2,0))),"")</f>
        <v>0</v>
      </c>
      <c r="Z699" s="10" t="str">
        <f>IFERROR(VLOOKUP(Tabla1[[#This Row],[MEDICAMENTO]],TAB_REF!$B$3:$F$27,2,0), "")</f>
        <v xml:space="preserve">Metilfenidato HCl </v>
      </c>
      <c r="AA699" s="10" t="str">
        <f>IFERROR(VLOOKUP(Tabla1[[#This Row],[MEDICAMENTO]],TAB_REF!$B$3:$F$27,3,0), "")</f>
        <v xml:space="preserve">10 mg </v>
      </c>
      <c r="AB699" s="10" t="str">
        <f>IFERROR(VLOOKUP(Tabla1[[#This Row],[MEDICAMENTO]],TAB_REF!$B$3:$F$27,4,0), "")</f>
        <v>Comprimidos</v>
      </c>
      <c r="AC699" s="10" t="str">
        <f>IFERROR(VLOOKUP(Tabla1[[#This Row],[MEDICAMENTO]],TAB_REF!$B$3:$F$27,5,0), "")</f>
        <v>Caja x 30 unidades</v>
      </c>
      <c r="AD699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700" spans="2:30" x14ac:dyDescent="0.25">
      <c r="B700" s="10">
        <v>284</v>
      </c>
      <c r="C700" s="10" t="s">
        <v>2428</v>
      </c>
      <c r="D700" s="10" t="s">
        <v>2162</v>
      </c>
      <c r="E700" s="10" t="s">
        <v>2429</v>
      </c>
      <c r="F700" s="10" t="s">
        <v>2430</v>
      </c>
      <c r="G700" s="10" t="s">
        <v>2431</v>
      </c>
      <c r="H700" s="10" t="s">
        <v>2432</v>
      </c>
      <c r="I700" s="10" t="s">
        <v>2128</v>
      </c>
      <c r="J700" s="10" t="s">
        <v>1968</v>
      </c>
      <c r="K700" s="10" t="s">
        <v>3384</v>
      </c>
      <c r="L700" s="11">
        <v>202124100964722</v>
      </c>
      <c r="M700" s="20">
        <v>44348</v>
      </c>
      <c r="N700" s="20" t="str">
        <f>UPPER(TEXT(Tabla1[[#This Row],[FECHA RADICADO ENTRADA]],"MMM"))</f>
        <v>JUN</v>
      </c>
      <c r="O700" s="11"/>
      <c r="P700" s="20"/>
      <c r="Q700" s="20" t="str">
        <f>UPPER(TEXT(Tabla1[[#This Row],[FECHA RADICADO ENTRADA]],"MMM"))</f>
        <v>JUN</v>
      </c>
      <c r="R700" s="10">
        <f t="shared" si="13"/>
        <v>44348</v>
      </c>
      <c r="S700" s="10" t="s">
        <v>2145</v>
      </c>
      <c r="T700" s="10" t="s">
        <v>3456</v>
      </c>
      <c r="U700" s="10" t="s">
        <v>2434</v>
      </c>
      <c r="V700" s="20">
        <v>43630</v>
      </c>
      <c r="W700" s="10" t="s">
        <v>63</v>
      </c>
      <c r="X700" s="10">
        <v>0</v>
      </c>
      <c r="Y700" s="11">
        <f>IFERROR(INT(Tabla1[[#This Row],[CANTIDAD UND FARMACEUTICAS]]/(VLOOKUP(Tabla1[[#This Row],[MEDICAMENTO]],TAB_REF!$K$3:$L$27,2,0))),"")</f>
        <v>0</v>
      </c>
      <c r="Z700" s="10" t="str">
        <f>IFERROR(VLOOKUP(Tabla1[[#This Row],[MEDICAMENTO]],TAB_REF!$B$3:$F$27,2,0), "")</f>
        <v xml:space="preserve">Morfina HCl </v>
      </c>
      <c r="AA700" s="10" t="str">
        <f>IFERROR(VLOOKUP(Tabla1[[#This Row],[MEDICAMENTO]],TAB_REF!$B$3:$F$27,3,0), "")</f>
        <v xml:space="preserve">10 mg/mL </v>
      </c>
      <c r="AB700" s="10" t="str">
        <f>IFERROR(VLOOKUP(Tabla1[[#This Row],[MEDICAMENTO]],TAB_REF!$B$3:$F$27,4,0), "")</f>
        <v>Solución Inyectable</v>
      </c>
      <c r="AC700" s="10" t="str">
        <f>IFERROR(VLOOKUP(Tabla1[[#This Row],[MEDICAMENTO]],TAB_REF!$B$3:$F$27,5,0), "")</f>
        <v>Caja x 10 unidades</v>
      </c>
      <c r="AD700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701" spans="2:30" x14ac:dyDescent="0.25">
      <c r="B701" s="10">
        <v>284</v>
      </c>
      <c r="C701" s="10" t="s">
        <v>2428</v>
      </c>
      <c r="D701" s="10" t="s">
        <v>2162</v>
      </c>
      <c r="E701" s="10" t="s">
        <v>2429</v>
      </c>
      <c r="F701" s="10" t="s">
        <v>2430</v>
      </c>
      <c r="G701" s="10" t="s">
        <v>2431</v>
      </c>
      <c r="H701" s="10" t="s">
        <v>2432</v>
      </c>
      <c r="I701" s="10" t="s">
        <v>2128</v>
      </c>
      <c r="J701" s="10" t="s">
        <v>1968</v>
      </c>
      <c r="K701" s="10" t="s">
        <v>3384</v>
      </c>
      <c r="L701" s="11">
        <v>202124100964722</v>
      </c>
      <c r="M701" s="20">
        <v>44348</v>
      </c>
      <c r="N701" s="20" t="str">
        <f>UPPER(TEXT(Tabla1[[#This Row],[FECHA RADICADO ENTRADA]],"MMM"))</f>
        <v>JUN</v>
      </c>
      <c r="O701" s="11"/>
      <c r="P701" s="20"/>
      <c r="Q701" s="20" t="str">
        <f>UPPER(TEXT(Tabla1[[#This Row],[FECHA RADICADO ENTRADA]],"MMM"))</f>
        <v>JUN</v>
      </c>
      <c r="R701" s="10">
        <f t="shared" si="13"/>
        <v>44348</v>
      </c>
      <c r="S701" s="10" t="s">
        <v>2145</v>
      </c>
      <c r="T701" s="10" t="s">
        <v>3383</v>
      </c>
      <c r="U701" s="10" t="s">
        <v>2434</v>
      </c>
      <c r="V701" s="20">
        <v>43630</v>
      </c>
      <c r="W701" s="10" t="s">
        <v>34</v>
      </c>
      <c r="X701" s="10">
        <v>0</v>
      </c>
      <c r="Y701" s="11">
        <f>IFERROR(INT(Tabla1[[#This Row],[CANTIDAD UND FARMACEUTICAS]]/(VLOOKUP(Tabla1[[#This Row],[MEDICAMENTO]],TAB_REF!$K$3:$L$27,2,0))),"")</f>
        <v>0</v>
      </c>
      <c r="Z701" s="10" t="str">
        <f>IFERROR(VLOOKUP(Tabla1[[#This Row],[MEDICAMENTO]],TAB_REF!$B$3:$F$27,2,0), "")</f>
        <v xml:space="preserve">Fenobarbital Sódico </v>
      </c>
      <c r="AA701" s="10" t="str">
        <f>IFERROR(VLOOKUP(Tabla1[[#This Row],[MEDICAMENTO]],TAB_REF!$B$3:$F$27,3,0), "")</f>
        <v xml:space="preserve">200 mg/Ml </v>
      </c>
      <c r="AB701" s="10" t="str">
        <f>IFERROR(VLOOKUP(Tabla1[[#This Row],[MEDICAMENTO]],TAB_REF!$B$3:$F$27,4,0), "")</f>
        <v>Solución Inyectable</v>
      </c>
      <c r="AC701" s="10" t="str">
        <f>IFERROR(VLOOKUP(Tabla1[[#This Row],[MEDICAMENTO]],TAB_REF!$B$3:$F$27,5,0), "")</f>
        <v>Caja x 10 unidades</v>
      </c>
      <c r="AD701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702" spans="2:30" x14ac:dyDescent="0.25">
      <c r="B702" s="10">
        <v>285</v>
      </c>
      <c r="C702" s="10" t="s">
        <v>3457</v>
      </c>
      <c r="D702" s="10" t="s">
        <v>2182</v>
      </c>
      <c r="E702" s="10" t="s">
        <v>3458</v>
      </c>
      <c r="F702" s="10" t="s">
        <v>3459</v>
      </c>
      <c r="G702" s="10" t="s">
        <v>3460</v>
      </c>
      <c r="H702" s="10" t="s">
        <v>3461</v>
      </c>
      <c r="I702" s="10" t="s">
        <v>2128</v>
      </c>
      <c r="J702" s="10" t="s">
        <v>1918</v>
      </c>
      <c r="K702" s="10" t="s">
        <v>3462</v>
      </c>
      <c r="L702" s="11">
        <v>202124100965072</v>
      </c>
      <c r="M702" s="20">
        <v>44348</v>
      </c>
      <c r="N702" s="20" t="str">
        <f>UPPER(TEXT(Tabla1[[#This Row],[FECHA RADICADO ENTRADA]],"MMM"))</f>
        <v>JUN</v>
      </c>
      <c r="O702" s="11">
        <v>202124110871231</v>
      </c>
      <c r="P702" s="20">
        <v>44351</v>
      </c>
      <c r="Q702" s="20" t="str">
        <f>UPPER(TEXT(Tabla1[[#This Row],[FECHA RADICADO ENTRADA]],"MMM"))</f>
        <v>JUN</v>
      </c>
      <c r="R702" s="10">
        <f t="shared" si="13"/>
        <v>-3</v>
      </c>
      <c r="S702" s="10" t="s">
        <v>2154</v>
      </c>
      <c r="U702" s="10" t="s">
        <v>3463</v>
      </c>
      <c r="V702" s="20">
        <v>43425</v>
      </c>
      <c r="W702" s="10" t="s">
        <v>60</v>
      </c>
      <c r="X702" s="10">
        <v>20</v>
      </c>
      <c r="Y702" s="11">
        <f>IFERROR(INT(Tabla1[[#This Row],[CANTIDAD UND FARMACEUTICAS]]/(VLOOKUP(Tabla1[[#This Row],[MEDICAMENTO]],TAB_REF!$K$3:$L$27,2,0))),"")</f>
        <v>20</v>
      </c>
      <c r="Z702" s="10" t="str">
        <f>IFERROR(VLOOKUP(Tabla1[[#This Row],[MEDICAMENTO]],TAB_REF!$B$3:$F$27,2,0), "")</f>
        <v xml:space="preserve">Morfina HCl </v>
      </c>
      <c r="AA702" s="10" t="str">
        <f>IFERROR(VLOOKUP(Tabla1[[#This Row],[MEDICAMENTO]],TAB_REF!$B$3:$F$27,3,0), "")</f>
        <v xml:space="preserve">3%. </v>
      </c>
      <c r="AB702" s="10" t="str">
        <f>IFERROR(VLOOKUP(Tabla1[[#This Row],[MEDICAMENTO]],TAB_REF!$B$3:$F$27,4,0), "")</f>
        <v>Solución Oral</v>
      </c>
      <c r="AC702" s="10" t="str">
        <f>IFERROR(VLOOKUP(Tabla1[[#This Row],[MEDICAMENTO]],TAB_REF!$B$3:$F$27,5,0), "")</f>
        <v>Frasco x 30 mL</v>
      </c>
      <c r="AD702" s="10" t="str">
        <f>IFERROR(VLOOKUP(Tabla1[[#This Row],[CANTIDAD UND COMERCIALES]],TAB_REF!$H$3:$I$1003,2,0)&amp;" ("&amp;Tabla1[[#This Row],[CANTIDAD UND COMERCIALES]]&amp;")"&amp;"_"&amp;Tabla1[[#This Row],[CANTIDAD]],"")</f>
        <v>Veinte (20)_Frasco x 30 mL</v>
      </c>
    </row>
    <row r="703" spans="2:30" x14ac:dyDescent="0.25">
      <c r="B703" s="10">
        <v>286</v>
      </c>
      <c r="C703" s="10" t="s">
        <v>2764</v>
      </c>
      <c r="D703" s="10" t="s">
        <v>2175</v>
      </c>
      <c r="E703" s="10" t="s">
        <v>2765</v>
      </c>
      <c r="F703" s="10" t="s">
        <v>2533</v>
      </c>
      <c r="G703" s="10" t="s">
        <v>2737</v>
      </c>
      <c r="H703" s="10" t="s">
        <v>2738</v>
      </c>
      <c r="I703" s="10" t="s">
        <v>2113</v>
      </c>
      <c r="J703" s="10" t="s">
        <v>1442</v>
      </c>
      <c r="K703" s="10" t="s">
        <v>3464</v>
      </c>
      <c r="L703" s="11">
        <v>202124100966512</v>
      </c>
      <c r="M703" s="20">
        <v>44348</v>
      </c>
      <c r="N703" s="20" t="str">
        <f>UPPER(TEXT(Tabla1[[#This Row],[FECHA RADICADO ENTRADA]],"MMM"))</f>
        <v>JUN</v>
      </c>
      <c r="O703" s="11">
        <v>202124110871161</v>
      </c>
      <c r="P703" s="20">
        <v>44351</v>
      </c>
      <c r="Q703" s="20" t="str">
        <f>UPPER(TEXT(Tabla1[[#This Row],[FECHA RADICADO ENTRADA]],"MMM"))</f>
        <v>JUN</v>
      </c>
      <c r="R703" s="10">
        <f t="shared" si="13"/>
        <v>-3</v>
      </c>
      <c r="S703" s="10" t="s">
        <v>2154</v>
      </c>
      <c r="U703" s="10" t="s">
        <v>2767</v>
      </c>
      <c r="V703" s="20">
        <v>44223</v>
      </c>
      <c r="W703" s="10" t="s">
        <v>63</v>
      </c>
      <c r="X703" s="10">
        <v>800</v>
      </c>
      <c r="Y703" s="11">
        <f>IFERROR(INT(Tabla1[[#This Row],[CANTIDAD UND FARMACEUTICAS]]/(VLOOKUP(Tabla1[[#This Row],[MEDICAMENTO]],TAB_REF!$K$3:$L$27,2,0))),"")</f>
        <v>80</v>
      </c>
      <c r="Z703" s="10" t="str">
        <f>IFERROR(VLOOKUP(Tabla1[[#This Row],[MEDICAMENTO]],TAB_REF!$B$3:$F$27,2,0), "")</f>
        <v xml:space="preserve">Morfina HCl </v>
      </c>
      <c r="AA703" s="10" t="str">
        <f>IFERROR(VLOOKUP(Tabla1[[#This Row],[MEDICAMENTO]],TAB_REF!$B$3:$F$27,3,0), "")</f>
        <v xml:space="preserve">10 mg/mL </v>
      </c>
      <c r="AB703" s="10" t="str">
        <f>IFERROR(VLOOKUP(Tabla1[[#This Row],[MEDICAMENTO]],TAB_REF!$B$3:$F$27,4,0), "")</f>
        <v>Solución Inyectable</v>
      </c>
      <c r="AC703" s="10" t="str">
        <f>IFERROR(VLOOKUP(Tabla1[[#This Row],[MEDICAMENTO]],TAB_REF!$B$3:$F$27,5,0), "")</f>
        <v>Caja x 10 unidades</v>
      </c>
      <c r="AD703" s="10" t="str">
        <f>IFERROR(VLOOKUP(Tabla1[[#This Row],[CANTIDAD UND COMERCIALES]],TAB_REF!$H$3:$I$1003,2,0)&amp;" ("&amp;Tabla1[[#This Row],[CANTIDAD UND COMERCIALES]]&amp;")"&amp;"_"&amp;Tabla1[[#This Row],[CANTIDAD]],"")</f>
        <v>Ochenta (80)_Caja x 10 unidades</v>
      </c>
    </row>
    <row r="704" spans="2:30" x14ac:dyDescent="0.25">
      <c r="B704" s="10">
        <v>286</v>
      </c>
      <c r="C704" s="10" t="s">
        <v>2764</v>
      </c>
      <c r="D704" s="10" t="s">
        <v>2175</v>
      </c>
      <c r="E704" s="10" t="s">
        <v>2765</v>
      </c>
      <c r="F704" s="10" t="s">
        <v>2533</v>
      </c>
      <c r="G704" s="10" t="s">
        <v>2737</v>
      </c>
      <c r="H704" s="10" t="s">
        <v>2738</v>
      </c>
      <c r="I704" s="10" t="s">
        <v>2113</v>
      </c>
      <c r="J704" s="10" t="s">
        <v>1442</v>
      </c>
      <c r="K704" s="10" t="s">
        <v>3464</v>
      </c>
      <c r="L704" s="11">
        <v>202124100966512</v>
      </c>
      <c r="M704" s="20">
        <v>44348</v>
      </c>
      <c r="N704" s="20" t="str">
        <f>UPPER(TEXT(Tabla1[[#This Row],[FECHA RADICADO ENTRADA]],"MMM"))</f>
        <v>JUN</v>
      </c>
      <c r="O704" s="11">
        <v>202124110871161</v>
      </c>
      <c r="P704" s="20">
        <v>44351</v>
      </c>
      <c r="Q704" s="20" t="str">
        <f>UPPER(TEXT(Tabla1[[#This Row],[FECHA RADICADO ENTRADA]],"MMM"))</f>
        <v>JUN</v>
      </c>
      <c r="R704" s="10">
        <f t="shared" ref="R704:R705" si="14">_xlfn.DAYS(M704,P704)</f>
        <v>-3</v>
      </c>
      <c r="S704" s="10" t="s">
        <v>2154</v>
      </c>
      <c r="U704" s="10" t="s">
        <v>2767</v>
      </c>
      <c r="V704" s="20">
        <v>44223</v>
      </c>
      <c r="W704" s="10" t="s">
        <v>37</v>
      </c>
      <c r="X704" s="10">
        <v>800</v>
      </c>
      <c r="Y704" s="11">
        <f>IFERROR(INT(Tabla1[[#This Row],[CANTIDAD UND FARMACEUTICAS]]/(VLOOKUP(Tabla1[[#This Row],[MEDICAMENTO]],TAB_REF!$K$3:$L$27,2,0))),"")</f>
        <v>80</v>
      </c>
      <c r="Z704" s="26" t="str">
        <f>IFERROR(VLOOKUP(Tabla1[[#This Row],[MEDICAMENTO]],TAB_REF!$B$3:$F$27,2,0), "")</f>
        <v xml:space="preserve">Hidromorfona HCl </v>
      </c>
      <c r="AA704" s="26" t="str">
        <f>IFERROR(VLOOKUP(Tabla1[[#This Row],[MEDICAMENTO]],TAB_REF!$B$3:$F$27,3,0), "")</f>
        <v xml:space="preserve">2 mg/mL </v>
      </c>
      <c r="AB704" s="26" t="str">
        <f>IFERROR(VLOOKUP(Tabla1[[#This Row],[MEDICAMENTO]],TAB_REF!$B$3:$F$27,4,0), "")</f>
        <v>Solución Inyectable</v>
      </c>
      <c r="AC704" s="26" t="str">
        <f>IFERROR(VLOOKUP(Tabla1[[#This Row],[MEDICAMENTO]],TAB_REF!$B$3:$F$27,5,0), "")</f>
        <v>Caja x 10 unidades</v>
      </c>
      <c r="AD704" s="26" t="str">
        <f>IFERROR(VLOOKUP(Tabla1[[#This Row],[CANTIDAD UND COMERCIALES]],TAB_REF!$H$3:$I$1003,2,0)&amp;" ("&amp;Tabla1[[#This Row],[CANTIDAD UND COMERCIALES]]&amp;")"&amp;"_"&amp;Tabla1[[#This Row],[CANTIDAD]],"")</f>
        <v>Ochenta (80)_Caja x 10 unidades</v>
      </c>
    </row>
    <row r="705" spans="2:30" x14ac:dyDescent="0.25">
      <c r="B705" s="10">
        <v>286</v>
      </c>
      <c r="C705" s="10" t="s">
        <v>2764</v>
      </c>
      <c r="D705" s="10" t="s">
        <v>2175</v>
      </c>
      <c r="E705" s="10" t="s">
        <v>2765</v>
      </c>
      <c r="F705" s="10" t="s">
        <v>2533</v>
      </c>
      <c r="G705" s="10" t="s">
        <v>2737</v>
      </c>
      <c r="H705" s="10" t="s">
        <v>2738</v>
      </c>
      <c r="I705" s="10" t="s">
        <v>2113</v>
      </c>
      <c r="J705" s="10" t="s">
        <v>1442</v>
      </c>
      <c r="K705" s="10" t="s">
        <v>3464</v>
      </c>
      <c r="L705" s="11">
        <v>202124100966512</v>
      </c>
      <c r="M705" s="20">
        <v>44348</v>
      </c>
      <c r="N705" s="20" t="str">
        <f>UPPER(TEXT(Tabla1[[#This Row],[FECHA RADICADO ENTRADA]],"MMM"))</f>
        <v>JUN</v>
      </c>
      <c r="O705" s="11">
        <v>202124110871161</v>
      </c>
      <c r="P705" s="20">
        <v>44351</v>
      </c>
      <c r="Q705" s="20" t="str">
        <f>UPPER(TEXT(Tabla1[[#This Row],[FECHA RADICADO ENTRADA]],"MMM"))</f>
        <v>JUN</v>
      </c>
      <c r="R705" s="10">
        <f t="shared" si="14"/>
        <v>-3</v>
      </c>
      <c r="S705" s="10" t="s">
        <v>2154</v>
      </c>
      <c r="U705" s="10" t="s">
        <v>2767</v>
      </c>
      <c r="V705" s="20">
        <v>44223</v>
      </c>
      <c r="W705" s="10" t="s">
        <v>64</v>
      </c>
      <c r="X705" s="10">
        <v>4000</v>
      </c>
      <c r="Y705" s="11">
        <f>IFERROR(INT(Tabla1[[#This Row],[CANTIDAD UND FARMACEUTICAS]]/(VLOOKUP(Tabla1[[#This Row],[MEDICAMENTO]],TAB_REF!$K$3:$L$27,2,0))),"")</f>
        <v>400</v>
      </c>
      <c r="Z705" s="10" t="str">
        <f>IFERROR(VLOOKUP(Tabla1[[#This Row],[MEDICAMENTO]],TAB_REF!$B$3:$F$27,2,0), "")</f>
        <v xml:space="preserve">Morfina HCl </v>
      </c>
      <c r="AA705" s="10" t="str">
        <f>IFERROR(VLOOKUP(Tabla1[[#This Row],[MEDICAMENTO]],TAB_REF!$B$3:$F$27,3,0), "")</f>
        <v xml:space="preserve">10 (50mg/5mL) </v>
      </c>
      <c r="AB705" s="10" t="str">
        <f>IFERROR(VLOOKUP(Tabla1[[#This Row],[MEDICAMENTO]],TAB_REF!$B$3:$F$27,4,0), "")</f>
        <v>Solución Inyectable</v>
      </c>
      <c r="AC705" s="10" t="str">
        <f>IFERROR(VLOOKUP(Tabla1[[#This Row],[MEDICAMENTO]],TAB_REF!$B$3:$F$27,5,0), "")</f>
        <v>Caja x 5 unidades</v>
      </c>
      <c r="AD705" s="10" t="str">
        <f>IFERROR(VLOOKUP(Tabla1[[#This Row],[CANTIDAD UND COMERCIALES]],TAB_REF!$H$3:$I$1003,2,0)&amp;" ("&amp;Tabla1[[#This Row],[CANTIDAD UND COMERCIALES]]&amp;")"&amp;"_"&amp;Tabla1[[#This Row],[CANTIDAD]],"")</f>
        <v>Cuatrocientos (400)_Caja x 5 unidades</v>
      </c>
    </row>
    <row r="706" spans="2:30" x14ac:dyDescent="0.25">
      <c r="B706" s="10">
        <v>287</v>
      </c>
      <c r="C706" s="10" t="s">
        <v>3465</v>
      </c>
      <c r="D706" s="10" t="s">
        <v>3466</v>
      </c>
      <c r="E706" s="10" t="s">
        <v>3053</v>
      </c>
      <c r="F706" s="10" t="s">
        <v>3054</v>
      </c>
      <c r="G706" s="10" t="s">
        <v>3055</v>
      </c>
      <c r="H706" s="10" t="s">
        <v>3056</v>
      </c>
      <c r="I706" s="10" t="s">
        <v>2116</v>
      </c>
      <c r="J706" s="10" t="s">
        <v>1550</v>
      </c>
      <c r="K706" s="10" t="s">
        <v>3467</v>
      </c>
      <c r="L706" s="11">
        <v>202124100966592</v>
      </c>
      <c r="M706" s="20">
        <v>44348</v>
      </c>
      <c r="N706" s="20" t="str">
        <f>UPPER(TEXT(Tabla1[[#This Row],[FECHA RADICADO ENTRADA]],"MMM"))</f>
        <v>JUN</v>
      </c>
      <c r="O706" s="11">
        <v>202124110871121</v>
      </c>
      <c r="P706" s="20">
        <v>44351</v>
      </c>
      <c r="Q706" s="20" t="str">
        <f>UPPER(TEXT(Tabla1[[#This Row],[FECHA RADICADO ENTRADA]],"MMM"))</f>
        <v>JUN</v>
      </c>
      <c r="R706" s="10">
        <f t="shared" ref="R706:R713" si="15">_xlfn.DAYS(M706,P706)</f>
        <v>-3</v>
      </c>
      <c r="S706" s="10" t="s">
        <v>2154</v>
      </c>
      <c r="U706" s="10" t="s">
        <v>3058</v>
      </c>
      <c r="V706" s="20">
        <v>43819</v>
      </c>
      <c r="W706" s="10" t="s">
        <v>63</v>
      </c>
      <c r="X706" s="10">
        <v>500</v>
      </c>
      <c r="Y706" s="11">
        <f>IFERROR(INT(Tabla1[[#This Row],[CANTIDAD UND FARMACEUTICAS]]/(VLOOKUP(Tabla1[[#This Row],[MEDICAMENTO]],TAB_REF!$K$3:$L$27,2,0))),"")</f>
        <v>50</v>
      </c>
      <c r="Z706" s="10" t="str">
        <f>IFERROR(VLOOKUP(Tabla1[[#This Row],[MEDICAMENTO]],TAB_REF!$B$3:$F$27,2,0), "")</f>
        <v xml:space="preserve">Morfina HCl </v>
      </c>
      <c r="AA706" s="10" t="str">
        <f>IFERROR(VLOOKUP(Tabla1[[#This Row],[MEDICAMENTO]],TAB_REF!$B$3:$F$27,3,0), "")</f>
        <v xml:space="preserve">10 mg/mL </v>
      </c>
      <c r="AB706" s="10" t="str">
        <f>IFERROR(VLOOKUP(Tabla1[[#This Row],[MEDICAMENTO]],TAB_REF!$B$3:$F$27,4,0), "")</f>
        <v>Solución Inyectable</v>
      </c>
      <c r="AC706" s="10" t="str">
        <f>IFERROR(VLOOKUP(Tabla1[[#This Row],[MEDICAMENTO]],TAB_REF!$B$3:$F$27,5,0), "")</f>
        <v>Caja x 10 unidades</v>
      </c>
      <c r="AD706" s="10" t="str">
        <f>IFERROR(VLOOKUP(Tabla1[[#This Row],[CANTIDAD UND COMERCIALES]],TAB_REF!$H$3:$I$1003,2,0)&amp;" ("&amp;Tabla1[[#This Row],[CANTIDAD UND COMERCIALES]]&amp;")"&amp;"_"&amp;Tabla1[[#This Row],[CANTIDAD]],"")</f>
        <v>Cincuenta (50)_Caja x 10 unidades</v>
      </c>
    </row>
    <row r="707" spans="2:30" x14ac:dyDescent="0.25">
      <c r="B707" s="10">
        <v>287</v>
      </c>
      <c r="C707" s="10" t="s">
        <v>3465</v>
      </c>
      <c r="D707" s="10" t="s">
        <v>3466</v>
      </c>
      <c r="E707" s="10" t="s">
        <v>3053</v>
      </c>
      <c r="F707" s="10" t="s">
        <v>3054</v>
      </c>
      <c r="G707" s="10" t="s">
        <v>3055</v>
      </c>
      <c r="H707" s="10" t="s">
        <v>3056</v>
      </c>
      <c r="I707" s="10" t="s">
        <v>2116</v>
      </c>
      <c r="J707" s="10" t="s">
        <v>1550</v>
      </c>
      <c r="K707" s="10" t="s">
        <v>3467</v>
      </c>
      <c r="L707" s="11">
        <v>202124100966592</v>
      </c>
      <c r="M707" s="20">
        <v>44348</v>
      </c>
      <c r="N707" s="20" t="str">
        <f>UPPER(TEXT(Tabla1[[#This Row],[FECHA RADICADO ENTRADA]],"MMM"))</f>
        <v>JUN</v>
      </c>
      <c r="O707" s="11">
        <v>202124110871121</v>
      </c>
      <c r="P707" s="20">
        <v>44351</v>
      </c>
      <c r="Q707" s="20" t="str">
        <f>UPPER(TEXT(Tabla1[[#This Row],[FECHA RADICADO ENTRADA]],"MMM"))</f>
        <v>JUN</v>
      </c>
      <c r="R707" s="10">
        <f t="shared" si="15"/>
        <v>-3</v>
      </c>
      <c r="S707" s="10" t="s">
        <v>2154</v>
      </c>
      <c r="U707" s="10" t="s">
        <v>3058</v>
      </c>
      <c r="V707" s="20">
        <v>43819</v>
      </c>
      <c r="W707" s="10" t="s">
        <v>38</v>
      </c>
      <c r="X707" s="10">
        <v>40</v>
      </c>
      <c r="Y707" s="11">
        <f>IFERROR(INT(Tabla1[[#This Row],[CANTIDAD UND FARMACEUTICAS]]/(VLOOKUP(Tabla1[[#This Row],[MEDICAMENTO]],TAB_REF!$K$3:$L$27,2,0))),"")</f>
        <v>2</v>
      </c>
      <c r="Z707" s="10" t="str">
        <f>IFERROR(VLOOKUP(Tabla1[[#This Row],[MEDICAMENTO]],TAB_REF!$B$3:$F$27,2,0), "")</f>
        <v xml:space="preserve">Hidromorfona HCl </v>
      </c>
      <c r="AA707" s="10" t="str">
        <f>IFERROR(VLOOKUP(Tabla1[[#This Row],[MEDICAMENTO]],TAB_REF!$B$3:$F$27,3,0), "")</f>
        <v xml:space="preserve">2,5 mg </v>
      </c>
      <c r="AB707" s="10" t="str">
        <f>IFERROR(VLOOKUP(Tabla1[[#This Row],[MEDICAMENTO]],TAB_REF!$B$3:$F$27,4,0), "")</f>
        <v>Tabletas</v>
      </c>
      <c r="AC707" s="10" t="str">
        <f>IFERROR(VLOOKUP(Tabla1[[#This Row],[MEDICAMENTO]],TAB_REF!$B$3:$F$27,5,0), "")</f>
        <v>Caja x 20 unidades</v>
      </c>
      <c r="AD707" s="10" t="str">
        <f>IFERROR(VLOOKUP(Tabla1[[#This Row],[CANTIDAD UND COMERCIALES]],TAB_REF!$H$3:$I$1003,2,0)&amp;" ("&amp;Tabla1[[#This Row],[CANTIDAD UND COMERCIALES]]&amp;")"&amp;"_"&amp;Tabla1[[#This Row],[CANTIDAD]],"")</f>
        <v>Dos (2)_Caja x 20 unidades</v>
      </c>
    </row>
    <row r="708" spans="2:30" x14ac:dyDescent="0.25">
      <c r="B708" s="10">
        <v>287</v>
      </c>
      <c r="C708" s="10" t="s">
        <v>3465</v>
      </c>
      <c r="D708" s="10" t="s">
        <v>3466</v>
      </c>
      <c r="E708" s="10" t="s">
        <v>3053</v>
      </c>
      <c r="F708" s="10" t="s">
        <v>3054</v>
      </c>
      <c r="G708" s="10" t="s">
        <v>3055</v>
      </c>
      <c r="H708" s="10" t="s">
        <v>3056</v>
      </c>
      <c r="I708" s="10" t="s">
        <v>2116</v>
      </c>
      <c r="J708" s="10" t="s">
        <v>1550</v>
      </c>
      <c r="K708" s="10" t="s">
        <v>3467</v>
      </c>
      <c r="L708" s="11">
        <v>202124100966592</v>
      </c>
      <c r="M708" s="20">
        <v>44348</v>
      </c>
      <c r="N708" s="20" t="str">
        <f>UPPER(TEXT(Tabla1[[#This Row],[FECHA RADICADO ENTRADA]],"MMM"))</f>
        <v>JUN</v>
      </c>
      <c r="O708" s="11">
        <v>202124110871121</v>
      </c>
      <c r="P708" s="20">
        <v>44351</v>
      </c>
      <c r="Q708" s="20" t="str">
        <f>UPPER(TEXT(Tabla1[[#This Row],[FECHA RADICADO ENTRADA]],"MMM"))</f>
        <v>JUN</v>
      </c>
      <c r="R708" s="10">
        <f t="shared" si="15"/>
        <v>-3</v>
      </c>
      <c r="S708" s="10" t="s">
        <v>2154</v>
      </c>
      <c r="U708" s="10" t="s">
        <v>3058</v>
      </c>
      <c r="V708" s="20">
        <v>43819</v>
      </c>
      <c r="W708" s="10" t="s">
        <v>37</v>
      </c>
      <c r="X708" s="10">
        <v>60</v>
      </c>
      <c r="Y708" s="11">
        <f>IFERROR(INT(Tabla1[[#This Row],[CANTIDAD UND FARMACEUTICAS]]/(VLOOKUP(Tabla1[[#This Row],[MEDICAMENTO]],TAB_REF!$K$3:$L$27,2,0))),"")</f>
        <v>6</v>
      </c>
      <c r="Z708" s="10" t="str">
        <f>IFERROR(VLOOKUP(Tabla1[[#This Row],[MEDICAMENTO]],TAB_REF!$B$3:$F$27,2,0), "")</f>
        <v xml:space="preserve">Hidromorfona HCl </v>
      </c>
      <c r="AA708" s="10" t="str">
        <f>IFERROR(VLOOKUP(Tabla1[[#This Row],[MEDICAMENTO]],TAB_REF!$B$3:$F$27,3,0), "")</f>
        <v xml:space="preserve">2 mg/mL </v>
      </c>
      <c r="AB708" s="10" t="str">
        <f>IFERROR(VLOOKUP(Tabla1[[#This Row],[MEDICAMENTO]],TAB_REF!$B$3:$F$27,4,0), "")</f>
        <v>Solución Inyectable</v>
      </c>
      <c r="AC708" s="10" t="str">
        <f>IFERROR(VLOOKUP(Tabla1[[#This Row],[MEDICAMENTO]],TAB_REF!$B$3:$F$27,5,0), "")</f>
        <v>Caja x 10 unidades</v>
      </c>
      <c r="AD708" s="10" t="str">
        <f>IFERROR(VLOOKUP(Tabla1[[#This Row],[CANTIDAD UND COMERCIALES]],TAB_REF!$H$3:$I$1003,2,0)&amp;" ("&amp;Tabla1[[#This Row],[CANTIDAD UND COMERCIALES]]&amp;")"&amp;"_"&amp;Tabla1[[#This Row],[CANTIDAD]],"")</f>
        <v>Seis (6)_Caja x 10 unidades</v>
      </c>
    </row>
    <row r="709" spans="2:30" x14ac:dyDescent="0.25">
      <c r="B709" s="10">
        <v>288</v>
      </c>
      <c r="C709" s="10" t="s">
        <v>2933</v>
      </c>
      <c r="D709" s="10" t="s">
        <v>2182</v>
      </c>
      <c r="E709" s="10" t="s">
        <v>2934</v>
      </c>
      <c r="F709" s="10" t="s">
        <v>2815</v>
      </c>
      <c r="G709" s="10" t="s">
        <v>2935</v>
      </c>
      <c r="H709" s="10" t="s">
        <v>2936</v>
      </c>
      <c r="I709" s="10" t="s">
        <v>2116</v>
      </c>
      <c r="J709" s="10" t="s">
        <v>1550</v>
      </c>
      <c r="K709" s="10" t="s">
        <v>3468</v>
      </c>
      <c r="L709" s="11">
        <v>202124100966642</v>
      </c>
      <c r="M709" s="20">
        <v>44348</v>
      </c>
      <c r="N709" s="20" t="str">
        <f>UPPER(TEXT(Tabla1[[#This Row],[FECHA RADICADO ENTRADA]],"MMM"))</f>
        <v>JUN</v>
      </c>
      <c r="O709" s="11">
        <v>202124110871071</v>
      </c>
      <c r="P709" s="20">
        <v>44351</v>
      </c>
      <c r="Q709" s="20" t="str">
        <f>UPPER(TEXT(Tabla1[[#This Row],[FECHA RADICADO ENTRADA]],"MMM"))</f>
        <v>JUN</v>
      </c>
      <c r="R709" s="10">
        <f t="shared" si="15"/>
        <v>-3</v>
      </c>
      <c r="S709" s="10" t="s">
        <v>2154</v>
      </c>
      <c r="U709" s="10" t="s">
        <v>2938</v>
      </c>
      <c r="V709" s="20">
        <v>43623</v>
      </c>
      <c r="W709" s="10" t="s">
        <v>45</v>
      </c>
      <c r="X709" s="10">
        <v>180</v>
      </c>
      <c r="Y709" s="11">
        <f>IFERROR(INT(Tabla1[[#This Row],[CANTIDAD UND FARMACEUTICAS]]/(VLOOKUP(Tabla1[[#This Row],[MEDICAMENTO]],TAB_REF!$K$3:$L$27,2,0))),"")</f>
        <v>6</v>
      </c>
      <c r="Z709" s="10" t="str">
        <f>IFERROR(VLOOKUP(Tabla1[[#This Row],[MEDICAMENTO]],TAB_REF!$B$3:$F$27,2,0), "")</f>
        <v xml:space="preserve">Metadona HCl </v>
      </c>
      <c r="AA709" s="10" t="str">
        <f>IFERROR(VLOOKUP(Tabla1[[#This Row],[MEDICAMENTO]],TAB_REF!$B$3:$F$27,3,0), "")</f>
        <v xml:space="preserve">10 mg </v>
      </c>
      <c r="AB709" s="10" t="str">
        <f>IFERROR(VLOOKUP(Tabla1[[#This Row],[MEDICAMENTO]],TAB_REF!$B$3:$F$27,4,0), "")</f>
        <v>Tabletas NACIONAL</v>
      </c>
      <c r="AC709" s="10" t="str">
        <f>IFERROR(VLOOKUP(Tabla1[[#This Row],[MEDICAMENTO]],TAB_REF!$B$3:$F$27,5,0), "")</f>
        <v>Caja x 30 unidades</v>
      </c>
      <c r="AD709" s="10" t="str">
        <f>IFERROR(VLOOKUP(Tabla1[[#This Row],[CANTIDAD UND COMERCIALES]],TAB_REF!$H$3:$I$1003,2,0)&amp;" ("&amp;Tabla1[[#This Row],[CANTIDAD UND COMERCIALES]]&amp;")"&amp;"_"&amp;Tabla1[[#This Row],[CANTIDAD]],"")</f>
        <v>Seis (6)_Caja x 30 unidades</v>
      </c>
    </row>
    <row r="710" spans="2:30" x14ac:dyDescent="0.25">
      <c r="B710" s="10">
        <v>289</v>
      </c>
      <c r="C710" s="10" t="s">
        <v>3469</v>
      </c>
      <c r="D710" s="10" t="s">
        <v>3470</v>
      </c>
      <c r="E710" s="10" t="s">
        <v>3471</v>
      </c>
      <c r="F710" s="10" t="s">
        <v>3472</v>
      </c>
      <c r="G710" s="10" t="s">
        <v>3473</v>
      </c>
      <c r="H710" s="10" t="s">
        <v>3474</v>
      </c>
      <c r="I710" s="10" t="s">
        <v>2128</v>
      </c>
      <c r="J710" s="10" t="s">
        <v>1942</v>
      </c>
      <c r="K710" s="10" t="s">
        <v>3475</v>
      </c>
      <c r="L710" s="11">
        <v>202124100966962</v>
      </c>
      <c r="M710" s="20">
        <v>44348</v>
      </c>
      <c r="N710" s="20" t="str">
        <f>UPPER(TEXT(Tabla1[[#This Row],[FECHA RADICADO ENTRADA]],"MMM"))</f>
        <v>JUN</v>
      </c>
      <c r="O710" s="11">
        <v>202124110871021</v>
      </c>
      <c r="P710" s="20">
        <v>44351</v>
      </c>
      <c r="Q710" s="20" t="str">
        <f>UPPER(TEXT(Tabla1[[#This Row],[FECHA RADICADO ENTRADA]],"MMM"))</f>
        <v>JUN</v>
      </c>
      <c r="R710" s="10">
        <f t="shared" si="15"/>
        <v>-3</v>
      </c>
      <c r="S710" s="10" t="s">
        <v>2154</v>
      </c>
      <c r="U710" s="10" t="s">
        <v>3476</v>
      </c>
      <c r="V710" s="20">
        <v>43490</v>
      </c>
      <c r="W710" s="10" t="s">
        <v>63</v>
      </c>
      <c r="X710" s="10">
        <v>800</v>
      </c>
      <c r="Y710" s="11">
        <f>IFERROR(INT(Tabla1[[#This Row],[CANTIDAD UND FARMACEUTICAS]]/(VLOOKUP(Tabla1[[#This Row],[MEDICAMENTO]],TAB_REF!$K$3:$L$27,2,0))),"")</f>
        <v>80</v>
      </c>
      <c r="Z710" s="10" t="str">
        <f>IFERROR(VLOOKUP(Tabla1[[#This Row],[MEDICAMENTO]],TAB_REF!$B$3:$F$27,2,0), "")</f>
        <v xml:space="preserve">Morfina HCl </v>
      </c>
      <c r="AA710" s="10" t="str">
        <f>IFERROR(VLOOKUP(Tabla1[[#This Row],[MEDICAMENTO]],TAB_REF!$B$3:$F$27,3,0), "")</f>
        <v xml:space="preserve">10 mg/mL </v>
      </c>
      <c r="AB710" s="10" t="str">
        <f>IFERROR(VLOOKUP(Tabla1[[#This Row],[MEDICAMENTO]],TAB_REF!$B$3:$F$27,4,0), "")</f>
        <v>Solución Inyectable</v>
      </c>
      <c r="AC710" s="10" t="str">
        <f>IFERROR(VLOOKUP(Tabla1[[#This Row],[MEDICAMENTO]],TAB_REF!$B$3:$F$27,5,0), "")</f>
        <v>Caja x 10 unidades</v>
      </c>
      <c r="AD710" s="10" t="str">
        <f>IFERROR(VLOOKUP(Tabla1[[#This Row],[CANTIDAD UND COMERCIALES]],TAB_REF!$H$3:$I$1003,2,0)&amp;" ("&amp;Tabla1[[#This Row],[CANTIDAD UND COMERCIALES]]&amp;")"&amp;"_"&amp;Tabla1[[#This Row],[CANTIDAD]],"")</f>
        <v>Ochenta (80)_Caja x 10 unidades</v>
      </c>
    </row>
    <row r="711" spans="2:30" x14ac:dyDescent="0.25">
      <c r="B711" s="10">
        <v>289</v>
      </c>
      <c r="C711" s="10" t="s">
        <v>3469</v>
      </c>
      <c r="D711" s="10" t="s">
        <v>3470</v>
      </c>
      <c r="E711" s="10" t="s">
        <v>3471</v>
      </c>
      <c r="F711" s="10" t="s">
        <v>3472</v>
      </c>
      <c r="G711" s="10" t="s">
        <v>3473</v>
      </c>
      <c r="H711" s="10" t="s">
        <v>3474</v>
      </c>
      <c r="I711" s="10" t="s">
        <v>2128</v>
      </c>
      <c r="J711" s="10" t="s">
        <v>1942</v>
      </c>
      <c r="K711" s="10" t="s">
        <v>3475</v>
      </c>
      <c r="L711" s="11">
        <v>202124100966962</v>
      </c>
      <c r="M711" s="20">
        <v>44348</v>
      </c>
      <c r="N711" s="20" t="str">
        <f>UPPER(TEXT(Tabla1[[#This Row],[FECHA RADICADO ENTRADA]],"MMM"))</f>
        <v>JUN</v>
      </c>
      <c r="O711" s="11">
        <v>202124110871021</v>
      </c>
      <c r="P711" s="20">
        <v>44351</v>
      </c>
      <c r="Q711" s="20" t="str">
        <f>UPPER(TEXT(Tabla1[[#This Row],[FECHA RADICADO ENTRADA]],"MMM"))</f>
        <v>JUN</v>
      </c>
      <c r="R711" s="10">
        <f t="shared" si="15"/>
        <v>-3</v>
      </c>
      <c r="S711" s="10" t="s">
        <v>2154</v>
      </c>
      <c r="U711" s="10" t="s">
        <v>3476</v>
      </c>
      <c r="V711" s="20">
        <v>43490</v>
      </c>
      <c r="W711" s="10" t="s">
        <v>64</v>
      </c>
      <c r="X711" s="10">
        <v>1000</v>
      </c>
      <c r="Y711" s="11">
        <f>IFERROR(INT(Tabla1[[#This Row],[CANTIDAD UND FARMACEUTICAS]]/(VLOOKUP(Tabla1[[#This Row],[MEDICAMENTO]],TAB_REF!$K$3:$L$27,2,0))),"")</f>
        <v>100</v>
      </c>
      <c r="Z711" s="10" t="str">
        <f>IFERROR(VLOOKUP(Tabla1[[#This Row],[MEDICAMENTO]],TAB_REF!$B$3:$F$27,2,0), "")</f>
        <v xml:space="preserve">Morfina HCl </v>
      </c>
      <c r="AA711" s="10" t="str">
        <f>IFERROR(VLOOKUP(Tabla1[[#This Row],[MEDICAMENTO]],TAB_REF!$B$3:$F$27,3,0), "")</f>
        <v xml:space="preserve">10 (50mg/5mL) </v>
      </c>
      <c r="AB711" s="10" t="str">
        <f>IFERROR(VLOOKUP(Tabla1[[#This Row],[MEDICAMENTO]],TAB_REF!$B$3:$F$27,4,0), "")</f>
        <v>Solución Inyectable</v>
      </c>
      <c r="AC711" s="10" t="str">
        <f>IFERROR(VLOOKUP(Tabla1[[#This Row],[MEDICAMENTO]],TAB_REF!$B$3:$F$27,5,0), "")</f>
        <v>Caja x 5 unidades</v>
      </c>
      <c r="AD711" s="10" t="str">
        <f>IFERROR(VLOOKUP(Tabla1[[#This Row],[CANTIDAD UND COMERCIALES]],TAB_REF!$H$3:$I$1003,2,0)&amp;" ("&amp;Tabla1[[#This Row],[CANTIDAD UND COMERCIALES]]&amp;")"&amp;"_"&amp;Tabla1[[#This Row],[CANTIDAD]],"")</f>
        <v>Cien (100)_Caja x 5 unidades</v>
      </c>
    </row>
    <row r="712" spans="2:30" x14ac:dyDescent="0.25">
      <c r="B712" s="10">
        <v>289</v>
      </c>
      <c r="C712" s="10" t="s">
        <v>3469</v>
      </c>
      <c r="D712" s="10" t="s">
        <v>3470</v>
      </c>
      <c r="E712" s="10" t="s">
        <v>3471</v>
      </c>
      <c r="F712" s="10" t="s">
        <v>3472</v>
      </c>
      <c r="G712" s="10" t="s">
        <v>3473</v>
      </c>
      <c r="H712" s="10" t="s">
        <v>3474</v>
      </c>
      <c r="I712" s="10" t="s">
        <v>2128</v>
      </c>
      <c r="J712" s="10" t="s">
        <v>1942</v>
      </c>
      <c r="K712" s="10" t="s">
        <v>3475</v>
      </c>
      <c r="L712" s="11">
        <v>202124100966962</v>
      </c>
      <c r="M712" s="20">
        <v>44348</v>
      </c>
      <c r="N712" s="20" t="str">
        <f>UPPER(TEXT(Tabla1[[#This Row],[FECHA RADICADO ENTRADA]],"MMM"))</f>
        <v>JUN</v>
      </c>
      <c r="O712" s="11">
        <v>202124110871021</v>
      </c>
      <c r="P712" s="20">
        <v>44351</v>
      </c>
      <c r="Q712" s="20" t="str">
        <f>UPPER(TEXT(Tabla1[[#This Row],[FECHA RADICADO ENTRADA]],"MMM"))</f>
        <v>JUN</v>
      </c>
      <c r="R712" s="10">
        <f t="shared" si="15"/>
        <v>-3</v>
      </c>
      <c r="S712" s="10" t="s">
        <v>2145</v>
      </c>
      <c r="U712" s="10" t="s">
        <v>3476</v>
      </c>
      <c r="V712" s="20">
        <v>43490</v>
      </c>
      <c r="W712" s="10" t="s">
        <v>45</v>
      </c>
      <c r="X712" s="10">
        <v>0</v>
      </c>
      <c r="Y712" s="11">
        <f>IFERROR(INT(Tabla1[[#This Row],[CANTIDAD UND FARMACEUTICAS]]/(VLOOKUP(Tabla1[[#This Row],[MEDICAMENTO]],TAB_REF!$K$3:$L$27,2,0))),"")</f>
        <v>0</v>
      </c>
      <c r="Z712" s="10" t="str">
        <f>IFERROR(VLOOKUP(Tabla1[[#This Row],[MEDICAMENTO]],TAB_REF!$B$3:$F$27,2,0), "")</f>
        <v xml:space="preserve">Metadona HCl </v>
      </c>
      <c r="AA712" s="10" t="str">
        <f>IFERROR(VLOOKUP(Tabla1[[#This Row],[MEDICAMENTO]],TAB_REF!$B$3:$F$27,3,0), "")</f>
        <v xml:space="preserve">10 mg </v>
      </c>
      <c r="AB712" s="10" t="str">
        <f>IFERROR(VLOOKUP(Tabla1[[#This Row],[MEDICAMENTO]],TAB_REF!$B$3:$F$27,4,0), "")</f>
        <v>Tabletas NACIONAL</v>
      </c>
      <c r="AC712" s="10" t="str">
        <f>IFERROR(VLOOKUP(Tabla1[[#This Row],[MEDICAMENTO]],TAB_REF!$B$3:$F$27,5,0), "")</f>
        <v>Caja x 30 unidades</v>
      </c>
      <c r="AD712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713" spans="2:30" x14ac:dyDescent="0.25">
      <c r="B713" s="10">
        <v>290</v>
      </c>
      <c r="C713" s="10" t="s">
        <v>3477</v>
      </c>
      <c r="D713" s="10" t="s">
        <v>2164</v>
      </c>
      <c r="E713" s="10" t="s">
        <v>3478</v>
      </c>
      <c r="F713" s="10" t="s">
        <v>2164</v>
      </c>
      <c r="G713" s="21" t="s">
        <v>3479</v>
      </c>
      <c r="H713" s="10" t="s">
        <v>3480</v>
      </c>
      <c r="I713" s="10" t="s">
        <v>2128</v>
      </c>
      <c r="J713" s="10" t="s">
        <v>1942</v>
      </c>
      <c r="K713" s="10" t="s">
        <v>3481</v>
      </c>
      <c r="L713" s="11">
        <v>202124100968352</v>
      </c>
      <c r="M713" s="20">
        <v>44348</v>
      </c>
      <c r="N713" s="20" t="str">
        <f>UPPER(TEXT(Tabla1[[#This Row],[FECHA RADICADO ENTRADA]],"MMM"))</f>
        <v>JUN</v>
      </c>
      <c r="O713" s="11">
        <v>202124110876981</v>
      </c>
      <c r="P713" s="20">
        <v>44356</v>
      </c>
      <c r="Q713" s="20" t="str">
        <f>UPPER(TEXT(Tabla1[[#This Row],[FECHA RADICADO ENTRADA]],"MMM"))</f>
        <v>JUN</v>
      </c>
      <c r="R713" s="10">
        <f t="shared" si="15"/>
        <v>-8</v>
      </c>
      <c r="S713" s="10" t="s">
        <v>2145</v>
      </c>
      <c r="T713" s="10" t="s">
        <v>3390</v>
      </c>
      <c r="U713" s="10" t="s">
        <v>2164</v>
      </c>
      <c r="V713" s="20" t="s">
        <v>2164</v>
      </c>
      <c r="X713" s="10">
        <v>0</v>
      </c>
      <c r="Y713" s="11" t="str">
        <f>IFERROR(INT(Tabla1[[#This Row],[CANTIDAD UND FARMACEUTICAS]]/(VLOOKUP(Tabla1[[#This Row],[MEDICAMENTO]],TAB_REF!$K$3:$L$27,2,0))),"")</f>
        <v/>
      </c>
      <c r="Z713" s="10" t="str">
        <f>IFERROR(VLOOKUP(Tabla1[[#This Row],[MEDICAMENTO]],TAB_REF!$B$3:$F$27,2,0), "")</f>
        <v/>
      </c>
      <c r="AA713" s="10" t="str">
        <f>IFERROR(VLOOKUP(Tabla1[[#This Row],[MEDICAMENTO]],TAB_REF!$B$3:$F$27,3,0), "")</f>
        <v/>
      </c>
      <c r="AB713" s="10" t="str">
        <f>IFERROR(VLOOKUP(Tabla1[[#This Row],[MEDICAMENTO]],TAB_REF!$B$3:$F$27,4,0), "")</f>
        <v/>
      </c>
      <c r="AC713" s="10" t="str">
        <f>IFERROR(VLOOKUP(Tabla1[[#This Row],[MEDICAMENTO]],TAB_REF!$B$3:$F$27,5,0), "")</f>
        <v/>
      </c>
      <c r="AD713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714" spans="2:30" x14ac:dyDescent="0.25">
      <c r="B714" s="10">
        <v>291</v>
      </c>
      <c r="C714" s="10" t="s">
        <v>2340</v>
      </c>
      <c r="D714" s="10" t="s">
        <v>2175</v>
      </c>
      <c r="E714" s="10" t="s">
        <v>2341</v>
      </c>
      <c r="F714" s="10" t="s">
        <v>2342</v>
      </c>
      <c r="G714" s="10" t="s">
        <v>2343</v>
      </c>
      <c r="H714" s="10" t="s">
        <v>3484</v>
      </c>
      <c r="I714" s="10" t="s">
        <v>2114</v>
      </c>
      <c r="J714" s="10" t="s">
        <v>1459</v>
      </c>
      <c r="K714" s="10" t="s">
        <v>3482</v>
      </c>
      <c r="L714" s="11">
        <v>202124100958002</v>
      </c>
      <c r="M714" s="20">
        <v>44347</v>
      </c>
      <c r="N714" s="20" t="str">
        <f>UPPER(TEXT(Tabla1[[#This Row],[FECHA RADICADO ENTRADA]],"MMM"))</f>
        <v>MAY</v>
      </c>
      <c r="O714" s="11">
        <v>202124110870971</v>
      </c>
      <c r="P714" s="20"/>
      <c r="Q714" s="20" t="str">
        <f>UPPER(TEXT(Tabla1[[#This Row],[FECHA RADICADO ENTRADA]],"MMM"))</f>
        <v>MAY</v>
      </c>
      <c r="R714" s="10">
        <f t="shared" ref="R714:R727" si="16">_xlfn.DAYS(M714,P714)</f>
        <v>44347</v>
      </c>
      <c r="S714" s="10" t="s">
        <v>2154</v>
      </c>
      <c r="U714" s="10" t="s">
        <v>3483</v>
      </c>
      <c r="V714" s="20">
        <v>43784</v>
      </c>
      <c r="W714" s="10" t="s">
        <v>32</v>
      </c>
      <c r="X714" s="10">
        <v>9000</v>
      </c>
      <c r="Y714" s="11">
        <f>IFERROR(INT(Tabla1[[#This Row],[CANTIDAD UND FARMACEUTICAS]]/(VLOOKUP(Tabla1[[#This Row],[MEDICAMENTO]],TAB_REF!$K$3:$L$27,2,0))),"")</f>
        <v>300</v>
      </c>
      <c r="Z714" s="10" t="str">
        <f>IFERROR(VLOOKUP(Tabla1[[#This Row],[MEDICAMENTO]],TAB_REF!$B$3:$F$27,2,0), "")</f>
        <v xml:space="preserve">Fenobarbital </v>
      </c>
      <c r="AA714" s="10" t="str">
        <f>IFERROR(VLOOKUP(Tabla1[[#This Row],[MEDICAMENTO]],TAB_REF!$B$3:$F$27,3,0), "")</f>
        <v xml:space="preserve">100 mg </v>
      </c>
      <c r="AB714" s="10" t="str">
        <f>IFERROR(VLOOKUP(Tabla1[[#This Row],[MEDICAMENTO]],TAB_REF!$B$3:$F$27,4,0), "")</f>
        <v>Tabletas</v>
      </c>
      <c r="AC714" s="10" t="str">
        <f>IFERROR(VLOOKUP(Tabla1[[#This Row],[MEDICAMENTO]],TAB_REF!$B$3:$F$27,5,0), "")</f>
        <v>Caja x 30 unidades</v>
      </c>
      <c r="AD714" s="10" t="str">
        <f>IFERROR(VLOOKUP(Tabla1[[#This Row],[CANTIDAD UND COMERCIALES]],TAB_REF!$H$3:$I$1003,2,0)&amp;" ("&amp;Tabla1[[#This Row],[CANTIDAD UND COMERCIALES]]&amp;")"&amp;"_"&amp;Tabla1[[#This Row],[CANTIDAD]],"")</f>
        <v>Trescientos (300)_Caja x 30 unidades</v>
      </c>
    </row>
    <row r="715" spans="2:30" x14ac:dyDescent="0.25">
      <c r="B715" s="10">
        <v>291</v>
      </c>
      <c r="C715" s="10" t="s">
        <v>2340</v>
      </c>
      <c r="D715" s="10" t="s">
        <v>2175</v>
      </c>
      <c r="E715" s="10" t="s">
        <v>2341</v>
      </c>
      <c r="F715" s="10" t="s">
        <v>2342</v>
      </c>
      <c r="G715" s="10" t="s">
        <v>2343</v>
      </c>
      <c r="H715" s="10" t="s">
        <v>3485</v>
      </c>
      <c r="I715" s="10" t="s">
        <v>2114</v>
      </c>
      <c r="J715" s="10" t="s">
        <v>1459</v>
      </c>
      <c r="K715" s="10" t="s">
        <v>3482</v>
      </c>
      <c r="L715" s="11">
        <v>202124100958002</v>
      </c>
      <c r="M715" s="20">
        <v>44347</v>
      </c>
      <c r="N715" s="20" t="str">
        <f>UPPER(TEXT(Tabla1[[#This Row],[FECHA RADICADO ENTRADA]],"MMM"))</f>
        <v>MAY</v>
      </c>
      <c r="O715" s="11">
        <v>202124110870971</v>
      </c>
      <c r="P715" s="20"/>
      <c r="Q715" s="20" t="str">
        <f>UPPER(TEXT(Tabla1[[#This Row],[FECHA RADICADO ENTRADA]],"MMM"))</f>
        <v>MAY</v>
      </c>
      <c r="R715" s="10">
        <f t="shared" si="16"/>
        <v>44347</v>
      </c>
      <c r="S715" s="10" t="s">
        <v>2154</v>
      </c>
      <c r="U715" s="10" t="s">
        <v>3483</v>
      </c>
      <c r="V715" s="20">
        <v>43784</v>
      </c>
      <c r="W715" s="10" t="s">
        <v>33</v>
      </c>
      <c r="X715" s="10">
        <v>450</v>
      </c>
      <c r="Y715" s="11">
        <f>IFERROR(INT(Tabla1[[#This Row],[CANTIDAD UND FARMACEUTICAS]]/(VLOOKUP(Tabla1[[#This Row],[MEDICAMENTO]],TAB_REF!$K$3:$L$27,2,0))),"")</f>
        <v>15</v>
      </c>
      <c r="Z715" s="10" t="str">
        <f>IFERROR(VLOOKUP(Tabla1[[#This Row],[MEDICAMENTO]],TAB_REF!$B$3:$F$27,2,0), "")</f>
        <v xml:space="preserve">Fenobarbital </v>
      </c>
      <c r="AA715" s="10" t="str">
        <f>IFERROR(VLOOKUP(Tabla1[[#This Row],[MEDICAMENTO]],TAB_REF!$B$3:$F$27,3,0), "")</f>
        <v xml:space="preserve">50 mg </v>
      </c>
      <c r="AB715" s="10" t="str">
        <f>IFERROR(VLOOKUP(Tabla1[[#This Row],[MEDICAMENTO]],TAB_REF!$B$3:$F$27,4,0), "")</f>
        <v>Tabletas</v>
      </c>
      <c r="AC715" s="10" t="str">
        <f>IFERROR(VLOOKUP(Tabla1[[#This Row],[MEDICAMENTO]],TAB_REF!$B$3:$F$27,5,0), "")</f>
        <v>Caja x 30 unidades</v>
      </c>
      <c r="AD715" s="10" t="str">
        <f>IFERROR(VLOOKUP(Tabla1[[#This Row],[CANTIDAD UND COMERCIALES]],TAB_REF!$H$3:$I$1003,2,0)&amp;" ("&amp;Tabla1[[#This Row],[CANTIDAD UND COMERCIALES]]&amp;")"&amp;"_"&amp;Tabla1[[#This Row],[CANTIDAD]],"")</f>
        <v>Quince (15)_Caja x 30 unidades</v>
      </c>
    </row>
    <row r="716" spans="2:30" x14ac:dyDescent="0.25">
      <c r="B716" s="10">
        <v>291</v>
      </c>
      <c r="C716" s="10" t="s">
        <v>2340</v>
      </c>
      <c r="D716" s="10" t="s">
        <v>2175</v>
      </c>
      <c r="E716" s="10" t="s">
        <v>2341</v>
      </c>
      <c r="F716" s="10" t="s">
        <v>2342</v>
      </c>
      <c r="G716" s="10" t="s">
        <v>2343</v>
      </c>
      <c r="H716" s="10" t="s">
        <v>3486</v>
      </c>
      <c r="I716" s="10" t="s">
        <v>2114</v>
      </c>
      <c r="J716" s="10" t="s">
        <v>1459</v>
      </c>
      <c r="K716" s="10" t="s">
        <v>3482</v>
      </c>
      <c r="L716" s="11">
        <v>202124100958002</v>
      </c>
      <c r="M716" s="20">
        <v>44347</v>
      </c>
      <c r="N716" s="20" t="str">
        <f>UPPER(TEXT(Tabla1[[#This Row],[FECHA RADICADO ENTRADA]],"MMM"))</f>
        <v>MAY</v>
      </c>
      <c r="O716" s="11">
        <v>202124110870971</v>
      </c>
      <c r="P716" s="20"/>
      <c r="Q716" s="20" t="str">
        <f>UPPER(TEXT(Tabla1[[#This Row],[FECHA RADICADO ENTRADA]],"MMM"))</f>
        <v>MAY</v>
      </c>
      <c r="R716" s="10">
        <f t="shared" si="16"/>
        <v>44347</v>
      </c>
      <c r="S716" s="10" t="s">
        <v>2154</v>
      </c>
      <c r="U716" s="10" t="s">
        <v>3483</v>
      </c>
      <c r="V716" s="20">
        <v>43784</v>
      </c>
      <c r="W716" s="10" t="s">
        <v>28</v>
      </c>
      <c r="X716" s="10">
        <v>65</v>
      </c>
      <c r="Y716" s="11">
        <f>IFERROR(INT(Tabla1[[#This Row],[CANTIDAD UND FARMACEUTICAS]]/(VLOOKUP(Tabla1[[#This Row],[MEDICAMENTO]],TAB_REF!$K$3:$L$27,2,0))),"")</f>
        <v>65</v>
      </c>
      <c r="Z716" s="10" t="str">
        <f>IFERROR(VLOOKUP(Tabla1[[#This Row],[MEDICAMENTO]],TAB_REF!$B$3:$F$27,2,0), "")</f>
        <v xml:space="preserve">Fenobarbital </v>
      </c>
      <c r="AA716" s="10" t="str">
        <f>IFERROR(VLOOKUP(Tabla1[[#This Row],[MEDICAMENTO]],TAB_REF!$B$3:$F$27,3,0), "")</f>
        <v xml:space="preserve">0,4%. </v>
      </c>
      <c r="AB716" s="10" t="str">
        <f>IFERROR(VLOOKUP(Tabla1[[#This Row],[MEDICAMENTO]],TAB_REF!$B$3:$F$27,4,0), "")</f>
        <v>Solución Oral</v>
      </c>
      <c r="AC716" s="10" t="str">
        <f>IFERROR(VLOOKUP(Tabla1[[#This Row],[MEDICAMENTO]],TAB_REF!$B$3:$F$27,5,0), "")</f>
        <v>Frasco x 120 mL</v>
      </c>
      <c r="AD716" s="10" t="str">
        <f>IFERROR(VLOOKUP(Tabla1[[#This Row],[CANTIDAD UND COMERCIALES]],TAB_REF!$H$3:$I$1003,2,0)&amp;" ("&amp;Tabla1[[#This Row],[CANTIDAD UND COMERCIALES]]&amp;")"&amp;"_"&amp;Tabla1[[#This Row],[CANTIDAD]],"")</f>
        <v>Sesenta Y Cinco (65)_Frasco x 120 mL</v>
      </c>
    </row>
    <row r="717" spans="2:30" x14ac:dyDescent="0.25">
      <c r="B717" s="10">
        <v>291</v>
      </c>
      <c r="C717" s="10" t="s">
        <v>2340</v>
      </c>
      <c r="D717" s="10" t="s">
        <v>2175</v>
      </c>
      <c r="E717" s="10" t="s">
        <v>2341</v>
      </c>
      <c r="F717" s="10" t="s">
        <v>2342</v>
      </c>
      <c r="G717" s="10" t="s">
        <v>2343</v>
      </c>
      <c r="H717" s="10" t="s">
        <v>3487</v>
      </c>
      <c r="I717" s="10" t="s">
        <v>2114</v>
      </c>
      <c r="J717" s="10" t="s">
        <v>1459</v>
      </c>
      <c r="K717" s="10" t="s">
        <v>3482</v>
      </c>
      <c r="L717" s="11">
        <v>202124100958002</v>
      </c>
      <c r="M717" s="20">
        <v>44347</v>
      </c>
      <c r="N717" s="20" t="str">
        <f>UPPER(TEXT(Tabla1[[#This Row],[FECHA RADICADO ENTRADA]],"MMM"))</f>
        <v>MAY</v>
      </c>
      <c r="O717" s="11">
        <v>202124110870971</v>
      </c>
      <c r="P717" s="20"/>
      <c r="Q717" s="20" t="str">
        <f>UPPER(TEXT(Tabla1[[#This Row],[FECHA RADICADO ENTRADA]],"MMM"))</f>
        <v>MAY</v>
      </c>
      <c r="R717" s="10">
        <f t="shared" si="16"/>
        <v>44347</v>
      </c>
      <c r="S717" s="10" t="s">
        <v>2154</v>
      </c>
      <c r="U717" s="10" t="s">
        <v>3483</v>
      </c>
      <c r="V717" s="20">
        <v>43784</v>
      </c>
      <c r="W717" s="10" t="s">
        <v>38</v>
      </c>
      <c r="X717" s="10">
        <v>300</v>
      </c>
      <c r="Y717" s="11">
        <f>IFERROR(INT(Tabla1[[#This Row],[CANTIDAD UND FARMACEUTICAS]]/(VLOOKUP(Tabla1[[#This Row],[MEDICAMENTO]],TAB_REF!$K$3:$L$27,2,0))),"")</f>
        <v>15</v>
      </c>
      <c r="Z717" s="10" t="str">
        <f>IFERROR(VLOOKUP(Tabla1[[#This Row],[MEDICAMENTO]],TAB_REF!$B$3:$F$27,2,0), "")</f>
        <v xml:space="preserve">Hidromorfona HCl </v>
      </c>
      <c r="AA717" s="10" t="str">
        <f>IFERROR(VLOOKUP(Tabla1[[#This Row],[MEDICAMENTO]],TAB_REF!$B$3:$F$27,3,0), "")</f>
        <v xml:space="preserve">2,5 mg </v>
      </c>
      <c r="AB717" s="10" t="str">
        <f>IFERROR(VLOOKUP(Tabla1[[#This Row],[MEDICAMENTO]],TAB_REF!$B$3:$F$27,4,0), "")</f>
        <v>Tabletas</v>
      </c>
      <c r="AC717" s="10" t="str">
        <f>IFERROR(VLOOKUP(Tabla1[[#This Row],[MEDICAMENTO]],TAB_REF!$B$3:$F$27,5,0), "")</f>
        <v>Caja x 20 unidades</v>
      </c>
      <c r="AD717" s="10" t="str">
        <f>IFERROR(VLOOKUP(Tabla1[[#This Row],[CANTIDAD UND COMERCIALES]],TAB_REF!$H$3:$I$1003,2,0)&amp;" ("&amp;Tabla1[[#This Row],[CANTIDAD UND COMERCIALES]]&amp;")"&amp;"_"&amp;Tabla1[[#This Row],[CANTIDAD]],"")</f>
        <v>Quince (15)_Caja x 20 unidades</v>
      </c>
    </row>
    <row r="718" spans="2:30" x14ac:dyDescent="0.25">
      <c r="B718" s="10">
        <v>291</v>
      </c>
      <c r="C718" s="10" t="s">
        <v>2340</v>
      </c>
      <c r="D718" s="10" t="s">
        <v>2175</v>
      </c>
      <c r="E718" s="10" t="s">
        <v>2341</v>
      </c>
      <c r="F718" s="10" t="s">
        <v>2342</v>
      </c>
      <c r="G718" s="10" t="s">
        <v>2343</v>
      </c>
      <c r="H718" s="10" t="s">
        <v>3488</v>
      </c>
      <c r="I718" s="10" t="s">
        <v>2114</v>
      </c>
      <c r="J718" s="10" t="s">
        <v>1459</v>
      </c>
      <c r="K718" s="10" t="s">
        <v>3482</v>
      </c>
      <c r="L718" s="11">
        <v>202124100958002</v>
      </c>
      <c r="M718" s="20">
        <v>44347</v>
      </c>
      <c r="N718" s="20" t="str">
        <f>UPPER(TEXT(Tabla1[[#This Row],[FECHA RADICADO ENTRADA]],"MMM"))</f>
        <v>MAY</v>
      </c>
      <c r="O718" s="11">
        <v>202124110870971</v>
      </c>
      <c r="P718" s="20"/>
      <c r="Q718" s="20" t="str">
        <f>UPPER(TEXT(Tabla1[[#This Row],[FECHA RADICADO ENTRADA]],"MMM"))</f>
        <v>MAY</v>
      </c>
      <c r="R718" s="10">
        <f t="shared" si="16"/>
        <v>44347</v>
      </c>
      <c r="S718" s="10" t="s">
        <v>2154</v>
      </c>
      <c r="U718" s="10" t="s">
        <v>3483</v>
      </c>
      <c r="V718" s="20">
        <v>43784</v>
      </c>
      <c r="W718" s="10" t="s">
        <v>45</v>
      </c>
      <c r="X718" s="10">
        <v>750</v>
      </c>
      <c r="Y718" s="11">
        <f>IFERROR(INT(Tabla1[[#This Row],[CANTIDAD UND FARMACEUTICAS]]/(VLOOKUP(Tabla1[[#This Row],[MEDICAMENTO]],TAB_REF!$K$3:$L$27,2,0))),"")</f>
        <v>25</v>
      </c>
      <c r="Z718" s="10" t="str">
        <f>IFERROR(VLOOKUP(Tabla1[[#This Row],[MEDICAMENTO]],TAB_REF!$B$3:$F$27,2,0), "")</f>
        <v xml:space="preserve">Metadona HCl </v>
      </c>
      <c r="AA718" s="10" t="str">
        <f>IFERROR(VLOOKUP(Tabla1[[#This Row],[MEDICAMENTO]],TAB_REF!$B$3:$F$27,3,0), "")</f>
        <v xml:space="preserve">10 mg </v>
      </c>
      <c r="AB718" s="10" t="str">
        <f>IFERROR(VLOOKUP(Tabla1[[#This Row],[MEDICAMENTO]],TAB_REF!$B$3:$F$27,4,0), "")</f>
        <v>Tabletas NACIONAL</v>
      </c>
      <c r="AC718" s="10" t="str">
        <f>IFERROR(VLOOKUP(Tabla1[[#This Row],[MEDICAMENTO]],TAB_REF!$B$3:$F$27,5,0), "")</f>
        <v>Caja x 30 unidades</v>
      </c>
      <c r="AD718" s="10" t="str">
        <f>IFERROR(VLOOKUP(Tabla1[[#This Row],[CANTIDAD UND COMERCIALES]],TAB_REF!$H$3:$I$1003,2,0)&amp;" ("&amp;Tabla1[[#This Row],[CANTIDAD UND COMERCIALES]]&amp;")"&amp;"_"&amp;Tabla1[[#This Row],[CANTIDAD]],"")</f>
        <v>Veinticinco (25)_Caja x 30 unidades</v>
      </c>
    </row>
    <row r="719" spans="2:30" x14ac:dyDescent="0.25">
      <c r="B719" s="10">
        <v>291</v>
      </c>
      <c r="C719" s="10" t="s">
        <v>2340</v>
      </c>
      <c r="D719" s="10" t="s">
        <v>2175</v>
      </c>
      <c r="E719" s="10" t="s">
        <v>2341</v>
      </c>
      <c r="F719" s="10" t="s">
        <v>2342</v>
      </c>
      <c r="G719" s="10" t="s">
        <v>2343</v>
      </c>
      <c r="H719" s="10" t="s">
        <v>3489</v>
      </c>
      <c r="I719" s="10" t="s">
        <v>2114</v>
      </c>
      <c r="J719" s="10" t="s">
        <v>1459</v>
      </c>
      <c r="K719" s="10" t="s">
        <v>3482</v>
      </c>
      <c r="L719" s="11">
        <v>202124100958002</v>
      </c>
      <c r="M719" s="20">
        <v>44347</v>
      </c>
      <c r="N719" s="20" t="str">
        <f>UPPER(TEXT(Tabla1[[#This Row],[FECHA RADICADO ENTRADA]],"MMM"))</f>
        <v>MAY</v>
      </c>
      <c r="O719" s="11">
        <v>202124110870971</v>
      </c>
      <c r="P719" s="20"/>
      <c r="Q719" s="20" t="str">
        <f>UPPER(TEXT(Tabla1[[#This Row],[FECHA RADICADO ENTRADA]],"MMM"))</f>
        <v>MAY</v>
      </c>
      <c r="R719" s="10">
        <f t="shared" si="16"/>
        <v>44347</v>
      </c>
      <c r="S719" s="10" t="s">
        <v>2154</v>
      </c>
      <c r="U719" s="10" t="s">
        <v>3483</v>
      </c>
      <c r="V719" s="20">
        <v>43784</v>
      </c>
      <c r="W719" s="10" t="s">
        <v>45</v>
      </c>
      <c r="X719" s="10">
        <v>210</v>
      </c>
      <c r="Y719" s="11">
        <f>IFERROR(INT(Tabla1[[#This Row],[CANTIDAD UND FARMACEUTICAS]]/(VLOOKUP(Tabla1[[#This Row],[MEDICAMENTO]],TAB_REF!$K$3:$L$27,2,0))),"")</f>
        <v>7</v>
      </c>
      <c r="Z719" s="10" t="str">
        <f>IFERROR(VLOOKUP(Tabla1[[#This Row],[MEDICAMENTO]],TAB_REF!$B$3:$F$27,2,0), "")</f>
        <v xml:space="preserve">Metadona HCl </v>
      </c>
      <c r="AA719" s="10" t="str">
        <f>IFERROR(VLOOKUP(Tabla1[[#This Row],[MEDICAMENTO]],TAB_REF!$B$3:$F$27,3,0), "")</f>
        <v xml:space="preserve">10 mg </v>
      </c>
      <c r="AB719" s="10" t="str">
        <f>IFERROR(VLOOKUP(Tabla1[[#This Row],[MEDICAMENTO]],TAB_REF!$B$3:$F$27,4,0), "")</f>
        <v>Tabletas NACIONAL</v>
      </c>
      <c r="AC719" s="10" t="str">
        <f>IFERROR(VLOOKUP(Tabla1[[#This Row],[MEDICAMENTO]],TAB_REF!$B$3:$F$27,5,0), "")</f>
        <v>Caja x 30 unidades</v>
      </c>
      <c r="AD719" s="10" t="str">
        <f>IFERROR(VLOOKUP(Tabla1[[#This Row],[CANTIDAD UND COMERCIALES]],TAB_REF!$H$3:$I$1003,2,0)&amp;" ("&amp;Tabla1[[#This Row],[CANTIDAD UND COMERCIALES]]&amp;")"&amp;"_"&amp;Tabla1[[#This Row],[CANTIDAD]],"")</f>
        <v>Siete (7)_Caja x 30 unidades</v>
      </c>
    </row>
    <row r="720" spans="2:30" x14ac:dyDescent="0.25">
      <c r="B720" s="10">
        <v>291</v>
      </c>
      <c r="C720" s="10" t="s">
        <v>2340</v>
      </c>
      <c r="D720" s="10" t="s">
        <v>2175</v>
      </c>
      <c r="E720" s="10" t="s">
        <v>2341</v>
      </c>
      <c r="F720" s="10" t="s">
        <v>2342</v>
      </c>
      <c r="G720" s="10" t="s">
        <v>2343</v>
      </c>
      <c r="H720" s="10" t="s">
        <v>3490</v>
      </c>
      <c r="I720" s="10" t="s">
        <v>2114</v>
      </c>
      <c r="J720" s="10" t="s">
        <v>1459</v>
      </c>
      <c r="K720" s="10" t="s">
        <v>3482</v>
      </c>
      <c r="L720" s="11">
        <v>202124100958002</v>
      </c>
      <c r="M720" s="20">
        <v>44347</v>
      </c>
      <c r="N720" s="20" t="str">
        <f>UPPER(TEXT(Tabla1[[#This Row],[FECHA RADICADO ENTRADA]],"MMM"))</f>
        <v>MAY</v>
      </c>
      <c r="O720" s="11">
        <v>202124110870971</v>
      </c>
      <c r="P720" s="20"/>
      <c r="Q720" s="20" t="str">
        <f>UPPER(TEXT(Tabla1[[#This Row],[FECHA RADICADO ENTRADA]],"MMM"))</f>
        <v>MAY</v>
      </c>
      <c r="R720" s="10">
        <f t="shared" si="16"/>
        <v>44347</v>
      </c>
      <c r="S720" s="10" t="s">
        <v>2145</v>
      </c>
      <c r="T720" s="10" t="s">
        <v>3492</v>
      </c>
      <c r="U720" s="10" t="s">
        <v>3483</v>
      </c>
      <c r="V720" s="20">
        <v>43784</v>
      </c>
      <c r="W720" s="10" t="s">
        <v>60</v>
      </c>
      <c r="X720" s="10">
        <v>0</v>
      </c>
      <c r="Y720" s="11">
        <f>IFERROR(INT(Tabla1[[#This Row],[CANTIDAD UND FARMACEUTICAS]]/(VLOOKUP(Tabla1[[#This Row],[MEDICAMENTO]],TAB_REF!$K$3:$L$27,2,0))),"")</f>
        <v>0</v>
      </c>
      <c r="Z720" s="10" t="str">
        <f>IFERROR(VLOOKUP(Tabla1[[#This Row],[MEDICAMENTO]],TAB_REF!$B$3:$F$27,2,0), "")</f>
        <v xml:space="preserve">Morfina HCl </v>
      </c>
      <c r="AA720" s="10" t="str">
        <f>IFERROR(VLOOKUP(Tabla1[[#This Row],[MEDICAMENTO]],TAB_REF!$B$3:$F$27,3,0), "")</f>
        <v xml:space="preserve">3%. </v>
      </c>
      <c r="AB720" s="10" t="str">
        <f>IFERROR(VLOOKUP(Tabla1[[#This Row],[MEDICAMENTO]],TAB_REF!$B$3:$F$27,4,0), "")</f>
        <v>Solución Oral</v>
      </c>
      <c r="AC720" s="10" t="str">
        <f>IFERROR(VLOOKUP(Tabla1[[#This Row],[MEDICAMENTO]],TAB_REF!$B$3:$F$27,5,0), "")</f>
        <v>Frasco x 30 mL</v>
      </c>
      <c r="AD720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721" spans="2:30" x14ac:dyDescent="0.25">
      <c r="B721" s="10">
        <v>292</v>
      </c>
      <c r="C721" s="10" t="s">
        <v>3494</v>
      </c>
      <c r="D721" s="10" t="s">
        <v>3495</v>
      </c>
      <c r="E721" s="10" t="s">
        <v>3496</v>
      </c>
      <c r="F721" s="10" t="s">
        <v>2611</v>
      </c>
      <c r="G721" s="21" t="s">
        <v>3497</v>
      </c>
      <c r="H721" s="10" t="s">
        <v>3498</v>
      </c>
      <c r="I721" s="10" t="s">
        <v>2125</v>
      </c>
      <c r="J721" s="10" t="s">
        <v>1885</v>
      </c>
      <c r="K721" s="10" t="s">
        <v>3499</v>
      </c>
      <c r="L721" s="11">
        <v>202124100979262</v>
      </c>
      <c r="M721" s="20">
        <v>44349</v>
      </c>
      <c r="N721" s="20" t="str">
        <f>UPPER(TEXT(Tabla1[[#This Row],[FECHA RADICADO ENTRADA]],"MMM"))</f>
        <v>JUN</v>
      </c>
      <c r="O721" s="11">
        <v>202124110929131</v>
      </c>
      <c r="P721" s="20">
        <v>44361</v>
      </c>
      <c r="Q721" s="20" t="str">
        <f>UPPER(TEXT(Tabla1[[#This Row],[FECHA RADICADO ENTRADA]],"MMM"))</f>
        <v>JUN</v>
      </c>
      <c r="R721" s="10">
        <f t="shared" si="16"/>
        <v>-12</v>
      </c>
      <c r="S721" s="10" t="s">
        <v>2145</v>
      </c>
      <c r="T721" s="10" t="s">
        <v>3390</v>
      </c>
      <c r="U721" s="10" t="s">
        <v>2164</v>
      </c>
      <c r="V721" s="20" t="s">
        <v>2164</v>
      </c>
      <c r="W721" s="10" t="s">
        <v>63</v>
      </c>
      <c r="X721" s="10">
        <v>0</v>
      </c>
      <c r="Y721" s="11">
        <f>IFERROR(INT(Tabla1[[#This Row],[CANTIDAD UND FARMACEUTICAS]]/(VLOOKUP(Tabla1[[#This Row],[MEDICAMENTO]],TAB_REF!$K$3:$L$27,2,0))),"")</f>
        <v>0</v>
      </c>
      <c r="Z721" s="10" t="str">
        <f>IFERROR(VLOOKUP(Tabla1[[#This Row],[MEDICAMENTO]],TAB_REF!$B$3:$F$27,2,0), "")</f>
        <v xml:space="preserve">Morfina HCl </v>
      </c>
      <c r="AA721" s="10" t="str">
        <f>IFERROR(VLOOKUP(Tabla1[[#This Row],[MEDICAMENTO]],TAB_REF!$B$3:$F$27,3,0), "")</f>
        <v xml:space="preserve">10 mg/mL </v>
      </c>
      <c r="AB721" s="10" t="str">
        <f>IFERROR(VLOOKUP(Tabla1[[#This Row],[MEDICAMENTO]],TAB_REF!$B$3:$F$27,4,0), "")</f>
        <v>Solución Inyectable</v>
      </c>
      <c r="AC721" s="10" t="str">
        <f>IFERROR(VLOOKUP(Tabla1[[#This Row],[MEDICAMENTO]],TAB_REF!$B$3:$F$27,5,0), "")</f>
        <v>Caja x 10 unidades</v>
      </c>
      <c r="AD721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722" spans="2:30" x14ac:dyDescent="0.25">
      <c r="B722" s="10">
        <v>293</v>
      </c>
      <c r="C722" s="10" t="s">
        <v>3500</v>
      </c>
      <c r="D722" s="10" t="s">
        <v>3501</v>
      </c>
      <c r="E722" s="10" t="s">
        <v>3501</v>
      </c>
      <c r="F722" s="10" t="s">
        <v>3501</v>
      </c>
      <c r="G722" s="21" t="s">
        <v>3502</v>
      </c>
      <c r="H722" s="10" t="s">
        <v>3501</v>
      </c>
      <c r="I722" s="10" t="s">
        <v>2117</v>
      </c>
      <c r="J722" s="10" t="s">
        <v>1635</v>
      </c>
      <c r="K722" s="10" t="s">
        <v>3503</v>
      </c>
      <c r="L722" s="11">
        <v>202124100984682</v>
      </c>
      <c r="M722" s="20">
        <v>44350</v>
      </c>
      <c r="N722" s="20" t="str">
        <f>UPPER(TEXT(Tabla1[[#This Row],[FECHA RADICADO ENTRADA]],"MMM"))</f>
        <v>JUN</v>
      </c>
      <c r="O722" s="11" t="s">
        <v>3522</v>
      </c>
      <c r="P722" s="11"/>
      <c r="Q722" s="20" t="str">
        <f>UPPER(TEXT(Tabla1[[#This Row],[FECHA RADICADO ENTRADA]],"MMM"))</f>
        <v>JUN</v>
      </c>
      <c r="R722" s="10">
        <f t="shared" si="16"/>
        <v>44350</v>
      </c>
      <c r="S722" s="10" t="s">
        <v>2145</v>
      </c>
      <c r="T722" s="10" t="s">
        <v>3504</v>
      </c>
      <c r="U722" s="10" t="s">
        <v>2164</v>
      </c>
      <c r="V722" s="20" t="s">
        <v>2164</v>
      </c>
      <c r="W722" s="10" t="s">
        <v>63</v>
      </c>
      <c r="X722" s="10">
        <v>0</v>
      </c>
      <c r="Y722" s="11">
        <f>IFERROR(INT(Tabla1[[#This Row],[CANTIDAD UND FARMACEUTICAS]]/(VLOOKUP(Tabla1[[#This Row],[MEDICAMENTO]],TAB_REF!$K$3:$L$27,2,0))),"")</f>
        <v>0</v>
      </c>
      <c r="Z722" s="10" t="str">
        <f>IFERROR(VLOOKUP(Tabla1[[#This Row],[MEDICAMENTO]],TAB_REF!$B$3:$F$27,2,0), "")</f>
        <v xml:space="preserve">Morfina HCl </v>
      </c>
      <c r="AA722" s="10" t="str">
        <f>IFERROR(VLOOKUP(Tabla1[[#This Row],[MEDICAMENTO]],TAB_REF!$B$3:$F$27,3,0), "")</f>
        <v xml:space="preserve">10 mg/mL </v>
      </c>
      <c r="AB722" s="10" t="str">
        <f>IFERROR(VLOOKUP(Tabla1[[#This Row],[MEDICAMENTO]],TAB_REF!$B$3:$F$27,4,0), "")</f>
        <v>Solución Inyectable</v>
      </c>
      <c r="AC722" s="10" t="str">
        <f>IFERROR(VLOOKUP(Tabla1[[#This Row],[MEDICAMENTO]],TAB_REF!$B$3:$F$27,5,0), "")</f>
        <v>Caja x 10 unidades</v>
      </c>
      <c r="AD722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723" spans="2:30" x14ac:dyDescent="0.25">
      <c r="B723" s="10">
        <v>294</v>
      </c>
      <c r="C723" s="10" t="s">
        <v>2469</v>
      </c>
      <c r="D723" s="10" t="s">
        <v>2175</v>
      </c>
      <c r="E723" s="10" t="s">
        <v>2471</v>
      </c>
      <c r="F723" s="10" t="s">
        <v>2479</v>
      </c>
      <c r="G723" s="10" t="s">
        <v>2472</v>
      </c>
      <c r="H723" s="22" t="s">
        <v>2473</v>
      </c>
      <c r="I723" s="10" t="s">
        <v>2129</v>
      </c>
      <c r="J723" s="10" t="s">
        <v>2011</v>
      </c>
      <c r="K723" s="10" t="s">
        <v>3505</v>
      </c>
      <c r="L723" s="11">
        <v>202124100985152</v>
      </c>
      <c r="M723" s="20">
        <v>44350</v>
      </c>
      <c r="N723" s="20" t="str">
        <f>UPPER(TEXT(Tabla1[[#This Row],[FECHA RADICADO ENTRADA]],"MMM"))</f>
        <v>JUN</v>
      </c>
      <c r="O723" s="11">
        <v>202124110929151</v>
      </c>
      <c r="P723" s="20">
        <v>44361</v>
      </c>
      <c r="Q723" s="20" t="str">
        <f>UPPER(TEXT(Tabla1[[#This Row],[FECHA RADICADO ENTRADA]],"MMM"))</f>
        <v>JUN</v>
      </c>
      <c r="R723" s="10">
        <f t="shared" si="16"/>
        <v>-11</v>
      </c>
      <c r="S723" s="10" t="s">
        <v>2145</v>
      </c>
      <c r="U723" s="10" t="s">
        <v>2164</v>
      </c>
      <c r="V723" s="20" t="s">
        <v>2164</v>
      </c>
      <c r="W723" s="10" t="s">
        <v>37</v>
      </c>
      <c r="X723" s="10">
        <v>0</v>
      </c>
      <c r="Y723" s="11">
        <f>IFERROR(INT(Tabla1[[#This Row],[CANTIDAD UND FARMACEUTICAS]]/(VLOOKUP(Tabla1[[#This Row],[MEDICAMENTO]],TAB_REF!$K$3:$L$27,2,0))),"")</f>
        <v>0</v>
      </c>
      <c r="Z723" s="10" t="str">
        <f>IFERROR(VLOOKUP(Tabla1[[#This Row],[MEDICAMENTO]],TAB_REF!$B$3:$F$27,2,0), "")</f>
        <v xml:space="preserve">Hidromorfona HCl </v>
      </c>
      <c r="AA723" s="10" t="str">
        <f>IFERROR(VLOOKUP(Tabla1[[#This Row],[MEDICAMENTO]],TAB_REF!$B$3:$F$27,3,0), "")</f>
        <v xml:space="preserve">2 mg/mL </v>
      </c>
      <c r="AB723" s="10" t="str">
        <f>IFERROR(VLOOKUP(Tabla1[[#This Row],[MEDICAMENTO]],TAB_REF!$B$3:$F$27,4,0), "")</f>
        <v>Solución Inyectable</v>
      </c>
      <c r="AC723" s="10" t="str">
        <f>IFERROR(VLOOKUP(Tabla1[[#This Row],[MEDICAMENTO]],TAB_REF!$B$3:$F$27,5,0), "")</f>
        <v>Caja x 10 unidades</v>
      </c>
      <c r="AD723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724" spans="2:30" x14ac:dyDescent="0.25">
      <c r="B724" s="10">
        <v>295</v>
      </c>
      <c r="C724" s="10" t="s">
        <v>2469</v>
      </c>
      <c r="D724" s="10" t="s">
        <v>2175</v>
      </c>
      <c r="E724" s="10" t="s">
        <v>2471</v>
      </c>
      <c r="F724" s="10" t="s">
        <v>2479</v>
      </c>
      <c r="G724" s="10" t="s">
        <v>2472</v>
      </c>
      <c r="H724" s="22" t="s">
        <v>2473</v>
      </c>
      <c r="I724" s="10" t="s">
        <v>2129</v>
      </c>
      <c r="J724" s="10" t="s">
        <v>2011</v>
      </c>
      <c r="K724" s="10" t="s">
        <v>3506</v>
      </c>
      <c r="L724" s="11">
        <v>202124100985322</v>
      </c>
      <c r="M724" s="20">
        <v>44350</v>
      </c>
      <c r="N724" s="20" t="str">
        <f>UPPER(TEXT(Tabla1[[#This Row],[FECHA RADICADO ENTRADA]],"MMM"))</f>
        <v>JUN</v>
      </c>
      <c r="O724" s="11">
        <v>202124110929171</v>
      </c>
      <c r="P724" s="20">
        <v>44361</v>
      </c>
      <c r="Q724" s="20" t="str">
        <f>UPPER(TEXT(Tabla1[[#This Row],[FECHA RADICADO ENTRADA]],"MMM"))</f>
        <v>JUN</v>
      </c>
      <c r="R724" s="10">
        <f t="shared" si="16"/>
        <v>-11</v>
      </c>
      <c r="S724" s="10" t="s">
        <v>2154</v>
      </c>
      <c r="U724" s="10" t="s">
        <v>3507</v>
      </c>
      <c r="V724" s="20">
        <v>42541</v>
      </c>
      <c r="W724" s="10" t="s">
        <v>37</v>
      </c>
      <c r="X724" s="10">
        <v>2000</v>
      </c>
      <c r="Y724" s="11">
        <f>IFERROR(INT(Tabla1[[#This Row],[CANTIDAD UND FARMACEUTICAS]]/(VLOOKUP(Tabla1[[#This Row],[MEDICAMENTO]],TAB_REF!$K$3:$L$27,2,0))),"")</f>
        <v>200</v>
      </c>
      <c r="Z724" s="10" t="str">
        <f>IFERROR(VLOOKUP(Tabla1[[#This Row],[MEDICAMENTO]],TAB_REF!$B$3:$F$27,2,0), "")</f>
        <v xml:space="preserve">Hidromorfona HCl </v>
      </c>
      <c r="AA724" s="10" t="str">
        <f>IFERROR(VLOOKUP(Tabla1[[#This Row],[MEDICAMENTO]],TAB_REF!$B$3:$F$27,3,0), "")</f>
        <v xml:space="preserve">2 mg/mL </v>
      </c>
      <c r="AB724" s="10" t="str">
        <f>IFERROR(VLOOKUP(Tabla1[[#This Row],[MEDICAMENTO]],TAB_REF!$B$3:$F$27,4,0), "")</f>
        <v>Solución Inyectable</v>
      </c>
      <c r="AC724" s="10" t="str">
        <f>IFERROR(VLOOKUP(Tabla1[[#This Row],[MEDICAMENTO]],TAB_REF!$B$3:$F$27,5,0), "")</f>
        <v>Caja x 10 unidades</v>
      </c>
      <c r="AD724" s="10" t="str">
        <f>IFERROR(VLOOKUP(Tabla1[[#This Row],[CANTIDAD UND COMERCIALES]],TAB_REF!$H$3:$I$1003,2,0)&amp;" ("&amp;Tabla1[[#This Row],[CANTIDAD UND COMERCIALES]]&amp;")"&amp;"_"&amp;Tabla1[[#This Row],[CANTIDAD]],"")</f>
        <v>Doscientos (200)_Caja x 10 unidades</v>
      </c>
    </row>
    <row r="725" spans="2:30" x14ac:dyDescent="0.25">
      <c r="B725" s="10">
        <v>296</v>
      </c>
      <c r="C725" s="10" t="s">
        <v>3508</v>
      </c>
      <c r="D725" s="10" t="s">
        <v>2312</v>
      </c>
      <c r="E725" s="10" t="s">
        <v>3509</v>
      </c>
      <c r="F725" s="10" t="s">
        <v>2452</v>
      </c>
      <c r="G725" s="21" t="s">
        <v>3510</v>
      </c>
      <c r="H725" s="10" t="s">
        <v>3511</v>
      </c>
      <c r="I725" s="10" t="s">
        <v>2123</v>
      </c>
      <c r="J725" s="10" t="s">
        <v>1132</v>
      </c>
      <c r="K725" s="10" t="s">
        <v>3512</v>
      </c>
      <c r="L725" s="11">
        <v>202124100986932</v>
      </c>
      <c r="M725" s="20">
        <v>44350</v>
      </c>
      <c r="N725" s="20" t="str">
        <f>UPPER(TEXT(Tabla1[[#This Row],[FECHA RADICADO ENTRADA]],"MMM"))</f>
        <v>JUN</v>
      </c>
      <c r="O725" s="11">
        <v>202124110929181</v>
      </c>
      <c r="P725" s="20">
        <v>44361</v>
      </c>
      <c r="Q725" s="20" t="str">
        <f>UPPER(TEXT(Tabla1[[#This Row],[FECHA RADICADO ENTRADA]],"MMM"))</f>
        <v>JUN</v>
      </c>
      <c r="R725" s="10">
        <f t="shared" si="16"/>
        <v>-11</v>
      </c>
      <c r="S725" s="10" t="s">
        <v>2154</v>
      </c>
      <c r="U725" s="10" t="s">
        <v>3121</v>
      </c>
      <c r="V725" s="20">
        <v>44281</v>
      </c>
      <c r="W725" s="10" t="s">
        <v>32</v>
      </c>
      <c r="X725" s="10">
        <v>150</v>
      </c>
      <c r="Y725" s="11">
        <f>IFERROR(INT(Tabla1[[#This Row],[CANTIDAD UND FARMACEUTICAS]]/(VLOOKUP(Tabla1[[#This Row],[MEDICAMENTO]],TAB_REF!$K$3:$L$27,2,0))),"")</f>
        <v>5</v>
      </c>
      <c r="Z725" s="10" t="str">
        <f>IFERROR(VLOOKUP(Tabla1[[#This Row],[MEDICAMENTO]],TAB_REF!$B$3:$F$27,2,0), "")</f>
        <v xml:space="preserve">Fenobarbital </v>
      </c>
      <c r="AA725" s="10" t="str">
        <f>IFERROR(VLOOKUP(Tabla1[[#This Row],[MEDICAMENTO]],TAB_REF!$B$3:$F$27,3,0), "")</f>
        <v xml:space="preserve">100 mg </v>
      </c>
      <c r="AB725" s="10" t="str">
        <f>IFERROR(VLOOKUP(Tabla1[[#This Row],[MEDICAMENTO]],TAB_REF!$B$3:$F$27,4,0), "")</f>
        <v>Tabletas</v>
      </c>
      <c r="AC725" s="10" t="str">
        <f>IFERROR(VLOOKUP(Tabla1[[#This Row],[MEDICAMENTO]],TAB_REF!$B$3:$F$27,5,0), "")</f>
        <v>Caja x 30 unidades</v>
      </c>
      <c r="AD725" s="10" t="str">
        <f>IFERROR(VLOOKUP(Tabla1[[#This Row],[CANTIDAD UND COMERCIALES]],TAB_REF!$H$3:$I$1003,2,0)&amp;" ("&amp;Tabla1[[#This Row],[CANTIDAD UND COMERCIALES]]&amp;")"&amp;"_"&amp;Tabla1[[#This Row],[CANTIDAD]],"")</f>
        <v>Cinco (5)_Caja x 30 unidades</v>
      </c>
    </row>
    <row r="726" spans="2:30" x14ac:dyDescent="0.25">
      <c r="B726" s="10">
        <v>296</v>
      </c>
      <c r="C726" s="10" t="s">
        <v>3508</v>
      </c>
      <c r="D726" s="10" t="s">
        <v>2312</v>
      </c>
      <c r="E726" s="10" t="s">
        <v>3509</v>
      </c>
      <c r="F726" s="10" t="s">
        <v>2452</v>
      </c>
      <c r="G726" s="21" t="s">
        <v>3510</v>
      </c>
      <c r="H726" s="10" t="s">
        <v>3511</v>
      </c>
      <c r="I726" s="10" t="s">
        <v>2123</v>
      </c>
      <c r="J726" s="10" t="s">
        <v>1132</v>
      </c>
      <c r="K726" s="10" t="s">
        <v>3513</v>
      </c>
      <c r="L726" s="11">
        <v>202124100986932</v>
      </c>
      <c r="M726" s="20">
        <v>44350</v>
      </c>
      <c r="N726" s="20" t="str">
        <f>UPPER(TEXT(Tabla1[[#This Row],[FECHA RADICADO ENTRADA]],"MMM"))</f>
        <v>JUN</v>
      </c>
      <c r="O726" s="11">
        <v>202124110929181</v>
      </c>
      <c r="P726" s="20">
        <v>44361</v>
      </c>
      <c r="Q726" s="20" t="str">
        <f>UPPER(TEXT(Tabla1[[#This Row],[FECHA RADICADO ENTRADA]],"MMM"))</f>
        <v>JUN</v>
      </c>
      <c r="R726" s="10">
        <f t="shared" si="16"/>
        <v>-11</v>
      </c>
      <c r="S726" s="10" t="s">
        <v>2154</v>
      </c>
      <c r="U726" s="10" t="s">
        <v>3121</v>
      </c>
      <c r="V726" s="20">
        <v>44281</v>
      </c>
      <c r="W726" s="10" t="s">
        <v>60</v>
      </c>
      <c r="X726" s="10">
        <v>5</v>
      </c>
      <c r="Y726" s="11">
        <f>IFERROR(INT(Tabla1[[#This Row],[CANTIDAD UND FARMACEUTICAS]]/(VLOOKUP(Tabla1[[#This Row],[MEDICAMENTO]],TAB_REF!$K$3:$L$27,2,0))),"")</f>
        <v>5</v>
      </c>
      <c r="Z726" s="10" t="str">
        <f>IFERROR(VLOOKUP(Tabla1[[#This Row],[MEDICAMENTO]],TAB_REF!$B$3:$F$27,2,0), "")</f>
        <v xml:space="preserve">Morfina HCl </v>
      </c>
      <c r="AA726" s="10" t="str">
        <f>IFERROR(VLOOKUP(Tabla1[[#This Row],[MEDICAMENTO]],TAB_REF!$B$3:$F$27,3,0), "")</f>
        <v xml:space="preserve">3%. </v>
      </c>
      <c r="AB726" s="10" t="str">
        <f>IFERROR(VLOOKUP(Tabla1[[#This Row],[MEDICAMENTO]],TAB_REF!$B$3:$F$27,4,0), "")</f>
        <v>Solución Oral</v>
      </c>
      <c r="AC726" s="10" t="str">
        <f>IFERROR(VLOOKUP(Tabla1[[#This Row],[MEDICAMENTO]],TAB_REF!$B$3:$F$27,5,0), "")</f>
        <v>Frasco x 30 mL</v>
      </c>
      <c r="AD726" s="10" t="str">
        <f>IFERROR(VLOOKUP(Tabla1[[#This Row],[CANTIDAD UND COMERCIALES]],TAB_REF!$H$3:$I$1003,2,0)&amp;" ("&amp;Tabla1[[#This Row],[CANTIDAD UND COMERCIALES]]&amp;")"&amp;"_"&amp;Tabla1[[#This Row],[CANTIDAD]],"")</f>
        <v>Cinco (5)_Frasco x 30 mL</v>
      </c>
    </row>
    <row r="727" spans="2:30" x14ac:dyDescent="0.25">
      <c r="B727" s="10">
        <v>296</v>
      </c>
      <c r="C727" s="10" t="s">
        <v>3508</v>
      </c>
      <c r="D727" s="10" t="s">
        <v>2312</v>
      </c>
      <c r="E727" s="10" t="s">
        <v>3509</v>
      </c>
      <c r="F727" s="10" t="s">
        <v>2452</v>
      </c>
      <c r="G727" s="21" t="s">
        <v>3510</v>
      </c>
      <c r="H727" s="10" t="s">
        <v>3511</v>
      </c>
      <c r="I727" s="10" t="s">
        <v>2123</v>
      </c>
      <c r="J727" s="10" t="s">
        <v>1132</v>
      </c>
      <c r="K727" s="10" t="s">
        <v>3513</v>
      </c>
      <c r="L727" s="11">
        <v>202124100986932</v>
      </c>
      <c r="M727" s="20">
        <v>44350</v>
      </c>
      <c r="N727" s="20" t="str">
        <f>UPPER(TEXT(Tabla1[[#This Row],[FECHA RADICADO ENTRADA]],"MMM"))</f>
        <v>JUN</v>
      </c>
      <c r="O727" s="11">
        <v>202124110929181</v>
      </c>
      <c r="P727" s="20">
        <v>44361</v>
      </c>
      <c r="Q727" s="20" t="str">
        <f>UPPER(TEXT(Tabla1[[#This Row],[FECHA RADICADO ENTRADA]],"MMM"))</f>
        <v>JUN</v>
      </c>
      <c r="R727" s="10">
        <f t="shared" si="16"/>
        <v>-11</v>
      </c>
      <c r="S727" s="10" t="s">
        <v>2154</v>
      </c>
      <c r="U727" s="10" t="s">
        <v>3121</v>
      </c>
      <c r="V727" s="20">
        <v>44281</v>
      </c>
      <c r="W727" s="10" t="s">
        <v>33</v>
      </c>
      <c r="X727" s="10">
        <v>300</v>
      </c>
      <c r="Y727" s="11">
        <f>IFERROR(INT(Tabla1[[#This Row],[CANTIDAD UND FARMACEUTICAS]]/(VLOOKUP(Tabla1[[#This Row],[MEDICAMENTO]],TAB_REF!$K$3:$L$27,2,0))),"")</f>
        <v>10</v>
      </c>
      <c r="Z727" s="10" t="str">
        <f>IFERROR(VLOOKUP(Tabla1[[#This Row],[MEDICAMENTO]],TAB_REF!$B$3:$F$27,2,0), "")</f>
        <v xml:space="preserve">Fenobarbital </v>
      </c>
      <c r="AA727" s="10" t="str">
        <f>IFERROR(VLOOKUP(Tabla1[[#This Row],[MEDICAMENTO]],TAB_REF!$B$3:$F$27,3,0), "")</f>
        <v xml:space="preserve">50 mg </v>
      </c>
      <c r="AB727" s="10" t="str">
        <f>IFERROR(VLOOKUP(Tabla1[[#This Row],[MEDICAMENTO]],TAB_REF!$B$3:$F$27,4,0), "")</f>
        <v>Tabletas</v>
      </c>
      <c r="AC727" s="10" t="str">
        <f>IFERROR(VLOOKUP(Tabla1[[#This Row],[MEDICAMENTO]],TAB_REF!$B$3:$F$27,5,0), "")</f>
        <v>Caja x 30 unidades</v>
      </c>
      <c r="AD727" s="10" t="str">
        <f>IFERROR(VLOOKUP(Tabla1[[#This Row],[CANTIDAD UND COMERCIALES]],TAB_REF!$H$3:$I$1003,2,0)&amp;" ("&amp;Tabla1[[#This Row],[CANTIDAD UND COMERCIALES]]&amp;")"&amp;"_"&amp;Tabla1[[#This Row],[CANTIDAD]],"")</f>
        <v>Diez (10)_Caja x 30 unidades</v>
      </c>
    </row>
    <row r="728" spans="2:30" x14ac:dyDescent="0.25">
      <c r="B728" s="10">
        <v>297</v>
      </c>
      <c r="C728" s="10" t="s">
        <v>3514</v>
      </c>
      <c r="D728" s="10" t="s">
        <v>2182</v>
      </c>
      <c r="E728" s="10" t="s">
        <v>3515</v>
      </c>
      <c r="F728" s="10" t="s">
        <v>3516</v>
      </c>
      <c r="G728" s="10" t="s">
        <v>3517</v>
      </c>
      <c r="H728" s="10" t="s">
        <v>3518</v>
      </c>
      <c r="I728" s="10" t="s">
        <v>2116</v>
      </c>
      <c r="J728" s="10" t="s">
        <v>1550</v>
      </c>
      <c r="K728" s="10" t="s">
        <v>3519</v>
      </c>
      <c r="L728" s="11">
        <v>202124100989642</v>
      </c>
      <c r="M728" s="20">
        <v>44350</v>
      </c>
      <c r="N728" s="20" t="str">
        <f>UPPER(TEXT(Tabla1[[#This Row],[FECHA RADICADO ENTRADA]],"MMM"))</f>
        <v>JUN</v>
      </c>
      <c r="O728" s="11">
        <v>202124110929191</v>
      </c>
      <c r="P728" s="20">
        <v>44361</v>
      </c>
      <c r="Q728" s="20" t="str">
        <f>UPPER(TEXT(Tabla1[[#This Row],[FECHA RADICADO ENTRADA]],"MMM"))</f>
        <v>JUN</v>
      </c>
      <c r="R728" s="10">
        <f t="shared" ref="R728:R758" si="17">_xlfn.DAYS(M728,P728)</f>
        <v>-11</v>
      </c>
      <c r="S728" s="10" t="s">
        <v>2154</v>
      </c>
      <c r="U728" s="10" t="s">
        <v>3520</v>
      </c>
      <c r="V728" s="20">
        <v>44130</v>
      </c>
      <c r="W728" s="10" t="s">
        <v>63</v>
      </c>
      <c r="X728" s="10">
        <v>300</v>
      </c>
      <c r="Y728" s="11">
        <f>IFERROR(INT(Tabla1[[#This Row],[CANTIDAD UND FARMACEUTICAS]]/(VLOOKUP(Tabla1[[#This Row],[MEDICAMENTO]],TAB_REF!$K$3:$L$27,2,0))),"")</f>
        <v>30</v>
      </c>
      <c r="Z728" s="10" t="str">
        <f>IFERROR(VLOOKUP(Tabla1[[#This Row],[MEDICAMENTO]],TAB_REF!$B$3:$F$27,2,0), "")</f>
        <v xml:space="preserve">Morfina HCl </v>
      </c>
      <c r="AA728" s="10" t="str">
        <f>IFERROR(VLOOKUP(Tabla1[[#This Row],[MEDICAMENTO]],TAB_REF!$B$3:$F$27,3,0), "")</f>
        <v xml:space="preserve">10 mg/mL </v>
      </c>
      <c r="AB728" s="10" t="str">
        <f>IFERROR(VLOOKUP(Tabla1[[#This Row],[MEDICAMENTO]],TAB_REF!$B$3:$F$27,4,0), "")</f>
        <v>Solución Inyectable</v>
      </c>
      <c r="AC728" s="10" t="str">
        <f>IFERROR(VLOOKUP(Tabla1[[#This Row],[MEDICAMENTO]],TAB_REF!$B$3:$F$27,5,0), "")</f>
        <v>Caja x 10 unidades</v>
      </c>
      <c r="AD728" s="10" t="str">
        <f>IFERROR(VLOOKUP(Tabla1[[#This Row],[CANTIDAD UND COMERCIALES]],TAB_REF!$H$3:$I$1003,2,0)&amp;" ("&amp;Tabla1[[#This Row],[CANTIDAD UND COMERCIALES]]&amp;")"&amp;"_"&amp;Tabla1[[#This Row],[CANTIDAD]],"")</f>
        <v>Treinta (30)_Caja x 10 unidades</v>
      </c>
    </row>
    <row r="729" spans="2:30" x14ac:dyDescent="0.25">
      <c r="B729" s="10">
        <v>297</v>
      </c>
      <c r="C729" s="10" t="s">
        <v>3514</v>
      </c>
      <c r="D729" s="10" t="s">
        <v>2182</v>
      </c>
      <c r="E729" s="10" t="s">
        <v>3515</v>
      </c>
      <c r="F729" s="10" t="s">
        <v>3516</v>
      </c>
      <c r="G729" s="10" t="s">
        <v>3517</v>
      </c>
      <c r="H729" s="10" t="s">
        <v>3518</v>
      </c>
      <c r="I729" s="10" t="s">
        <v>2116</v>
      </c>
      <c r="J729" s="10" t="s">
        <v>1550</v>
      </c>
      <c r="K729" s="10" t="s">
        <v>3519</v>
      </c>
      <c r="L729" s="11">
        <v>202124100989642</v>
      </c>
      <c r="M729" s="20">
        <v>44350</v>
      </c>
      <c r="N729" s="20" t="str">
        <f>UPPER(TEXT(Tabla1[[#This Row],[FECHA RADICADO ENTRADA]],"MMM"))</f>
        <v>JUN</v>
      </c>
      <c r="O729" s="11">
        <v>202124110929191</v>
      </c>
      <c r="P729" s="20">
        <v>44361</v>
      </c>
      <c r="Q729" s="20" t="str">
        <f>UPPER(TEXT(Tabla1[[#This Row],[FECHA RADICADO ENTRADA]],"MMM"))</f>
        <v>JUN</v>
      </c>
      <c r="R729" s="10">
        <f t="shared" si="17"/>
        <v>-11</v>
      </c>
      <c r="S729" s="10" t="s">
        <v>2154</v>
      </c>
      <c r="U729" s="10" t="s">
        <v>3520</v>
      </c>
      <c r="V729" s="20">
        <v>44130</v>
      </c>
      <c r="W729" s="10" t="s">
        <v>60</v>
      </c>
      <c r="X729" s="10">
        <v>2</v>
      </c>
      <c r="Y729" s="11">
        <f>IFERROR(INT(Tabla1[[#This Row],[CANTIDAD UND FARMACEUTICAS]]/(VLOOKUP(Tabla1[[#This Row],[MEDICAMENTO]],TAB_REF!$K$3:$L$27,2,0))),"")</f>
        <v>2</v>
      </c>
      <c r="Z729" s="10" t="str">
        <f>IFERROR(VLOOKUP(Tabla1[[#This Row],[MEDICAMENTO]],TAB_REF!$B$3:$F$27,2,0), "")</f>
        <v xml:space="preserve">Morfina HCl </v>
      </c>
      <c r="AA729" s="10" t="str">
        <f>IFERROR(VLOOKUP(Tabla1[[#This Row],[MEDICAMENTO]],TAB_REF!$B$3:$F$27,3,0), "")</f>
        <v xml:space="preserve">3%. </v>
      </c>
      <c r="AB729" s="10" t="str">
        <f>IFERROR(VLOOKUP(Tabla1[[#This Row],[MEDICAMENTO]],TAB_REF!$B$3:$F$27,4,0), "")</f>
        <v>Solución Oral</v>
      </c>
      <c r="AC729" s="10" t="str">
        <f>IFERROR(VLOOKUP(Tabla1[[#This Row],[MEDICAMENTO]],TAB_REF!$B$3:$F$27,5,0), "")</f>
        <v>Frasco x 30 mL</v>
      </c>
      <c r="AD729" s="10" t="str">
        <f>IFERROR(VLOOKUP(Tabla1[[#This Row],[CANTIDAD UND COMERCIALES]],TAB_REF!$H$3:$I$1003,2,0)&amp;" ("&amp;Tabla1[[#This Row],[CANTIDAD UND COMERCIALES]]&amp;")"&amp;"_"&amp;Tabla1[[#This Row],[CANTIDAD]],"")</f>
        <v>Dos (2)_Frasco x 30 mL</v>
      </c>
    </row>
    <row r="730" spans="2:30" x14ac:dyDescent="0.25">
      <c r="B730" s="10">
        <v>298</v>
      </c>
      <c r="C730" s="10" t="s">
        <v>3358</v>
      </c>
      <c r="D730" s="10" t="s">
        <v>3359</v>
      </c>
      <c r="E730" s="10" t="s">
        <v>3360</v>
      </c>
      <c r="F730" s="10" t="s">
        <v>2897</v>
      </c>
      <c r="G730" s="10" t="s">
        <v>3361</v>
      </c>
      <c r="H730" s="10" t="s">
        <v>3362</v>
      </c>
      <c r="I730" s="10" t="s">
        <v>2107</v>
      </c>
      <c r="J730" s="10" t="s">
        <v>1212</v>
      </c>
      <c r="K730" s="10" t="s">
        <v>3521</v>
      </c>
      <c r="L730" s="11">
        <v>202124100995612</v>
      </c>
      <c r="M730" s="20">
        <v>44351</v>
      </c>
      <c r="N730" s="20" t="str">
        <f>UPPER(TEXT(Tabla1[[#This Row],[FECHA RADICADO ENTRADA]],"MMM"))</f>
        <v>JUN</v>
      </c>
      <c r="O730" s="11">
        <v>202124110929211</v>
      </c>
      <c r="P730" s="20">
        <v>44361</v>
      </c>
      <c r="Q730" s="20" t="str">
        <f>UPPER(TEXT(Tabla1[[#This Row],[FECHA RADICADO ENTRADA]],"MMM"))</f>
        <v>JUN</v>
      </c>
      <c r="R730" s="10">
        <f t="shared" si="17"/>
        <v>-10</v>
      </c>
      <c r="S730" s="10" t="s">
        <v>2154</v>
      </c>
      <c r="U730" s="10" t="s">
        <v>3156</v>
      </c>
      <c r="V730" s="20">
        <v>43677</v>
      </c>
      <c r="W730" s="10" t="s">
        <v>63</v>
      </c>
      <c r="X730" s="10">
        <v>1000</v>
      </c>
      <c r="Y730" s="11">
        <f>IFERROR(INT(Tabla1[[#This Row],[CANTIDAD UND FARMACEUTICAS]]/(VLOOKUP(Tabla1[[#This Row],[MEDICAMENTO]],TAB_REF!$K$3:$L$27,2,0))),"")</f>
        <v>100</v>
      </c>
      <c r="Z730" s="10" t="str">
        <f>IFERROR(VLOOKUP(Tabla1[[#This Row],[MEDICAMENTO]],TAB_REF!$B$3:$F$27,2,0), "")</f>
        <v xml:space="preserve">Morfina HCl </v>
      </c>
      <c r="AA730" s="10" t="str">
        <f>IFERROR(VLOOKUP(Tabla1[[#This Row],[MEDICAMENTO]],TAB_REF!$B$3:$F$27,3,0), "")</f>
        <v xml:space="preserve">10 mg/mL </v>
      </c>
      <c r="AB730" s="10" t="str">
        <f>IFERROR(VLOOKUP(Tabla1[[#This Row],[MEDICAMENTO]],TAB_REF!$B$3:$F$27,4,0), "")</f>
        <v>Solución Inyectable</v>
      </c>
      <c r="AC730" s="10" t="str">
        <f>IFERROR(VLOOKUP(Tabla1[[#This Row],[MEDICAMENTO]],TAB_REF!$B$3:$F$27,5,0), "")</f>
        <v>Caja x 10 unidades</v>
      </c>
      <c r="AD730" s="10" t="str">
        <f>IFERROR(VLOOKUP(Tabla1[[#This Row],[CANTIDAD UND COMERCIALES]],TAB_REF!$H$3:$I$1003,2,0)&amp;" ("&amp;Tabla1[[#This Row],[CANTIDAD UND COMERCIALES]]&amp;")"&amp;"_"&amp;Tabla1[[#This Row],[CANTIDAD]],"")</f>
        <v>Cien (100)_Caja x 10 unidades</v>
      </c>
    </row>
    <row r="731" spans="2:30" x14ac:dyDescent="0.25">
      <c r="B731" s="10">
        <v>298</v>
      </c>
      <c r="C731" s="10" t="s">
        <v>3358</v>
      </c>
      <c r="D731" s="10" t="s">
        <v>3359</v>
      </c>
      <c r="E731" s="10" t="s">
        <v>3360</v>
      </c>
      <c r="F731" s="10" t="s">
        <v>2897</v>
      </c>
      <c r="G731" s="10" t="s">
        <v>3361</v>
      </c>
      <c r="H731" s="10" t="s">
        <v>3362</v>
      </c>
      <c r="I731" s="10" t="s">
        <v>2107</v>
      </c>
      <c r="J731" s="10" t="s">
        <v>1212</v>
      </c>
      <c r="K731" s="10" t="s">
        <v>3521</v>
      </c>
      <c r="L731" s="11">
        <v>202124100995612</v>
      </c>
      <c r="M731" s="20">
        <v>44351</v>
      </c>
      <c r="N731" s="20" t="str">
        <f>UPPER(TEXT(Tabla1[[#This Row],[FECHA RADICADO ENTRADA]],"MMM"))</f>
        <v>JUN</v>
      </c>
      <c r="O731" s="11">
        <v>202124110929211</v>
      </c>
      <c r="P731" s="20">
        <v>44361</v>
      </c>
      <c r="Q731" s="20" t="str">
        <f>UPPER(TEXT(Tabla1[[#This Row],[FECHA RADICADO ENTRADA]],"MMM"))</f>
        <v>JUN</v>
      </c>
      <c r="R731" s="10">
        <f t="shared" si="17"/>
        <v>-10</v>
      </c>
      <c r="S731" s="10" t="s">
        <v>2154</v>
      </c>
      <c r="U731" s="10" t="s">
        <v>3156</v>
      </c>
      <c r="V731" s="20">
        <v>43677</v>
      </c>
      <c r="W731" s="10" t="s">
        <v>64</v>
      </c>
      <c r="X731" s="10">
        <v>1000</v>
      </c>
      <c r="Y731" s="11">
        <f>IFERROR(INT(Tabla1[[#This Row],[CANTIDAD UND FARMACEUTICAS]]/(VLOOKUP(Tabla1[[#This Row],[MEDICAMENTO]],TAB_REF!$K$3:$L$27,2,0))),"")</f>
        <v>100</v>
      </c>
      <c r="Z731" s="10" t="str">
        <f>IFERROR(VLOOKUP(Tabla1[[#This Row],[MEDICAMENTO]],TAB_REF!$B$3:$F$27,2,0), "")</f>
        <v xml:space="preserve">Morfina HCl </v>
      </c>
      <c r="AA731" s="10" t="str">
        <f>IFERROR(VLOOKUP(Tabla1[[#This Row],[MEDICAMENTO]],TAB_REF!$B$3:$F$27,3,0), "")</f>
        <v xml:space="preserve">10 (50mg/5mL) </v>
      </c>
      <c r="AB731" s="10" t="str">
        <f>IFERROR(VLOOKUP(Tabla1[[#This Row],[MEDICAMENTO]],TAB_REF!$B$3:$F$27,4,0), "")</f>
        <v>Solución Inyectable</v>
      </c>
      <c r="AC731" s="10" t="str">
        <f>IFERROR(VLOOKUP(Tabla1[[#This Row],[MEDICAMENTO]],TAB_REF!$B$3:$F$27,5,0), "")</f>
        <v>Caja x 5 unidades</v>
      </c>
      <c r="AD731" s="10" t="str">
        <f>IFERROR(VLOOKUP(Tabla1[[#This Row],[CANTIDAD UND COMERCIALES]],TAB_REF!$H$3:$I$1003,2,0)&amp;" ("&amp;Tabla1[[#This Row],[CANTIDAD UND COMERCIALES]]&amp;")"&amp;"_"&amp;Tabla1[[#This Row],[CANTIDAD]],"")</f>
        <v>Cien (100)_Caja x 5 unidades</v>
      </c>
    </row>
    <row r="732" spans="2:30" x14ac:dyDescent="0.25">
      <c r="B732" s="10">
        <v>299</v>
      </c>
      <c r="C732" s="10" t="s">
        <v>2730</v>
      </c>
      <c r="D732" s="10" t="s">
        <v>2162</v>
      </c>
      <c r="E732" s="10" t="s">
        <v>2794</v>
      </c>
      <c r="F732" s="10" t="s">
        <v>2689</v>
      </c>
      <c r="G732" s="10" t="s">
        <v>2732</v>
      </c>
      <c r="H732" s="10" t="s">
        <v>2795</v>
      </c>
      <c r="I732" s="10" t="s">
        <v>2123</v>
      </c>
      <c r="J732" s="10" t="s">
        <v>1770</v>
      </c>
      <c r="K732" s="10" t="s">
        <v>2734</v>
      </c>
      <c r="L732" s="11">
        <v>202124100997592</v>
      </c>
      <c r="M732" s="20">
        <v>44351</v>
      </c>
      <c r="N732" s="20" t="str">
        <f>UPPER(TEXT(Tabla1[[#This Row],[FECHA RADICADO ENTRADA]],"MMM"))</f>
        <v>JUN</v>
      </c>
      <c r="O732" s="11">
        <v>202124110929221</v>
      </c>
      <c r="P732" s="20">
        <v>44361</v>
      </c>
      <c r="Q732" s="20" t="str">
        <f>UPPER(TEXT(Tabla1[[#This Row],[FECHA RADICADO ENTRADA]],"MMM"))</f>
        <v>JUN</v>
      </c>
      <c r="R732" s="10">
        <f t="shared" si="17"/>
        <v>-10</v>
      </c>
      <c r="S732" s="10" t="s">
        <v>2145</v>
      </c>
      <c r="T732" s="10" t="s">
        <v>2763</v>
      </c>
      <c r="U732" s="10" t="s">
        <v>2735</v>
      </c>
      <c r="V732" s="20">
        <v>44070</v>
      </c>
      <c r="W732" s="10" t="s">
        <v>49</v>
      </c>
      <c r="X732" s="10">
        <v>0</v>
      </c>
      <c r="Y732" s="11">
        <f>IFERROR(INT(Tabla1[[#This Row],[CANTIDAD UND FARMACEUTICAS]]/(VLOOKUP(Tabla1[[#This Row],[MEDICAMENTO]],TAB_REF!$K$3:$L$27,2,0))),"")</f>
        <v>0</v>
      </c>
      <c r="Z732" s="10" t="str">
        <f>IFERROR(VLOOKUP(Tabla1[[#This Row],[MEDICAMENTO]],TAB_REF!$B$3:$F$27,2,0), "")</f>
        <v xml:space="preserve">Metilfenidato HCl </v>
      </c>
      <c r="AA732" s="10" t="str">
        <f>IFERROR(VLOOKUP(Tabla1[[#This Row],[MEDICAMENTO]],TAB_REF!$B$3:$F$27,3,0), "")</f>
        <v xml:space="preserve">18 mg </v>
      </c>
      <c r="AB732" s="10" t="str">
        <f>IFERROR(VLOOKUP(Tabla1[[#This Row],[MEDICAMENTO]],TAB_REF!$B$3:$F$27,4,0), "")</f>
        <v>Tabletas de Liberación Prolongada</v>
      </c>
      <c r="AC732" s="10" t="str">
        <f>IFERROR(VLOOKUP(Tabla1[[#This Row],[MEDICAMENTO]],TAB_REF!$B$3:$F$27,5,0), "")</f>
        <v>Frasco x 30 unidades</v>
      </c>
      <c r="AD732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733" spans="2:30" x14ac:dyDescent="0.25">
      <c r="B733" s="10">
        <v>299</v>
      </c>
      <c r="C733" s="10" t="s">
        <v>2730</v>
      </c>
      <c r="D733" s="10" t="s">
        <v>2162</v>
      </c>
      <c r="E733" s="10" t="s">
        <v>2794</v>
      </c>
      <c r="F733" s="10" t="s">
        <v>2689</v>
      </c>
      <c r="G733" s="10" t="s">
        <v>2732</v>
      </c>
      <c r="H733" s="10" t="s">
        <v>2795</v>
      </c>
      <c r="I733" s="10" t="s">
        <v>2123</v>
      </c>
      <c r="J733" s="10" t="s">
        <v>1770</v>
      </c>
      <c r="K733" s="10" t="s">
        <v>2734</v>
      </c>
      <c r="L733" s="11">
        <v>202124100997592</v>
      </c>
      <c r="M733" s="20">
        <v>44351</v>
      </c>
      <c r="N733" s="20" t="str">
        <f>UPPER(TEXT(Tabla1[[#This Row],[FECHA RADICADO ENTRADA]],"MMM"))</f>
        <v>JUN</v>
      </c>
      <c r="O733" s="11">
        <v>202124110929221</v>
      </c>
      <c r="P733" s="20">
        <v>44361</v>
      </c>
      <c r="Q733" s="20" t="str">
        <f>UPPER(TEXT(Tabla1[[#This Row],[FECHA RADICADO ENTRADA]],"MMM"))</f>
        <v>JUN</v>
      </c>
      <c r="R733" s="10">
        <f t="shared" si="17"/>
        <v>-10</v>
      </c>
      <c r="S733" s="10" t="s">
        <v>2154</v>
      </c>
      <c r="U733" s="10" t="s">
        <v>2735</v>
      </c>
      <c r="V733" s="20">
        <v>44070</v>
      </c>
      <c r="W733" s="10" t="s">
        <v>48</v>
      </c>
      <c r="X733" s="10">
        <v>120</v>
      </c>
      <c r="Y733" s="11">
        <f>IFERROR(INT(Tabla1[[#This Row],[CANTIDAD UND FARMACEUTICAS]]/(VLOOKUP(Tabla1[[#This Row],[MEDICAMENTO]],TAB_REF!$K$3:$L$27,2,0))),"")</f>
        <v>4</v>
      </c>
      <c r="Z733" s="10" t="str">
        <f>IFERROR(VLOOKUP(Tabla1[[#This Row],[MEDICAMENTO]],TAB_REF!$B$3:$F$27,2,0), "")</f>
        <v xml:space="preserve">Metilfenidato HCl </v>
      </c>
      <c r="AA733" s="10" t="str">
        <f>IFERROR(VLOOKUP(Tabla1[[#This Row],[MEDICAMENTO]],TAB_REF!$B$3:$F$27,3,0), "")</f>
        <v xml:space="preserve">10 mg </v>
      </c>
      <c r="AB733" s="10" t="str">
        <f>IFERROR(VLOOKUP(Tabla1[[#This Row],[MEDICAMENTO]],TAB_REF!$B$3:$F$27,4,0), "")</f>
        <v>Comprimidos</v>
      </c>
      <c r="AC733" s="10" t="str">
        <f>IFERROR(VLOOKUP(Tabla1[[#This Row],[MEDICAMENTO]],TAB_REF!$B$3:$F$27,5,0), "")</f>
        <v>Caja x 30 unidades</v>
      </c>
      <c r="AD733" s="10" t="str">
        <f>IFERROR(VLOOKUP(Tabla1[[#This Row],[CANTIDAD UND COMERCIALES]],TAB_REF!$H$3:$I$1003,2,0)&amp;" ("&amp;Tabla1[[#This Row],[CANTIDAD UND COMERCIALES]]&amp;")"&amp;"_"&amp;Tabla1[[#This Row],[CANTIDAD]],"")</f>
        <v>Cuatro (4)_Caja x 30 unidades</v>
      </c>
    </row>
    <row r="734" spans="2:30" x14ac:dyDescent="0.25">
      <c r="B734" s="10">
        <v>300</v>
      </c>
      <c r="C734" s="10" t="s">
        <v>3523</v>
      </c>
      <c r="D734" s="10" t="s">
        <v>2175</v>
      </c>
      <c r="E734" s="10" t="s">
        <v>3524</v>
      </c>
      <c r="F734" s="10" t="s">
        <v>2815</v>
      </c>
      <c r="G734" s="21" t="s">
        <v>3525</v>
      </c>
      <c r="H734" s="10" t="s">
        <v>3526</v>
      </c>
      <c r="I734" s="10" t="s">
        <v>2128</v>
      </c>
      <c r="J734" s="10" t="s">
        <v>1918</v>
      </c>
      <c r="K734" s="10" t="s">
        <v>3527</v>
      </c>
      <c r="L734" s="11">
        <v>202124100993942</v>
      </c>
      <c r="M734" s="20">
        <v>44351</v>
      </c>
      <c r="N734" s="20" t="str">
        <f>UPPER(TEXT(Tabla1[[#This Row],[FECHA RADICADO ENTRADA]],"MMM"))</f>
        <v>JUN</v>
      </c>
      <c r="O734" s="11">
        <v>202124110935421</v>
      </c>
      <c r="P734" s="20">
        <v>44362</v>
      </c>
      <c r="Q734" s="20" t="str">
        <f>UPPER(TEXT(Tabla1[[#This Row],[FECHA RADICADO ENTRADA]],"MMM"))</f>
        <v>JUN</v>
      </c>
      <c r="R734" s="10">
        <f t="shared" si="17"/>
        <v>-11</v>
      </c>
      <c r="S734" s="10" t="s">
        <v>2154</v>
      </c>
      <c r="U734" s="10" t="s">
        <v>3528</v>
      </c>
      <c r="V734" s="20">
        <v>44083</v>
      </c>
      <c r="W734" s="10" t="s">
        <v>57</v>
      </c>
      <c r="X734" s="10">
        <v>60</v>
      </c>
      <c r="Y734" s="11">
        <f>IFERROR(INT(Tabla1[[#This Row],[CANTIDAD UND FARMACEUTICAS]]/(VLOOKUP(Tabla1[[#This Row],[MEDICAMENTO]],TAB_REF!$K$3:$L$27,2,0))),"")</f>
        <v>2</v>
      </c>
      <c r="Z734" s="10" t="str">
        <f>IFERROR(VLOOKUP(Tabla1[[#This Row],[MEDICAMENTO]],TAB_REF!$B$3:$F$27,2,0), "")</f>
        <v xml:space="preserve">Metilfenidato HCl </v>
      </c>
      <c r="AA734" s="10" t="str">
        <f>IFERROR(VLOOKUP(Tabla1[[#This Row],[MEDICAMENTO]],TAB_REF!$B$3:$F$27,3,0), "")</f>
        <v xml:space="preserve">36 mg </v>
      </c>
      <c r="AB734" s="10" t="str">
        <f>IFERROR(VLOOKUP(Tabla1[[#This Row],[MEDICAMENTO]],TAB_REF!$B$3:$F$27,4,0), "")</f>
        <v>Tabletas de Liberación Prolongada</v>
      </c>
      <c r="AC734" s="10" t="str">
        <f>IFERROR(VLOOKUP(Tabla1[[#This Row],[MEDICAMENTO]],TAB_REF!$B$3:$F$27,5,0), "")</f>
        <v>Frasco x 30 unidades</v>
      </c>
      <c r="AD734" s="10" t="str">
        <f>IFERROR(VLOOKUP(Tabla1[[#This Row],[CANTIDAD UND COMERCIALES]],TAB_REF!$H$3:$I$1003,2,0)&amp;" ("&amp;Tabla1[[#This Row],[CANTIDAD UND COMERCIALES]]&amp;")"&amp;"_"&amp;Tabla1[[#This Row],[CANTIDAD]],"")</f>
        <v>Dos (2)_Frasco x 30 unidades</v>
      </c>
    </row>
    <row r="735" spans="2:30" x14ac:dyDescent="0.25">
      <c r="B735" s="10">
        <v>300</v>
      </c>
      <c r="C735" s="10" t="s">
        <v>3523</v>
      </c>
      <c r="D735" s="10" t="s">
        <v>2175</v>
      </c>
      <c r="E735" s="10" t="s">
        <v>3524</v>
      </c>
      <c r="F735" s="10" t="s">
        <v>2815</v>
      </c>
      <c r="G735" s="21" t="s">
        <v>3525</v>
      </c>
      <c r="H735" s="10" t="s">
        <v>3526</v>
      </c>
      <c r="I735" s="10" t="s">
        <v>2128</v>
      </c>
      <c r="J735" s="10" t="s">
        <v>1918</v>
      </c>
      <c r="K735" s="10" t="s">
        <v>3527</v>
      </c>
      <c r="L735" s="11">
        <v>202124100993942</v>
      </c>
      <c r="M735" s="20">
        <v>44351</v>
      </c>
      <c r="N735" s="20" t="str">
        <f>UPPER(TEXT(Tabla1[[#This Row],[FECHA RADICADO ENTRADA]],"MMM"))</f>
        <v>JUN</v>
      </c>
      <c r="O735" s="11">
        <v>202124110935421</v>
      </c>
      <c r="P735" s="20">
        <v>44362</v>
      </c>
      <c r="Q735" s="20" t="str">
        <f>UPPER(TEXT(Tabla1[[#This Row],[FECHA RADICADO ENTRADA]],"MMM"))</f>
        <v>JUN</v>
      </c>
      <c r="R735" s="10">
        <f t="shared" si="17"/>
        <v>-11</v>
      </c>
      <c r="S735" s="10" t="s">
        <v>2154</v>
      </c>
      <c r="U735" s="10" t="s">
        <v>3529</v>
      </c>
      <c r="V735" s="20">
        <v>44083</v>
      </c>
      <c r="W735" s="10" t="s">
        <v>60</v>
      </c>
      <c r="X735" s="10">
        <v>30</v>
      </c>
      <c r="Y735" s="11">
        <f>IFERROR(INT(Tabla1[[#This Row],[CANTIDAD UND FARMACEUTICAS]]/(VLOOKUP(Tabla1[[#This Row],[MEDICAMENTO]],TAB_REF!$K$3:$L$27,2,0))),"")</f>
        <v>30</v>
      </c>
      <c r="Z735" s="10" t="str">
        <f>IFERROR(VLOOKUP(Tabla1[[#This Row],[MEDICAMENTO]],TAB_REF!$B$3:$F$27,2,0), "")</f>
        <v xml:space="preserve">Morfina HCl </v>
      </c>
      <c r="AA735" s="10" t="str">
        <f>IFERROR(VLOOKUP(Tabla1[[#This Row],[MEDICAMENTO]],TAB_REF!$B$3:$F$27,3,0), "")</f>
        <v xml:space="preserve">3%. </v>
      </c>
      <c r="AB735" s="10" t="str">
        <f>IFERROR(VLOOKUP(Tabla1[[#This Row],[MEDICAMENTO]],TAB_REF!$B$3:$F$27,4,0), "")</f>
        <v>Solución Oral</v>
      </c>
      <c r="AC735" s="10" t="str">
        <f>IFERROR(VLOOKUP(Tabla1[[#This Row],[MEDICAMENTO]],TAB_REF!$B$3:$F$27,5,0), "")</f>
        <v>Frasco x 30 mL</v>
      </c>
      <c r="AD735" s="10" t="str">
        <f>IFERROR(VLOOKUP(Tabla1[[#This Row],[CANTIDAD UND COMERCIALES]],TAB_REF!$H$3:$I$1003,2,0)&amp;" ("&amp;Tabla1[[#This Row],[CANTIDAD UND COMERCIALES]]&amp;")"&amp;"_"&amp;Tabla1[[#This Row],[CANTIDAD]],"")</f>
        <v>Treinta (30)_Frasco x 30 mL</v>
      </c>
    </row>
    <row r="736" spans="2:30" x14ac:dyDescent="0.25">
      <c r="B736" s="10">
        <v>300</v>
      </c>
      <c r="C736" s="10" t="s">
        <v>3523</v>
      </c>
      <c r="D736" s="10" t="s">
        <v>2175</v>
      </c>
      <c r="E736" s="10" t="s">
        <v>3524</v>
      </c>
      <c r="F736" s="10" t="s">
        <v>2815</v>
      </c>
      <c r="G736" s="21" t="s">
        <v>3525</v>
      </c>
      <c r="H736" s="10" t="s">
        <v>3526</v>
      </c>
      <c r="I736" s="10" t="s">
        <v>2128</v>
      </c>
      <c r="J736" s="10" t="s">
        <v>1918</v>
      </c>
      <c r="K736" s="10" t="s">
        <v>3527</v>
      </c>
      <c r="L736" s="11">
        <v>202124100993942</v>
      </c>
      <c r="M736" s="20">
        <v>44351</v>
      </c>
      <c r="N736" s="20" t="str">
        <f>UPPER(TEXT(Tabla1[[#This Row],[FECHA RADICADO ENTRADA]],"MMM"))</f>
        <v>JUN</v>
      </c>
      <c r="O736" s="11">
        <v>202124110935421</v>
      </c>
      <c r="P736" s="20">
        <v>44362</v>
      </c>
      <c r="Q736" s="20" t="str">
        <f>UPPER(TEXT(Tabla1[[#This Row],[FECHA RADICADO ENTRADA]],"MMM"))</f>
        <v>JUN</v>
      </c>
      <c r="R736" s="10">
        <f t="shared" si="17"/>
        <v>-11</v>
      </c>
      <c r="S736" s="10" t="s">
        <v>2154</v>
      </c>
      <c r="U736" s="10" t="s">
        <v>3530</v>
      </c>
      <c r="V736" s="20">
        <v>44083</v>
      </c>
      <c r="W736" s="10" t="s">
        <v>63</v>
      </c>
      <c r="X736" s="10">
        <v>60</v>
      </c>
      <c r="Y736" s="11">
        <f>IFERROR(INT(Tabla1[[#This Row],[CANTIDAD UND FARMACEUTICAS]]/(VLOOKUP(Tabla1[[#This Row],[MEDICAMENTO]],TAB_REF!$K$3:$L$27,2,0))),"")</f>
        <v>6</v>
      </c>
      <c r="Z736" s="10" t="str">
        <f>IFERROR(VLOOKUP(Tabla1[[#This Row],[MEDICAMENTO]],TAB_REF!$B$3:$F$27,2,0), "")</f>
        <v xml:space="preserve">Morfina HCl </v>
      </c>
      <c r="AA736" s="10" t="str">
        <f>IFERROR(VLOOKUP(Tabla1[[#This Row],[MEDICAMENTO]],TAB_REF!$B$3:$F$27,3,0), "")</f>
        <v xml:space="preserve">10 mg/mL </v>
      </c>
      <c r="AB736" s="10" t="str">
        <f>IFERROR(VLOOKUP(Tabla1[[#This Row],[MEDICAMENTO]],TAB_REF!$B$3:$F$27,4,0), "")</f>
        <v>Solución Inyectable</v>
      </c>
      <c r="AC736" s="10" t="str">
        <f>IFERROR(VLOOKUP(Tabla1[[#This Row],[MEDICAMENTO]],TAB_REF!$B$3:$F$27,5,0), "")</f>
        <v>Caja x 10 unidades</v>
      </c>
      <c r="AD736" s="10" t="str">
        <f>IFERROR(VLOOKUP(Tabla1[[#This Row],[CANTIDAD UND COMERCIALES]],TAB_REF!$H$3:$I$1003,2,0)&amp;" ("&amp;Tabla1[[#This Row],[CANTIDAD UND COMERCIALES]]&amp;")"&amp;"_"&amp;Tabla1[[#This Row],[CANTIDAD]],"")</f>
        <v>Seis (6)_Caja x 10 unidades</v>
      </c>
    </row>
    <row r="737" spans="2:30" x14ac:dyDescent="0.25">
      <c r="B737" s="10">
        <v>301</v>
      </c>
      <c r="C737" s="10" t="s">
        <v>3412</v>
      </c>
      <c r="D737" s="10" t="s">
        <v>2507</v>
      </c>
      <c r="E737" s="10" t="s">
        <v>3413</v>
      </c>
      <c r="F737" s="10" t="s">
        <v>3414</v>
      </c>
      <c r="G737" s="21" t="s">
        <v>3415</v>
      </c>
      <c r="H737" s="10" t="s">
        <v>3531</v>
      </c>
      <c r="I737" s="10" t="s">
        <v>2128</v>
      </c>
      <c r="J737" s="10" t="s">
        <v>1945</v>
      </c>
      <c r="K737" s="10" t="s">
        <v>3532</v>
      </c>
      <c r="L737" s="11">
        <v>202124100995422</v>
      </c>
      <c r="M737" s="20">
        <v>44351</v>
      </c>
      <c r="N737" s="20" t="str">
        <f>UPPER(TEXT(Tabla1[[#This Row],[FECHA RADICADO ENTRADA]],"MMM"))</f>
        <v>JUN</v>
      </c>
      <c r="O737" s="11">
        <v>202124110935501</v>
      </c>
      <c r="P737" s="20">
        <v>44362</v>
      </c>
      <c r="Q737" s="20" t="str">
        <f>UPPER(TEXT(Tabla1[[#This Row],[FECHA RADICADO ENTRADA]],"MMM"))</f>
        <v>JUN</v>
      </c>
      <c r="R737" s="10">
        <f t="shared" si="17"/>
        <v>-11</v>
      </c>
      <c r="S737" s="10" t="s">
        <v>2154</v>
      </c>
      <c r="U737" s="10" t="s">
        <v>3533</v>
      </c>
      <c r="V737" s="20">
        <v>43514</v>
      </c>
      <c r="W737" s="10" t="s">
        <v>60</v>
      </c>
      <c r="X737" s="10">
        <v>30</v>
      </c>
      <c r="Y737" s="11">
        <f>IFERROR(INT(Tabla1[[#This Row],[CANTIDAD UND FARMACEUTICAS]]/(VLOOKUP(Tabla1[[#This Row],[MEDICAMENTO]],TAB_REF!$K$3:$L$27,2,0))),"")</f>
        <v>30</v>
      </c>
      <c r="Z737" s="10" t="str">
        <f>IFERROR(VLOOKUP(Tabla1[[#This Row],[MEDICAMENTO]],TAB_REF!$B$3:$F$27,2,0), "")</f>
        <v xml:space="preserve">Morfina HCl </v>
      </c>
      <c r="AA737" s="10" t="str">
        <f>IFERROR(VLOOKUP(Tabla1[[#This Row],[MEDICAMENTO]],TAB_REF!$B$3:$F$27,3,0), "")</f>
        <v xml:space="preserve">3%. </v>
      </c>
      <c r="AB737" s="10" t="str">
        <f>IFERROR(VLOOKUP(Tabla1[[#This Row],[MEDICAMENTO]],TAB_REF!$B$3:$F$27,4,0), "")</f>
        <v>Solución Oral</v>
      </c>
      <c r="AC737" s="10" t="str">
        <f>IFERROR(VLOOKUP(Tabla1[[#This Row],[MEDICAMENTO]],TAB_REF!$B$3:$F$27,5,0), "")</f>
        <v>Frasco x 30 mL</v>
      </c>
      <c r="AD737" s="10" t="str">
        <f>IFERROR(VLOOKUP(Tabla1[[#This Row],[CANTIDAD UND COMERCIALES]],TAB_REF!$H$3:$I$1003,2,0)&amp;" ("&amp;Tabla1[[#This Row],[CANTIDAD UND COMERCIALES]]&amp;")"&amp;"_"&amp;Tabla1[[#This Row],[CANTIDAD]],"")</f>
        <v>Treinta (30)_Frasco x 30 mL</v>
      </c>
    </row>
    <row r="738" spans="2:30" x14ac:dyDescent="0.25">
      <c r="B738" s="10">
        <v>301</v>
      </c>
      <c r="C738" s="10" t="s">
        <v>3412</v>
      </c>
      <c r="D738" s="10" t="s">
        <v>2507</v>
      </c>
      <c r="E738" s="10" t="s">
        <v>3413</v>
      </c>
      <c r="F738" s="10" t="s">
        <v>3414</v>
      </c>
      <c r="G738" s="21" t="s">
        <v>3415</v>
      </c>
      <c r="H738" s="10" t="s">
        <v>3534</v>
      </c>
      <c r="I738" s="10" t="s">
        <v>2128</v>
      </c>
      <c r="J738" s="10" t="s">
        <v>1918</v>
      </c>
      <c r="K738" s="10" t="s">
        <v>3532</v>
      </c>
      <c r="L738" s="11">
        <v>202124100995422</v>
      </c>
      <c r="M738" s="20">
        <v>44351</v>
      </c>
      <c r="N738" s="20" t="str">
        <f>UPPER(TEXT(Tabla1[[#This Row],[FECHA RADICADO ENTRADA]],"MMM"))</f>
        <v>JUN</v>
      </c>
      <c r="O738" s="11">
        <v>202124110935501</v>
      </c>
      <c r="P738" s="20">
        <v>44362</v>
      </c>
      <c r="Q738" s="20" t="str">
        <f>UPPER(TEXT(Tabla1[[#This Row],[FECHA RADICADO ENTRADA]],"MMM"))</f>
        <v>JUN</v>
      </c>
      <c r="R738" s="10">
        <f t="shared" si="17"/>
        <v>-11</v>
      </c>
      <c r="S738" s="10" t="s">
        <v>2154</v>
      </c>
      <c r="U738" s="10" t="s">
        <v>3535</v>
      </c>
      <c r="V738" s="20">
        <v>43564</v>
      </c>
      <c r="W738" s="10" t="s">
        <v>60</v>
      </c>
      <c r="X738" s="10">
        <v>100</v>
      </c>
      <c r="Y738" s="11">
        <f>IFERROR(INT(Tabla1[[#This Row],[CANTIDAD UND FARMACEUTICAS]]/(VLOOKUP(Tabla1[[#This Row],[MEDICAMENTO]],TAB_REF!$K$3:$L$27,2,0))),"")</f>
        <v>100</v>
      </c>
      <c r="Z738" s="10" t="str">
        <f>IFERROR(VLOOKUP(Tabla1[[#This Row],[MEDICAMENTO]],TAB_REF!$B$3:$F$27,2,0), "")</f>
        <v xml:space="preserve">Morfina HCl </v>
      </c>
      <c r="AA738" s="10" t="str">
        <f>IFERROR(VLOOKUP(Tabla1[[#This Row],[MEDICAMENTO]],TAB_REF!$B$3:$F$27,3,0), "")</f>
        <v xml:space="preserve">3%. </v>
      </c>
      <c r="AB738" s="10" t="str">
        <f>IFERROR(VLOOKUP(Tabla1[[#This Row],[MEDICAMENTO]],TAB_REF!$B$3:$F$27,4,0), "")</f>
        <v>Solución Oral</v>
      </c>
      <c r="AC738" s="10" t="str">
        <f>IFERROR(VLOOKUP(Tabla1[[#This Row],[MEDICAMENTO]],TAB_REF!$B$3:$F$27,5,0), "")</f>
        <v>Frasco x 30 mL</v>
      </c>
      <c r="AD738" s="10" t="str">
        <f>IFERROR(VLOOKUP(Tabla1[[#This Row],[CANTIDAD UND COMERCIALES]],TAB_REF!$H$3:$I$1003,2,0)&amp;" ("&amp;Tabla1[[#This Row],[CANTIDAD UND COMERCIALES]]&amp;")"&amp;"_"&amp;Tabla1[[#This Row],[CANTIDAD]],"")</f>
        <v>Cien (100)_Frasco x 30 mL</v>
      </c>
    </row>
    <row r="739" spans="2:30" x14ac:dyDescent="0.25">
      <c r="B739" s="10">
        <v>302</v>
      </c>
      <c r="C739" s="10" t="s">
        <v>3536</v>
      </c>
      <c r="D739" s="10" t="s">
        <v>2312</v>
      </c>
      <c r="E739" s="10" t="s">
        <v>3537</v>
      </c>
      <c r="F739" s="10" t="s">
        <v>3538</v>
      </c>
      <c r="G739" s="21" t="s">
        <v>3539</v>
      </c>
      <c r="H739" s="10" t="s">
        <v>3540</v>
      </c>
      <c r="I739" s="10" t="s">
        <v>2128</v>
      </c>
      <c r="J739" s="10" t="s">
        <v>1918</v>
      </c>
      <c r="K739" s="10" t="s">
        <v>3541</v>
      </c>
      <c r="L739" s="11">
        <v>202124101008222</v>
      </c>
      <c r="M739" s="20">
        <v>44356</v>
      </c>
      <c r="N739" s="20" t="str">
        <f>UPPER(TEXT(Tabla1[[#This Row],[FECHA RADICADO ENTRADA]],"MMM"))</f>
        <v>JUN</v>
      </c>
      <c r="O739" s="11">
        <v>202124110935541</v>
      </c>
      <c r="P739" s="20">
        <v>44362</v>
      </c>
      <c r="Q739" s="20" t="str">
        <f>UPPER(TEXT(Tabla1[[#This Row],[FECHA RADICADO ENTRADA]],"MMM"))</f>
        <v>JUN</v>
      </c>
      <c r="R739" s="10">
        <f t="shared" si="17"/>
        <v>-6</v>
      </c>
      <c r="S739" s="10" t="s">
        <v>2154</v>
      </c>
      <c r="U739" s="10" t="s">
        <v>3542</v>
      </c>
      <c r="V739" s="20">
        <v>43091</v>
      </c>
      <c r="W739" s="10" t="s">
        <v>60</v>
      </c>
      <c r="X739" s="10">
        <v>10</v>
      </c>
      <c r="Y739" s="11">
        <f>IFERROR(INT(Tabla1[[#This Row],[CANTIDAD UND FARMACEUTICAS]]/(VLOOKUP(Tabla1[[#This Row],[MEDICAMENTO]],TAB_REF!$K$3:$L$27,2,0))),"")</f>
        <v>10</v>
      </c>
      <c r="Z739" s="10" t="str">
        <f>IFERROR(VLOOKUP(Tabla1[[#This Row],[MEDICAMENTO]],TAB_REF!$B$3:$F$27,2,0), "")</f>
        <v xml:space="preserve">Morfina HCl </v>
      </c>
      <c r="AA739" s="10" t="str">
        <f>IFERROR(VLOOKUP(Tabla1[[#This Row],[MEDICAMENTO]],TAB_REF!$B$3:$F$27,3,0), "")</f>
        <v xml:space="preserve">3%. </v>
      </c>
      <c r="AB739" s="10" t="str">
        <f>IFERROR(VLOOKUP(Tabla1[[#This Row],[MEDICAMENTO]],TAB_REF!$B$3:$F$27,4,0), "")</f>
        <v>Solución Oral</v>
      </c>
      <c r="AC739" s="10" t="str">
        <f>IFERROR(VLOOKUP(Tabla1[[#This Row],[MEDICAMENTO]],TAB_REF!$B$3:$F$27,5,0), "")</f>
        <v>Frasco x 30 mL</v>
      </c>
      <c r="AD739" s="10" t="str">
        <f>IFERROR(VLOOKUP(Tabla1[[#This Row],[CANTIDAD UND COMERCIALES]],TAB_REF!$H$3:$I$1003,2,0)&amp;" ("&amp;Tabla1[[#This Row],[CANTIDAD UND COMERCIALES]]&amp;")"&amp;"_"&amp;Tabla1[[#This Row],[CANTIDAD]],"")</f>
        <v>Diez (10)_Frasco x 30 mL</v>
      </c>
    </row>
    <row r="740" spans="2:30" x14ac:dyDescent="0.25">
      <c r="B740" s="10">
        <v>303</v>
      </c>
      <c r="C740" s="10" t="s">
        <v>3543</v>
      </c>
      <c r="D740" s="10" t="s">
        <v>2312</v>
      </c>
      <c r="E740" s="10" t="s">
        <v>2711</v>
      </c>
      <c r="F740" s="10">
        <v>900341526</v>
      </c>
      <c r="G740" s="21" t="s">
        <v>3544</v>
      </c>
      <c r="H740" s="10" t="s">
        <v>3545</v>
      </c>
      <c r="I740" s="10" t="s">
        <v>2128</v>
      </c>
      <c r="J740" s="10" t="s">
        <v>1918</v>
      </c>
      <c r="K740" s="10" t="s">
        <v>3546</v>
      </c>
      <c r="L740" s="11">
        <v>202124101009472</v>
      </c>
      <c r="M740" s="20">
        <v>44356</v>
      </c>
      <c r="N740" s="20" t="str">
        <f>UPPER(TEXT(Tabla1[[#This Row],[FECHA RADICADO ENTRADA]],"MMM"))</f>
        <v>JUN</v>
      </c>
      <c r="O740" s="11">
        <v>202124110935611</v>
      </c>
      <c r="P740" s="20">
        <v>44362</v>
      </c>
      <c r="Q740" s="20" t="str">
        <f>UPPER(TEXT(Tabla1[[#This Row],[FECHA RADICADO ENTRADA]],"MMM"))</f>
        <v>JUN</v>
      </c>
      <c r="R740" s="10">
        <f t="shared" si="17"/>
        <v>-6</v>
      </c>
      <c r="S740" s="10" t="s">
        <v>2145</v>
      </c>
      <c r="T740" s="10" t="s">
        <v>3245</v>
      </c>
      <c r="U740" s="10" t="s">
        <v>2164</v>
      </c>
      <c r="V740" s="20" t="s">
        <v>2164</v>
      </c>
      <c r="W740" s="10" t="s">
        <v>37</v>
      </c>
      <c r="X740" s="10">
        <v>0</v>
      </c>
      <c r="Y740" s="11">
        <f>IFERROR(INT(Tabla1[[#This Row],[CANTIDAD UND FARMACEUTICAS]]/(VLOOKUP(Tabla1[[#This Row],[MEDICAMENTO]],TAB_REF!$K$3:$L$27,2,0))),"")</f>
        <v>0</v>
      </c>
      <c r="Z740" s="10" t="str">
        <f>IFERROR(VLOOKUP(Tabla1[[#This Row],[MEDICAMENTO]],TAB_REF!$B$3:$F$27,2,0), "")</f>
        <v xml:space="preserve">Hidromorfona HCl </v>
      </c>
      <c r="AA740" s="10" t="str">
        <f>IFERROR(VLOOKUP(Tabla1[[#This Row],[MEDICAMENTO]],TAB_REF!$B$3:$F$27,3,0), "")</f>
        <v xml:space="preserve">2 mg/mL </v>
      </c>
      <c r="AB740" s="10" t="str">
        <f>IFERROR(VLOOKUP(Tabla1[[#This Row],[MEDICAMENTO]],TAB_REF!$B$3:$F$27,4,0), "")</f>
        <v>Solución Inyectable</v>
      </c>
      <c r="AC740" s="10" t="str">
        <f>IFERROR(VLOOKUP(Tabla1[[#This Row],[MEDICAMENTO]],TAB_REF!$B$3:$F$27,5,0), "")</f>
        <v>Caja x 10 unidades</v>
      </c>
      <c r="AD740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741" spans="2:30" x14ac:dyDescent="0.25">
      <c r="B741" s="10">
        <v>304</v>
      </c>
      <c r="C741" s="10" t="s">
        <v>3547</v>
      </c>
      <c r="D741" s="10" t="s">
        <v>2175</v>
      </c>
      <c r="E741" s="10" t="s">
        <v>3548</v>
      </c>
      <c r="F741" s="10" t="s">
        <v>2164</v>
      </c>
      <c r="G741" s="21" t="s">
        <v>3497</v>
      </c>
      <c r="H741" s="10" t="s">
        <v>3549</v>
      </c>
      <c r="I741" s="10" t="s">
        <v>2125</v>
      </c>
      <c r="J741" s="10" t="s">
        <v>1885</v>
      </c>
      <c r="K741" s="10" t="s">
        <v>3499</v>
      </c>
      <c r="L741" s="11">
        <v>202124101009632</v>
      </c>
      <c r="M741" s="20">
        <v>44356</v>
      </c>
      <c r="N741" s="20" t="str">
        <f>UPPER(TEXT(Tabla1[[#This Row],[FECHA RADICADO ENTRADA]],"MMM"))</f>
        <v>JUN</v>
      </c>
      <c r="O741" s="11">
        <v>202124110935681</v>
      </c>
      <c r="P741" s="20">
        <v>44362</v>
      </c>
      <c r="Q741" s="20" t="str">
        <f>UPPER(TEXT(Tabla1[[#This Row],[FECHA RADICADO ENTRADA]],"MMM"))</f>
        <v>JUN</v>
      </c>
      <c r="R741" s="10">
        <f t="shared" si="17"/>
        <v>-6</v>
      </c>
      <c r="S741" s="10" t="s">
        <v>2145</v>
      </c>
      <c r="T741" s="10" t="s">
        <v>3245</v>
      </c>
      <c r="U741" s="10" t="s">
        <v>2164</v>
      </c>
      <c r="V741" s="20" t="s">
        <v>2164</v>
      </c>
      <c r="W741" s="10" t="s">
        <v>63</v>
      </c>
      <c r="X741" s="10">
        <v>0</v>
      </c>
      <c r="Y741" s="11">
        <f>IFERROR(INT(Tabla1[[#This Row],[CANTIDAD UND FARMACEUTICAS]]/(VLOOKUP(Tabla1[[#This Row],[MEDICAMENTO]],TAB_REF!$K$3:$L$27,2,0))),"")</f>
        <v>0</v>
      </c>
      <c r="Z741" s="10" t="str">
        <f>IFERROR(VLOOKUP(Tabla1[[#This Row],[MEDICAMENTO]],TAB_REF!$B$3:$F$27,2,0), "")</f>
        <v xml:space="preserve">Morfina HCl </v>
      </c>
      <c r="AA741" s="10" t="str">
        <f>IFERROR(VLOOKUP(Tabla1[[#This Row],[MEDICAMENTO]],TAB_REF!$B$3:$F$27,3,0), "")</f>
        <v xml:space="preserve">10 mg/mL </v>
      </c>
      <c r="AB741" s="10" t="str">
        <f>IFERROR(VLOOKUP(Tabla1[[#This Row],[MEDICAMENTO]],TAB_REF!$B$3:$F$27,4,0), "")</f>
        <v>Solución Inyectable</v>
      </c>
      <c r="AC741" s="10" t="str">
        <f>IFERROR(VLOOKUP(Tabla1[[#This Row],[MEDICAMENTO]],TAB_REF!$B$3:$F$27,5,0), "")</f>
        <v>Caja x 10 unidades</v>
      </c>
      <c r="AD741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742" spans="2:30" x14ac:dyDescent="0.25">
      <c r="B742" s="10">
        <v>305</v>
      </c>
      <c r="C742" s="10" t="s">
        <v>2957</v>
      </c>
      <c r="D742" s="10" t="s">
        <v>2175</v>
      </c>
      <c r="E742" s="10" t="s">
        <v>2958</v>
      </c>
      <c r="F742" s="10" t="s">
        <v>3095</v>
      </c>
      <c r="G742" s="10" t="s">
        <v>2959</v>
      </c>
      <c r="H742" s="10" t="s">
        <v>2960</v>
      </c>
      <c r="I742" s="10" t="s">
        <v>2123</v>
      </c>
      <c r="J742" s="10" t="s">
        <v>1770</v>
      </c>
      <c r="K742" s="10" t="s">
        <v>3550</v>
      </c>
      <c r="L742" s="11">
        <v>202124101011352</v>
      </c>
      <c r="M742" s="20">
        <v>44356</v>
      </c>
      <c r="N742" s="20" t="str">
        <f>UPPER(TEXT(Tabla1[[#This Row],[FECHA RADICADO ENTRADA]],"MMM"))</f>
        <v>JUN</v>
      </c>
      <c r="O742" s="11">
        <v>202124110935771</v>
      </c>
      <c r="P742" s="20">
        <v>44362</v>
      </c>
      <c r="Q742" s="20" t="str">
        <f>UPPER(TEXT(Tabla1[[#This Row],[FECHA RADICADO ENTRADA]],"MMM"))</f>
        <v>JUN</v>
      </c>
      <c r="R742" s="10">
        <f t="shared" si="17"/>
        <v>-6</v>
      </c>
      <c r="S742" s="10" t="s">
        <v>2154</v>
      </c>
      <c r="U742" s="10" t="s">
        <v>3097</v>
      </c>
      <c r="V742" s="20">
        <v>42885</v>
      </c>
      <c r="W742" s="10" t="s">
        <v>28</v>
      </c>
      <c r="X742" s="10">
        <v>80</v>
      </c>
      <c r="Y742" s="11">
        <f>IFERROR(INT(Tabla1[[#This Row],[CANTIDAD UND FARMACEUTICAS]]/(VLOOKUP(Tabla1[[#This Row],[MEDICAMENTO]],TAB_REF!$K$3:$L$27,2,0))),"")</f>
        <v>80</v>
      </c>
      <c r="Z742" s="10" t="str">
        <f>IFERROR(VLOOKUP(Tabla1[[#This Row],[MEDICAMENTO]],TAB_REF!$B$3:$F$27,2,0), "")</f>
        <v xml:space="preserve">Fenobarbital </v>
      </c>
      <c r="AA742" s="10" t="str">
        <f>IFERROR(VLOOKUP(Tabla1[[#This Row],[MEDICAMENTO]],TAB_REF!$B$3:$F$27,3,0), "")</f>
        <v xml:space="preserve">0,4%. </v>
      </c>
      <c r="AB742" s="10" t="str">
        <f>IFERROR(VLOOKUP(Tabla1[[#This Row],[MEDICAMENTO]],TAB_REF!$B$3:$F$27,4,0), "")</f>
        <v>Solución Oral</v>
      </c>
      <c r="AC742" s="10" t="str">
        <f>IFERROR(VLOOKUP(Tabla1[[#This Row],[MEDICAMENTO]],TAB_REF!$B$3:$F$27,5,0), "")</f>
        <v>Frasco x 120 mL</v>
      </c>
      <c r="AD742" s="10" t="str">
        <f>IFERROR(VLOOKUP(Tabla1[[#This Row],[CANTIDAD UND COMERCIALES]],TAB_REF!$H$3:$I$1003,2,0)&amp;" ("&amp;Tabla1[[#This Row],[CANTIDAD UND COMERCIALES]]&amp;")"&amp;"_"&amp;Tabla1[[#This Row],[CANTIDAD]],"")</f>
        <v>Ochenta (80)_Frasco x 120 mL</v>
      </c>
    </row>
    <row r="743" spans="2:30" x14ac:dyDescent="0.25">
      <c r="B743" s="10">
        <v>305</v>
      </c>
      <c r="C743" s="10" t="s">
        <v>2957</v>
      </c>
      <c r="D743" s="10" t="s">
        <v>2175</v>
      </c>
      <c r="E743" s="10" t="s">
        <v>2958</v>
      </c>
      <c r="F743" s="10" t="s">
        <v>3095</v>
      </c>
      <c r="G743" s="10" t="s">
        <v>2959</v>
      </c>
      <c r="H743" s="10" t="s">
        <v>2960</v>
      </c>
      <c r="I743" s="10" t="s">
        <v>2123</v>
      </c>
      <c r="J743" s="10" t="s">
        <v>1770</v>
      </c>
      <c r="K743" s="10" t="s">
        <v>3550</v>
      </c>
      <c r="L743" s="11">
        <v>202124101011352</v>
      </c>
      <c r="M743" s="20">
        <v>44356</v>
      </c>
      <c r="N743" s="20" t="str">
        <f>UPPER(TEXT(Tabla1[[#This Row],[FECHA RADICADO ENTRADA]],"MMM"))</f>
        <v>JUN</v>
      </c>
      <c r="O743" s="11">
        <v>202124110935771</v>
      </c>
      <c r="P743" s="20">
        <v>44362</v>
      </c>
      <c r="Q743" s="20" t="str">
        <f>UPPER(TEXT(Tabla1[[#This Row],[FECHA RADICADO ENTRADA]],"MMM"))</f>
        <v>JUN</v>
      </c>
      <c r="R743" s="10">
        <f t="shared" si="17"/>
        <v>-6</v>
      </c>
      <c r="S743" s="10" t="s">
        <v>2154</v>
      </c>
      <c r="U743" s="10" t="s">
        <v>3097</v>
      </c>
      <c r="V743" s="20">
        <v>42885</v>
      </c>
      <c r="W743" s="10" t="s">
        <v>32</v>
      </c>
      <c r="X743" s="10">
        <v>30000</v>
      </c>
      <c r="Y743" s="11">
        <f>IFERROR(INT(Tabla1[[#This Row],[CANTIDAD UND FARMACEUTICAS]]/(VLOOKUP(Tabla1[[#This Row],[MEDICAMENTO]],TAB_REF!$K$3:$L$27,2,0))),"")</f>
        <v>1000</v>
      </c>
      <c r="Z743" s="10" t="str">
        <f>IFERROR(VLOOKUP(Tabla1[[#This Row],[MEDICAMENTO]],TAB_REF!$B$3:$F$27,2,0), "")</f>
        <v xml:space="preserve">Fenobarbital </v>
      </c>
      <c r="AA743" s="10" t="str">
        <f>IFERROR(VLOOKUP(Tabla1[[#This Row],[MEDICAMENTO]],TAB_REF!$B$3:$F$27,3,0), "")</f>
        <v xml:space="preserve">100 mg </v>
      </c>
      <c r="AB743" s="10" t="str">
        <f>IFERROR(VLOOKUP(Tabla1[[#This Row],[MEDICAMENTO]],TAB_REF!$B$3:$F$27,4,0), "")</f>
        <v>Tabletas</v>
      </c>
      <c r="AC743" s="10" t="str">
        <f>IFERROR(VLOOKUP(Tabla1[[#This Row],[MEDICAMENTO]],TAB_REF!$B$3:$F$27,5,0), "")</f>
        <v>Caja x 30 unidades</v>
      </c>
      <c r="AD743" s="10" t="str">
        <f>IFERROR(VLOOKUP(Tabla1[[#This Row],[CANTIDAD UND COMERCIALES]],TAB_REF!$H$3:$I$1003,2,0)&amp;" ("&amp;Tabla1[[#This Row],[CANTIDAD UND COMERCIALES]]&amp;")"&amp;"_"&amp;Tabla1[[#This Row],[CANTIDAD]],"")</f>
        <v>Mil (1000)_Caja x 30 unidades</v>
      </c>
    </row>
    <row r="744" spans="2:30" x14ac:dyDescent="0.25">
      <c r="B744" s="10">
        <v>305</v>
      </c>
      <c r="C744" s="10" t="s">
        <v>2957</v>
      </c>
      <c r="D744" s="10" t="s">
        <v>2175</v>
      </c>
      <c r="E744" s="10" t="s">
        <v>2958</v>
      </c>
      <c r="F744" s="10" t="s">
        <v>3095</v>
      </c>
      <c r="G744" s="10" t="s">
        <v>2959</v>
      </c>
      <c r="H744" s="10" t="s">
        <v>2960</v>
      </c>
      <c r="I744" s="10" t="s">
        <v>2123</v>
      </c>
      <c r="J744" s="10" t="s">
        <v>1770</v>
      </c>
      <c r="K744" s="10" t="s">
        <v>3550</v>
      </c>
      <c r="L744" s="11">
        <v>202124101011352</v>
      </c>
      <c r="M744" s="20">
        <v>44356</v>
      </c>
      <c r="N744" s="20" t="str">
        <f>UPPER(TEXT(Tabla1[[#This Row],[FECHA RADICADO ENTRADA]],"MMM"))</f>
        <v>JUN</v>
      </c>
      <c r="O744" s="11">
        <v>202124110935771</v>
      </c>
      <c r="P744" s="20">
        <v>44362</v>
      </c>
      <c r="Q744" s="20" t="str">
        <f>UPPER(TEXT(Tabla1[[#This Row],[FECHA RADICADO ENTRADA]],"MMM"))</f>
        <v>JUN</v>
      </c>
      <c r="R744" s="10">
        <f t="shared" si="17"/>
        <v>-6</v>
      </c>
      <c r="S744" s="10" t="s">
        <v>2154</v>
      </c>
      <c r="U744" s="10" t="s">
        <v>3097</v>
      </c>
      <c r="V744" s="20">
        <v>42885</v>
      </c>
      <c r="W744" s="10" t="s">
        <v>38</v>
      </c>
      <c r="X744" s="10">
        <v>4000</v>
      </c>
      <c r="Y744" s="11">
        <f>IFERROR(INT(Tabla1[[#This Row],[CANTIDAD UND FARMACEUTICAS]]/(VLOOKUP(Tabla1[[#This Row],[MEDICAMENTO]],TAB_REF!$K$3:$L$27,2,0))),"")</f>
        <v>200</v>
      </c>
      <c r="Z744" s="10" t="str">
        <f>IFERROR(VLOOKUP(Tabla1[[#This Row],[MEDICAMENTO]],TAB_REF!$B$3:$F$27,2,0), "")</f>
        <v xml:space="preserve">Hidromorfona HCl </v>
      </c>
      <c r="AA744" s="10" t="str">
        <f>IFERROR(VLOOKUP(Tabla1[[#This Row],[MEDICAMENTO]],TAB_REF!$B$3:$F$27,3,0), "")</f>
        <v xml:space="preserve">2,5 mg </v>
      </c>
      <c r="AB744" s="10" t="str">
        <f>IFERROR(VLOOKUP(Tabla1[[#This Row],[MEDICAMENTO]],TAB_REF!$B$3:$F$27,4,0), "")</f>
        <v>Tabletas</v>
      </c>
      <c r="AC744" s="10" t="str">
        <f>IFERROR(VLOOKUP(Tabla1[[#This Row],[MEDICAMENTO]],TAB_REF!$B$3:$F$27,5,0), "")</f>
        <v>Caja x 20 unidades</v>
      </c>
      <c r="AD744" s="10" t="str">
        <f>IFERROR(VLOOKUP(Tabla1[[#This Row],[CANTIDAD UND COMERCIALES]],TAB_REF!$H$3:$I$1003,2,0)&amp;" ("&amp;Tabla1[[#This Row],[CANTIDAD UND COMERCIALES]]&amp;")"&amp;"_"&amp;Tabla1[[#This Row],[CANTIDAD]],"")</f>
        <v>Doscientos (200)_Caja x 20 unidades</v>
      </c>
    </row>
    <row r="745" spans="2:30" x14ac:dyDescent="0.25">
      <c r="B745" s="10">
        <v>305</v>
      </c>
      <c r="C745" s="10" t="s">
        <v>2957</v>
      </c>
      <c r="D745" s="10" t="s">
        <v>2175</v>
      </c>
      <c r="E745" s="10" t="s">
        <v>2958</v>
      </c>
      <c r="F745" s="10" t="s">
        <v>3095</v>
      </c>
      <c r="G745" s="10" t="s">
        <v>2959</v>
      </c>
      <c r="H745" s="10" t="s">
        <v>2960</v>
      </c>
      <c r="I745" s="10" t="s">
        <v>2123</v>
      </c>
      <c r="J745" s="10" t="s">
        <v>1770</v>
      </c>
      <c r="K745" s="10" t="s">
        <v>3550</v>
      </c>
      <c r="L745" s="11">
        <v>202124101011352</v>
      </c>
      <c r="M745" s="20">
        <v>44356</v>
      </c>
      <c r="N745" s="20" t="str">
        <f>UPPER(TEXT(Tabla1[[#This Row],[FECHA RADICADO ENTRADA]],"MMM"))</f>
        <v>JUN</v>
      </c>
      <c r="O745" s="11">
        <v>202124110935771</v>
      </c>
      <c r="P745" s="20">
        <v>44362</v>
      </c>
      <c r="Q745" s="20" t="str">
        <f>UPPER(TEXT(Tabla1[[#This Row],[FECHA RADICADO ENTRADA]],"MMM"))</f>
        <v>JUN</v>
      </c>
      <c r="R745" s="10">
        <f t="shared" si="17"/>
        <v>-6</v>
      </c>
      <c r="S745" s="10" t="s">
        <v>2154</v>
      </c>
      <c r="U745" s="10" t="s">
        <v>3097</v>
      </c>
      <c r="V745" s="20">
        <v>42885</v>
      </c>
      <c r="W745" s="10" t="s">
        <v>60</v>
      </c>
      <c r="X745" s="10">
        <v>90</v>
      </c>
      <c r="Y745" s="11">
        <f>IFERROR(INT(Tabla1[[#This Row],[CANTIDAD UND FARMACEUTICAS]]/(VLOOKUP(Tabla1[[#This Row],[MEDICAMENTO]],TAB_REF!$K$3:$L$27,2,0))),"")</f>
        <v>90</v>
      </c>
      <c r="Z745" s="10" t="str">
        <f>IFERROR(VLOOKUP(Tabla1[[#This Row],[MEDICAMENTO]],TAB_REF!$B$3:$F$27,2,0), "")</f>
        <v xml:space="preserve">Morfina HCl </v>
      </c>
      <c r="AA745" s="10" t="str">
        <f>IFERROR(VLOOKUP(Tabla1[[#This Row],[MEDICAMENTO]],TAB_REF!$B$3:$F$27,3,0), "")</f>
        <v xml:space="preserve">3%. </v>
      </c>
      <c r="AB745" s="10" t="str">
        <f>IFERROR(VLOOKUP(Tabla1[[#This Row],[MEDICAMENTO]],TAB_REF!$B$3:$F$27,4,0), "")</f>
        <v>Solución Oral</v>
      </c>
      <c r="AC745" s="10" t="str">
        <f>IFERROR(VLOOKUP(Tabla1[[#This Row],[MEDICAMENTO]],TAB_REF!$B$3:$F$27,5,0), "")</f>
        <v>Frasco x 30 mL</v>
      </c>
      <c r="AD745" s="10" t="str">
        <f>IFERROR(VLOOKUP(Tabla1[[#This Row],[CANTIDAD UND COMERCIALES]],TAB_REF!$H$3:$I$1003,2,0)&amp;" ("&amp;Tabla1[[#This Row],[CANTIDAD UND COMERCIALES]]&amp;")"&amp;"_"&amp;Tabla1[[#This Row],[CANTIDAD]],"")</f>
        <v>Noventa (90)_Frasco x 30 mL</v>
      </c>
    </row>
    <row r="746" spans="2:30" x14ac:dyDescent="0.25">
      <c r="B746" s="10">
        <v>306</v>
      </c>
      <c r="C746" s="10" t="s">
        <v>3551</v>
      </c>
      <c r="D746" s="10" t="s">
        <v>3552</v>
      </c>
      <c r="E746" s="10" t="s">
        <v>3553</v>
      </c>
      <c r="F746" s="10" t="s">
        <v>3554</v>
      </c>
      <c r="G746" s="10" t="s">
        <v>3555</v>
      </c>
      <c r="H746" s="10" t="s">
        <v>3556</v>
      </c>
      <c r="I746" s="10" t="s">
        <v>2122</v>
      </c>
      <c r="J746" s="10" t="s">
        <v>1742</v>
      </c>
      <c r="K746" s="10" t="s">
        <v>3557</v>
      </c>
      <c r="L746" s="11">
        <v>202124101014342</v>
      </c>
      <c r="M746" s="20">
        <v>44356</v>
      </c>
      <c r="N746" s="20" t="str">
        <f>UPPER(TEXT(Tabla1[[#This Row],[FECHA RADICADO ENTRADA]],"MMM"))</f>
        <v>JUN</v>
      </c>
      <c r="O746" s="11">
        <v>202124110935821</v>
      </c>
      <c r="P746" s="20">
        <v>44362</v>
      </c>
      <c r="Q746" s="20" t="str">
        <f>UPPER(TEXT(Tabla1[[#This Row],[FECHA RADICADO ENTRADA]],"MMM"))</f>
        <v>JUN</v>
      </c>
      <c r="R746" s="10">
        <f t="shared" si="17"/>
        <v>-6</v>
      </c>
      <c r="S746" s="10" t="s">
        <v>2154</v>
      </c>
      <c r="U746" s="10" t="s">
        <v>3558</v>
      </c>
      <c r="V746" s="20">
        <v>44306</v>
      </c>
      <c r="W746" s="10" t="s">
        <v>41</v>
      </c>
      <c r="X746" s="10">
        <v>200</v>
      </c>
      <c r="Y746" s="11">
        <f>IFERROR(INT(Tabla1[[#This Row],[CANTIDAD UND FARMACEUTICAS]]/(VLOOKUP(Tabla1[[#This Row],[MEDICAMENTO]],TAB_REF!$K$3:$L$27,2,0))),"")</f>
        <v>20</v>
      </c>
      <c r="Z746" s="10" t="str">
        <f>IFERROR(VLOOKUP(Tabla1[[#This Row],[MEDICAMENTO]],TAB_REF!$B$3:$F$27,2,0), "")</f>
        <v xml:space="preserve">Meperidina HCl </v>
      </c>
      <c r="AA746" s="10" t="str">
        <f>IFERROR(VLOOKUP(Tabla1[[#This Row],[MEDICAMENTO]],TAB_REF!$B$3:$F$27,3,0), "")</f>
        <v xml:space="preserve">100 mg/2mL </v>
      </c>
      <c r="AB746" s="10" t="str">
        <f>IFERROR(VLOOKUP(Tabla1[[#This Row],[MEDICAMENTO]],TAB_REF!$B$3:$F$27,4,0), "")</f>
        <v>Solución Inyectable</v>
      </c>
      <c r="AC746" s="10" t="str">
        <f>IFERROR(VLOOKUP(Tabla1[[#This Row],[MEDICAMENTO]],TAB_REF!$B$3:$F$27,5,0), "")</f>
        <v>Caja 10 ampollas</v>
      </c>
      <c r="AD746" s="10" t="str">
        <f>IFERROR(VLOOKUP(Tabla1[[#This Row],[CANTIDAD UND COMERCIALES]],TAB_REF!$H$3:$I$1003,2,0)&amp;" ("&amp;Tabla1[[#This Row],[CANTIDAD UND COMERCIALES]]&amp;")"&amp;"_"&amp;Tabla1[[#This Row],[CANTIDAD]],"")</f>
        <v>Veinte (20)_Caja 10 ampollas</v>
      </c>
    </row>
    <row r="747" spans="2:30" x14ac:dyDescent="0.25">
      <c r="B747" s="10">
        <v>306</v>
      </c>
      <c r="C747" s="10" t="s">
        <v>3551</v>
      </c>
      <c r="D747" s="10" t="s">
        <v>3552</v>
      </c>
      <c r="E747" s="10" t="s">
        <v>3553</v>
      </c>
      <c r="F747" s="10" t="s">
        <v>3554</v>
      </c>
      <c r="G747" s="10" t="s">
        <v>3555</v>
      </c>
      <c r="H747" s="10" t="s">
        <v>3556</v>
      </c>
      <c r="I747" s="10" t="s">
        <v>2122</v>
      </c>
      <c r="J747" s="10" t="s">
        <v>1742</v>
      </c>
      <c r="K747" s="10" t="s">
        <v>3557</v>
      </c>
      <c r="L747" s="11">
        <v>202124101014342</v>
      </c>
      <c r="M747" s="20">
        <v>44356</v>
      </c>
      <c r="N747" s="20" t="str">
        <f>UPPER(TEXT(Tabla1[[#This Row],[FECHA RADICADO ENTRADA]],"MMM"))</f>
        <v>JUN</v>
      </c>
      <c r="O747" s="11">
        <v>202124110935821</v>
      </c>
      <c r="P747" s="20">
        <v>44362</v>
      </c>
      <c r="Q747" s="20" t="str">
        <f>UPPER(TEXT(Tabla1[[#This Row],[FECHA RADICADO ENTRADA]],"MMM"))</f>
        <v>JUN</v>
      </c>
      <c r="R747" s="10">
        <f t="shared" ref="R747:R749" si="18">_xlfn.DAYS(M747,P747)</f>
        <v>-6</v>
      </c>
      <c r="S747" s="10" t="s">
        <v>2154</v>
      </c>
      <c r="U747" s="10" t="s">
        <v>3558</v>
      </c>
      <c r="V747" s="20">
        <v>44306</v>
      </c>
      <c r="W747" s="10" t="s">
        <v>64</v>
      </c>
      <c r="X747" s="10">
        <v>200</v>
      </c>
      <c r="Y747" s="11">
        <f>IFERROR(INT(Tabla1[[#This Row],[CANTIDAD UND FARMACEUTICAS]]/(VLOOKUP(Tabla1[[#This Row],[MEDICAMENTO]],TAB_REF!$K$3:$L$27,2,0))),"")</f>
        <v>20</v>
      </c>
      <c r="Z747" s="10" t="str">
        <f>IFERROR(VLOOKUP(Tabla1[[#This Row],[MEDICAMENTO]],TAB_REF!$B$3:$F$27,2,0), "")</f>
        <v xml:space="preserve">Morfina HCl </v>
      </c>
      <c r="AA747" s="10" t="str">
        <f>IFERROR(VLOOKUP(Tabla1[[#This Row],[MEDICAMENTO]],TAB_REF!$B$3:$F$27,3,0), "")</f>
        <v xml:space="preserve">10 (50mg/5mL) </v>
      </c>
      <c r="AB747" s="10" t="str">
        <f>IFERROR(VLOOKUP(Tabla1[[#This Row],[MEDICAMENTO]],TAB_REF!$B$3:$F$27,4,0), "")</f>
        <v>Solución Inyectable</v>
      </c>
      <c r="AC747" s="10" t="str">
        <f>IFERROR(VLOOKUP(Tabla1[[#This Row],[MEDICAMENTO]],TAB_REF!$B$3:$F$27,5,0), "")</f>
        <v>Caja x 5 unidades</v>
      </c>
      <c r="AD747" s="10" t="str">
        <f>IFERROR(VLOOKUP(Tabla1[[#This Row],[CANTIDAD UND COMERCIALES]],TAB_REF!$H$3:$I$1003,2,0)&amp;" ("&amp;Tabla1[[#This Row],[CANTIDAD UND COMERCIALES]]&amp;")"&amp;"_"&amp;Tabla1[[#This Row],[CANTIDAD]],"")</f>
        <v>Veinte (20)_Caja x 5 unidades</v>
      </c>
    </row>
    <row r="748" spans="2:30" x14ac:dyDescent="0.25">
      <c r="B748" s="10">
        <v>306</v>
      </c>
      <c r="C748" s="10" t="s">
        <v>3551</v>
      </c>
      <c r="D748" s="10" t="s">
        <v>3552</v>
      </c>
      <c r="E748" s="10" t="s">
        <v>3553</v>
      </c>
      <c r="F748" s="10" t="s">
        <v>3554</v>
      </c>
      <c r="G748" s="10" t="s">
        <v>3555</v>
      </c>
      <c r="H748" s="10" t="s">
        <v>3556</v>
      </c>
      <c r="I748" s="10" t="s">
        <v>2122</v>
      </c>
      <c r="J748" s="10" t="s">
        <v>1742</v>
      </c>
      <c r="K748" s="10" t="s">
        <v>3557</v>
      </c>
      <c r="L748" s="11">
        <v>202124101014342</v>
      </c>
      <c r="M748" s="20">
        <v>44356</v>
      </c>
      <c r="N748" s="20" t="str">
        <f>UPPER(TEXT(Tabla1[[#This Row],[FECHA RADICADO ENTRADA]],"MMM"))</f>
        <v>JUN</v>
      </c>
      <c r="O748" s="11">
        <v>202124110935821</v>
      </c>
      <c r="P748" s="20">
        <v>44362</v>
      </c>
      <c r="Q748" s="20" t="str">
        <f>UPPER(TEXT(Tabla1[[#This Row],[FECHA RADICADO ENTRADA]],"MMM"))</f>
        <v>JUN</v>
      </c>
      <c r="R748" s="10">
        <f t="shared" si="18"/>
        <v>-6</v>
      </c>
      <c r="S748" s="10" t="s">
        <v>2154</v>
      </c>
      <c r="U748" s="10" t="s">
        <v>3558</v>
      </c>
      <c r="V748" s="20">
        <v>44306</v>
      </c>
      <c r="W748" s="10" t="s">
        <v>34</v>
      </c>
      <c r="X748" s="10">
        <v>50</v>
      </c>
      <c r="Y748" s="11">
        <f>IFERROR(INT(Tabla1[[#This Row],[CANTIDAD UND FARMACEUTICAS]]/(VLOOKUP(Tabla1[[#This Row],[MEDICAMENTO]],TAB_REF!$K$3:$L$27,2,0))),"")</f>
        <v>5</v>
      </c>
      <c r="Z748" s="10" t="str">
        <f>IFERROR(VLOOKUP(Tabla1[[#This Row],[MEDICAMENTO]],TAB_REF!$B$3:$F$27,2,0), "")</f>
        <v xml:space="preserve">Fenobarbital Sódico </v>
      </c>
      <c r="AA748" s="10" t="str">
        <f>IFERROR(VLOOKUP(Tabla1[[#This Row],[MEDICAMENTO]],TAB_REF!$B$3:$F$27,3,0), "")</f>
        <v xml:space="preserve">200 mg/Ml </v>
      </c>
      <c r="AB748" s="10" t="str">
        <f>IFERROR(VLOOKUP(Tabla1[[#This Row],[MEDICAMENTO]],TAB_REF!$B$3:$F$27,4,0), "")</f>
        <v>Solución Inyectable</v>
      </c>
      <c r="AC748" s="10" t="str">
        <f>IFERROR(VLOOKUP(Tabla1[[#This Row],[MEDICAMENTO]],TAB_REF!$B$3:$F$27,5,0), "")</f>
        <v>Caja x 10 unidades</v>
      </c>
      <c r="AD748" s="10" t="str">
        <f>IFERROR(VLOOKUP(Tabla1[[#This Row],[CANTIDAD UND COMERCIALES]],TAB_REF!$H$3:$I$1003,2,0)&amp;" ("&amp;Tabla1[[#This Row],[CANTIDAD UND COMERCIALES]]&amp;")"&amp;"_"&amp;Tabla1[[#This Row],[CANTIDAD]],"")</f>
        <v>Cinco (5)_Caja x 10 unidades</v>
      </c>
    </row>
    <row r="749" spans="2:30" x14ac:dyDescent="0.25">
      <c r="B749" s="10">
        <v>306</v>
      </c>
      <c r="C749" s="10" t="s">
        <v>3551</v>
      </c>
      <c r="D749" s="10" t="s">
        <v>3552</v>
      </c>
      <c r="E749" s="10" t="s">
        <v>3553</v>
      </c>
      <c r="F749" s="10" t="s">
        <v>3554</v>
      </c>
      <c r="G749" s="10" t="s">
        <v>3555</v>
      </c>
      <c r="H749" s="10" t="s">
        <v>3556</v>
      </c>
      <c r="I749" s="10" t="s">
        <v>2122</v>
      </c>
      <c r="J749" s="10" t="s">
        <v>1742</v>
      </c>
      <c r="K749" s="10" t="s">
        <v>3557</v>
      </c>
      <c r="L749" s="11">
        <v>202124101014342</v>
      </c>
      <c r="M749" s="20">
        <v>44356</v>
      </c>
      <c r="N749" s="20" t="str">
        <f>UPPER(TEXT(Tabla1[[#This Row],[FECHA RADICADO ENTRADA]],"MMM"))</f>
        <v>JUN</v>
      </c>
      <c r="O749" s="11">
        <v>202124110935821</v>
      </c>
      <c r="P749" s="20">
        <v>44362</v>
      </c>
      <c r="Q749" s="20" t="str">
        <f>UPPER(TEXT(Tabla1[[#This Row],[FECHA RADICADO ENTRADA]],"MMM"))</f>
        <v>JUN</v>
      </c>
      <c r="R749" s="10">
        <f t="shared" si="18"/>
        <v>-6</v>
      </c>
      <c r="S749" s="10" t="s">
        <v>2145</v>
      </c>
      <c r="U749" s="10" t="s">
        <v>3558</v>
      </c>
      <c r="V749" s="20">
        <v>44306</v>
      </c>
      <c r="W749" s="10" t="s">
        <v>41</v>
      </c>
      <c r="X749" s="10">
        <v>0</v>
      </c>
      <c r="Y749" s="11">
        <f>IFERROR(INT(Tabla1[[#This Row],[CANTIDAD UND FARMACEUTICAS]]/(VLOOKUP(Tabla1[[#This Row],[MEDICAMENTO]],TAB_REF!$K$3:$L$27,2,0))),"")</f>
        <v>0</v>
      </c>
      <c r="Z749" s="10" t="str">
        <f>IFERROR(VLOOKUP(Tabla1[[#This Row],[MEDICAMENTO]],TAB_REF!$B$3:$F$27,2,0), "")</f>
        <v xml:space="preserve">Meperidina HCl </v>
      </c>
      <c r="AA749" s="10" t="str">
        <f>IFERROR(VLOOKUP(Tabla1[[#This Row],[MEDICAMENTO]],TAB_REF!$B$3:$F$27,3,0), "")</f>
        <v xml:space="preserve">100 mg/2mL </v>
      </c>
      <c r="AB749" s="10" t="str">
        <f>IFERROR(VLOOKUP(Tabla1[[#This Row],[MEDICAMENTO]],TAB_REF!$B$3:$F$27,4,0), "")</f>
        <v>Solución Inyectable</v>
      </c>
      <c r="AC749" s="10" t="str">
        <f>IFERROR(VLOOKUP(Tabla1[[#This Row],[MEDICAMENTO]],TAB_REF!$B$3:$F$27,5,0), "")</f>
        <v>Caja 10 ampollas</v>
      </c>
      <c r="AD749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750" spans="2:30" x14ac:dyDescent="0.25">
      <c r="B750" s="10">
        <v>307</v>
      </c>
      <c r="C750" s="10" t="s">
        <v>3564</v>
      </c>
      <c r="D750" s="10" t="s">
        <v>2175</v>
      </c>
      <c r="E750" s="10" t="s">
        <v>3559</v>
      </c>
      <c r="F750" s="10" t="s">
        <v>3366</v>
      </c>
      <c r="G750" s="21" t="s">
        <v>3367</v>
      </c>
      <c r="H750" s="10" t="s">
        <v>3560</v>
      </c>
      <c r="I750" s="10" t="s">
        <v>2128</v>
      </c>
      <c r="J750" s="10" t="s">
        <v>1918</v>
      </c>
      <c r="K750" s="10" t="s">
        <v>3561</v>
      </c>
      <c r="L750" s="11">
        <v>202124101014602</v>
      </c>
      <c r="M750" s="20">
        <v>44356</v>
      </c>
      <c r="N750" s="20" t="str">
        <f>UPPER(TEXT(Tabla1[[#This Row],[FECHA RADICADO ENTRADA]],"MMM"))</f>
        <v>JUN</v>
      </c>
      <c r="O750" s="11">
        <v>202124110935871</v>
      </c>
      <c r="P750" s="20">
        <v>44362</v>
      </c>
      <c r="Q750" s="20" t="str">
        <f>UPPER(TEXT(Tabla1[[#This Row],[FECHA RADICADO ENTRADA]],"MMM"))</f>
        <v>JUN</v>
      </c>
      <c r="R750" s="10">
        <f t="shared" si="17"/>
        <v>-6</v>
      </c>
      <c r="S750" s="10" t="s">
        <v>2154</v>
      </c>
      <c r="U750" s="10" t="s">
        <v>3563</v>
      </c>
      <c r="V750" s="20">
        <v>43157</v>
      </c>
      <c r="W750" s="10" t="s">
        <v>63</v>
      </c>
      <c r="X750" s="10">
        <v>3000</v>
      </c>
      <c r="Y750" s="11">
        <f>IFERROR(INT(Tabla1[[#This Row],[CANTIDAD UND FARMACEUTICAS]]/(VLOOKUP(Tabla1[[#This Row],[MEDICAMENTO]],TAB_REF!$K$3:$L$27,2,0))),"")</f>
        <v>300</v>
      </c>
      <c r="Z750" s="10" t="str">
        <f>IFERROR(VLOOKUP(Tabla1[[#This Row],[MEDICAMENTO]],TAB_REF!$B$3:$F$27,2,0), "")</f>
        <v xml:space="preserve">Morfina HCl </v>
      </c>
      <c r="AA750" s="10" t="str">
        <f>IFERROR(VLOOKUP(Tabla1[[#This Row],[MEDICAMENTO]],TAB_REF!$B$3:$F$27,3,0), "")</f>
        <v xml:space="preserve">10 mg/mL </v>
      </c>
      <c r="AB750" s="10" t="str">
        <f>IFERROR(VLOOKUP(Tabla1[[#This Row],[MEDICAMENTO]],TAB_REF!$B$3:$F$27,4,0), "")</f>
        <v>Solución Inyectable</v>
      </c>
      <c r="AC750" s="10" t="str">
        <f>IFERROR(VLOOKUP(Tabla1[[#This Row],[MEDICAMENTO]],TAB_REF!$B$3:$F$27,5,0), "")</f>
        <v>Caja x 10 unidades</v>
      </c>
      <c r="AD750" s="10" t="str">
        <f>IFERROR(VLOOKUP(Tabla1[[#This Row],[CANTIDAD UND COMERCIALES]],TAB_REF!$H$3:$I$1003,2,0)&amp;" ("&amp;Tabla1[[#This Row],[CANTIDAD UND COMERCIALES]]&amp;")"&amp;"_"&amp;Tabla1[[#This Row],[CANTIDAD]],"")</f>
        <v>Trescientos (300)_Caja x 10 unidades</v>
      </c>
    </row>
    <row r="751" spans="2:30" x14ac:dyDescent="0.25">
      <c r="B751" s="10">
        <v>307</v>
      </c>
      <c r="C751" s="10" t="s">
        <v>3564</v>
      </c>
      <c r="D751" s="10" t="s">
        <v>2175</v>
      </c>
      <c r="E751" s="10" t="s">
        <v>3559</v>
      </c>
      <c r="F751" s="10" t="s">
        <v>3366</v>
      </c>
      <c r="G751" s="21" t="s">
        <v>3367</v>
      </c>
      <c r="H751" s="10" t="s">
        <v>2164</v>
      </c>
      <c r="I751" s="10" t="s">
        <v>2128</v>
      </c>
      <c r="J751" s="10" t="s">
        <v>1918</v>
      </c>
      <c r="K751" s="10" t="s">
        <v>3561</v>
      </c>
      <c r="L751" s="11">
        <v>202124101014602</v>
      </c>
      <c r="M751" s="20">
        <v>44356</v>
      </c>
      <c r="N751" s="20" t="str">
        <f>UPPER(TEXT(Tabla1[[#This Row],[FECHA RADICADO ENTRADA]],"MMM"))</f>
        <v>JUN</v>
      </c>
      <c r="O751" s="11">
        <v>202124110935871</v>
      </c>
      <c r="P751" s="20">
        <v>44362</v>
      </c>
      <c r="Q751" s="20" t="str">
        <f>UPPER(TEXT(Tabla1[[#This Row],[FECHA RADICADO ENTRADA]],"MMM"))</f>
        <v>JUN</v>
      </c>
      <c r="R751" s="10">
        <f t="shared" si="17"/>
        <v>-6</v>
      </c>
      <c r="S751" s="10" t="s">
        <v>2145</v>
      </c>
      <c r="T751" s="10" t="s">
        <v>3562</v>
      </c>
      <c r="U751" s="10" t="s">
        <v>2164</v>
      </c>
      <c r="V751" s="20" t="s">
        <v>2164</v>
      </c>
      <c r="W751" s="10" t="s">
        <v>63</v>
      </c>
      <c r="X751" s="10">
        <v>0</v>
      </c>
      <c r="Y751" s="11">
        <f>IFERROR(INT(Tabla1[[#This Row],[CANTIDAD UND FARMACEUTICAS]]/(VLOOKUP(Tabla1[[#This Row],[MEDICAMENTO]],TAB_REF!$K$3:$L$27,2,0))),"")</f>
        <v>0</v>
      </c>
      <c r="Z751" s="10" t="str">
        <f>IFERROR(VLOOKUP(Tabla1[[#This Row],[MEDICAMENTO]],TAB_REF!$B$3:$F$27,2,0), "")</f>
        <v xml:space="preserve">Morfina HCl </v>
      </c>
      <c r="AA751" s="10" t="str">
        <f>IFERROR(VLOOKUP(Tabla1[[#This Row],[MEDICAMENTO]],TAB_REF!$B$3:$F$27,3,0), "")</f>
        <v xml:space="preserve">10 mg/mL </v>
      </c>
      <c r="AB751" s="10" t="str">
        <f>IFERROR(VLOOKUP(Tabla1[[#This Row],[MEDICAMENTO]],TAB_REF!$B$3:$F$27,4,0), "")</f>
        <v>Solución Inyectable</v>
      </c>
      <c r="AC751" s="10" t="str">
        <f>IFERROR(VLOOKUP(Tabla1[[#This Row],[MEDICAMENTO]],TAB_REF!$B$3:$F$27,5,0), "")</f>
        <v>Caja x 10 unidades</v>
      </c>
      <c r="AD751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752" spans="2:30" x14ac:dyDescent="0.25">
      <c r="B752" s="10">
        <v>308</v>
      </c>
      <c r="C752" s="10" t="s">
        <v>3565</v>
      </c>
      <c r="D752" s="10" t="s">
        <v>2617</v>
      </c>
      <c r="E752" s="10" t="s">
        <v>3566</v>
      </c>
      <c r="F752" s="10" t="s">
        <v>3567</v>
      </c>
      <c r="G752" s="21" t="s">
        <v>3568</v>
      </c>
      <c r="H752" s="10" t="s">
        <v>3569</v>
      </c>
      <c r="I752" s="10" t="s">
        <v>2120</v>
      </c>
      <c r="J752" s="10" t="s">
        <v>1706</v>
      </c>
      <c r="K752" s="10" t="s">
        <v>3570</v>
      </c>
      <c r="L752" s="11">
        <v>202124101016282</v>
      </c>
      <c r="M752" s="20">
        <v>44357</v>
      </c>
      <c r="N752" s="20" t="str">
        <f>UPPER(TEXT(Tabla1[[#This Row],[FECHA RADICADO ENTRADA]],"MMM"))</f>
        <v>JUN</v>
      </c>
      <c r="O752" s="11">
        <v>202124110935901</v>
      </c>
      <c r="P752" s="20">
        <v>44362</v>
      </c>
      <c r="Q752" s="20" t="str">
        <f>UPPER(TEXT(Tabla1[[#This Row],[FECHA RADICADO ENTRADA]],"MMM"))</f>
        <v>JUN</v>
      </c>
      <c r="R752" s="10">
        <f t="shared" si="17"/>
        <v>-5</v>
      </c>
      <c r="S752" s="10" t="s">
        <v>2154</v>
      </c>
      <c r="U752" s="10" t="s">
        <v>3571</v>
      </c>
      <c r="V752" s="20">
        <v>42642</v>
      </c>
      <c r="W752" s="10" t="s">
        <v>63</v>
      </c>
      <c r="X752" s="10">
        <v>6000</v>
      </c>
      <c r="Y752" s="11">
        <f>IFERROR(INT(Tabla1[[#This Row],[CANTIDAD UND FARMACEUTICAS]]/(VLOOKUP(Tabla1[[#This Row],[MEDICAMENTO]],TAB_REF!$K$3:$L$27,2,0))),"")</f>
        <v>600</v>
      </c>
      <c r="Z752" s="10" t="str">
        <f>IFERROR(VLOOKUP(Tabla1[[#This Row],[MEDICAMENTO]],TAB_REF!$B$3:$F$27,2,0), "")</f>
        <v xml:space="preserve">Morfina HCl </v>
      </c>
      <c r="AA752" s="10" t="str">
        <f>IFERROR(VLOOKUP(Tabla1[[#This Row],[MEDICAMENTO]],TAB_REF!$B$3:$F$27,3,0), "")</f>
        <v xml:space="preserve">10 mg/mL </v>
      </c>
      <c r="AB752" s="10" t="str">
        <f>IFERROR(VLOOKUP(Tabla1[[#This Row],[MEDICAMENTO]],TAB_REF!$B$3:$F$27,4,0), "")</f>
        <v>Solución Inyectable</v>
      </c>
      <c r="AC752" s="10" t="str">
        <f>IFERROR(VLOOKUP(Tabla1[[#This Row],[MEDICAMENTO]],TAB_REF!$B$3:$F$27,5,0), "")</f>
        <v>Caja x 10 unidades</v>
      </c>
      <c r="AD752" s="10" t="str">
        <f>IFERROR(VLOOKUP(Tabla1[[#This Row],[CANTIDAD UND COMERCIALES]],TAB_REF!$H$3:$I$1003,2,0)&amp;" ("&amp;Tabla1[[#This Row],[CANTIDAD UND COMERCIALES]]&amp;")"&amp;"_"&amp;Tabla1[[#This Row],[CANTIDAD]],"")</f>
        <v>Seiscientos (600)_Caja x 10 unidades</v>
      </c>
    </row>
    <row r="753" spans="2:30" x14ac:dyDescent="0.25">
      <c r="B753" s="10">
        <v>308</v>
      </c>
      <c r="C753" s="10" t="s">
        <v>3565</v>
      </c>
      <c r="D753" s="10" t="s">
        <v>2617</v>
      </c>
      <c r="E753" s="10" t="s">
        <v>3566</v>
      </c>
      <c r="F753" s="10" t="s">
        <v>3567</v>
      </c>
      <c r="G753" s="21" t="s">
        <v>3568</v>
      </c>
      <c r="H753" s="10" t="s">
        <v>3569</v>
      </c>
      <c r="I753" s="10" t="s">
        <v>2120</v>
      </c>
      <c r="J753" s="10" t="s">
        <v>1706</v>
      </c>
      <c r="K753" s="10" t="s">
        <v>3570</v>
      </c>
      <c r="L753" s="11">
        <v>202124101016282</v>
      </c>
      <c r="M753" s="20">
        <v>44357</v>
      </c>
      <c r="N753" s="20" t="str">
        <f>UPPER(TEXT(Tabla1[[#This Row],[FECHA RADICADO ENTRADA]],"MMM"))</f>
        <v>JUN</v>
      </c>
      <c r="O753" s="11">
        <v>202124110935901</v>
      </c>
      <c r="P753" s="20">
        <v>44362</v>
      </c>
      <c r="Q753" s="20" t="str">
        <f>UPPER(TEXT(Tabla1[[#This Row],[FECHA RADICADO ENTRADA]],"MMM"))</f>
        <v>JUN</v>
      </c>
      <c r="R753" s="10">
        <f t="shared" ref="R753:R754" si="19">_xlfn.DAYS(M753,P753)</f>
        <v>-5</v>
      </c>
      <c r="S753" s="10" t="s">
        <v>2154</v>
      </c>
      <c r="U753" s="10" t="s">
        <v>3571</v>
      </c>
      <c r="V753" s="20">
        <v>42642</v>
      </c>
      <c r="W753" s="10" t="s">
        <v>41</v>
      </c>
      <c r="X753" s="10">
        <v>200</v>
      </c>
      <c r="Y753" s="11">
        <f>IFERROR(INT(Tabla1[[#This Row],[CANTIDAD UND FARMACEUTICAS]]/(VLOOKUP(Tabla1[[#This Row],[MEDICAMENTO]],TAB_REF!$K$3:$L$27,2,0))),"")</f>
        <v>20</v>
      </c>
      <c r="Z753" s="10" t="str">
        <f>IFERROR(VLOOKUP(Tabla1[[#This Row],[MEDICAMENTO]],TAB_REF!$B$3:$F$27,2,0), "")</f>
        <v xml:space="preserve">Meperidina HCl </v>
      </c>
      <c r="AA753" s="10" t="str">
        <f>IFERROR(VLOOKUP(Tabla1[[#This Row],[MEDICAMENTO]],TAB_REF!$B$3:$F$27,3,0), "")</f>
        <v xml:space="preserve">100 mg/2mL </v>
      </c>
      <c r="AB753" s="10" t="str">
        <f>IFERROR(VLOOKUP(Tabla1[[#This Row],[MEDICAMENTO]],TAB_REF!$B$3:$F$27,4,0), "")</f>
        <v>Solución Inyectable</v>
      </c>
      <c r="AC753" s="10" t="str">
        <f>IFERROR(VLOOKUP(Tabla1[[#This Row],[MEDICAMENTO]],TAB_REF!$B$3:$F$27,5,0), "")</f>
        <v>Caja 10 ampollas</v>
      </c>
      <c r="AD753" s="10" t="str">
        <f>IFERROR(VLOOKUP(Tabla1[[#This Row],[CANTIDAD UND COMERCIALES]],TAB_REF!$H$3:$I$1003,2,0)&amp;" ("&amp;Tabla1[[#This Row],[CANTIDAD UND COMERCIALES]]&amp;")"&amp;"_"&amp;Tabla1[[#This Row],[CANTIDAD]],"")</f>
        <v>Veinte (20)_Caja 10 ampollas</v>
      </c>
    </row>
    <row r="754" spans="2:30" x14ac:dyDescent="0.25">
      <c r="B754" s="10">
        <v>308</v>
      </c>
      <c r="C754" s="10" t="s">
        <v>3565</v>
      </c>
      <c r="D754" s="10" t="s">
        <v>2617</v>
      </c>
      <c r="E754" s="10" t="s">
        <v>3566</v>
      </c>
      <c r="F754" s="10" t="s">
        <v>3567</v>
      </c>
      <c r="G754" s="21" t="s">
        <v>3568</v>
      </c>
      <c r="H754" s="10" t="s">
        <v>3569</v>
      </c>
      <c r="I754" s="10" t="s">
        <v>2120</v>
      </c>
      <c r="J754" s="10" t="s">
        <v>1706</v>
      </c>
      <c r="K754" s="10" t="s">
        <v>3570</v>
      </c>
      <c r="L754" s="11">
        <v>202124101016282</v>
      </c>
      <c r="M754" s="20">
        <v>44357</v>
      </c>
      <c r="N754" s="20" t="str">
        <f>UPPER(TEXT(Tabla1[[#This Row],[FECHA RADICADO ENTRADA]],"MMM"))</f>
        <v>JUN</v>
      </c>
      <c r="O754" s="11">
        <v>202124110935901</v>
      </c>
      <c r="P754" s="20">
        <v>44362</v>
      </c>
      <c r="Q754" s="20" t="str">
        <f>UPPER(TEXT(Tabla1[[#This Row],[FECHA RADICADO ENTRADA]],"MMM"))</f>
        <v>JUN</v>
      </c>
      <c r="R754" s="10">
        <f t="shared" si="19"/>
        <v>-5</v>
      </c>
      <c r="S754" s="10" t="s">
        <v>2154</v>
      </c>
      <c r="U754" s="10" t="s">
        <v>3571</v>
      </c>
      <c r="V754" s="20">
        <v>42642</v>
      </c>
      <c r="W754" s="10" t="s">
        <v>36</v>
      </c>
      <c r="X754" s="10">
        <v>500</v>
      </c>
      <c r="Y754" s="11">
        <f>IFERROR(INT(Tabla1[[#This Row],[CANTIDAD UND FARMACEUTICAS]]/(VLOOKUP(Tabla1[[#This Row],[MEDICAMENTO]],TAB_REF!$K$3:$L$27,2,0))),"")</f>
        <v>50</v>
      </c>
      <c r="Z754" s="10" t="str">
        <f>IFERROR(VLOOKUP(Tabla1[[#This Row],[MEDICAMENTO]],TAB_REF!$B$3:$F$27,2,0), "")</f>
        <v xml:space="preserve">Fenobarbital Sódico </v>
      </c>
      <c r="AA754" s="10" t="str">
        <f>IFERROR(VLOOKUP(Tabla1[[#This Row],[MEDICAMENTO]],TAB_REF!$B$3:$F$27,3,0), "")</f>
        <v xml:space="preserve">40 mg/mL </v>
      </c>
      <c r="AB754" s="10" t="str">
        <f>IFERROR(VLOOKUP(Tabla1[[#This Row],[MEDICAMENTO]],TAB_REF!$B$3:$F$27,4,0), "")</f>
        <v>Solución Inyectable</v>
      </c>
      <c r="AC754" s="10" t="str">
        <f>IFERROR(VLOOKUP(Tabla1[[#This Row],[MEDICAMENTO]],TAB_REF!$B$3:$F$27,5,0), "")</f>
        <v>Caja x 10 unidades</v>
      </c>
      <c r="AD754" s="10" t="str">
        <f>IFERROR(VLOOKUP(Tabla1[[#This Row],[CANTIDAD UND COMERCIALES]],TAB_REF!$H$3:$I$1003,2,0)&amp;" ("&amp;Tabla1[[#This Row],[CANTIDAD UND COMERCIALES]]&amp;")"&amp;"_"&amp;Tabla1[[#This Row],[CANTIDAD]],"")</f>
        <v>Cincuenta (50)_Caja x 10 unidades</v>
      </c>
    </row>
    <row r="755" spans="2:30" x14ac:dyDescent="0.25">
      <c r="B755" s="10">
        <v>309</v>
      </c>
      <c r="C755" s="10" t="s">
        <v>2781</v>
      </c>
      <c r="D755" s="10" t="s">
        <v>2782</v>
      </c>
      <c r="E755" s="10" t="s">
        <v>2783</v>
      </c>
      <c r="F755" s="10" t="s">
        <v>3136</v>
      </c>
      <c r="G755" s="10" t="s">
        <v>2784</v>
      </c>
      <c r="H755" s="10" t="s">
        <v>2785</v>
      </c>
      <c r="I755" s="10" t="s">
        <v>2129</v>
      </c>
      <c r="J755" s="10" t="s">
        <v>2011</v>
      </c>
      <c r="K755" s="10" t="s">
        <v>3572</v>
      </c>
      <c r="L755" s="11">
        <v>202124101018582</v>
      </c>
      <c r="M755" s="20">
        <v>44357</v>
      </c>
      <c r="N755" s="20" t="str">
        <f>UPPER(TEXT(Tabla1[[#This Row],[FECHA RADICADO ENTRADA]],"MMM"))</f>
        <v>JUN</v>
      </c>
      <c r="O755" s="11">
        <v>202124110935951</v>
      </c>
      <c r="P755" s="20">
        <v>44362</v>
      </c>
      <c r="Q755" s="20" t="str">
        <f>UPPER(TEXT(Tabla1[[#This Row],[FECHA RADICADO ENTRADA]],"MMM"))</f>
        <v>JUN</v>
      </c>
      <c r="R755" s="10">
        <f t="shared" si="17"/>
        <v>-5</v>
      </c>
      <c r="S755" s="10" t="s">
        <v>2154</v>
      </c>
      <c r="U755" s="10" t="s">
        <v>3327</v>
      </c>
      <c r="V755" s="20">
        <v>43392</v>
      </c>
      <c r="W755" s="10" t="s">
        <v>63</v>
      </c>
      <c r="X755" s="10">
        <v>12000</v>
      </c>
      <c r="Y755" s="11">
        <f>IFERROR(INT(Tabla1[[#This Row],[CANTIDAD UND FARMACEUTICAS]]/(VLOOKUP(Tabla1[[#This Row],[MEDICAMENTO]],TAB_REF!$K$3:$L$27,2,0))),"")</f>
        <v>1200</v>
      </c>
      <c r="Z755" s="10" t="str">
        <f>IFERROR(VLOOKUP(Tabla1[[#This Row],[MEDICAMENTO]],TAB_REF!$B$3:$F$27,2,0), "")</f>
        <v xml:space="preserve">Morfina HCl </v>
      </c>
      <c r="AA755" s="10" t="str">
        <f>IFERROR(VLOOKUP(Tabla1[[#This Row],[MEDICAMENTO]],TAB_REF!$B$3:$F$27,3,0), "")</f>
        <v xml:space="preserve">10 mg/mL </v>
      </c>
      <c r="AB755" s="10" t="str">
        <f>IFERROR(VLOOKUP(Tabla1[[#This Row],[MEDICAMENTO]],TAB_REF!$B$3:$F$27,4,0), "")</f>
        <v>Solución Inyectable</v>
      </c>
      <c r="AC755" s="10" t="str">
        <f>IFERROR(VLOOKUP(Tabla1[[#This Row],[MEDICAMENTO]],TAB_REF!$B$3:$F$27,5,0), "")</f>
        <v>Caja x 10 unidades</v>
      </c>
      <c r="AD755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756" spans="2:30" x14ac:dyDescent="0.25">
      <c r="B756" s="10">
        <v>310</v>
      </c>
      <c r="C756" s="10" t="s">
        <v>2149</v>
      </c>
      <c r="D756" s="10" t="s">
        <v>2162</v>
      </c>
      <c r="E756" s="10" t="s">
        <v>2150</v>
      </c>
      <c r="F756" s="10" t="s">
        <v>2192</v>
      </c>
      <c r="G756" s="21" t="s">
        <v>2152</v>
      </c>
      <c r="H756" s="10" t="s">
        <v>2151</v>
      </c>
      <c r="I756" s="10" t="s">
        <v>2116</v>
      </c>
      <c r="J756" s="10" t="s">
        <v>1550</v>
      </c>
      <c r="K756" s="10" t="s">
        <v>3573</v>
      </c>
      <c r="L756" s="11">
        <v>202124101018712</v>
      </c>
      <c r="M756" s="20">
        <v>44357</v>
      </c>
      <c r="N756" s="20" t="str">
        <f>UPPER(TEXT(Tabla1[[#This Row],[FECHA RADICADO ENTRADA]],"MMM"))</f>
        <v>JUN</v>
      </c>
      <c r="O756" s="11">
        <v>202124110935981</v>
      </c>
      <c r="P756" s="20">
        <v>44362</v>
      </c>
      <c r="Q756" s="20" t="str">
        <f>UPPER(TEXT(Tabla1[[#This Row],[FECHA RADICADO ENTRADA]],"MMM"))</f>
        <v>JUN</v>
      </c>
      <c r="R756" s="10">
        <f t="shared" si="17"/>
        <v>-5</v>
      </c>
      <c r="S756" s="10" t="s">
        <v>2154</v>
      </c>
      <c r="U756" s="10" t="s">
        <v>2153</v>
      </c>
      <c r="V756" s="20">
        <v>43829</v>
      </c>
      <c r="W756" s="10" t="s">
        <v>63</v>
      </c>
      <c r="X756" s="10">
        <v>6000</v>
      </c>
      <c r="Y756" s="11">
        <f>IFERROR(INT(Tabla1[[#This Row],[CANTIDAD UND FARMACEUTICAS]]/(VLOOKUP(Tabla1[[#This Row],[MEDICAMENTO]],TAB_REF!$K$3:$L$27,2,0))),"")</f>
        <v>600</v>
      </c>
      <c r="Z756" s="10" t="str">
        <f>IFERROR(VLOOKUP(Tabla1[[#This Row],[MEDICAMENTO]],TAB_REF!$B$3:$F$27,2,0), "")</f>
        <v xml:space="preserve">Morfina HCl </v>
      </c>
      <c r="AA756" s="10" t="str">
        <f>IFERROR(VLOOKUP(Tabla1[[#This Row],[MEDICAMENTO]],TAB_REF!$B$3:$F$27,3,0), "")</f>
        <v xml:space="preserve">10 mg/mL </v>
      </c>
      <c r="AB756" s="10" t="str">
        <f>IFERROR(VLOOKUP(Tabla1[[#This Row],[MEDICAMENTO]],TAB_REF!$B$3:$F$27,4,0), "")</f>
        <v>Solución Inyectable</v>
      </c>
      <c r="AC756" s="10" t="str">
        <f>IFERROR(VLOOKUP(Tabla1[[#This Row],[MEDICAMENTO]],TAB_REF!$B$3:$F$27,5,0), "")</f>
        <v>Caja x 10 unidades</v>
      </c>
      <c r="AD756" s="10" t="str">
        <f>IFERROR(VLOOKUP(Tabla1[[#This Row],[CANTIDAD UND COMERCIALES]],TAB_REF!$H$3:$I$1003,2,0)&amp;" ("&amp;Tabla1[[#This Row],[CANTIDAD UND COMERCIALES]]&amp;")"&amp;"_"&amp;Tabla1[[#This Row],[CANTIDAD]],"")</f>
        <v>Seiscientos (600)_Caja x 10 unidades</v>
      </c>
    </row>
    <row r="757" spans="2:30" x14ac:dyDescent="0.25">
      <c r="B757" s="10">
        <v>310</v>
      </c>
      <c r="C757" s="10" t="s">
        <v>2149</v>
      </c>
      <c r="D757" s="10" t="s">
        <v>2162</v>
      </c>
      <c r="E757" s="10" t="s">
        <v>2150</v>
      </c>
      <c r="F757" s="10" t="s">
        <v>2192</v>
      </c>
      <c r="G757" s="21" t="s">
        <v>2152</v>
      </c>
      <c r="H757" s="10" t="s">
        <v>2151</v>
      </c>
      <c r="I757" s="10" t="s">
        <v>2116</v>
      </c>
      <c r="J757" s="10" t="s">
        <v>1550</v>
      </c>
      <c r="K757" s="10" t="s">
        <v>3573</v>
      </c>
      <c r="L757" s="11">
        <v>202124101018712</v>
      </c>
      <c r="M757" s="20">
        <v>44357</v>
      </c>
      <c r="N757" s="20" t="str">
        <f>UPPER(TEXT(Tabla1[[#This Row],[FECHA RADICADO ENTRADA]],"MMM"))</f>
        <v>JUN</v>
      </c>
      <c r="O757" s="11">
        <v>202124110935981</v>
      </c>
      <c r="P757" s="20">
        <v>44362</v>
      </c>
      <c r="Q757" s="20" t="str">
        <f>UPPER(TEXT(Tabla1[[#This Row],[FECHA RADICADO ENTRADA]],"MMM"))</f>
        <v>JUN</v>
      </c>
      <c r="R757" s="10">
        <f t="shared" si="17"/>
        <v>-5</v>
      </c>
      <c r="S757" s="10" t="s">
        <v>2154</v>
      </c>
      <c r="U757" s="10" t="s">
        <v>2153</v>
      </c>
      <c r="V757" s="20">
        <v>43829</v>
      </c>
      <c r="W757" s="10" t="s">
        <v>37</v>
      </c>
      <c r="X757" s="10">
        <v>1200</v>
      </c>
      <c r="Y757" s="11">
        <f>IFERROR(INT(Tabla1[[#This Row],[CANTIDAD UND FARMACEUTICAS]]/(VLOOKUP(Tabla1[[#This Row],[MEDICAMENTO]],TAB_REF!$K$3:$L$27,2,0))),"")</f>
        <v>120</v>
      </c>
      <c r="Z757" s="10" t="str">
        <f>IFERROR(VLOOKUP(Tabla1[[#This Row],[MEDICAMENTO]],TAB_REF!$B$3:$F$27,2,0), "")</f>
        <v xml:space="preserve">Hidromorfona HCl </v>
      </c>
      <c r="AA757" s="10" t="str">
        <f>IFERROR(VLOOKUP(Tabla1[[#This Row],[MEDICAMENTO]],TAB_REF!$B$3:$F$27,3,0), "")</f>
        <v xml:space="preserve">2 mg/mL </v>
      </c>
      <c r="AB757" s="10" t="str">
        <f>IFERROR(VLOOKUP(Tabla1[[#This Row],[MEDICAMENTO]],TAB_REF!$B$3:$F$27,4,0), "")</f>
        <v>Solución Inyectable</v>
      </c>
      <c r="AC757" s="10" t="str">
        <f>IFERROR(VLOOKUP(Tabla1[[#This Row],[MEDICAMENTO]],TAB_REF!$B$3:$F$27,5,0), "")</f>
        <v>Caja x 10 unidades</v>
      </c>
      <c r="AD757" s="10" t="str">
        <f>IFERROR(VLOOKUP(Tabla1[[#This Row],[CANTIDAD UND COMERCIALES]],TAB_REF!$H$3:$I$1003,2,0)&amp;" ("&amp;Tabla1[[#This Row],[CANTIDAD UND COMERCIALES]]&amp;")"&amp;"_"&amp;Tabla1[[#This Row],[CANTIDAD]],"")</f>
        <v>Ciento Veinte (120)_Caja x 10 unidades</v>
      </c>
    </row>
    <row r="758" spans="2:30" x14ac:dyDescent="0.25">
      <c r="B758" s="10">
        <v>310</v>
      </c>
      <c r="C758" s="10" t="s">
        <v>2149</v>
      </c>
      <c r="D758" s="10" t="s">
        <v>2162</v>
      </c>
      <c r="E758" s="10" t="s">
        <v>2150</v>
      </c>
      <c r="F758" s="10" t="s">
        <v>2192</v>
      </c>
      <c r="G758" s="21" t="s">
        <v>2152</v>
      </c>
      <c r="H758" s="10" t="s">
        <v>2151</v>
      </c>
      <c r="I758" s="10" t="s">
        <v>2116</v>
      </c>
      <c r="J758" s="10" t="s">
        <v>1550</v>
      </c>
      <c r="K758" s="10" t="s">
        <v>3573</v>
      </c>
      <c r="L758" s="11">
        <v>202124101018712</v>
      </c>
      <c r="M758" s="20">
        <v>44357</v>
      </c>
      <c r="N758" s="20" t="str">
        <f>UPPER(TEXT(Tabla1[[#This Row],[FECHA RADICADO ENTRADA]],"MMM"))</f>
        <v>JUN</v>
      </c>
      <c r="O758" s="11">
        <v>202124110935981</v>
      </c>
      <c r="P758" s="20">
        <v>44362</v>
      </c>
      <c r="Q758" s="20" t="str">
        <f>UPPER(TEXT(Tabla1[[#This Row],[FECHA RADICADO ENTRADA]],"MMM"))</f>
        <v>JUN</v>
      </c>
      <c r="R758" s="10">
        <f t="shared" si="17"/>
        <v>-5</v>
      </c>
      <c r="S758" s="10" t="s">
        <v>2154</v>
      </c>
      <c r="U758" s="10" t="s">
        <v>2153</v>
      </c>
      <c r="V758" s="20">
        <v>43829</v>
      </c>
      <c r="W758" s="10" t="s">
        <v>47</v>
      </c>
      <c r="X758" s="10">
        <v>150</v>
      </c>
      <c r="Y758" s="11">
        <f>IFERROR(INT(Tabla1[[#This Row],[CANTIDAD UND FARMACEUTICAS]]/(VLOOKUP(Tabla1[[#This Row],[MEDICAMENTO]],TAB_REF!$K$3:$L$27,2,0))),"")</f>
        <v>5</v>
      </c>
      <c r="Z758" s="10" t="str">
        <f>IFERROR(VLOOKUP(Tabla1[[#This Row],[MEDICAMENTO]],TAB_REF!$B$3:$F$27,2,0), "")</f>
        <v xml:space="preserve">Metadona HCl </v>
      </c>
      <c r="AA758" s="10" t="str">
        <f>IFERROR(VLOOKUP(Tabla1[[#This Row],[MEDICAMENTO]],TAB_REF!$B$3:$F$27,3,0), "")</f>
        <v xml:space="preserve">40 mg </v>
      </c>
      <c r="AB758" s="10" t="str">
        <f>IFERROR(VLOOKUP(Tabla1[[#This Row],[MEDICAMENTO]],TAB_REF!$B$3:$F$27,4,0), "")</f>
        <v>Tabletas NACIONAL</v>
      </c>
      <c r="AC758" s="10" t="str">
        <f>IFERROR(VLOOKUP(Tabla1[[#This Row],[MEDICAMENTO]],TAB_REF!$B$3:$F$27,5,0), "")</f>
        <v>Caja x 30 unidades</v>
      </c>
      <c r="AD758" s="10" t="str">
        <f>IFERROR(VLOOKUP(Tabla1[[#This Row],[CANTIDAD UND COMERCIALES]],TAB_REF!$H$3:$I$1003,2,0)&amp;" ("&amp;Tabla1[[#This Row],[CANTIDAD UND COMERCIALES]]&amp;")"&amp;"_"&amp;Tabla1[[#This Row],[CANTIDAD]],"")</f>
        <v>Cinco (5)_Caja x 30 unidades</v>
      </c>
    </row>
    <row r="759" spans="2:30" x14ac:dyDescent="0.25">
      <c r="B759" s="10">
        <v>310</v>
      </c>
      <c r="C759" s="10" t="s">
        <v>2149</v>
      </c>
      <c r="D759" s="10" t="s">
        <v>2162</v>
      </c>
      <c r="E759" s="10" t="s">
        <v>2150</v>
      </c>
      <c r="F759" s="10" t="s">
        <v>2192</v>
      </c>
      <c r="G759" s="21" t="s">
        <v>2152</v>
      </c>
      <c r="H759" s="10" t="s">
        <v>2151</v>
      </c>
      <c r="I759" s="10" t="s">
        <v>2116</v>
      </c>
      <c r="J759" s="10" t="s">
        <v>1550</v>
      </c>
      <c r="K759" s="10" t="s">
        <v>3573</v>
      </c>
      <c r="L759" s="11">
        <v>202124101018712</v>
      </c>
      <c r="M759" s="20">
        <v>44357</v>
      </c>
      <c r="N759" s="20" t="str">
        <f>UPPER(TEXT(Tabla1[[#This Row],[FECHA RADICADO ENTRADA]],"MMM"))</f>
        <v>JUN</v>
      </c>
      <c r="O759" s="11">
        <v>202124110935981</v>
      </c>
      <c r="P759" s="20">
        <v>44362</v>
      </c>
      <c r="Q759" s="20" t="str">
        <f>UPPER(TEXT(Tabla1[[#This Row],[FECHA RADICADO ENTRADA]],"MMM"))</f>
        <v>JUN</v>
      </c>
      <c r="R759" s="10">
        <f t="shared" ref="R759:R794" si="20">_xlfn.DAYS(M759,P759)</f>
        <v>-5</v>
      </c>
      <c r="S759" s="10" t="s">
        <v>2154</v>
      </c>
      <c r="U759" s="10" t="s">
        <v>2153</v>
      </c>
      <c r="V759" s="20">
        <v>43829</v>
      </c>
      <c r="W759" s="10" t="s">
        <v>45</v>
      </c>
      <c r="X759" s="10">
        <v>150</v>
      </c>
      <c r="Y759" s="11">
        <f>IFERROR(INT(Tabla1[[#This Row],[CANTIDAD UND FARMACEUTICAS]]/(VLOOKUP(Tabla1[[#This Row],[MEDICAMENTO]],TAB_REF!$K$3:$L$27,2,0))),"")</f>
        <v>5</v>
      </c>
      <c r="Z759" s="10" t="str">
        <f>IFERROR(VLOOKUP(Tabla1[[#This Row],[MEDICAMENTO]],TAB_REF!$B$3:$F$27,2,0), "")</f>
        <v xml:space="preserve">Metadona HCl </v>
      </c>
      <c r="AA759" s="10" t="str">
        <f>IFERROR(VLOOKUP(Tabla1[[#This Row],[MEDICAMENTO]],TAB_REF!$B$3:$F$27,3,0), "")</f>
        <v xml:space="preserve">10 mg </v>
      </c>
      <c r="AB759" s="10" t="str">
        <f>IFERROR(VLOOKUP(Tabla1[[#This Row],[MEDICAMENTO]],TAB_REF!$B$3:$F$27,4,0), "")</f>
        <v>Tabletas NACIONAL</v>
      </c>
      <c r="AC759" s="10" t="str">
        <f>IFERROR(VLOOKUP(Tabla1[[#This Row],[MEDICAMENTO]],TAB_REF!$B$3:$F$27,5,0), "")</f>
        <v>Caja x 30 unidades</v>
      </c>
      <c r="AD759" s="10" t="str">
        <f>IFERROR(VLOOKUP(Tabla1[[#This Row],[CANTIDAD UND COMERCIALES]],TAB_REF!$H$3:$I$1003,2,0)&amp;" ("&amp;Tabla1[[#This Row],[CANTIDAD UND COMERCIALES]]&amp;")"&amp;"_"&amp;Tabla1[[#This Row],[CANTIDAD]],"")</f>
        <v>Cinco (5)_Caja x 30 unidades</v>
      </c>
    </row>
    <row r="760" spans="2:30" x14ac:dyDescent="0.25">
      <c r="B760" s="10">
        <v>311</v>
      </c>
      <c r="C760" s="10" t="s">
        <v>3328</v>
      </c>
      <c r="D760" s="10" t="s">
        <v>2162</v>
      </c>
      <c r="E760" s="10" t="s">
        <v>2978</v>
      </c>
      <c r="F760" s="10" t="s">
        <v>2979</v>
      </c>
      <c r="G760" s="21" t="s">
        <v>2980</v>
      </c>
      <c r="H760" s="10" t="s">
        <v>3419</v>
      </c>
      <c r="I760" s="10" t="s">
        <v>2116</v>
      </c>
      <c r="J760" s="10" t="s">
        <v>1559</v>
      </c>
      <c r="K760" s="10" t="s">
        <v>3574</v>
      </c>
      <c r="L760" s="11">
        <v>202142301024092</v>
      </c>
      <c r="M760" s="20">
        <v>44357</v>
      </c>
      <c r="N760" s="20" t="str">
        <f>UPPER(TEXT(Tabla1[[#This Row],[FECHA RADICADO ENTRADA]],"MMM"))</f>
        <v>JUN</v>
      </c>
      <c r="O760" s="11">
        <v>202124110936011</v>
      </c>
      <c r="P760" s="20">
        <v>44362</v>
      </c>
      <c r="Q760" s="20" t="str">
        <f>UPPER(TEXT(Tabla1[[#This Row],[FECHA RADICADO ENTRADA]],"MMM"))</f>
        <v>JUN</v>
      </c>
      <c r="R760" s="10">
        <f t="shared" si="20"/>
        <v>-5</v>
      </c>
      <c r="S760" s="10" t="s">
        <v>2145</v>
      </c>
      <c r="U760" s="10" t="s">
        <v>3421</v>
      </c>
      <c r="V760" s="20">
        <v>43391</v>
      </c>
      <c r="W760" s="10" t="s">
        <v>63</v>
      </c>
      <c r="X760" s="10">
        <v>0</v>
      </c>
      <c r="Y760" s="11">
        <f>IFERROR(INT(Tabla1[[#This Row],[CANTIDAD UND FARMACEUTICAS]]/(VLOOKUP(Tabla1[[#This Row],[MEDICAMENTO]],TAB_REF!$K$3:$L$27,2,0))),"")</f>
        <v>0</v>
      </c>
      <c r="Z760" s="10" t="str">
        <f>IFERROR(VLOOKUP(Tabla1[[#This Row],[MEDICAMENTO]],TAB_REF!$B$3:$F$27,2,0), "")</f>
        <v xml:space="preserve">Morfina HCl </v>
      </c>
      <c r="AA760" s="10" t="str">
        <f>IFERROR(VLOOKUP(Tabla1[[#This Row],[MEDICAMENTO]],TAB_REF!$B$3:$F$27,3,0), "")</f>
        <v xml:space="preserve">10 mg/mL </v>
      </c>
      <c r="AB760" s="10" t="str">
        <f>IFERROR(VLOOKUP(Tabla1[[#This Row],[MEDICAMENTO]],TAB_REF!$B$3:$F$27,4,0), "")</f>
        <v>Solución Inyectable</v>
      </c>
      <c r="AC760" s="10" t="str">
        <f>IFERROR(VLOOKUP(Tabla1[[#This Row],[MEDICAMENTO]],TAB_REF!$B$3:$F$27,5,0), "")</f>
        <v>Caja x 10 unidades</v>
      </c>
      <c r="AD760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761" spans="2:30" x14ac:dyDescent="0.25">
      <c r="B761" s="10">
        <v>312</v>
      </c>
      <c r="C761" s="10" t="s">
        <v>3059</v>
      </c>
      <c r="D761" s="10" t="s">
        <v>3060</v>
      </c>
      <c r="E761" s="10" t="s">
        <v>2905</v>
      </c>
      <c r="F761" s="10" t="s">
        <v>2906</v>
      </c>
      <c r="G761" s="21" t="s">
        <v>3061</v>
      </c>
      <c r="H761" s="10" t="s">
        <v>3062</v>
      </c>
      <c r="I761" s="10" t="s">
        <v>2113</v>
      </c>
      <c r="J761" s="10" t="s">
        <v>1442</v>
      </c>
      <c r="K761" s="10" t="s">
        <v>3575</v>
      </c>
      <c r="L761" s="11">
        <v>202124101025622</v>
      </c>
      <c r="M761" s="20">
        <v>44358</v>
      </c>
      <c r="N761" s="20" t="str">
        <f>UPPER(TEXT(Tabla1[[#This Row],[FECHA RADICADO ENTRADA]],"MMM"))</f>
        <v>JUN</v>
      </c>
      <c r="O761" s="11">
        <v>202124110936061</v>
      </c>
      <c r="P761" s="20">
        <v>44362</v>
      </c>
      <c r="Q761" s="20" t="str">
        <f>UPPER(TEXT(Tabla1[[#This Row],[FECHA RADICADO ENTRADA]],"MMM"))</f>
        <v>JUN</v>
      </c>
      <c r="R761" s="10">
        <f t="shared" si="20"/>
        <v>-4</v>
      </c>
      <c r="S761" s="10" t="s">
        <v>2145</v>
      </c>
      <c r="U761" s="10" t="s">
        <v>2164</v>
      </c>
      <c r="V761" s="20" t="s">
        <v>2164</v>
      </c>
      <c r="W761" s="10" t="s">
        <v>38</v>
      </c>
      <c r="X761" s="10">
        <v>0</v>
      </c>
      <c r="Y761" s="11">
        <f>IFERROR(INT(Tabla1[[#This Row],[CANTIDAD UND FARMACEUTICAS]]/(VLOOKUP(Tabla1[[#This Row],[MEDICAMENTO]],TAB_REF!$K$3:$L$27,2,0))),"")</f>
        <v>0</v>
      </c>
      <c r="Z761" s="10" t="str">
        <f>IFERROR(VLOOKUP(Tabla1[[#This Row],[MEDICAMENTO]],TAB_REF!$B$3:$F$27,2,0), "")</f>
        <v xml:space="preserve">Hidromorfona HCl </v>
      </c>
      <c r="AA761" s="10" t="str">
        <f>IFERROR(VLOOKUP(Tabla1[[#This Row],[MEDICAMENTO]],TAB_REF!$B$3:$F$27,3,0), "")</f>
        <v xml:space="preserve">2,5 mg </v>
      </c>
      <c r="AB761" s="10" t="str">
        <f>IFERROR(VLOOKUP(Tabla1[[#This Row],[MEDICAMENTO]],TAB_REF!$B$3:$F$27,4,0), "")</f>
        <v>Tabletas</v>
      </c>
      <c r="AC761" s="10" t="str">
        <f>IFERROR(VLOOKUP(Tabla1[[#This Row],[MEDICAMENTO]],TAB_REF!$B$3:$F$27,5,0), "")</f>
        <v>Caja x 20 unidades</v>
      </c>
      <c r="AD761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762" spans="2:30" x14ac:dyDescent="0.25">
      <c r="B762" s="10">
        <v>312</v>
      </c>
      <c r="C762" s="10" t="s">
        <v>3059</v>
      </c>
      <c r="D762" s="10" t="s">
        <v>3060</v>
      </c>
      <c r="E762" s="10" t="s">
        <v>2905</v>
      </c>
      <c r="F762" s="10" t="s">
        <v>2906</v>
      </c>
      <c r="G762" s="21" t="s">
        <v>3061</v>
      </c>
      <c r="H762" s="10" t="s">
        <v>3062</v>
      </c>
      <c r="I762" s="10" t="s">
        <v>2113</v>
      </c>
      <c r="J762" s="10" t="s">
        <v>1442</v>
      </c>
      <c r="K762" s="10" t="s">
        <v>3575</v>
      </c>
      <c r="L762" s="11">
        <v>202124101025622</v>
      </c>
      <c r="M762" s="20">
        <v>44358</v>
      </c>
      <c r="N762" s="20" t="str">
        <f>UPPER(TEXT(Tabla1[[#This Row],[FECHA RADICADO ENTRADA]],"MMM"))</f>
        <v>JUN</v>
      </c>
      <c r="O762" s="11">
        <v>202124110936061</v>
      </c>
      <c r="P762" s="20">
        <v>44362</v>
      </c>
      <c r="Q762" s="20" t="str">
        <f>UPPER(TEXT(Tabla1[[#This Row],[FECHA RADICADO ENTRADA]],"MMM"))</f>
        <v>JUN</v>
      </c>
      <c r="R762" s="10">
        <f t="shared" ref="R762" si="21">_xlfn.DAYS(M762,P762)</f>
        <v>-4</v>
      </c>
      <c r="S762" s="10" t="s">
        <v>2145</v>
      </c>
      <c r="U762" s="10" t="s">
        <v>2164</v>
      </c>
      <c r="V762" s="20" t="s">
        <v>2164</v>
      </c>
      <c r="W762" s="10" t="s">
        <v>32</v>
      </c>
      <c r="X762" s="10">
        <v>0</v>
      </c>
      <c r="Y762" s="11">
        <f>IFERROR(INT(Tabla1[[#This Row],[CANTIDAD UND FARMACEUTICAS]]/(VLOOKUP(Tabla1[[#This Row],[MEDICAMENTO]],TAB_REF!$K$3:$L$27,2,0))),"")</f>
        <v>0</v>
      </c>
      <c r="Z762" s="10" t="str">
        <f>IFERROR(VLOOKUP(Tabla1[[#This Row],[MEDICAMENTO]],TAB_REF!$B$3:$F$27,2,0), "")</f>
        <v xml:space="preserve">Fenobarbital </v>
      </c>
      <c r="AA762" s="10" t="str">
        <f>IFERROR(VLOOKUP(Tabla1[[#This Row],[MEDICAMENTO]],TAB_REF!$B$3:$F$27,3,0), "")</f>
        <v xml:space="preserve">100 mg </v>
      </c>
      <c r="AB762" s="10" t="str">
        <f>IFERROR(VLOOKUP(Tabla1[[#This Row],[MEDICAMENTO]],TAB_REF!$B$3:$F$27,4,0), "")</f>
        <v>Tabletas</v>
      </c>
      <c r="AC762" s="10" t="str">
        <f>IFERROR(VLOOKUP(Tabla1[[#This Row],[MEDICAMENTO]],TAB_REF!$B$3:$F$27,5,0), "")</f>
        <v>Caja x 30 unidades</v>
      </c>
      <c r="AD762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763" spans="2:30" x14ac:dyDescent="0.25">
      <c r="B763" s="10">
        <v>313</v>
      </c>
      <c r="C763" s="10" t="s">
        <v>3576</v>
      </c>
      <c r="D763" s="10" t="s">
        <v>2182</v>
      </c>
      <c r="E763" s="10" t="s">
        <v>3577</v>
      </c>
      <c r="F763" s="10" t="s">
        <v>2452</v>
      </c>
      <c r="G763" s="21" t="s">
        <v>3578</v>
      </c>
      <c r="H763" s="10" t="s">
        <v>3579</v>
      </c>
      <c r="I763" s="10" t="s">
        <v>2123</v>
      </c>
      <c r="J763" s="10" t="s">
        <v>1771</v>
      </c>
      <c r="K763" s="10" t="s">
        <v>3580</v>
      </c>
      <c r="L763" s="11">
        <v>202124101026332</v>
      </c>
      <c r="M763" s="20">
        <v>44358</v>
      </c>
      <c r="N763" s="20" t="str">
        <f>UPPER(TEXT(Tabla1[[#This Row],[FECHA RADICADO ENTRADA]],"MMM"))</f>
        <v>JUN</v>
      </c>
      <c r="O763" s="11">
        <v>202124110936181</v>
      </c>
      <c r="P763" s="20">
        <v>44362</v>
      </c>
      <c r="Q763" s="20" t="str">
        <f>UPPER(TEXT(Tabla1[[#This Row],[FECHA RADICADO ENTRADA]],"MMM"))</f>
        <v>JUN</v>
      </c>
      <c r="R763" s="10">
        <f t="shared" si="20"/>
        <v>-4</v>
      </c>
      <c r="S763" s="10" t="s">
        <v>2154</v>
      </c>
      <c r="U763" s="10" t="s">
        <v>3581</v>
      </c>
      <c r="V763" s="20">
        <v>44281</v>
      </c>
      <c r="W763" s="10" t="s">
        <v>28</v>
      </c>
      <c r="X763" s="10">
        <v>6</v>
      </c>
      <c r="Y763" s="11">
        <f>IFERROR(INT(Tabla1[[#This Row],[CANTIDAD UND FARMACEUTICAS]]/(VLOOKUP(Tabla1[[#This Row],[MEDICAMENTO]],TAB_REF!$K$3:$L$27,2,0))),"")</f>
        <v>6</v>
      </c>
      <c r="Z763" s="10" t="str">
        <f>IFERROR(VLOOKUP(Tabla1[[#This Row],[MEDICAMENTO]],TAB_REF!$B$3:$F$27,2,0), "")</f>
        <v xml:space="preserve">Fenobarbital </v>
      </c>
      <c r="AA763" s="10" t="str">
        <f>IFERROR(VLOOKUP(Tabla1[[#This Row],[MEDICAMENTO]],TAB_REF!$B$3:$F$27,3,0), "")</f>
        <v xml:space="preserve">0,4%. </v>
      </c>
      <c r="AB763" s="10" t="str">
        <f>IFERROR(VLOOKUP(Tabla1[[#This Row],[MEDICAMENTO]],TAB_REF!$B$3:$F$27,4,0), "")</f>
        <v>Solución Oral</v>
      </c>
      <c r="AC763" s="10" t="str">
        <f>IFERROR(VLOOKUP(Tabla1[[#This Row],[MEDICAMENTO]],TAB_REF!$B$3:$F$27,5,0), "")</f>
        <v>Frasco x 120 mL</v>
      </c>
      <c r="AD763" s="10" t="str">
        <f>IFERROR(VLOOKUP(Tabla1[[#This Row],[CANTIDAD UND COMERCIALES]],TAB_REF!$H$3:$I$1003,2,0)&amp;" ("&amp;Tabla1[[#This Row],[CANTIDAD UND COMERCIALES]]&amp;")"&amp;"_"&amp;Tabla1[[#This Row],[CANTIDAD]],"")</f>
        <v>Seis (6)_Frasco x 120 mL</v>
      </c>
    </row>
    <row r="764" spans="2:30" x14ac:dyDescent="0.25">
      <c r="B764" s="10">
        <v>313</v>
      </c>
      <c r="C764" s="10" t="s">
        <v>3576</v>
      </c>
      <c r="D764" s="10" t="s">
        <v>2182</v>
      </c>
      <c r="E764" s="10" t="s">
        <v>3577</v>
      </c>
      <c r="F764" s="10" t="s">
        <v>2452</v>
      </c>
      <c r="G764" s="21" t="s">
        <v>3578</v>
      </c>
      <c r="H764" s="10" t="s">
        <v>3579</v>
      </c>
      <c r="I764" s="10" t="s">
        <v>2123</v>
      </c>
      <c r="J764" s="10" t="s">
        <v>1771</v>
      </c>
      <c r="K764" s="10" t="s">
        <v>3580</v>
      </c>
      <c r="L764" s="11">
        <v>202124101026332</v>
      </c>
      <c r="M764" s="20">
        <v>44358</v>
      </c>
      <c r="N764" s="20" t="str">
        <f>UPPER(TEXT(Tabla1[[#This Row],[FECHA RADICADO ENTRADA]],"MMM"))</f>
        <v>JUN</v>
      </c>
      <c r="O764" s="11">
        <v>202124110936181</v>
      </c>
      <c r="P764" s="20">
        <v>44362</v>
      </c>
      <c r="Q764" s="20" t="str">
        <f>UPPER(TEXT(Tabla1[[#This Row],[FECHA RADICADO ENTRADA]],"MMM"))</f>
        <v>JUN</v>
      </c>
      <c r="R764" s="10">
        <f t="shared" si="20"/>
        <v>-4</v>
      </c>
      <c r="S764" s="10" t="s">
        <v>2154</v>
      </c>
      <c r="U764" s="10" t="s">
        <v>3581</v>
      </c>
      <c r="V764" s="20">
        <v>44281</v>
      </c>
      <c r="W764" s="10" t="s">
        <v>33</v>
      </c>
      <c r="X764" s="10">
        <v>420</v>
      </c>
      <c r="Y764" s="11">
        <f>IFERROR(INT(Tabla1[[#This Row],[CANTIDAD UND FARMACEUTICAS]]/(VLOOKUP(Tabla1[[#This Row],[MEDICAMENTO]],TAB_REF!$K$3:$L$27,2,0))),"")</f>
        <v>14</v>
      </c>
      <c r="Z764" s="10" t="str">
        <f>IFERROR(VLOOKUP(Tabla1[[#This Row],[MEDICAMENTO]],TAB_REF!$B$3:$F$27,2,0), "")</f>
        <v xml:space="preserve">Fenobarbital </v>
      </c>
      <c r="AA764" s="10" t="str">
        <f>IFERROR(VLOOKUP(Tabla1[[#This Row],[MEDICAMENTO]],TAB_REF!$B$3:$F$27,3,0), "")</f>
        <v xml:space="preserve">50 mg </v>
      </c>
      <c r="AB764" s="10" t="str">
        <f>IFERROR(VLOOKUP(Tabla1[[#This Row],[MEDICAMENTO]],TAB_REF!$B$3:$F$27,4,0), "")</f>
        <v>Tabletas</v>
      </c>
      <c r="AC764" s="10" t="str">
        <f>IFERROR(VLOOKUP(Tabla1[[#This Row],[MEDICAMENTO]],TAB_REF!$B$3:$F$27,5,0), "")</f>
        <v>Caja x 30 unidades</v>
      </c>
      <c r="AD764" s="10" t="str">
        <f>IFERROR(VLOOKUP(Tabla1[[#This Row],[CANTIDAD UND COMERCIALES]],TAB_REF!$H$3:$I$1003,2,0)&amp;" ("&amp;Tabla1[[#This Row],[CANTIDAD UND COMERCIALES]]&amp;")"&amp;"_"&amp;Tabla1[[#This Row],[CANTIDAD]],"")</f>
        <v>Catorce (14)_Caja x 30 unidades</v>
      </c>
    </row>
    <row r="765" spans="2:30" x14ac:dyDescent="0.25">
      <c r="B765" s="10">
        <v>313</v>
      </c>
      <c r="C765" s="10" t="s">
        <v>3576</v>
      </c>
      <c r="D765" s="10" t="s">
        <v>2182</v>
      </c>
      <c r="E765" s="10" t="s">
        <v>3577</v>
      </c>
      <c r="F765" s="10" t="s">
        <v>2452</v>
      </c>
      <c r="G765" s="21" t="s">
        <v>3578</v>
      </c>
      <c r="H765" s="10" t="s">
        <v>3579</v>
      </c>
      <c r="I765" s="10" t="s">
        <v>2123</v>
      </c>
      <c r="J765" s="10" t="s">
        <v>1771</v>
      </c>
      <c r="K765" s="10" t="s">
        <v>3580</v>
      </c>
      <c r="L765" s="11">
        <v>202124101026332</v>
      </c>
      <c r="M765" s="20">
        <v>44358</v>
      </c>
      <c r="N765" s="20" t="str">
        <f>UPPER(TEXT(Tabla1[[#This Row],[FECHA RADICADO ENTRADA]],"MMM"))</f>
        <v>JUN</v>
      </c>
      <c r="O765" s="11">
        <v>202124110936181</v>
      </c>
      <c r="P765" s="20">
        <v>44362</v>
      </c>
      <c r="Q765" s="20" t="str">
        <f>UPPER(TEXT(Tabla1[[#This Row],[FECHA RADICADO ENTRADA]],"MMM"))</f>
        <v>JUN</v>
      </c>
      <c r="R765" s="10">
        <f t="shared" si="20"/>
        <v>-4</v>
      </c>
      <c r="S765" s="10" t="s">
        <v>2154</v>
      </c>
      <c r="U765" s="10" t="s">
        <v>3581</v>
      </c>
      <c r="V765" s="20">
        <v>44281</v>
      </c>
      <c r="W765" s="10" t="s">
        <v>32</v>
      </c>
      <c r="X765" s="10">
        <v>1080</v>
      </c>
      <c r="Y765" s="11">
        <f>IFERROR(INT(Tabla1[[#This Row],[CANTIDAD UND FARMACEUTICAS]]/(VLOOKUP(Tabla1[[#This Row],[MEDICAMENTO]],TAB_REF!$K$3:$L$27,2,0))),"")</f>
        <v>36</v>
      </c>
      <c r="Z765" s="10" t="str">
        <f>IFERROR(VLOOKUP(Tabla1[[#This Row],[MEDICAMENTO]],TAB_REF!$B$3:$F$27,2,0), "")</f>
        <v xml:space="preserve">Fenobarbital </v>
      </c>
      <c r="AA765" s="10" t="str">
        <f>IFERROR(VLOOKUP(Tabla1[[#This Row],[MEDICAMENTO]],TAB_REF!$B$3:$F$27,3,0), "")</f>
        <v xml:space="preserve">100 mg </v>
      </c>
      <c r="AB765" s="10" t="str">
        <f>IFERROR(VLOOKUP(Tabla1[[#This Row],[MEDICAMENTO]],TAB_REF!$B$3:$F$27,4,0), "")</f>
        <v>Tabletas</v>
      </c>
      <c r="AC765" s="10" t="str">
        <f>IFERROR(VLOOKUP(Tabla1[[#This Row],[MEDICAMENTO]],TAB_REF!$B$3:$F$27,5,0), "")</f>
        <v>Caja x 30 unidades</v>
      </c>
      <c r="AD765" s="10" t="str">
        <f>IFERROR(VLOOKUP(Tabla1[[#This Row],[CANTIDAD UND COMERCIALES]],TAB_REF!$H$3:$I$1003,2,0)&amp;" ("&amp;Tabla1[[#This Row],[CANTIDAD UND COMERCIALES]]&amp;")"&amp;"_"&amp;Tabla1[[#This Row],[CANTIDAD]],"")</f>
        <v>Treinta Y Seis (36)_Caja x 30 unidades</v>
      </c>
    </row>
    <row r="766" spans="2:30" x14ac:dyDescent="0.25">
      <c r="B766" s="10">
        <v>313</v>
      </c>
      <c r="C766" s="10" t="s">
        <v>3576</v>
      </c>
      <c r="D766" s="10" t="s">
        <v>2182</v>
      </c>
      <c r="E766" s="10" t="s">
        <v>3577</v>
      </c>
      <c r="F766" s="10" t="s">
        <v>2452</v>
      </c>
      <c r="G766" s="21" t="s">
        <v>3578</v>
      </c>
      <c r="H766" s="10" t="s">
        <v>3579</v>
      </c>
      <c r="I766" s="10" t="s">
        <v>2123</v>
      </c>
      <c r="J766" s="10" t="s">
        <v>1771</v>
      </c>
      <c r="K766" s="10" t="s">
        <v>3580</v>
      </c>
      <c r="L766" s="11">
        <v>202124101026332</v>
      </c>
      <c r="M766" s="20">
        <v>44358</v>
      </c>
      <c r="N766" s="20" t="str">
        <f>UPPER(TEXT(Tabla1[[#This Row],[FECHA RADICADO ENTRADA]],"MMM"))</f>
        <v>JUN</v>
      </c>
      <c r="O766" s="11">
        <v>202124110936181</v>
      </c>
      <c r="P766" s="20">
        <v>44362</v>
      </c>
      <c r="Q766" s="20" t="str">
        <f>UPPER(TEXT(Tabla1[[#This Row],[FECHA RADICADO ENTRADA]],"MMM"))</f>
        <v>JUN</v>
      </c>
      <c r="R766" s="10">
        <f t="shared" si="20"/>
        <v>-4</v>
      </c>
      <c r="S766" s="10" t="s">
        <v>2154</v>
      </c>
      <c r="U766" s="10" t="s">
        <v>3581</v>
      </c>
      <c r="V766" s="20">
        <v>44281</v>
      </c>
      <c r="W766" s="10" t="s">
        <v>38</v>
      </c>
      <c r="X766" s="10">
        <v>1440</v>
      </c>
      <c r="Y766" s="11">
        <f>IFERROR(INT(Tabla1[[#This Row],[CANTIDAD UND FARMACEUTICAS]]/(VLOOKUP(Tabla1[[#This Row],[MEDICAMENTO]],TAB_REF!$K$3:$L$27,2,0))),"")</f>
        <v>72</v>
      </c>
      <c r="Z766" s="10" t="str">
        <f>IFERROR(VLOOKUP(Tabla1[[#This Row],[MEDICAMENTO]],TAB_REF!$B$3:$F$27,2,0), "")</f>
        <v xml:space="preserve">Hidromorfona HCl </v>
      </c>
      <c r="AA766" s="10" t="str">
        <f>IFERROR(VLOOKUP(Tabla1[[#This Row],[MEDICAMENTO]],TAB_REF!$B$3:$F$27,3,0), "")</f>
        <v xml:space="preserve">2,5 mg </v>
      </c>
      <c r="AB766" s="10" t="str">
        <f>IFERROR(VLOOKUP(Tabla1[[#This Row],[MEDICAMENTO]],TAB_REF!$B$3:$F$27,4,0), "")</f>
        <v>Tabletas</v>
      </c>
      <c r="AC766" s="10" t="str">
        <f>IFERROR(VLOOKUP(Tabla1[[#This Row],[MEDICAMENTO]],TAB_REF!$B$3:$F$27,5,0), "")</f>
        <v>Caja x 20 unidades</v>
      </c>
      <c r="AD766" s="10" t="str">
        <f>IFERROR(VLOOKUP(Tabla1[[#This Row],[CANTIDAD UND COMERCIALES]],TAB_REF!$H$3:$I$1003,2,0)&amp;" ("&amp;Tabla1[[#This Row],[CANTIDAD UND COMERCIALES]]&amp;")"&amp;"_"&amp;Tabla1[[#This Row],[CANTIDAD]],"")</f>
        <v>Setenta Y Dos (72)_Caja x 20 unidades</v>
      </c>
    </row>
    <row r="767" spans="2:30" x14ac:dyDescent="0.25">
      <c r="B767" s="10">
        <v>313</v>
      </c>
      <c r="C767" s="10" t="s">
        <v>3576</v>
      </c>
      <c r="D767" s="10" t="s">
        <v>2182</v>
      </c>
      <c r="E767" s="10" t="s">
        <v>3577</v>
      </c>
      <c r="F767" s="10" t="s">
        <v>2452</v>
      </c>
      <c r="G767" s="21" t="s">
        <v>3578</v>
      </c>
      <c r="H767" s="10" t="s">
        <v>3579</v>
      </c>
      <c r="I767" s="10" t="s">
        <v>2123</v>
      </c>
      <c r="J767" s="10" t="s">
        <v>1771</v>
      </c>
      <c r="K767" s="10" t="s">
        <v>3580</v>
      </c>
      <c r="L767" s="11">
        <v>202124101026332</v>
      </c>
      <c r="M767" s="20">
        <v>44358</v>
      </c>
      <c r="N767" s="20" t="str">
        <f>UPPER(TEXT(Tabla1[[#This Row],[FECHA RADICADO ENTRADA]],"MMM"))</f>
        <v>JUN</v>
      </c>
      <c r="O767" s="11">
        <v>202124110936181</v>
      </c>
      <c r="P767" s="20">
        <v>44362</v>
      </c>
      <c r="Q767" s="20" t="str">
        <f>UPPER(TEXT(Tabla1[[#This Row],[FECHA RADICADO ENTRADA]],"MMM"))</f>
        <v>JUN</v>
      </c>
      <c r="R767" s="10">
        <f t="shared" si="20"/>
        <v>-4</v>
      </c>
      <c r="S767" s="10" t="s">
        <v>2154</v>
      </c>
      <c r="U767" s="10" t="s">
        <v>3581</v>
      </c>
      <c r="V767" s="20">
        <v>44281</v>
      </c>
      <c r="W767" s="10" t="s">
        <v>60</v>
      </c>
      <c r="X767" s="10">
        <v>6</v>
      </c>
      <c r="Y767" s="11">
        <f>IFERROR(INT(Tabla1[[#This Row],[CANTIDAD UND FARMACEUTICAS]]/(VLOOKUP(Tabla1[[#This Row],[MEDICAMENTO]],TAB_REF!$K$3:$L$27,2,0))),"")</f>
        <v>6</v>
      </c>
      <c r="Z767" s="10" t="str">
        <f>IFERROR(VLOOKUP(Tabla1[[#This Row],[MEDICAMENTO]],TAB_REF!$B$3:$F$27,2,0), "")</f>
        <v xml:space="preserve">Morfina HCl </v>
      </c>
      <c r="AA767" s="10" t="str">
        <f>IFERROR(VLOOKUP(Tabla1[[#This Row],[MEDICAMENTO]],TAB_REF!$B$3:$F$27,3,0), "")</f>
        <v xml:space="preserve">3%. </v>
      </c>
      <c r="AB767" s="10" t="str">
        <f>IFERROR(VLOOKUP(Tabla1[[#This Row],[MEDICAMENTO]],TAB_REF!$B$3:$F$27,4,0), "")</f>
        <v>Solución Oral</v>
      </c>
      <c r="AC767" s="10" t="str">
        <f>IFERROR(VLOOKUP(Tabla1[[#This Row],[MEDICAMENTO]],TAB_REF!$B$3:$F$27,5,0), "")</f>
        <v>Frasco x 30 mL</v>
      </c>
      <c r="AD767" s="10" t="str">
        <f>IFERROR(VLOOKUP(Tabla1[[#This Row],[CANTIDAD UND COMERCIALES]],TAB_REF!$H$3:$I$1003,2,0)&amp;" ("&amp;Tabla1[[#This Row],[CANTIDAD UND COMERCIALES]]&amp;")"&amp;"_"&amp;Tabla1[[#This Row],[CANTIDAD]],"")</f>
        <v>Seis (6)_Frasco x 30 mL</v>
      </c>
    </row>
    <row r="768" spans="2:30" x14ac:dyDescent="0.25">
      <c r="B768" s="10">
        <v>314</v>
      </c>
      <c r="C768" s="10" t="s">
        <v>2710</v>
      </c>
      <c r="D768" s="10" t="s">
        <v>2175</v>
      </c>
      <c r="E768" s="10" t="s">
        <v>2711</v>
      </c>
      <c r="F768" s="10" t="s">
        <v>2417</v>
      </c>
      <c r="G768" s="10" t="s">
        <v>2712</v>
      </c>
      <c r="H768" s="10" t="s">
        <v>2419</v>
      </c>
      <c r="I768" s="10" t="s">
        <v>2128</v>
      </c>
      <c r="J768" s="10" t="s">
        <v>1942</v>
      </c>
      <c r="K768" s="10" t="s">
        <v>3582</v>
      </c>
      <c r="L768" s="11">
        <v>202124101027432</v>
      </c>
      <c r="M768" s="20">
        <v>44358</v>
      </c>
      <c r="N768" s="20" t="str">
        <f>UPPER(TEXT(Tabla1[[#This Row],[FECHA RADICADO ENTRADA]],"MMM"))</f>
        <v>JUN</v>
      </c>
      <c r="O768" s="11">
        <v>202124110936291</v>
      </c>
      <c r="P768" s="20">
        <v>44362</v>
      </c>
      <c r="Q768" s="20" t="str">
        <f>UPPER(TEXT(Tabla1[[#This Row],[FECHA RADICADO ENTRADA]],"MMM"))</f>
        <v>JUN</v>
      </c>
      <c r="R768" s="10">
        <f t="shared" si="20"/>
        <v>-4</v>
      </c>
      <c r="S768" s="10" t="s">
        <v>2154</v>
      </c>
      <c r="U768" s="10" t="s">
        <v>2435</v>
      </c>
      <c r="V768" s="20">
        <v>43381</v>
      </c>
      <c r="W768" s="10" t="s">
        <v>64</v>
      </c>
      <c r="X768" s="10">
        <v>3000</v>
      </c>
      <c r="Y768" s="11">
        <f>IFERROR(INT(Tabla1[[#This Row],[CANTIDAD UND FARMACEUTICAS]]/(VLOOKUP(Tabla1[[#This Row],[MEDICAMENTO]],TAB_REF!$K$3:$L$27,2,0))),"")</f>
        <v>300</v>
      </c>
      <c r="Z768" s="10" t="str">
        <f>IFERROR(VLOOKUP(Tabla1[[#This Row],[MEDICAMENTO]],TAB_REF!$B$3:$F$27,2,0), "")</f>
        <v xml:space="preserve">Morfina HCl </v>
      </c>
      <c r="AA768" s="10" t="str">
        <f>IFERROR(VLOOKUP(Tabla1[[#This Row],[MEDICAMENTO]],TAB_REF!$B$3:$F$27,3,0), "")</f>
        <v xml:space="preserve">10 (50mg/5mL) </v>
      </c>
      <c r="AB768" s="10" t="str">
        <f>IFERROR(VLOOKUP(Tabla1[[#This Row],[MEDICAMENTO]],TAB_REF!$B$3:$F$27,4,0), "")</f>
        <v>Solución Inyectable</v>
      </c>
      <c r="AC768" s="10" t="str">
        <f>IFERROR(VLOOKUP(Tabla1[[#This Row],[MEDICAMENTO]],TAB_REF!$B$3:$F$27,5,0), "")</f>
        <v>Caja x 5 unidades</v>
      </c>
      <c r="AD768" s="10" t="str">
        <f>IFERROR(VLOOKUP(Tabla1[[#This Row],[CANTIDAD UND COMERCIALES]],TAB_REF!$H$3:$I$1003,2,0)&amp;" ("&amp;Tabla1[[#This Row],[CANTIDAD UND COMERCIALES]]&amp;")"&amp;"_"&amp;Tabla1[[#This Row],[CANTIDAD]],"")</f>
        <v>Trescientos (300)_Caja x 5 unidades</v>
      </c>
    </row>
    <row r="769" spans="2:30" x14ac:dyDescent="0.25">
      <c r="B769" s="10">
        <v>315</v>
      </c>
      <c r="C769" s="10" t="s">
        <v>3583</v>
      </c>
      <c r="D769" s="10" t="s">
        <v>2164</v>
      </c>
      <c r="E769" s="10" t="s">
        <v>3584</v>
      </c>
      <c r="F769" s="10" t="s">
        <v>3585</v>
      </c>
      <c r="G769" s="21" t="s">
        <v>3586</v>
      </c>
      <c r="H769" s="10" t="s">
        <v>3587</v>
      </c>
      <c r="I769" s="10" t="s">
        <v>2123</v>
      </c>
      <c r="J769" s="10" t="s">
        <v>1770</v>
      </c>
      <c r="K769" s="10" t="s">
        <v>3588</v>
      </c>
      <c r="L769" s="11">
        <v>202124101029032</v>
      </c>
      <c r="M769" s="20">
        <v>44358</v>
      </c>
      <c r="N769" s="20" t="str">
        <f>UPPER(TEXT(Tabla1[[#This Row],[FECHA RADICADO ENTRADA]],"MMM"))</f>
        <v>JUN</v>
      </c>
      <c r="O769" s="11">
        <v>202124110936331</v>
      </c>
      <c r="P769" s="20">
        <v>44362</v>
      </c>
      <c r="Q769" s="20" t="str">
        <f>UPPER(TEXT(Tabla1[[#This Row],[FECHA RADICADO ENTRADA]],"MMM"))</f>
        <v>JUN</v>
      </c>
      <c r="R769" s="10">
        <f t="shared" si="20"/>
        <v>-4</v>
      </c>
      <c r="S769" s="10" t="s">
        <v>2145</v>
      </c>
      <c r="T769" s="10" t="s">
        <v>3245</v>
      </c>
      <c r="U769" s="10" t="s">
        <v>2164</v>
      </c>
      <c r="V769" s="20" t="s">
        <v>2164</v>
      </c>
      <c r="W769" s="10" t="s">
        <v>63</v>
      </c>
      <c r="X769" s="10">
        <v>0</v>
      </c>
      <c r="Y769" s="11">
        <f>IFERROR(INT(Tabla1[[#This Row],[CANTIDAD UND FARMACEUTICAS]]/(VLOOKUP(Tabla1[[#This Row],[MEDICAMENTO]],TAB_REF!$K$3:$L$27,2,0))),"")</f>
        <v>0</v>
      </c>
      <c r="Z769" s="10" t="str">
        <f>IFERROR(VLOOKUP(Tabla1[[#This Row],[MEDICAMENTO]],TAB_REF!$B$3:$F$27,2,0), "")</f>
        <v xml:space="preserve">Morfina HCl </v>
      </c>
      <c r="AA769" s="10" t="str">
        <f>IFERROR(VLOOKUP(Tabla1[[#This Row],[MEDICAMENTO]],TAB_REF!$B$3:$F$27,3,0), "")</f>
        <v xml:space="preserve">10 mg/mL </v>
      </c>
      <c r="AB769" s="10" t="str">
        <f>IFERROR(VLOOKUP(Tabla1[[#This Row],[MEDICAMENTO]],TAB_REF!$B$3:$F$27,4,0), "")</f>
        <v>Solución Inyectable</v>
      </c>
      <c r="AC769" s="10" t="str">
        <f>IFERROR(VLOOKUP(Tabla1[[#This Row],[MEDICAMENTO]],TAB_REF!$B$3:$F$27,5,0), "")</f>
        <v>Caja x 10 unidades</v>
      </c>
      <c r="AD769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770" spans="2:30" x14ac:dyDescent="0.25">
      <c r="B770" s="10">
        <v>315</v>
      </c>
      <c r="C770" s="10" t="s">
        <v>3583</v>
      </c>
      <c r="D770" s="10" t="s">
        <v>2164</v>
      </c>
      <c r="E770" s="10" t="s">
        <v>3584</v>
      </c>
      <c r="F770" s="10" t="s">
        <v>3585</v>
      </c>
      <c r="G770" s="21" t="s">
        <v>3586</v>
      </c>
      <c r="H770" s="10" t="s">
        <v>3587</v>
      </c>
      <c r="I770" s="10" t="s">
        <v>2123</v>
      </c>
      <c r="J770" s="10" t="s">
        <v>1770</v>
      </c>
      <c r="K770" s="10" t="s">
        <v>3588</v>
      </c>
      <c r="L770" s="11">
        <v>202124101029032</v>
      </c>
      <c r="M770" s="20">
        <v>44358</v>
      </c>
      <c r="N770" s="20" t="str">
        <f>UPPER(TEXT(Tabla1[[#This Row],[FECHA RADICADO ENTRADA]],"MMM"))</f>
        <v>JUN</v>
      </c>
      <c r="O770" s="11">
        <v>202124110936331</v>
      </c>
      <c r="P770" s="20">
        <v>44362</v>
      </c>
      <c r="Q770" s="20" t="str">
        <f>UPPER(TEXT(Tabla1[[#This Row],[FECHA RADICADO ENTRADA]],"MMM"))</f>
        <v>JUN</v>
      </c>
      <c r="R770" s="10">
        <f t="shared" si="20"/>
        <v>-4</v>
      </c>
      <c r="S770" s="10" t="s">
        <v>2145</v>
      </c>
      <c r="T770" s="10" t="s">
        <v>3245</v>
      </c>
      <c r="U770" s="10" t="s">
        <v>2164</v>
      </c>
      <c r="V770" s="20" t="s">
        <v>2164</v>
      </c>
      <c r="W770" s="10" t="s">
        <v>41</v>
      </c>
      <c r="X770" s="10">
        <v>0</v>
      </c>
      <c r="Y770" s="11">
        <f>IFERROR(INT(Tabla1[[#This Row],[CANTIDAD UND FARMACEUTICAS]]/(VLOOKUP(Tabla1[[#This Row],[MEDICAMENTO]],TAB_REF!$K$3:$L$27,2,0))),"")</f>
        <v>0</v>
      </c>
      <c r="Z770" s="10" t="str">
        <f>IFERROR(VLOOKUP(Tabla1[[#This Row],[MEDICAMENTO]],TAB_REF!$B$3:$F$27,2,0), "")</f>
        <v xml:space="preserve">Meperidina HCl </v>
      </c>
      <c r="AA770" s="10" t="str">
        <f>IFERROR(VLOOKUP(Tabla1[[#This Row],[MEDICAMENTO]],TAB_REF!$B$3:$F$27,3,0), "")</f>
        <v xml:space="preserve">100 mg/2mL </v>
      </c>
      <c r="AB770" s="10" t="str">
        <f>IFERROR(VLOOKUP(Tabla1[[#This Row],[MEDICAMENTO]],TAB_REF!$B$3:$F$27,4,0), "")</f>
        <v>Solución Inyectable</v>
      </c>
      <c r="AC770" s="10" t="str">
        <f>IFERROR(VLOOKUP(Tabla1[[#This Row],[MEDICAMENTO]],TAB_REF!$B$3:$F$27,5,0), "")</f>
        <v>Caja 10 ampollas</v>
      </c>
      <c r="AD770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771" spans="2:30" x14ac:dyDescent="0.25">
      <c r="B771" s="10">
        <v>316</v>
      </c>
      <c r="C771" s="10" t="s">
        <v>2558</v>
      </c>
      <c r="D771" s="10" t="s">
        <v>2365</v>
      </c>
      <c r="E771" s="10" t="s">
        <v>2559</v>
      </c>
      <c r="F771" s="10" t="s">
        <v>2560</v>
      </c>
      <c r="G771" s="10" t="s">
        <v>2561</v>
      </c>
      <c r="H771" s="10" t="s">
        <v>2562</v>
      </c>
      <c r="I771" s="10" t="s">
        <v>2119</v>
      </c>
      <c r="J771" s="10" t="s">
        <v>1694</v>
      </c>
      <c r="K771" s="10" t="s">
        <v>3589</v>
      </c>
      <c r="L771" s="11">
        <v>202124101029642</v>
      </c>
      <c r="M771" s="20">
        <v>44358</v>
      </c>
      <c r="N771" s="20" t="str">
        <f>UPPER(TEXT(Tabla1[[#This Row],[FECHA RADICADO ENTRADA]],"MMM"))</f>
        <v>JUN</v>
      </c>
      <c r="O771" s="11">
        <v>202124110936421</v>
      </c>
      <c r="P771" s="20">
        <v>44362</v>
      </c>
      <c r="Q771" s="20" t="str">
        <f>UPPER(TEXT(Tabla1[[#This Row],[FECHA RADICADO ENTRADA]],"MMM"))</f>
        <v>JUN</v>
      </c>
      <c r="R771" s="10">
        <f t="shared" si="20"/>
        <v>-4</v>
      </c>
      <c r="S771" s="10" t="s">
        <v>2154</v>
      </c>
      <c r="U771" s="10" t="s">
        <v>2564</v>
      </c>
      <c r="V771" s="20">
        <v>43942</v>
      </c>
      <c r="W771" s="10" t="s">
        <v>63</v>
      </c>
      <c r="X771" s="10">
        <v>100</v>
      </c>
      <c r="Y771" s="11">
        <f>IFERROR(INT(Tabla1[[#This Row],[CANTIDAD UND FARMACEUTICAS]]/(VLOOKUP(Tabla1[[#This Row],[MEDICAMENTO]],TAB_REF!$K$3:$L$27,2,0))),"")</f>
        <v>10</v>
      </c>
      <c r="Z771" s="10" t="str">
        <f>IFERROR(VLOOKUP(Tabla1[[#This Row],[MEDICAMENTO]],TAB_REF!$B$3:$F$27,2,0), "")</f>
        <v xml:space="preserve">Morfina HCl </v>
      </c>
      <c r="AA771" s="10" t="str">
        <f>IFERROR(VLOOKUP(Tabla1[[#This Row],[MEDICAMENTO]],TAB_REF!$B$3:$F$27,3,0), "")</f>
        <v xml:space="preserve">10 mg/mL </v>
      </c>
      <c r="AB771" s="10" t="str">
        <f>IFERROR(VLOOKUP(Tabla1[[#This Row],[MEDICAMENTO]],TAB_REF!$B$3:$F$27,4,0), "")</f>
        <v>Solución Inyectable</v>
      </c>
      <c r="AC771" s="10" t="str">
        <f>IFERROR(VLOOKUP(Tabla1[[#This Row],[MEDICAMENTO]],TAB_REF!$B$3:$F$27,5,0), "")</f>
        <v>Caja x 10 unidades</v>
      </c>
      <c r="AD771" s="10" t="str">
        <f>IFERROR(VLOOKUP(Tabla1[[#This Row],[CANTIDAD UND COMERCIALES]],TAB_REF!$H$3:$I$1003,2,0)&amp;" ("&amp;Tabla1[[#This Row],[CANTIDAD UND COMERCIALES]]&amp;")"&amp;"_"&amp;Tabla1[[#This Row],[CANTIDAD]],"")</f>
        <v>Diez (10)_Caja x 10 unidades</v>
      </c>
    </row>
    <row r="772" spans="2:30" x14ac:dyDescent="0.25">
      <c r="B772" s="10">
        <v>316</v>
      </c>
      <c r="C772" s="10" t="s">
        <v>2558</v>
      </c>
      <c r="D772" s="10" t="s">
        <v>2365</v>
      </c>
      <c r="E772" s="10" t="s">
        <v>2559</v>
      </c>
      <c r="F772" s="10" t="s">
        <v>2560</v>
      </c>
      <c r="G772" s="10" t="s">
        <v>2561</v>
      </c>
      <c r="H772" s="10" t="s">
        <v>2562</v>
      </c>
      <c r="I772" s="10" t="s">
        <v>2119</v>
      </c>
      <c r="J772" s="10" t="s">
        <v>1694</v>
      </c>
      <c r="K772" s="10" t="s">
        <v>3589</v>
      </c>
      <c r="L772" s="11">
        <v>202124101029642</v>
      </c>
      <c r="M772" s="20">
        <v>44358</v>
      </c>
      <c r="N772" s="20" t="str">
        <f>UPPER(TEXT(Tabla1[[#This Row],[FECHA RADICADO ENTRADA]],"MMM"))</f>
        <v>JUN</v>
      </c>
      <c r="O772" s="11">
        <v>202124110936421</v>
      </c>
      <c r="P772" s="20">
        <v>44362</v>
      </c>
      <c r="Q772" s="20" t="str">
        <f>UPPER(TEXT(Tabla1[[#This Row],[FECHA RADICADO ENTRADA]],"MMM"))</f>
        <v>JUN</v>
      </c>
      <c r="R772" s="10">
        <f t="shared" si="20"/>
        <v>-4</v>
      </c>
      <c r="S772" s="10" t="s">
        <v>2154</v>
      </c>
      <c r="U772" s="10" t="s">
        <v>2564</v>
      </c>
      <c r="V772" s="20">
        <v>43942</v>
      </c>
      <c r="W772" s="10" t="s">
        <v>41</v>
      </c>
      <c r="X772" s="10">
        <v>200</v>
      </c>
      <c r="Y772" s="11">
        <f>IFERROR(INT(Tabla1[[#This Row],[CANTIDAD UND FARMACEUTICAS]]/(VLOOKUP(Tabla1[[#This Row],[MEDICAMENTO]],TAB_REF!$K$3:$L$27,2,0))),"")</f>
        <v>20</v>
      </c>
      <c r="Z772" s="10" t="str">
        <f>IFERROR(VLOOKUP(Tabla1[[#This Row],[MEDICAMENTO]],TAB_REF!$B$3:$F$27,2,0), "")</f>
        <v xml:space="preserve">Meperidina HCl </v>
      </c>
      <c r="AA772" s="10" t="str">
        <f>IFERROR(VLOOKUP(Tabla1[[#This Row],[MEDICAMENTO]],TAB_REF!$B$3:$F$27,3,0), "")</f>
        <v xml:space="preserve">100 mg/2mL </v>
      </c>
      <c r="AB772" s="10" t="str">
        <f>IFERROR(VLOOKUP(Tabla1[[#This Row],[MEDICAMENTO]],TAB_REF!$B$3:$F$27,4,0), "")</f>
        <v>Solución Inyectable</v>
      </c>
      <c r="AC772" s="10" t="str">
        <f>IFERROR(VLOOKUP(Tabla1[[#This Row],[MEDICAMENTO]],TAB_REF!$B$3:$F$27,5,0), "")</f>
        <v>Caja 10 ampollas</v>
      </c>
      <c r="AD772" s="10" t="str">
        <f>IFERROR(VLOOKUP(Tabla1[[#This Row],[CANTIDAD UND COMERCIALES]],TAB_REF!$H$3:$I$1003,2,0)&amp;" ("&amp;Tabla1[[#This Row],[CANTIDAD UND COMERCIALES]]&amp;")"&amp;"_"&amp;Tabla1[[#This Row],[CANTIDAD]],"")</f>
        <v>Veinte (20)_Caja 10 ampollas</v>
      </c>
    </row>
    <row r="773" spans="2:30" x14ac:dyDescent="0.25">
      <c r="B773" s="10">
        <v>317</v>
      </c>
      <c r="C773" s="10" t="s">
        <v>2217</v>
      </c>
      <c r="D773" s="10" t="s">
        <v>2162</v>
      </c>
      <c r="E773" s="10" t="s">
        <v>2674</v>
      </c>
      <c r="F773" s="10" t="s">
        <v>2897</v>
      </c>
      <c r="G773" s="10" t="s">
        <v>2676</v>
      </c>
      <c r="H773" s="10" t="s">
        <v>2677</v>
      </c>
      <c r="I773" s="10" t="s">
        <v>2122</v>
      </c>
      <c r="J773" s="10" t="s">
        <v>1742</v>
      </c>
      <c r="K773" s="10" t="s">
        <v>3590</v>
      </c>
      <c r="L773" s="11">
        <v>202124101033892</v>
      </c>
      <c r="M773" s="20">
        <v>44358</v>
      </c>
      <c r="N773" s="20" t="str">
        <f>UPPER(TEXT(Tabla1[[#This Row],[FECHA RADICADO ENTRADA]],"MMM"))</f>
        <v>JUN</v>
      </c>
      <c r="O773" s="11">
        <v>202124110957561</v>
      </c>
      <c r="P773" s="20">
        <v>44365</v>
      </c>
      <c r="Q773" s="20" t="str">
        <f>UPPER(TEXT(Tabla1[[#This Row],[FECHA RADICADO ENTRADA]],"MMM"))</f>
        <v>JUN</v>
      </c>
      <c r="R773" s="10">
        <f t="shared" si="20"/>
        <v>-7</v>
      </c>
      <c r="S773" s="10" t="s">
        <v>2154</v>
      </c>
      <c r="U773" s="10" t="s">
        <v>2679</v>
      </c>
      <c r="V773" s="20">
        <v>43767</v>
      </c>
      <c r="W773" s="10" t="s">
        <v>38</v>
      </c>
      <c r="X773" s="10">
        <v>120</v>
      </c>
      <c r="Y773" s="11">
        <f>IFERROR(INT(Tabla1[[#This Row],[CANTIDAD UND FARMACEUTICAS]]/(VLOOKUP(Tabla1[[#This Row],[MEDICAMENTO]],TAB_REF!$K$3:$L$27,2,0))),"")</f>
        <v>6</v>
      </c>
      <c r="Z773" s="10" t="str">
        <f>IFERROR(VLOOKUP(Tabla1[[#This Row],[MEDICAMENTO]],TAB_REF!$B$3:$F$27,2,0), "")</f>
        <v xml:space="preserve">Hidromorfona HCl </v>
      </c>
      <c r="AA773" s="10" t="str">
        <f>IFERROR(VLOOKUP(Tabla1[[#This Row],[MEDICAMENTO]],TAB_REF!$B$3:$F$27,3,0), "")</f>
        <v xml:space="preserve">2,5 mg </v>
      </c>
      <c r="AB773" s="10" t="str">
        <f>IFERROR(VLOOKUP(Tabla1[[#This Row],[MEDICAMENTO]],TAB_REF!$B$3:$F$27,4,0), "")</f>
        <v>Tabletas</v>
      </c>
      <c r="AC773" s="10" t="str">
        <f>IFERROR(VLOOKUP(Tabla1[[#This Row],[MEDICAMENTO]],TAB_REF!$B$3:$F$27,5,0), "")</f>
        <v>Caja x 20 unidades</v>
      </c>
      <c r="AD773" s="10" t="str">
        <f>IFERROR(VLOOKUP(Tabla1[[#This Row],[CANTIDAD UND COMERCIALES]],TAB_REF!$H$3:$I$1003,2,0)&amp;" ("&amp;Tabla1[[#This Row],[CANTIDAD UND COMERCIALES]]&amp;")"&amp;"_"&amp;Tabla1[[#This Row],[CANTIDAD]],"")</f>
        <v>Seis (6)_Caja x 20 unidades</v>
      </c>
    </row>
    <row r="774" spans="2:30" x14ac:dyDescent="0.25">
      <c r="B774" s="10">
        <v>317</v>
      </c>
      <c r="C774" s="10" t="s">
        <v>2217</v>
      </c>
      <c r="D774" s="10" t="s">
        <v>2162</v>
      </c>
      <c r="E774" s="10" t="s">
        <v>2674</v>
      </c>
      <c r="F774" s="10" t="s">
        <v>2897</v>
      </c>
      <c r="G774" s="10" t="s">
        <v>2676</v>
      </c>
      <c r="H774" s="10" t="s">
        <v>2677</v>
      </c>
      <c r="I774" s="10" t="s">
        <v>2122</v>
      </c>
      <c r="J774" s="10" t="s">
        <v>1742</v>
      </c>
      <c r="K774" s="10" t="s">
        <v>3590</v>
      </c>
      <c r="L774" s="11">
        <v>202124101033892</v>
      </c>
      <c r="M774" s="20">
        <v>44358</v>
      </c>
      <c r="N774" s="20" t="str">
        <f>UPPER(TEXT(Tabla1[[#This Row],[FECHA RADICADO ENTRADA]],"MMM"))</f>
        <v>JUN</v>
      </c>
      <c r="O774" s="11">
        <v>202124110957561</v>
      </c>
      <c r="P774" s="20">
        <v>44365</v>
      </c>
      <c r="Q774" s="20" t="str">
        <f>UPPER(TEXT(Tabla1[[#This Row],[FECHA RADICADO ENTRADA]],"MMM"))</f>
        <v>JUN</v>
      </c>
      <c r="R774" s="10">
        <f t="shared" si="20"/>
        <v>-7</v>
      </c>
      <c r="S774" s="10" t="s">
        <v>2154</v>
      </c>
      <c r="U774" s="10" t="s">
        <v>2679</v>
      </c>
      <c r="V774" s="20">
        <v>43767</v>
      </c>
      <c r="W774" s="10" t="s">
        <v>46</v>
      </c>
      <c r="X774" s="10">
        <v>60</v>
      </c>
      <c r="Y774" s="11">
        <f>IFERROR(INT(Tabla1[[#This Row],[CANTIDAD UND FARMACEUTICAS]]/(VLOOKUP(Tabla1[[#This Row],[MEDICAMENTO]],TAB_REF!$K$3:$L$27,2,0))),"")</f>
        <v>3</v>
      </c>
      <c r="Z774" s="10" t="str">
        <f>IFERROR(VLOOKUP(Tabla1[[#This Row],[MEDICAMENTO]],TAB_REF!$B$3:$F$27,2,0), "")</f>
        <v xml:space="preserve">Metadona HCl </v>
      </c>
      <c r="AA774" s="10" t="str">
        <f>IFERROR(VLOOKUP(Tabla1[[#This Row],[MEDICAMENTO]],TAB_REF!$B$3:$F$27,3,0), "")</f>
        <v xml:space="preserve">40 mg </v>
      </c>
      <c r="AB774" s="10" t="str">
        <f>IFERROR(VLOOKUP(Tabla1[[#This Row],[MEDICAMENTO]],TAB_REF!$B$3:$F$27,4,0), "")</f>
        <v>Tabletas IMPORTADA</v>
      </c>
      <c r="AC774" s="10" t="str">
        <f>IFERROR(VLOOKUP(Tabla1[[#This Row],[MEDICAMENTO]],TAB_REF!$B$3:$F$27,5,0), "")</f>
        <v>Frasco x 20 unidades</v>
      </c>
      <c r="AD774" s="10" t="str">
        <f>IFERROR(VLOOKUP(Tabla1[[#This Row],[CANTIDAD UND COMERCIALES]],TAB_REF!$H$3:$I$1003,2,0)&amp;" ("&amp;Tabla1[[#This Row],[CANTIDAD UND COMERCIALES]]&amp;")"&amp;"_"&amp;Tabla1[[#This Row],[CANTIDAD]],"")</f>
        <v>Tres (3)_Frasco x 20 unidades</v>
      </c>
    </row>
    <row r="775" spans="2:30" x14ac:dyDescent="0.25">
      <c r="B775" s="10">
        <v>317</v>
      </c>
      <c r="C775" s="10" t="s">
        <v>2217</v>
      </c>
      <c r="D775" s="10" t="s">
        <v>2162</v>
      </c>
      <c r="E775" s="10" t="s">
        <v>2674</v>
      </c>
      <c r="F775" s="10" t="s">
        <v>2897</v>
      </c>
      <c r="G775" s="10" t="s">
        <v>2676</v>
      </c>
      <c r="H775" s="10" t="s">
        <v>2677</v>
      </c>
      <c r="I775" s="10" t="s">
        <v>2122</v>
      </c>
      <c r="J775" s="10" t="s">
        <v>1742</v>
      </c>
      <c r="K775" s="10" t="s">
        <v>3590</v>
      </c>
      <c r="L775" s="11">
        <v>202124101033892</v>
      </c>
      <c r="M775" s="20">
        <v>44358</v>
      </c>
      <c r="N775" s="20" t="str">
        <f>UPPER(TEXT(Tabla1[[#This Row],[FECHA RADICADO ENTRADA]],"MMM"))</f>
        <v>JUN</v>
      </c>
      <c r="O775" s="11">
        <v>202124110957561</v>
      </c>
      <c r="P775" s="20">
        <v>44365</v>
      </c>
      <c r="Q775" s="20" t="str">
        <f>UPPER(TEXT(Tabla1[[#This Row],[FECHA RADICADO ENTRADA]],"MMM"))</f>
        <v>JUN</v>
      </c>
      <c r="R775" s="10">
        <f t="shared" si="20"/>
        <v>-7</v>
      </c>
      <c r="S775" s="10" t="s">
        <v>2154</v>
      </c>
      <c r="U775" s="10" t="s">
        <v>2679</v>
      </c>
      <c r="V775" s="20">
        <v>43767</v>
      </c>
      <c r="W775" s="10" t="s">
        <v>60</v>
      </c>
      <c r="X775" s="10">
        <v>3</v>
      </c>
      <c r="Y775" s="11">
        <f>IFERROR(INT(Tabla1[[#This Row],[CANTIDAD UND FARMACEUTICAS]]/(VLOOKUP(Tabla1[[#This Row],[MEDICAMENTO]],TAB_REF!$K$3:$L$27,2,0))),"")</f>
        <v>3</v>
      </c>
      <c r="Z775" s="10" t="str">
        <f>IFERROR(VLOOKUP(Tabla1[[#This Row],[MEDICAMENTO]],TAB_REF!$B$3:$F$27,2,0), "")</f>
        <v xml:space="preserve">Morfina HCl </v>
      </c>
      <c r="AA775" s="10" t="str">
        <f>IFERROR(VLOOKUP(Tabla1[[#This Row],[MEDICAMENTO]],TAB_REF!$B$3:$F$27,3,0), "")</f>
        <v xml:space="preserve">3%. </v>
      </c>
      <c r="AB775" s="10" t="str">
        <f>IFERROR(VLOOKUP(Tabla1[[#This Row],[MEDICAMENTO]],TAB_REF!$B$3:$F$27,4,0), "")</f>
        <v>Solución Oral</v>
      </c>
      <c r="AC775" s="10" t="str">
        <f>IFERROR(VLOOKUP(Tabla1[[#This Row],[MEDICAMENTO]],TAB_REF!$B$3:$F$27,5,0), "")</f>
        <v>Frasco x 30 mL</v>
      </c>
      <c r="AD775" s="10" t="str">
        <f>IFERROR(VLOOKUP(Tabla1[[#This Row],[CANTIDAD UND COMERCIALES]],TAB_REF!$H$3:$I$1003,2,0)&amp;" ("&amp;Tabla1[[#This Row],[CANTIDAD UND COMERCIALES]]&amp;")"&amp;"_"&amp;Tabla1[[#This Row],[CANTIDAD]],"")</f>
        <v>Tres (3)_Frasco x 30 mL</v>
      </c>
    </row>
    <row r="776" spans="2:30" x14ac:dyDescent="0.25">
      <c r="B776" s="10">
        <v>318</v>
      </c>
      <c r="C776" s="10" t="s">
        <v>3065</v>
      </c>
      <c r="D776" s="10" t="s">
        <v>2162</v>
      </c>
      <c r="E776" s="10" t="s">
        <v>3515</v>
      </c>
      <c r="F776" s="10" t="s">
        <v>3516</v>
      </c>
      <c r="G776" s="10" t="s">
        <v>3591</v>
      </c>
      <c r="H776" s="10" t="s">
        <v>3518</v>
      </c>
      <c r="I776" s="10" t="s">
        <v>2116</v>
      </c>
      <c r="J776" s="10" t="s">
        <v>1550</v>
      </c>
      <c r="K776" s="10" t="s">
        <v>3592</v>
      </c>
      <c r="L776" s="11">
        <v>202124101035212</v>
      </c>
      <c r="M776" s="20">
        <v>44358</v>
      </c>
      <c r="N776" s="20" t="str">
        <f>UPPER(TEXT(Tabla1[[#This Row],[FECHA RADICADO ENTRADA]],"MMM"))</f>
        <v>JUN</v>
      </c>
      <c r="O776" s="11">
        <v>202124110957551</v>
      </c>
      <c r="P776" s="20">
        <v>44365</v>
      </c>
      <c r="Q776" s="20" t="str">
        <f>UPPER(TEXT(Tabla1[[#This Row],[FECHA RADICADO ENTRADA]],"MMM"))</f>
        <v>JUN</v>
      </c>
      <c r="R776" s="10">
        <f t="shared" si="20"/>
        <v>-7</v>
      </c>
      <c r="S776" s="10" t="s">
        <v>2154</v>
      </c>
      <c r="U776" s="10" t="s">
        <v>3520</v>
      </c>
      <c r="V776" s="20">
        <v>44130</v>
      </c>
      <c r="W776" s="10" t="s">
        <v>63</v>
      </c>
      <c r="X776" s="10">
        <v>50</v>
      </c>
      <c r="Y776" s="11">
        <f>IFERROR(INT(Tabla1[[#This Row],[CANTIDAD UND FARMACEUTICAS]]/(VLOOKUP(Tabla1[[#This Row],[MEDICAMENTO]],TAB_REF!$K$3:$L$27,2,0))),"")</f>
        <v>5</v>
      </c>
      <c r="Z776" s="10" t="str">
        <f>IFERROR(VLOOKUP(Tabla1[[#This Row],[MEDICAMENTO]],TAB_REF!$B$3:$F$27,2,0), "")</f>
        <v xml:space="preserve">Morfina HCl </v>
      </c>
      <c r="AA776" s="10" t="str">
        <f>IFERROR(VLOOKUP(Tabla1[[#This Row],[MEDICAMENTO]],TAB_REF!$B$3:$F$27,3,0), "")</f>
        <v xml:space="preserve">10 mg/mL </v>
      </c>
      <c r="AB776" s="10" t="str">
        <f>IFERROR(VLOOKUP(Tabla1[[#This Row],[MEDICAMENTO]],TAB_REF!$B$3:$F$27,4,0), "")</f>
        <v>Solución Inyectable</v>
      </c>
      <c r="AC776" s="10" t="str">
        <f>IFERROR(VLOOKUP(Tabla1[[#This Row],[MEDICAMENTO]],TAB_REF!$B$3:$F$27,5,0), "")</f>
        <v>Caja x 10 unidades</v>
      </c>
      <c r="AD776" s="10" t="str">
        <f>IFERROR(VLOOKUP(Tabla1[[#This Row],[CANTIDAD UND COMERCIALES]],TAB_REF!$H$3:$I$1003,2,0)&amp;" ("&amp;Tabla1[[#This Row],[CANTIDAD UND COMERCIALES]]&amp;")"&amp;"_"&amp;Tabla1[[#This Row],[CANTIDAD]],"")</f>
        <v>Cinco (5)_Caja x 10 unidades</v>
      </c>
    </row>
    <row r="777" spans="2:30" x14ac:dyDescent="0.25">
      <c r="B777" s="10">
        <v>318</v>
      </c>
      <c r="C777" s="10" t="s">
        <v>3065</v>
      </c>
      <c r="D777" s="10" t="s">
        <v>2162</v>
      </c>
      <c r="E777" s="10" t="s">
        <v>3515</v>
      </c>
      <c r="F777" s="10" t="s">
        <v>3516</v>
      </c>
      <c r="G777" s="10" t="s">
        <v>3591</v>
      </c>
      <c r="H777" s="10" t="s">
        <v>3518</v>
      </c>
      <c r="I777" s="10" t="s">
        <v>2116</v>
      </c>
      <c r="J777" s="10" t="s">
        <v>1550</v>
      </c>
      <c r="K777" s="10" t="s">
        <v>3592</v>
      </c>
      <c r="L777" s="11">
        <v>202124101035212</v>
      </c>
      <c r="M777" s="20">
        <v>44358</v>
      </c>
      <c r="N777" s="20" t="str">
        <f>UPPER(TEXT(Tabla1[[#This Row],[FECHA RADICADO ENTRADA]],"MMM"))</f>
        <v>JUN</v>
      </c>
      <c r="O777" s="11">
        <v>202124110957551</v>
      </c>
      <c r="P777" s="20">
        <v>44365</v>
      </c>
      <c r="Q777" s="20" t="str">
        <f>UPPER(TEXT(Tabla1[[#This Row],[FECHA RADICADO ENTRADA]],"MMM"))</f>
        <v>JUN</v>
      </c>
      <c r="R777" s="10">
        <f t="shared" si="20"/>
        <v>-7</v>
      </c>
      <c r="S777" s="10" t="s">
        <v>2154</v>
      </c>
      <c r="U777" s="10" t="s">
        <v>3520</v>
      </c>
      <c r="V777" s="20">
        <v>44130</v>
      </c>
      <c r="W777" s="10" t="s">
        <v>60</v>
      </c>
      <c r="X777" s="10">
        <v>3</v>
      </c>
      <c r="Y777" s="11">
        <f>IFERROR(INT(Tabla1[[#This Row],[CANTIDAD UND FARMACEUTICAS]]/(VLOOKUP(Tabla1[[#This Row],[MEDICAMENTO]],TAB_REF!$K$3:$L$27,2,0))),"")</f>
        <v>3</v>
      </c>
      <c r="Z777" s="10" t="str">
        <f>IFERROR(VLOOKUP(Tabla1[[#This Row],[MEDICAMENTO]],TAB_REF!$B$3:$F$27,2,0), "")</f>
        <v xml:space="preserve">Morfina HCl </v>
      </c>
      <c r="AA777" s="10" t="str">
        <f>IFERROR(VLOOKUP(Tabla1[[#This Row],[MEDICAMENTO]],TAB_REF!$B$3:$F$27,3,0), "")</f>
        <v xml:space="preserve">3%. </v>
      </c>
      <c r="AB777" s="10" t="str">
        <f>IFERROR(VLOOKUP(Tabla1[[#This Row],[MEDICAMENTO]],TAB_REF!$B$3:$F$27,4,0), "")</f>
        <v>Solución Oral</v>
      </c>
      <c r="AC777" s="10" t="str">
        <f>IFERROR(VLOOKUP(Tabla1[[#This Row],[MEDICAMENTO]],TAB_REF!$B$3:$F$27,5,0), "")</f>
        <v>Frasco x 30 mL</v>
      </c>
      <c r="AD777" s="10" t="str">
        <f>IFERROR(VLOOKUP(Tabla1[[#This Row],[CANTIDAD UND COMERCIALES]],TAB_REF!$H$3:$I$1003,2,0)&amp;" ("&amp;Tabla1[[#This Row],[CANTIDAD UND COMERCIALES]]&amp;")"&amp;"_"&amp;Tabla1[[#This Row],[CANTIDAD]],"")</f>
        <v>Tres (3)_Frasco x 30 mL</v>
      </c>
    </row>
    <row r="778" spans="2:30" x14ac:dyDescent="0.25">
      <c r="B778" s="10">
        <v>319</v>
      </c>
      <c r="C778" s="10" t="s">
        <v>2730</v>
      </c>
      <c r="D778" s="10" t="s">
        <v>2162</v>
      </c>
      <c r="E778" s="10" t="s">
        <v>2794</v>
      </c>
      <c r="F778" s="10" t="s">
        <v>2689</v>
      </c>
      <c r="G778" s="10" t="s">
        <v>2732</v>
      </c>
      <c r="H778" s="10" t="s">
        <v>2795</v>
      </c>
      <c r="I778" s="10" t="s">
        <v>2123</v>
      </c>
      <c r="J778" s="10" t="s">
        <v>1770</v>
      </c>
      <c r="K778" s="10" t="s">
        <v>2734</v>
      </c>
      <c r="L778" s="11">
        <v>202124101040042</v>
      </c>
      <c r="M778" s="20">
        <v>44362</v>
      </c>
      <c r="N778" s="20" t="str">
        <f>UPPER(TEXT(Tabla1[[#This Row],[FECHA RADICADO ENTRADA]],"MMM"))</f>
        <v>JUN</v>
      </c>
      <c r="O778" s="11">
        <v>202124110929221</v>
      </c>
      <c r="Q778" s="20" t="str">
        <f>UPPER(TEXT(Tabla1[[#This Row],[FECHA RADICADO ENTRADA]],"MMM"))</f>
        <v>JUN</v>
      </c>
      <c r="R778" s="10">
        <f t="shared" si="20"/>
        <v>44362</v>
      </c>
      <c r="S778" s="10" t="s">
        <v>2145</v>
      </c>
      <c r="T778" s="10" t="s">
        <v>3383</v>
      </c>
      <c r="U778" s="10" t="s">
        <v>2735</v>
      </c>
      <c r="V778" s="20">
        <v>44070</v>
      </c>
      <c r="W778" s="10" t="s">
        <v>49</v>
      </c>
      <c r="X778" s="10">
        <v>0</v>
      </c>
      <c r="Y778" s="11">
        <f>IFERROR(INT(Tabla1[[#This Row],[CANTIDAD UND FARMACEUTICAS]]/(VLOOKUP(Tabla1[[#This Row],[MEDICAMENTO]],TAB_REF!$K$3:$L$27,2,0))),"")</f>
        <v>0</v>
      </c>
      <c r="Z778" s="10" t="str">
        <f>IFERROR(VLOOKUP(Tabla1[[#This Row],[MEDICAMENTO]],TAB_REF!$B$3:$F$27,2,0), "")</f>
        <v xml:space="preserve">Metilfenidato HCl </v>
      </c>
      <c r="AA778" s="10" t="str">
        <f>IFERROR(VLOOKUP(Tabla1[[#This Row],[MEDICAMENTO]],TAB_REF!$B$3:$F$27,3,0), "")</f>
        <v xml:space="preserve">18 mg </v>
      </c>
      <c r="AB778" s="10" t="str">
        <f>IFERROR(VLOOKUP(Tabla1[[#This Row],[MEDICAMENTO]],TAB_REF!$B$3:$F$27,4,0), "")</f>
        <v>Tabletas de Liberación Prolongada</v>
      </c>
      <c r="AC778" s="10" t="str">
        <f>IFERROR(VLOOKUP(Tabla1[[#This Row],[MEDICAMENTO]],TAB_REF!$B$3:$F$27,5,0), "")</f>
        <v>Frasco x 30 unidades</v>
      </c>
      <c r="AD778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779" spans="2:30" x14ac:dyDescent="0.25">
      <c r="B779" s="10">
        <v>319</v>
      </c>
      <c r="C779" s="10" t="s">
        <v>2730</v>
      </c>
      <c r="D779" s="10" t="s">
        <v>2162</v>
      </c>
      <c r="E779" s="10" t="s">
        <v>2794</v>
      </c>
      <c r="F779" s="10" t="s">
        <v>2689</v>
      </c>
      <c r="G779" s="10" t="s">
        <v>2732</v>
      </c>
      <c r="H779" s="10" t="s">
        <v>2795</v>
      </c>
      <c r="I779" s="10" t="s">
        <v>2123</v>
      </c>
      <c r="J779" s="10" t="s">
        <v>1770</v>
      </c>
      <c r="K779" s="10" t="s">
        <v>2734</v>
      </c>
      <c r="L779" s="11">
        <v>202124101040042</v>
      </c>
      <c r="M779" s="20">
        <v>44362</v>
      </c>
      <c r="N779" s="20" t="str">
        <f>UPPER(TEXT(Tabla1[[#This Row],[FECHA RADICADO ENTRADA]],"MMM"))</f>
        <v>JUN</v>
      </c>
      <c r="O779" s="11">
        <v>202124110929221</v>
      </c>
      <c r="Q779" s="20" t="str">
        <f>UPPER(TEXT(Tabla1[[#This Row],[FECHA RADICADO ENTRADA]],"MMM"))</f>
        <v>JUN</v>
      </c>
      <c r="R779" s="10">
        <f t="shared" si="20"/>
        <v>44362</v>
      </c>
      <c r="S779" s="10" t="s">
        <v>2145</v>
      </c>
      <c r="T779" s="10" t="s">
        <v>3383</v>
      </c>
      <c r="U779" s="10" t="s">
        <v>2735</v>
      </c>
      <c r="V779" s="20">
        <v>44070</v>
      </c>
      <c r="W779" s="10" t="s">
        <v>48</v>
      </c>
      <c r="X779" s="10">
        <v>0</v>
      </c>
      <c r="Y779" s="11">
        <f>IFERROR(INT(Tabla1[[#This Row],[CANTIDAD UND FARMACEUTICAS]]/(VLOOKUP(Tabla1[[#This Row],[MEDICAMENTO]],TAB_REF!$K$3:$L$27,2,0))),"")</f>
        <v>0</v>
      </c>
      <c r="Z779" s="10" t="str">
        <f>IFERROR(VLOOKUP(Tabla1[[#This Row],[MEDICAMENTO]],TAB_REF!$B$3:$F$27,2,0), "")</f>
        <v xml:space="preserve">Metilfenidato HCl </v>
      </c>
      <c r="AA779" s="10" t="str">
        <f>IFERROR(VLOOKUP(Tabla1[[#This Row],[MEDICAMENTO]],TAB_REF!$B$3:$F$27,3,0), "")</f>
        <v xml:space="preserve">10 mg </v>
      </c>
      <c r="AB779" s="10" t="str">
        <f>IFERROR(VLOOKUP(Tabla1[[#This Row],[MEDICAMENTO]],TAB_REF!$B$3:$F$27,4,0), "")</f>
        <v>Comprimidos</v>
      </c>
      <c r="AC779" s="10" t="str">
        <f>IFERROR(VLOOKUP(Tabla1[[#This Row],[MEDICAMENTO]],TAB_REF!$B$3:$F$27,5,0), "")</f>
        <v>Caja x 30 unidades</v>
      </c>
      <c r="AD779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780" spans="2:30" x14ac:dyDescent="0.25">
      <c r="B780" s="10">
        <v>320</v>
      </c>
      <c r="C780" s="10" t="s">
        <v>3543</v>
      </c>
      <c r="D780" s="10" t="s">
        <v>2312</v>
      </c>
      <c r="E780" s="10" t="s">
        <v>2711</v>
      </c>
      <c r="F780" s="10">
        <v>900341526</v>
      </c>
      <c r="G780" s="21" t="s">
        <v>3544</v>
      </c>
      <c r="H780" s="10" t="s">
        <v>3545</v>
      </c>
      <c r="I780" s="10" t="s">
        <v>2128</v>
      </c>
      <c r="J780" s="10" t="s">
        <v>1918</v>
      </c>
      <c r="K780" s="10" t="s">
        <v>3546</v>
      </c>
      <c r="L780" s="11">
        <v>202124101043512</v>
      </c>
      <c r="M780" s="20">
        <v>44362</v>
      </c>
      <c r="N780" s="20" t="str">
        <f>UPPER(TEXT(Tabla1[[#This Row],[FECHA RADICADO ENTRADA]],"MMM"))</f>
        <v>JUN</v>
      </c>
      <c r="O780" s="11">
        <v>202124110935611</v>
      </c>
      <c r="P780" s="20">
        <v>44365</v>
      </c>
      <c r="Q780" s="20" t="str">
        <f>UPPER(TEXT(Tabla1[[#This Row],[FECHA RADICADO ENTRADA]],"MMM"))</f>
        <v>JUN</v>
      </c>
      <c r="R780" s="10">
        <f t="shared" si="20"/>
        <v>-3</v>
      </c>
      <c r="S780" s="10" t="s">
        <v>2145</v>
      </c>
      <c r="T780" s="10" t="s">
        <v>3593</v>
      </c>
      <c r="U780" s="10" t="s">
        <v>3594</v>
      </c>
      <c r="V780" s="20">
        <v>42516</v>
      </c>
      <c r="W780" s="10" t="s">
        <v>37</v>
      </c>
      <c r="X780" s="10">
        <v>0</v>
      </c>
      <c r="Y780" s="11">
        <f>IFERROR(INT(Tabla1[[#This Row],[CANTIDAD UND FARMACEUTICAS]]/(VLOOKUP(Tabla1[[#This Row],[MEDICAMENTO]],TAB_REF!$K$3:$L$27,2,0))),"")</f>
        <v>0</v>
      </c>
      <c r="Z780" s="10" t="str">
        <f>IFERROR(VLOOKUP(Tabla1[[#This Row],[MEDICAMENTO]],TAB_REF!$B$3:$F$27,2,0), "")</f>
        <v xml:space="preserve">Hidromorfona HCl </v>
      </c>
      <c r="AA780" s="10" t="str">
        <f>IFERROR(VLOOKUP(Tabla1[[#This Row],[MEDICAMENTO]],TAB_REF!$B$3:$F$27,3,0), "")</f>
        <v xml:space="preserve">2 mg/mL </v>
      </c>
      <c r="AB780" s="10" t="str">
        <f>IFERROR(VLOOKUP(Tabla1[[#This Row],[MEDICAMENTO]],TAB_REF!$B$3:$F$27,4,0), "")</f>
        <v>Solución Inyectable</v>
      </c>
      <c r="AC780" s="10" t="str">
        <f>IFERROR(VLOOKUP(Tabla1[[#This Row],[MEDICAMENTO]],TAB_REF!$B$3:$F$27,5,0), "")</f>
        <v>Caja x 10 unidades</v>
      </c>
      <c r="AD780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781" spans="2:30" x14ac:dyDescent="0.25">
      <c r="B781" s="10">
        <v>320</v>
      </c>
      <c r="C781" s="10" t="s">
        <v>3543</v>
      </c>
      <c r="D781" s="10" t="s">
        <v>2312</v>
      </c>
      <c r="E781" s="10" t="s">
        <v>2711</v>
      </c>
      <c r="F781" s="10">
        <v>900341526</v>
      </c>
      <c r="G781" s="21" t="s">
        <v>3544</v>
      </c>
      <c r="H781" s="10" t="s">
        <v>3545</v>
      </c>
      <c r="I781" s="10" t="s">
        <v>2128</v>
      </c>
      <c r="J781" s="10" t="s">
        <v>1918</v>
      </c>
      <c r="K781" s="10" t="s">
        <v>3546</v>
      </c>
      <c r="L781" s="11">
        <v>202124101043512</v>
      </c>
      <c r="M781" s="20">
        <v>44362</v>
      </c>
      <c r="N781" s="20" t="str">
        <f>UPPER(TEXT(Tabla1[[#This Row],[FECHA RADICADO ENTRADA]],"MMM"))</f>
        <v>JUN</v>
      </c>
      <c r="O781" s="11">
        <v>202124110935611</v>
      </c>
      <c r="P781" s="20">
        <v>44365</v>
      </c>
      <c r="Q781" s="20" t="str">
        <f>UPPER(TEXT(Tabla1[[#This Row],[FECHA RADICADO ENTRADA]],"MMM"))</f>
        <v>JUN</v>
      </c>
      <c r="R781" s="10">
        <f t="shared" ref="R781:R783" si="22">_xlfn.DAYS(M781,P781)</f>
        <v>-3</v>
      </c>
      <c r="S781" s="10" t="s">
        <v>2145</v>
      </c>
      <c r="T781" s="10" t="s">
        <v>3593</v>
      </c>
      <c r="U781" s="10" t="s">
        <v>3594</v>
      </c>
      <c r="V781" s="20">
        <v>42516</v>
      </c>
      <c r="W781" s="10" t="s">
        <v>63</v>
      </c>
      <c r="X781" s="10">
        <v>0</v>
      </c>
      <c r="Y781" s="11">
        <f>IFERROR(INT(Tabla1[[#This Row],[CANTIDAD UND FARMACEUTICAS]]/(VLOOKUP(Tabla1[[#This Row],[MEDICAMENTO]],TAB_REF!$K$3:$L$27,2,0))),"")</f>
        <v>0</v>
      </c>
      <c r="Z781" s="10" t="str">
        <f>IFERROR(VLOOKUP(Tabla1[[#This Row],[MEDICAMENTO]],TAB_REF!$B$3:$F$27,2,0), "")</f>
        <v xml:space="preserve">Morfina HCl </v>
      </c>
      <c r="AA781" s="10" t="str">
        <f>IFERROR(VLOOKUP(Tabla1[[#This Row],[MEDICAMENTO]],TAB_REF!$B$3:$F$27,3,0), "")</f>
        <v xml:space="preserve">10 mg/mL </v>
      </c>
      <c r="AB781" s="10" t="str">
        <f>IFERROR(VLOOKUP(Tabla1[[#This Row],[MEDICAMENTO]],TAB_REF!$B$3:$F$27,4,0), "")</f>
        <v>Solución Inyectable</v>
      </c>
      <c r="AC781" s="10" t="str">
        <f>IFERROR(VLOOKUP(Tabla1[[#This Row],[MEDICAMENTO]],TAB_REF!$B$3:$F$27,5,0), "")</f>
        <v>Caja x 10 unidades</v>
      </c>
      <c r="AD781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782" spans="2:30" x14ac:dyDescent="0.25">
      <c r="B782" s="10">
        <v>320</v>
      </c>
      <c r="C782" s="10" t="s">
        <v>3543</v>
      </c>
      <c r="D782" s="10" t="s">
        <v>2312</v>
      </c>
      <c r="E782" s="10" t="s">
        <v>2711</v>
      </c>
      <c r="F782" s="10">
        <v>900341526</v>
      </c>
      <c r="G782" s="21" t="s">
        <v>3544</v>
      </c>
      <c r="H782" s="10" t="s">
        <v>3545</v>
      </c>
      <c r="I782" s="10" t="s">
        <v>2128</v>
      </c>
      <c r="J782" s="10" t="s">
        <v>1918</v>
      </c>
      <c r="K782" s="10" t="s">
        <v>3546</v>
      </c>
      <c r="L782" s="11">
        <v>202124101043512</v>
      </c>
      <c r="M782" s="20">
        <v>44362</v>
      </c>
      <c r="N782" s="20" t="str">
        <f>UPPER(TEXT(Tabla1[[#This Row],[FECHA RADICADO ENTRADA]],"MMM"))</f>
        <v>JUN</v>
      </c>
      <c r="O782" s="11">
        <v>202124110935611</v>
      </c>
      <c r="P782" s="20">
        <v>44365</v>
      </c>
      <c r="Q782" s="20" t="str">
        <f>UPPER(TEXT(Tabla1[[#This Row],[FECHA RADICADO ENTRADA]],"MMM"))</f>
        <v>JUN</v>
      </c>
      <c r="R782" s="10">
        <f t="shared" si="22"/>
        <v>-3</v>
      </c>
      <c r="S782" s="10" t="s">
        <v>2145</v>
      </c>
      <c r="T782" s="10" t="s">
        <v>3593</v>
      </c>
      <c r="U782" s="10" t="s">
        <v>3594</v>
      </c>
      <c r="V782" s="20">
        <v>42516</v>
      </c>
      <c r="W782" s="10" t="s">
        <v>60</v>
      </c>
      <c r="X782" s="10">
        <v>0</v>
      </c>
      <c r="Y782" s="11">
        <f>IFERROR(INT(Tabla1[[#This Row],[CANTIDAD UND FARMACEUTICAS]]/(VLOOKUP(Tabla1[[#This Row],[MEDICAMENTO]],TAB_REF!$K$3:$L$27,2,0))),"")</f>
        <v>0</v>
      </c>
      <c r="Z782" s="10" t="str">
        <f>IFERROR(VLOOKUP(Tabla1[[#This Row],[MEDICAMENTO]],TAB_REF!$B$3:$F$27,2,0), "")</f>
        <v xml:space="preserve">Morfina HCl </v>
      </c>
      <c r="AA782" s="10" t="str">
        <f>IFERROR(VLOOKUP(Tabla1[[#This Row],[MEDICAMENTO]],TAB_REF!$B$3:$F$27,3,0), "")</f>
        <v xml:space="preserve">3%. </v>
      </c>
      <c r="AB782" s="10" t="str">
        <f>IFERROR(VLOOKUP(Tabla1[[#This Row],[MEDICAMENTO]],TAB_REF!$B$3:$F$27,4,0), "")</f>
        <v>Solución Oral</v>
      </c>
      <c r="AC782" s="10" t="str">
        <f>IFERROR(VLOOKUP(Tabla1[[#This Row],[MEDICAMENTO]],TAB_REF!$B$3:$F$27,5,0), "")</f>
        <v>Frasco x 30 mL</v>
      </c>
      <c r="AD782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783" spans="2:30" x14ac:dyDescent="0.25">
      <c r="B783" s="10">
        <v>321</v>
      </c>
      <c r="C783" s="10" t="s">
        <v>3543</v>
      </c>
      <c r="D783" s="10" t="s">
        <v>2312</v>
      </c>
      <c r="E783" s="10" t="s">
        <v>2711</v>
      </c>
      <c r="F783" s="10">
        <v>900341526</v>
      </c>
      <c r="G783" s="21" t="s">
        <v>3544</v>
      </c>
      <c r="H783" s="10" t="s">
        <v>3545</v>
      </c>
      <c r="I783" s="10" t="s">
        <v>2128</v>
      </c>
      <c r="J783" s="10" t="s">
        <v>1918</v>
      </c>
      <c r="K783" s="10" t="s">
        <v>3595</v>
      </c>
      <c r="L783" s="11">
        <v>202124101043632</v>
      </c>
      <c r="M783" s="20">
        <v>44362</v>
      </c>
      <c r="N783" s="20" t="str">
        <f>UPPER(TEXT(Tabla1[[#This Row],[FECHA RADICADO ENTRADA]],"MMM"))</f>
        <v>JUN</v>
      </c>
      <c r="O783" s="11">
        <v>202124110935611</v>
      </c>
      <c r="P783" s="20">
        <v>44365</v>
      </c>
      <c r="Q783" s="20" t="str">
        <f>UPPER(TEXT(Tabla1[[#This Row],[FECHA RADICADO ENTRADA]],"MMM"))</f>
        <v>JUN</v>
      </c>
      <c r="R783" s="10">
        <f t="shared" si="22"/>
        <v>-3</v>
      </c>
      <c r="S783" s="10" t="s">
        <v>2145</v>
      </c>
      <c r="T783" s="10" t="s">
        <v>3383</v>
      </c>
      <c r="U783" s="10" t="s">
        <v>3594</v>
      </c>
      <c r="V783" s="20">
        <v>42516</v>
      </c>
      <c r="W783" s="10" t="s">
        <v>37</v>
      </c>
      <c r="X783" s="10">
        <v>0</v>
      </c>
      <c r="Y783" s="11">
        <f>IFERROR(INT(Tabla1[[#This Row],[CANTIDAD UND FARMACEUTICAS]]/(VLOOKUP(Tabla1[[#This Row],[MEDICAMENTO]],TAB_REF!$K$3:$L$27,2,0))),"")</f>
        <v>0</v>
      </c>
      <c r="Z783" s="10" t="str">
        <f>IFERROR(VLOOKUP(Tabla1[[#This Row],[MEDICAMENTO]],TAB_REF!$B$3:$F$27,2,0), "")</f>
        <v xml:space="preserve">Hidromorfona HCl </v>
      </c>
      <c r="AA783" s="10" t="str">
        <f>IFERROR(VLOOKUP(Tabla1[[#This Row],[MEDICAMENTO]],TAB_REF!$B$3:$F$27,3,0), "")</f>
        <v xml:space="preserve">2 mg/mL </v>
      </c>
      <c r="AB783" s="10" t="str">
        <f>IFERROR(VLOOKUP(Tabla1[[#This Row],[MEDICAMENTO]],TAB_REF!$B$3:$F$27,4,0), "")</f>
        <v>Solución Inyectable</v>
      </c>
      <c r="AC783" s="10" t="str">
        <f>IFERROR(VLOOKUP(Tabla1[[#This Row],[MEDICAMENTO]],TAB_REF!$B$3:$F$27,5,0), "")</f>
        <v>Caja x 10 unidades</v>
      </c>
      <c r="AD783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784" spans="2:30" x14ac:dyDescent="0.25">
      <c r="B784" s="10">
        <v>321</v>
      </c>
      <c r="C784" s="10" t="s">
        <v>3543</v>
      </c>
      <c r="D784" s="10" t="s">
        <v>2312</v>
      </c>
      <c r="E784" s="10" t="s">
        <v>2711</v>
      </c>
      <c r="F784" s="10">
        <v>900341526</v>
      </c>
      <c r="G784" s="21" t="s">
        <v>3544</v>
      </c>
      <c r="H784" s="10" t="s">
        <v>3545</v>
      </c>
      <c r="I784" s="10" t="s">
        <v>2128</v>
      </c>
      <c r="J784" s="10" t="s">
        <v>1918</v>
      </c>
      <c r="K784" s="10" t="s">
        <v>3595</v>
      </c>
      <c r="L784" s="11">
        <v>202124101043632</v>
      </c>
      <c r="M784" s="20">
        <v>44362</v>
      </c>
      <c r="N784" s="20" t="str">
        <f>UPPER(TEXT(Tabla1[[#This Row],[FECHA RADICADO ENTRADA]],"MMM"))</f>
        <v>JUN</v>
      </c>
      <c r="O784" s="11">
        <v>202124110935611</v>
      </c>
      <c r="P784" s="20">
        <v>44365</v>
      </c>
      <c r="Q784" s="20" t="str">
        <f>UPPER(TEXT(Tabla1[[#This Row],[FECHA RADICADO ENTRADA]],"MMM"))</f>
        <v>JUN</v>
      </c>
      <c r="R784" s="10">
        <f t="shared" ref="R784:R786" si="23">_xlfn.DAYS(M784,P784)</f>
        <v>-3</v>
      </c>
      <c r="S784" s="10" t="s">
        <v>2145</v>
      </c>
      <c r="T784" s="10" t="s">
        <v>3383</v>
      </c>
      <c r="U784" s="10" t="s">
        <v>3594</v>
      </c>
      <c r="V784" s="20">
        <v>42516</v>
      </c>
      <c r="W784" s="10" t="s">
        <v>63</v>
      </c>
      <c r="X784" s="10">
        <v>0</v>
      </c>
      <c r="Y784" s="11">
        <f>IFERROR(INT(Tabla1[[#This Row],[CANTIDAD UND FARMACEUTICAS]]/(VLOOKUP(Tabla1[[#This Row],[MEDICAMENTO]],TAB_REF!$K$3:$L$27,2,0))),"")</f>
        <v>0</v>
      </c>
      <c r="Z784" s="10" t="str">
        <f>IFERROR(VLOOKUP(Tabla1[[#This Row],[MEDICAMENTO]],TAB_REF!$B$3:$F$27,2,0), "")</f>
        <v xml:space="preserve">Morfina HCl </v>
      </c>
      <c r="AA784" s="10" t="str">
        <f>IFERROR(VLOOKUP(Tabla1[[#This Row],[MEDICAMENTO]],TAB_REF!$B$3:$F$27,3,0), "")</f>
        <v xml:space="preserve">10 mg/mL </v>
      </c>
      <c r="AB784" s="10" t="str">
        <f>IFERROR(VLOOKUP(Tabla1[[#This Row],[MEDICAMENTO]],TAB_REF!$B$3:$F$27,4,0), "")</f>
        <v>Solución Inyectable</v>
      </c>
      <c r="AC784" s="10" t="str">
        <f>IFERROR(VLOOKUP(Tabla1[[#This Row],[MEDICAMENTO]],TAB_REF!$B$3:$F$27,5,0), "")</f>
        <v>Caja x 10 unidades</v>
      </c>
      <c r="AD784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785" spans="2:30" x14ac:dyDescent="0.25">
      <c r="B785" s="10">
        <v>321</v>
      </c>
      <c r="C785" s="10" t="s">
        <v>3543</v>
      </c>
      <c r="D785" s="10" t="s">
        <v>2312</v>
      </c>
      <c r="E785" s="10" t="s">
        <v>2711</v>
      </c>
      <c r="F785" s="10">
        <v>900341526</v>
      </c>
      <c r="G785" s="21" t="s">
        <v>3544</v>
      </c>
      <c r="H785" s="10" t="s">
        <v>3545</v>
      </c>
      <c r="I785" s="10" t="s">
        <v>2128</v>
      </c>
      <c r="J785" s="10" t="s">
        <v>1918</v>
      </c>
      <c r="K785" s="10" t="s">
        <v>3595</v>
      </c>
      <c r="L785" s="11">
        <v>202124101043632</v>
      </c>
      <c r="M785" s="20">
        <v>44362</v>
      </c>
      <c r="N785" s="20" t="str">
        <f>UPPER(TEXT(Tabla1[[#This Row],[FECHA RADICADO ENTRADA]],"MMM"))</f>
        <v>JUN</v>
      </c>
      <c r="O785" s="11">
        <v>202124110935611</v>
      </c>
      <c r="P785" s="20">
        <v>44365</v>
      </c>
      <c r="Q785" s="20" t="str">
        <f>UPPER(TEXT(Tabla1[[#This Row],[FECHA RADICADO ENTRADA]],"MMM"))</f>
        <v>JUN</v>
      </c>
      <c r="R785" s="10">
        <f t="shared" si="23"/>
        <v>-3</v>
      </c>
      <c r="S785" s="10" t="s">
        <v>2145</v>
      </c>
      <c r="T785" s="10" t="s">
        <v>3383</v>
      </c>
      <c r="U785" s="10" t="s">
        <v>3594</v>
      </c>
      <c r="V785" s="20">
        <v>42516</v>
      </c>
      <c r="W785" s="10" t="s">
        <v>60</v>
      </c>
      <c r="X785" s="10">
        <v>0</v>
      </c>
      <c r="Y785" s="11">
        <f>IFERROR(INT(Tabla1[[#This Row],[CANTIDAD UND FARMACEUTICAS]]/(VLOOKUP(Tabla1[[#This Row],[MEDICAMENTO]],TAB_REF!$K$3:$L$27,2,0))),"")</f>
        <v>0</v>
      </c>
      <c r="Z785" s="10" t="str">
        <f>IFERROR(VLOOKUP(Tabla1[[#This Row],[MEDICAMENTO]],TAB_REF!$B$3:$F$27,2,0), "")</f>
        <v xml:space="preserve">Morfina HCl </v>
      </c>
      <c r="AA785" s="10" t="str">
        <f>IFERROR(VLOOKUP(Tabla1[[#This Row],[MEDICAMENTO]],TAB_REF!$B$3:$F$27,3,0), "")</f>
        <v xml:space="preserve">3%. </v>
      </c>
      <c r="AB785" s="10" t="str">
        <f>IFERROR(VLOOKUP(Tabla1[[#This Row],[MEDICAMENTO]],TAB_REF!$B$3:$F$27,4,0), "")</f>
        <v>Solución Oral</v>
      </c>
      <c r="AC785" s="10" t="str">
        <f>IFERROR(VLOOKUP(Tabla1[[#This Row],[MEDICAMENTO]],TAB_REF!$B$3:$F$27,5,0), "")</f>
        <v>Frasco x 30 mL</v>
      </c>
      <c r="AD785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786" spans="2:30" x14ac:dyDescent="0.25">
      <c r="B786" s="10">
        <v>322</v>
      </c>
      <c r="C786" s="10" t="s">
        <v>3543</v>
      </c>
      <c r="D786" s="10" t="s">
        <v>2312</v>
      </c>
      <c r="E786" s="10" t="s">
        <v>2711</v>
      </c>
      <c r="F786" s="10">
        <v>900341526</v>
      </c>
      <c r="G786" s="21" t="s">
        <v>3544</v>
      </c>
      <c r="H786" s="10" t="s">
        <v>3545</v>
      </c>
      <c r="I786" s="10" t="s">
        <v>2128</v>
      </c>
      <c r="J786" s="10" t="s">
        <v>1918</v>
      </c>
      <c r="K786" s="10" t="s">
        <v>3546</v>
      </c>
      <c r="L786" s="11">
        <v>202124101043652</v>
      </c>
      <c r="M786" s="20">
        <v>44362</v>
      </c>
      <c r="N786" s="20" t="str">
        <f>UPPER(TEXT(Tabla1[[#This Row],[FECHA RADICADO ENTRADA]],"MMM"))</f>
        <v>JUN</v>
      </c>
      <c r="O786" s="11">
        <v>202124110935611</v>
      </c>
      <c r="P786" s="20">
        <v>44365</v>
      </c>
      <c r="Q786" s="20" t="str">
        <f>UPPER(TEXT(Tabla1[[#This Row],[FECHA RADICADO ENTRADA]],"MMM"))</f>
        <v>JUN</v>
      </c>
      <c r="R786" s="10">
        <f t="shared" si="23"/>
        <v>-3</v>
      </c>
      <c r="S786" s="10" t="s">
        <v>2145</v>
      </c>
      <c r="T786" s="10" t="s">
        <v>3383</v>
      </c>
      <c r="U786" s="10" t="s">
        <v>3594</v>
      </c>
      <c r="V786" s="20">
        <v>42516</v>
      </c>
      <c r="W786" s="10" t="s">
        <v>37</v>
      </c>
      <c r="X786" s="10">
        <v>0</v>
      </c>
      <c r="Y786" s="11">
        <f>IFERROR(INT(Tabla1[[#This Row],[CANTIDAD UND FARMACEUTICAS]]/(VLOOKUP(Tabla1[[#This Row],[MEDICAMENTO]],TAB_REF!$K$3:$L$27,2,0))),"")</f>
        <v>0</v>
      </c>
      <c r="Z786" s="10" t="str">
        <f>IFERROR(VLOOKUP(Tabla1[[#This Row],[MEDICAMENTO]],TAB_REF!$B$3:$F$27,2,0), "")</f>
        <v xml:space="preserve">Hidromorfona HCl </v>
      </c>
      <c r="AA786" s="10" t="str">
        <f>IFERROR(VLOOKUP(Tabla1[[#This Row],[MEDICAMENTO]],TAB_REF!$B$3:$F$27,3,0), "")</f>
        <v xml:space="preserve">2 mg/mL </v>
      </c>
      <c r="AB786" s="10" t="str">
        <f>IFERROR(VLOOKUP(Tabla1[[#This Row],[MEDICAMENTO]],TAB_REF!$B$3:$F$27,4,0), "")</f>
        <v>Solución Inyectable</v>
      </c>
      <c r="AC786" s="10" t="str">
        <f>IFERROR(VLOOKUP(Tabla1[[#This Row],[MEDICAMENTO]],TAB_REF!$B$3:$F$27,5,0), "")</f>
        <v>Caja x 10 unidades</v>
      </c>
      <c r="AD786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787" spans="2:30" x14ac:dyDescent="0.25">
      <c r="B787" s="10">
        <v>322</v>
      </c>
      <c r="C787" s="10" t="s">
        <v>3543</v>
      </c>
      <c r="D787" s="10" t="s">
        <v>2312</v>
      </c>
      <c r="E787" s="10" t="s">
        <v>2711</v>
      </c>
      <c r="F787" s="10">
        <v>900341526</v>
      </c>
      <c r="G787" s="21" t="s">
        <v>3544</v>
      </c>
      <c r="H787" s="10" t="s">
        <v>3545</v>
      </c>
      <c r="I787" s="10" t="s">
        <v>2128</v>
      </c>
      <c r="J787" s="10" t="s">
        <v>1918</v>
      </c>
      <c r="K787" s="10" t="s">
        <v>3546</v>
      </c>
      <c r="L787" s="11">
        <v>202124101043652</v>
      </c>
      <c r="M787" s="20">
        <v>44362</v>
      </c>
      <c r="N787" s="20" t="str">
        <f>UPPER(TEXT(Tabla1[[#This Row],[FECHA RADICADO ENTRADA]],"MMM"))</f>
        <v>JUN</v>
      </c>
      <c r="O787" s="11">
        <v>202124110935611</v>
      </c>
      <c r="P787" s="20">
        <v>44365</v>
      </c>
      <c r="Q787" s="20" t="str">
        <f>UPPER(TEXT(Tabla1[[#This Row],[FECHA RADICADO ENTRADA]],"MMM"))</f>
        <v>JUN</v>
      </c>
      <c r="R787" s="10">
        <f t="shared" ref="R787:R788" si="24">_xlfn.DAYS(M787,P787)</f>
        <v>-3</v>
      </c>
      <c r="S787" s="10" t="s">
        <v>2145</v>
      </c>
      <c r="T787" s="10" t="s">
        <v>3383</v>
      </c>
      <c r="U787" s="10" t="s">
        <v>3594</v>
      </c>
      <c r="V787" s="20">
        <v>42516</v>
      </c>
      <c r="W787" s="10" t="s">
        <v>63</v>
      </c>
      <c r="X787" s="10">
        <v>0</v>
      </c>
      <c r="Y787" s="11">
        <f>IFERROR(INT(Tabla1[[#This Row],[CANTIDAD UND FARMACEUTICAS]]/(VLOOKUP(Tabla1[[#This Row],[MEDICAMENTO]],TAB_REF!$K$3:$L$27,2,0))),"")</f>
        <v>0</v>
      </c>
      <c r="Z787" s="10" t="str">
        <f>IFERROR(VLOOKUP(Tabla1[[#This Row],[MEDICAMENTO]],TAB_REF!$B$3:$F$27,2,0), "")</f>
        <v xml:space="preserve">Morfina HCl </v>
      </c>
      <c r="AA787" s="10" t="str">
        <f>IFERROR(VLOOKUP(Tabla1[[#This Row],[MEDICAMENTO]],TAB_REF!$B$3:$F$27,3,0), "")</f>
        <v xml:space="preserve">10 mg/mL </v>
      </c>
      <c r="AB787" s="10" t="str">
        <f>IFERROR(VLOOKUP(Tabla1[[#This Row],[MEDICAMENTO]],TAB_REF!$B$3:$F$27,4,0), "")</f>
        <v>Solución Inyectable</v>
      </c>
      <c r="AC787" s="10" t="str">
        <f>IFERROR(VLOOKUP(Tabla1[[#This Row],[MEDICAMENTO]],TAB_REF!$B$3:$F$27,5,0), "")</f>
        <v>Caja x 10 unidades</v>
      </c>
      <c r="AD787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788" spans="2:30" x14ac:dyDescent="0.25">
      <c r="B788" s="10">
        <v>322</v>
      </c>
      <c r="C788" s="10" t="s">
        <v>3543</v>
      </c>
      <c r="D788" s="10" t="s">
        <v>2312</v>
      </c>
      <c r="E788" s="10" t="s">
        <v>2711</v>
      </c>
      <c r="F788" s="10">
        <v>900341526</v>
      </c>
      <c r="G788" s="21" t="s">
        <v>3544</v>
      </c>
      <c r="H788" s="10" t="s">
        <v>3545</v>
      </c>
      <c r="I788" s="10" t="s">
        <v>2128</v>
      </c>
      <c r="J788" s="10" t="s">
        <v>1918</v>
      </c>
      <c r="K788" s="10" t="s">
        <v>3546</v>
      </c>
      <c r="L788" s="11">
        <v>202124101043652</v>
      </c>
      <c r="M788" s="20">
        <v>44362</v>
      </c>
      <c r="N788" s="20" t="str">
        <f>UPPER(TEXT(Tabla1[[#This Row],[FECHA RADICADO ENTRADA]],"MMM"))</f>
        <v>JUN</v>
      </c>
      <c r="O788" s="11">
        <v>202124110935611</v>
      </c>
      <c r="P788" s="20">
        <v>44365</v>
      </c>
      <c r="Q788" s="20" t="str">
        <f>UPPER(TEXT(Tabla1[[#This Row],[FECHA RADICADO ENTRADA]],"MMM"))</f>
        <v>JUN</v>
      </c>
      <c r="R788" s="10">
        <f t="shared" si="24"/>
        <v>-3</v>
      </c>
      <c r="S788" s="10" t="s">
        <v>2145</v>
      </c>
      <c r="T788" s="10" t="s">
        <v>3383</v>
      </c>
      <c r="U788" s="10" t="s">
        <v>3594</v>
      </c>
      <c r="V788" s="20">
        <v>42516</v>
      </c>
      <c r="W788" s="10" t="s">
        <v>60</v>
      </c>
      <c r="X788" s="10">
        <v>0</v>
      </c>
      <c r="Y788" s="11">
        <f>IFERROR(INT(Tabla1[[#This Row],[CANTIDAD UND FARMACEUTICAS]]/(VLOOKUP(Tabla1[[#This Row],[MEDICAMENTO]],TAB_REF!$K$3:$L$27,2,0))),"")</f>
        <v>0</v>
      </c>
      <c r="Z788" s="10" t="str">
        <f>IFERROR(VLOOKUP(Tabla1[[#This Row],[MEDICAMENTO]],TAB_REF!$B$3:$F$27,2,0), "")</f>
        <v xml:space="preserve">Morfina HCl </v>
      </c>
      <c r="AA788" s="10" t="str">
        <f>IFERROR(VLOOKUP(Tabla1[[#This Row],[MEDICAMENTO]],TAB_REF!$B$3:$F$27,3,0), "")</f>
        <v xml:space="preserve">3%. </v>
      </c>
      <c r="AB788" s="10" t="str">
        <f>IFERROR(VLOOKUP(Tabla1[[#This Row],[MEDICAMENTO]],TAB_REF!$B$3:$F$27,4,0), "")</f>
        <v>Solución Oral</v>
      </c>
      <c r="AC788" s="10" t="str">
        <f>IFERROR(VLOOKUP(Tabla1[[#This Row],[MEDICAMENTO]],TAB_REF!$B$3:$F$27,5,0), "")</f>
        <v>Frasco x 30 mL</v>
      </c>
      <c r="AD788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789" spans="2:30" x14ac:dyDescent="0.25">
      <c r="B789" s="10">
        <v>323</v>
      </c>
      <c r="C789" s="10" t="s">
        <v>3596</v>
      </c>
      <c r="D789" s="10" t="s">
        <v>3329</v>
      </c>
      <c r="E789" s="10" t="s">
        <v>2856</v>
      </c>
      <c r="F789" s="10" t="s">
        <v>2567</v>
      </c>
      <c r="G789" s="38" t="s">
        <v>2568</v>
      </c>
      <c r="H789" s="10" t="s">
        <v>2569</v>
      </c>
      <c r="I789" s="10" t="s">
        <v>2110</v>
      </c>
      <c r="J789" s="10" t="s">
        <v>1235</v>
      </c>
      <c r="K789" s="10" t="s">
        <v>3597</v>
      </c>
      <c r="L789" s="11">
        <v>202124101046022</v>
      </c>
      <c r="M789" s="20">
        <v>44362</v>
      </c>
      <c r="N789" s="20" t="str">
        <f>UPPER(TEXT(Tabla1[[#This Row],[FECHA RADICADO ENTRADA]],"MMM"))</f>
        <v>JUN</v>
      </c>
      <c r="O789" s="11" t="s">
        <v>3604</v>
      </c>
      <c r="Q789" s="20" t="str">
        <f>UPPER(TEXT(Tabla1[[#This Row],[FECHA RADICADO ENTRADA]],"MMM"))</f>
        <v>JUN</v>
      </c>
      <c r="R789" s="10">
        <f t="shared" si="20"/>
        <v>44362</v>
      </c>
      <c r="S789" s="10" t="s">
        <v>2154</v>
      </c>
      <c r="U789" s="10" t="s">
        <v>3598</v>
      </c>
      <c r="V789" s="20">
        <v>44018</v>
      </c>
      <c r="W789" s="10" t="s">
        <v>32</v>
      </c>
      <c r="X789" s="10">
        <v>600</v>
      </c>
      <c r="Y789" s="11">
        <f>IFERROR(INT(Tabla1[[#This Row],[CANTIDAD UND FARMACEUTICAS]]/(VLOOKUP(Tabla1[[#This Row],[MEDICAMENTO]],TAB_REF!$K$3:$L$27,2,0))),"")</f>
        <v>20</v>
      </c>
      <c r="Z789" s="10" t="str">
        <f>IFERROR(VLOOKUP(Tabla1[[#This Row],[MEDICAMENTO]],TAB_REF!$B$3:$F$27,2,0), "")</f>
        <v xml:space="preserve">Fenobarbital </v>
      </c>
      <c r="AA789" s="10" t="str">
        <f>IFERROR(VLOOKUP(Tabla1[[#This Row],[MEDICAMENTO]],TAB_REF!$B$3:$F$27,3,0), "")</f>
        <v xml:space="preserve">100 mg </v>
      </c>
      <c r="AB789" s="10" t="str">
        <f>IFERROR(VLOOKUP(Tabla1[[#This Row],[MEDICAMENTO]],TAB_REF!$B$3:$F$27,4,0), "")</f>
        <v>Tabletas</v>
      </c>
      <c r="AC789" s="10" t="str">
        <f>IFERROR(VLOOKUP(Tabla1[[#This Row],[MEDICAMENTO]],TAB_REF!$B$3:$F$27,5,0), "")</f>
        <v>Caja x 30 unidades</v>
      </c>
      <c r="AD789" s="10" t="str">
        <f>IFERROR(VLOOKUP(Tabla1[[#This Row],[CANTIDAD UND COMERCIALES]],TAB_REF!$H$3:$I$1003,2,0)&amp;" ("&amp;Tabla1[[#This Row],[CANTIDAD UND COMERCIALES]]&amp;")"&amp;"_"&amp;Tabla1[[#This Row],[CANTIDAD]],"")</f>
        <v>Veinte (20)_Caja x 30 unidades</v>
      </c>
    </row>
    <row r="790" spans="2:30" x14ac:dyDescent="0.25">
      <c r="B790" s="10">
        <v>323</v>
      </c>
      <c r="C790" s="10" t="s">
        <v>3596</v>
      </c>
      <c r="D790" s="10" t="s">
        <v>3329</v>
      </c>
      <c r="E790" s="10" t="s">
        <v>2856</v>
      </c>
      <c r="F790" s="10" t="s">
        <v>2567</v>
      </c>
      <c r="G790" s="38" t="s">
        <v>2568</v>
      </c>
      <c r="H790" s="10" t="s">
        <v>2569</v>
      </c>
      <c r="I790" s="10" t="s">
        <v>2110</v>
      </c>
      <c r="J790" s="10" t="s">
        <v>1235</v>
      </c>
      <c r="K790" s="10" t="s">
        <v>3597</v>
      </c>
      <c r="L790" s="11">
        <v>202124101046022</v>
      </c>
      <c r="M790" s="20">
        <v>44362</v>
      </c>
      <c r="N790" s="20" t="str">
        <f>UPPER(TEXT(Tabla1[[#This Row],[FECHA RADICADO ENTRADA]],"MMM"))</f>
        <v>JUN</v>
      </c>
      <c r="O790" s="11" t="s">
        <v>3604</v>
      </c>
      <c r="Q790" s="20" t="str">
        <f>UPPER(TEXT(Tabla1[[#This Row],[FECHA RADICADO ENTRADA]],"MMM"))</f>
        <v>JUN</v>
      </c>
      <c r="R790" s="10">
        <f t="shared" si="20"/>
        <v>44362</v>
      </c>
      <c r="S790" s="10" t="s">
        <v>2154</v>
      </c>
      <c r="U790" s="10" t="s">
        <v>3598</v>
      </c>
      <c r="V790" s="20">
        <v>44018</v>
      </c>
      <c r="W790" s="10" t="s">
        <v>37</v>
      </c>
      <c r="X790" s="10">
        <v>10</v>
      </c>
      <c r="Y790" s="11">
        <f>IFERROR(INT(Tabla1[[#This Row],[CANTIDAD UND FARMACEUTICAS]]/(VLOOKUP(Tabla1[[#This Row],[MEDICAMENTO]],TAB_REF!$K$3:$L$27,2,0))),"")</f>
        <v>1</v>
      </c>
      <c r="Z790" s="10" t="str">
        <f>IFERROR(VLOOKUP(Tabla1[[#This Row],[MEDICAMENTO]],TAB_REF!$B$3:$F$27,2,0), "")</f>
        <v xml:space="preserve">Hidromorfona HCl </v>
      </c>
      <c r="AA790" s="10" t="str">
        <f>IFERROR(VLOOKUP(Tabla1[[#This Row],[MEDICAMENTO]],TAB_REF!$B$3:$F$27,3,0), "")</f>
        <v xml:space="preserve">2 mg/mL </v>
      </c>
      <c r="AB790" s="10" t="str">
        <f>IFERROR(VLOOKUP(Tabla1[[#This Row],[MEDICAMENTO]],TAB_REF!$B$3:$F$27,4,0), "")</f>
        <v>Solución Inyectable</v>
      </c>
      <c r="AC790" s="10" t="str">
        <f>IFERROR(VLOOKUP(Tabla1[[#This Row],[MEDICAMENTO]],TAB_REF!$B$3:$F$27,5,0), "")</f>
        <v>Caja x 10 unidades</v>
      </c>
      <c r="AD790" s="10" t="str">
        <f>IFERROR(VLOOKUP(Tabla1[[#This Row],[CANTIDAD UND COMERCIALES]],TAB_REF!$H$3:$I$1003,2,0)&amp;" ("&amp;Tabla1[[#This Row],[CANTIDAD UND COMERCIALES]]&amp;")"&amp;"_"&amp;Tabla1[[#This Row],[CANTIDAD]],"")</f>
        <v>Uno (1)_Caja x 10 unidades</v>
      </c>
    </row>
    <row r="791" spans="2:30" x14ac:dyDescent="0.25">
      <c r="B791" s="10">
        <v>323</v>
      </c>
      <c r="C791" s="10" t="s">
        <v>3596</v>
      </c>
      <c r="D791" s="10" t="s">
        <v>3329</v>
      </c>
      <c r="E791" s="10" t="s">
        <v>2856</v>
      </c>
      <c r="F791" s="10" t="s">
        <v>2567</v>
      </c>
      <c r="G791" s="38" t="s">
        <v>2568</v>
      </c>
      <c r="H791" s="10" t="s">
        <v>2569</v>
      </c>
      <c r="I791" s="10" t="s">
        <v>2110</v>
      </c>
      <c r="J791" s="10" t="s">
        <v>1235</v>
      </c>
      <c r="K791" s="10" t="s">
        <v>3597</v>
      </c>
      <c r="L791" s="11">
        <v>202124101046022</v>
      </c>
      <c r="M791" s="20">
        <v>44362</v>
      </c>
      <c r="N791" s="20" t="str">
        <f>UPPER(TEXT(Tabla1[[#This Row],[FECHA RADICADO ENTRADA]],"MMM"))</f>
        <v>JUN</v>
      </c>
      <c r="O791" s="11" t="s">
        <v>3604</v>
      </c>
      <c r="Q791" s="20" t="str">
        <f>UPPER(TEXT(Tabla1[[#This Row],[FECHA RADICADO ENTRADA]],"MMM"))</f>
        <v>JUN</v>
      </c>
      <c r="R791" s="10">
        <f t="shared" si="20"/>
        <v>44362</v>
      </c>
      <c r="S791" s="10" t="s">
        <v>2154</v>
      </c>
      <c r="U791" s="10" t="s">
        <v>3598</v>
      </c>
      <c r="V791" s="20">
        <v>44018</v>
      </c>
      <c r="W791" s="10" t="s">
        <v>41</v>
      </c>
      <c r="X791" s="10">
        <v>10</v>
      </c>
      <c r="Y791" s="11">
        <f>IFERROR(INT(Tabla1[[#This Row],[CANTIDAD UND FARMACEUTICAS]]/(VLOOKUP(Tabla1[[#This Row],[MEDICAMENTO]],TAB_REF!$K$3:$L$27,2,0))),"")</f>
        <v>1</v>
      </c>
      <c r="Z791" s="10" t="str">
        <f>IFERROR(VLOOKUP(Tabla1[[#This Row],[MEDICAMENTO]],TAB_REF!$B$3:$F$27,2,0), "")</f>
        <v xml:space="preserve">Meperidina HCl </v>
      </c>
      <c r="AA791" s="10" t="str">
        <f>IFERROR(VLOOKUP(Tabla1[[#This Row],[MEDICAMENTO]],TAB_REF!$B$3:$F$27,3,0), "")</f>
        <v xml:space="preserve">100 mg/2mL </v>
      </c>
      <c r="AB791" s="10" t="str">
        <f>IFERROR(VLOOKUP(Tabla1[[#This Row],[MEDICAMENTO]],TAB_REF!$B$3:$F$27,4,0), "")</f>
        <v>Solución Inyectable</v>
      </c>
      <c r="AC791" s="10" t="str">
        <f>IFERROR(VLOOKUP(Tabla1[[#This Row],[MEDICAMENTO]],TAB_REF!$B$3:$F$27,5,0), "")</f>
        <v>Caja 10 ampollas</v>
      </c>
      <c r="AD791" s="10" t="str">
        <f>IFERROR(VLOOKUP(Tabla1[[#This Row],[CANTIDAD UND COMERCIALES]],TAB_REF!$H$3:$I$1003,2,0)&amp;" ("&amp;Tabla1[[#This Row],[CANTIDAD UND COMERCIALES]]&amp;")"&amp;"_"&amp;Tabla1[[#This Row],[CANTIDAD]],"")</f>
        <v>Uno (1)_Caja 10 ampollas</v>
      </c>
    </row>
    <row r="792" spans="2:30" x14ac:dyDescent="0.25">
      <c r="B792" s="10">
        <v>323</v>
      </c>
      <c r="C792" s="10" t="s">
        <v>3596</v>
      </c>
      <c r="D792" s="10" t="s">
        <v>3329</v>
      </c>
      <c r="E792" s="10" t="s">
        <v>2856</v>
      </c>
      <c r="F792" s="10" t="s">
        <v>2567</v>
      </c>
      <c r="G792" s="38" t="s">
        <v>2568</v>
      </c>
      <c r="H792" s="10" t="s">
        <v>2569</v>
      </c>
      <c r="I792" s="10" t="s">
        <v>2110</v>
      </c>
      <c r="J792" s="10" t="s">
        <v>1235</v>
      </c>
      <c r="K792" s="10" t="s">
        <v>3597</v>
      </c>
      <c r="L792" s="11">
        <v>202124101046022</v>
      </c>
      <c r="M792" s="20">
        <v>44362</v>
      </c>
      <c r="N792" s="20" t="str">
        <f>UPPER(TEXT(Tabla1[[#This Row],[FECHA RADICADO ENTRADA]],"MMM"))</f>
        <v>JUN</v>
      </c>
      <c r="O792" s="11" t="s">
        <v>3604</v>
      </c>
      <c r="Q792" s="20" t="str">
        <f>UPPER(TEXT(Tabla1[[#This Row],[FECHA RADICADO ENTRADA]],"MMM"))</f>
        <v>JUN</v>
      </c>
      <c r="R792" s="10">
        <f t="shared" si="20"/>
        <v>44362</v>
      </c>
      <c r="S792" s="10" t="s">
        <v>2154</v>
      </c>
      <c r="U792" s="10" t="s">
        <v>3598</v>
      </c>
      <c r="V792" s="20">
        <v>44018</v>
      </c>
      <c r="W792" s="10" t="s">
        <v>49</v>
      </c>
      <c r="X792" s="10">
        <v>30</v>
      </c>
      <c r="Y792" s="11">
        <f>IFERROR(INT(Tabla1[[#This Row],[CANTIDAD UND FARMACEUTICAS]]/(VLOOKUP(Tabla1[[#This Row],[MEDICAMENTO]],TAB_REF!$K$3:$L$27,2,0))),"")</f>
        <v>1</v>
      </c>
      <c r="Z792" s="10" t="str">
        <f>IFERROR(VLOOKUP(Tabla1[[#This Row],[MEDICAMENTO]],TAB_REF!$B$3:$F$27,2,0), "")</f>
        <v xml:space="preserve">Metilfenidato HCl </v>
      </c>
      <c r="AA792" s="10" t="str">
        <f>IFERROR(VLOOKUP(Tabla1[[#This Row],[MEDICAMENTO]],TAB_REF!$B$3:$F$27,3,0), "")</f>
        <v xml:space="preserve">18 mg </v>
      </c>
      <c r="AB792" s="10" t="str">
        <f>IFERROR(VLOOKUP(Tabla1[[#This Row],[MEDICAMENTO]],TAB_REF!$B$3:$F$27,4,0), "")</f>
        <v>Tabletas de Liberación Prolongada</v>
      </c>
      <c r="AC792" s="10" t="str">
        <f>IFERROR(VLOOKUP(Tabla1[[#This Row],[MEDICAMENTO]],TAB_REF!$B$3:$F$27,5,0), "")</f>
        <v>Frasco x 30 unidades</v>
      </c>
      <c r="AD792" s="10" t="str">
        <f>IFERROR(VLOOKUP(Tabla1[[#This Row],[CANTIDAD UND COMERCIALES]],TAB_REF!$H$3:$I$1003,2,0)&amp;" ("&amp;Tabla1[[#This Row],[CANTIDAD UND COMERCIALES]]&amp;")"&amp;"_"&amp;Tabla1[[#This Row],[CANTIDAD]],"")</f>
        <v>Uno (1)_Frasco x 30 unidades</v>
      </c>
    </row>
    <row r="793" spans="2:30" x14ac:dyDescent="0.25">
      <c r="B793" s="10">
        <v>323</v>
      </c>
      <c r="C793" s="10" t="s">
        <v>3596</v>
      </c>
      <c r="D793" s="10" t="s">
        <v>3329</v>
      </c>
      <c r="E793" s="10" t="s">
        <v>2856</v>
      </c>
      <c r="F793" s="10" t="s">
        <v>2567</v>
      </c>
      <c r="G793" s="38" t="s">
        <v>2568</v>
      </c>
      <c r="H793" s="10" t="s">
        <v>2569</v>
      </c>
      <c r="I793" s="10" t="s">
        <v>2110</v>
      </c>
      <c r="J793" s="10" t="s">
        <v>1235</v>
      </c>
      <c r="K793" s="10" t="s">
        <v>3597</v>
      </c>
      <c r="L793" s="11">
        <v>202124101046022</v>
      </c>
      <c r="M793" s="20">
        <v>44362</v>
      </c>
      <c r="N793" s="20" t="str">
        <f>UPPER(TEXT(Tabla1[[#This Row],[FECHA RADICADO ENTRADA]],"MMM"))</f>
        <v>JUN</v>
      </c>
      <c r="O793" s="11" t="s">
        <v>3604</v>
      </c>
      <c r="Q793" s="20" t="str">
        <f>UPPER(TEXT(Tabla1[[#This Row],[FECHA RADICADO ENTRADA]],"MMM"))</f>
        <v>JUN</v>
      </c>
      <c r="R793" s="10">
        <f t="shared" si="20"/>
        <v>44362</v>
      </c>
      <c r="S793" s="10" t="s">
        <v>2154</v>
      </c>
      <c r="U793" s="10" t="s">
        <v>3598</v>
      </c>
      <c r="V793" s="20">
        <v>44018</v>
      </c>
      <c r="W793" s="10" t="s">
        <v>63</v>
      </c>
      <c r="X793" s="10">
        <v>10</v>
      </c>
      <c r="Y793" s="11">
        <f>IFERROR(INT(Tabla1[[#This Row],[CANTIDAD UND FARMACEUTICAS]]/(VLOOKUP(Tabla1[[#This Row],[MEDICAMENTO]],TAB_REF!$K$3:$L$27,2,0))),"")</f>
        <v>1</v>
      </c>
      <c r="Z793" s="10" t="str">
        <f>IFERROR(VLOOKUP(Tabla1[[#This Row],[MEDICAMENTO]],TAB_REF!$B$3:$F$27,2,0), "")</f>
        <v xml:space="preserve">Morfina HCl </v>
      </c>
      <c r="AA793" s="10" t="str">
        <f>IFERROR(VLOOKUP(Tabla1[[#This Row],[MEDICAMENTO]],TAB_REF!$B$3:$F$27,3,0), "")</f>
        <v xml:space="preserve">10 mg/mL </v>
      </c>
      <c r="AB793" s="10" t="str">
        <f>IFERROR(VLOOKUP(Tabla1[[#This Row],[MEDICAMENTO]],TAB_REF!$B$3:$F$27,4,0), "")</f>
        <v>Solución Inyectable</v>
      </c>
      <c r="AC793" s="10" t="str">
        <f>IFERROR(VLOOKUP(Tabla1[[#This Row],[MEDICAMENTO]],TAB_REF!$B$3:$F$27,5,0), "")</f>
        <v>Caja x 10 unidades</v>
      </c>
      <c r="AD793" s="10" t="str">
        <f>IFERROR(VLOOKUP(Tabla1[[#This Row],[CANTIDAD UND COMERCIALES]],TAB_REF!$H$3:$I$1003,2,0)&amp;" ("&amp;Tabla1[[#This Row],[CANTIDAD UND COMERCIALES]]&amp;")"&amp;"_"&amp;Tabla1[[#This Row],[CANTIDAD]],"")</f>
        <v>Uno (1)_Caja x 10 unidades</v>
      </c>
    </row>
    <row r="794" spans="2:30" x14ac:dyDescent="0.25">
      <c r="B794" s="10">
        <v>324</v>
      </c>
      <c r="C794" s="10" t="s">
        <v>3599</v>
      </c>
      <c r="D794" s="10" t="s">
        <v>3600</v>
      </c>
      <c r="E794" s="10" t="s">
        <v>3601</v>
      </c>
      <c r="F794" s="10" t="s">
        <v>2258</v>
      </c>
      <c r="G794" s="21" t="s">
        <v>2259</v>
      </c>
      <c r="H794" s="10" t="s">
        <v>3602</v>
      </c>
      <c r="I794" s="10" t="s">
        <v>2122</v>
      </c>
      <c r="J794" s="10" t="s">
        <v>1742</v>
      </c>
      <c r="K794" s="10" t="s">
        <v>3603</v>
      </c>
      <c r="L794" s="11">
        <v>202124101046322</v>
      </c>
      <c r="M794" s="20">
        <v>44362</v>
      </c>
      <c r="N794" s="20" t="str">
        <f>UPPER(TEXT(Tabla1[[#This Row],[FECHA RADICADO ENTRADA]],"MMM"))</f>
        <v>JUN</v>
      </c>
      <c r="O794" s="11">
        <v>202124110957531</v>
      </c>
      <c r="P794" s="20">
        <v>44365</v>
      </c>
      <c r="Q794" s="20" t="str">
        <f>UPPER(TEXT(Tabla1[[#This Row],[FECHA RADICADO ENTRADA]],"MMM"))</f>
        <v>JUN</v>
      </c>
      <c r="R794" s="10">
        <f t="shared" si="20"/>
        <v>-3</v>
      </c>
      <c r="S794" s="10" t="s">
        <v>2154</v>
      </c>
      <c r="U794" s="10" t="s">
        <v>2265</v>
      </c>
      <c r="V794" s="20">
        <v>43796</v>
      </c>
      <c r="W794" s="10" t="s">
        <v>36</v>
      </c>
      <c r="X794" s="10">
        <v>50</v>
      </c>
      <c r="Y794" s="11">
        <f>IFERROR(INT(Tabla1[[#This Row],[CANTIDAD UND FARMACEUTICAS]]/(VLOOKUP(Tabla1[[#This Row],[MEDICAMENTO]],TAB_REF!$K$3:$L$27,2,0))),"")</f>
        <v>5</v>
      </c>
      <c r="Z794" s="10" t="str">
        <f>IFERROR(VLOOKUP(Tabla1[[#This Row],[MEDICAMENTO]],TAB_REF!$B$3:$F$27,2,0), "")</f>
        <v xml:space="preserve">Fenobarbital Sódico </v>
      </c>
      <c r="AA794" s="10" t="str">
        <f>IFERROR(VLOOKUP(Tabla1[[#This Row],[MEDICAMENTO]],TAB_REF!$B$3:$F$27,3,0), "")</f>
        <v xml:space="preserve">40 mg/mL </v>
      </c>
      <c r="AB794" s="10" t="str">
        <f>IFERROR(VLOOKUP(Tabla1[[#This Row],[MEDICAMENTO]],TAB_REF!$B$3:$F$27,4,0), "")</f>
        <v>Solución Inyectable</v>
      </c>
      <c r="AC794" s="10" t="str">
        <f>IFERROR(VLOOKUP(Tabla1[[#This Row],[MEDICAMENTO]],TAB_REF!$B$3:$F$27,5,0), "")</f>
        <v>Caja x 10 unidades</v>
      </c>
      <c r="AD794" s="10" t="str">
        <f>IFERROR(VLOOKUP(Tabla1[[#This Row],[CANTIDAD UND COMERCIALES]],TAB_REF!$H$3:$I$1003,2,0)&amp;" ("&amp;Tabla1[[#This Row],[CANTIDAD UND COMERCIALES]]&amp;")"&amp;"_"&amp;Tabla1[[#This Row],[CANTIDAD]],"")</f>
        <v>Cinco (5)_Caja x 10 unidades</v>
      </c>
    </row>
    <row r="795" spans="2:30" x14ac:dyDescent="0.25">
      <c r="B795" s="10">
        <v>324</v>
      </c>
      <c r="C795" s="10" t="s">
        <v>3599</v>
      </c>
      <c r="D795" s="10" t="s">
        <v>3600</v>
      </c>
      <c r="E795" s="10" t="s">
        <v>3601</v>
      </c>
      <c r="F795" s="10" t="s">
        <v>2258</v>
      </c>
      <c r="G795" s="21" t="s">
        <v>2259</v>
      </c>
      <c r="H795" s="10" t="s">
        <v>3602</v>
      </c>
      <c r="I795" s="10" t="s">
        <v>2122</v>
      </c>
      <c r="J795" s="10" t="s">
        <v>1742</v>
      </c>
      <c r="K795" s="10" t="s">
        <v>3603</v>
      </c>
      <c r="L795" s="11">
        <v>202124101046322</v>
      </c>
      <c r="M795" s="20">
        <v>44362</v>
      </c>
      <c r="N795" s="20" t="str">
        <f>UPPER(TEXT(Tabla1[[#This Row],[FECHA RADICADO ENTRADA]],"MMM"))</f>
        <v>JUN</v>
      </c>
      <c r="O795" s="11">
        <v>202124110957531</v>
      </c>
      <c r="P795" s="20">
        <v>44365</v>
      </c>
      <c r="Q795" s="20" t="str">
        <f>UPPER(TEXT(Tabla1[[#This Row],[FECHA RADICADO ENTRADA]],"MMM"))</f>
        <v>JUN</v>
      </c>
      <c r="R795" s="10">
        <f t="shared" ref="R795:R858" si="25">_xlfn.DAYS(M795,P795)</f>
        <v>-3</v>
      </c>
      <c r="S795" s="10" t="s">
        <v>2154</v>
      </c>
      <c r="U795" s="10" t="s">
        <v>2265</v>
      </c>
      <c r="V795" s="20">
        <v>43796</v>
      </c>
      <c r="W795" s="10" t="s">
        <v>33</v>
      </c>
      <c r="X795" s="10">
        <v>30</v>
      </c>
      <c r="Y795" s="11">
        <f>IFERROR(INT(Tabla1[[#This Row],[CANTIDAD UND FARMACEUTICAS]]/(VLOOKUP(Tabla1[[#This Row],[MEDICAMENTO]],TAB_REF!$K$3:$L$27,2,0))),"")</f>
        <v>1</v>
      </c>
      <c r="Z795" s="10" t="str">
        <f>IFERROR(VLOOKUP(Tabla1[[#This Row],[MEDICAMENTO]],TAB_REF!$B$3:$F$27,2,0), "")</f>
        <v xml:space="preserve">Fenobarbital </v>
      </c>
      <c r="AA795" s="10" t="str">
        <f>IFERROR(VLOOKUP(Tabla1[[#This Row],[MEDICAMENTO]],TAB_REF!$B$3:$F$27,3,0), "")</f>
        <v xml:space="preserve">50 mg </v>
      </c>
      <c r="AB795" s="10" t="str">
        <f>IFERROR(VLOOKUP(Tabla1[[#This Row],[MEDICAMENTO]],TAB_REF!$B$3:$F$27,4,0), "")</f>
        <v>Tabletas</v>
      </c>
      <c r="AC795" s="10" t="str">
        <f>IFERROR(VLOOKUP(Tabla1[[#This Row],[MEDICAMENTO]],TAB_REF!$B$3:$F$27,5,0), "")</f>
        <v>Caja x 30 unidades</v>
      </c>
      <c r="AD795" s="10" t="str">
        <f>IFERROR(VLOOKUP(Tabla1[[#This Row],[CANTIDAD UND COMERCIALES]],TAB_REF!$H$3:$I$1003,2,0)&amp;" ("&amp;Tabla1[[#This Row],[CANTIDAD UND COMERCIALES]]&amp;")"&amp;"_"&amp;Tabla1[[#This Row],[CANTIDAD]],"")</f>
        <v>Uno (1)_Caja x 30 unidades</v>
      </c>
    </row>
    <row r="796" spans="2:30" x14ac:dyDescent="0.25">
      <c r="B796" s="10">
        <v>324</v>
      </c>
      <c r="C796" s="10" t="s">
        <v>3599</v>
      </c>
      <c r="D796" s="10" t="s">
        <v>3600</v>
      </c>
      <c r="E796" s="10" t="s">
        <v>3601</v>
      </c>
      <c r="F796" s="10" t="s">
        <v>2258</v>
      </c>
      <c r="G796" s="21" t="s">
        <v>2259</v>
      </c>
      <c r="H796" s="10" t="s">
        <v>3602</v>
      </c>
      <c r="I796" s="10" t="s">
        <v>2122</v>
      </c>
      <c r="J796" s="10" t="s">
        <v>1742</v>
      </c>
      <c r="K796" s="10" t="s">
        <v>3603</v>
      </c>
      <c r="L796" s="11">
        <v>202124101046322</v>
      </c>
      <c r="M796" s="20">
        <v>44362</v>
      </c>
      <c r="N796" s="20" t="str">
        <f>UPPER(TEXT(Tabla1[[#This Row],[FECHA RADICADO ENTRADA]],"MMM"))</f>
        <v>JUN</v>
      </c>
      <c r="O796" s="11">
        <v>202124110957531</v>
      </c>
      <c r="P796" s="20">
        <v>44365</v>
      </c>
      <c r="Q796" s="20" t="str">
        <f>UPPER(TEXT(Tabla1[[#This Row],[FECHA RADICADO ENTRADA]],"MMM"))</f>
        <v>JUN</v>
      </c>
      <c r="R796" s="10">
        <f t="shared" si="25"/>
        <v>-3</v>
      </c>
      <c r="S796" s="10" t="s">
        <v>2154</v>
      </c>
      <c r="U796" s="10" t="s">
        <v>2265</v>
      </c>
      <c r="V796" s="20">
        <v>43796</v>
      </c>
      <c r="W796" s="10" t="s">
        <v>63</v>
      </c>
      <c r="X796" s="10">
        <v>200</v>
      </c>
      <c r="Y796" s="11">
        <f>IFERROR(INT(Tabla1[[#This Row],[CANTIDAD UND FARMACEUTICAS]]/(VLOOKUP(Tabla1[[#This Row],[MEDICAMENTO]],TAB_REF!$K$3:$L$27,2,0))),"")</f>
        <v>20</v>
      </c>
      <c r="Z796" s="10" t="str">
        <f>IFERROR(VLOOKUP(Tabla1[[#This Row],[MEDICAMENTO]],TAB_REF!$B$3:$F$27,2,0), "")</f>
        <v xml:space="preserve">Morfina HCl </v>
      </c>
      <c r="AA796" s="10" t="str">
        <f>IFERROR(VLOOKUP(Tabla1[[#This Row],[MEDICAMENTO]],TAB_REF!$B$3:$F$27,3,0), "")</f>
        <v xml:space="preserve">10 mg/mL </v>
      </c>
      <c r="AB796" s="10" t="str">
        <f>IFERROR(VLOOKUP(Tabla1[[#This Row],[MEDICAMENTO]],TAB_REF!$B$3:$F$27,4,0), "")</f>
        <v>Solución Inyectable</v>
      </c>
      <c r="AC796" s="10" t="str">
        <f>IFERROR(VLOOKUP(Tabla1[[#This Row],[MEDICAMENTO]],TAB_REF!$B$3:$F$27,5,0), "")</f>
        <v>Caja x 10 unidades</v>
      </c>
      <c r="AD796" s="10" t="str">
        <f>IFERROR(VLOOKUP(Tabla1[[#This Row],[CANTIDAD UND COMERCIALES]],TAB_REF!$H$3:$I$1003,2,0)&amp;" ("&amp;Tabla1[[#This Row],[CANTIDAD UND COMERCIALES]]&amp;")"&amp;"_"&amp;Tabla1[[#This Row],[CANTIDAD]],"")</f>
        <v>Veinte (20)_Caja x 10 unidades</v>
      </c>
    </row>
    <row r="797" spans="2:30" x14ac:dyDescent="0.25">
      <c r="B797" s="10">
        <v>324</v>
      </c>
      <c r="C797" s="10" t="s">
        <v>3599</v>
      </c>
      <c r="D797" s="10" t="s">
        <v>3600</v>
      </c>
      <c r="E797" s="10" t="s">
        <v>3601</v>
      </c>
      <c r="F797" s="10" t="s">
        <v>2258</v>
      </c>
      <c r="G797" s="21" t="s">
        <v>2259</v>
      </c>
      <c r="H797" s="10" t="s">
        <v>3602</v>
      </c>
      <c r="I797" s="10" t="s">
        <v>2122</v>
      </c>
      <c r="J797" s="10" t="s">
        <v>1742</v>
      </c>
      <c r="K797" s="10" t="s">
        <v>3603</v>
      </c>
      <c r="L797" s="11">
        <v>202124101046322</v>
      </c>
      <c r="M797" s="20">
        <v>44362</v>
      </c>
      <c r="N797" s="20" t="str">
        <f>UPPER(TEXT(Tabla1[[#This Row],[FECHA RADICADO ENTRADA]],"MMM"))</f>
        <v>JUN</v>
      </c>
      <c r="O797" s="11">
        <v>202124110957531</v>
      </c>
      <c r="P797" s="20">
        <v>44365</v>
      </c>
      <c r="Q797" s="20" t="str">
        <f>UPPER(TEXT(Tabla1[[#This Row],[FECHA RADICADO ENTRADA]],"MMM"))</f>
        <v>JUN</v>
      </c>
      <c r="R797" s="10">
        <f t="shared" si="25"/>
        <v>-3</v>
      </c>
      <c r="S797" s="10" t="s">
        <v>2154</v>
      </c>
      <c r="U797" s="10" t="s">
        <v>2265</v>
      </c>
      <c r="V797" s="20">
        <v>43796</v>
      </c>
      <c r="W797" s="10" t="s">
        <v>60</v>
      </c>
      <c r="X797" s="10">
        <v>3</v>
      </c>
      <c r="Y797" s="11">
        <f>IFERROR(INT(Tabla1[[#This Row],[CANTIDAD UND FARMACEUTICAS]]/(VLOOKUP(Tabla1[[#This Row],[MEDICAMENTO]],TAB_REF!$K$3:$L$27,2,0))),"")</f>
        <v>3</v>
      </c>
      <c r="Z797" s="10" t="str">
        <f>IFERROR(VLOOKUP(Tabla1[[#This Row],[MEDICAMENTO]],TAB_REF!$B$3:$F$27,2,0), "")</f>
        <v xml:space="preserve">Morfina HCl </v>
      </c>
      <c r="AA797" s="10" t="str">
        <f>IFERROR(VLOOKUP(Tabla1[[#This Row],[MEDICAMENTO]],TAB_REF!$B$3:$F$27,3,0), "")</f>
        <v xml:space="preserve">3%. </v>
      </c>
      <c r="AB797" s="10" t="str">
        <f>IFERROR(VLOOKUP(Tabla1[[#This Row],[MEDICAMENTO]],TAB_REF!$B$3:$F$27,4,0), "")</f>
        <v>Solución Oral</v>
      </c>
      <c r="AC797" s="10" t="str">
        <f>IFERROR(VLOOKUP(Tabla1[[#This Row],[MEDICAMENTO]],TAB_REF!$B$3:$F$27,5,0), "")</f>
        <v>Frasco x 30 mL</v>
      </c>
      <c r="AD797" s="10" t="str">
        <f>IFERROR(VLOOKUP(Tabla1[[#This Row],[CANTIDAD UND COMERCIALES]],TAB_REF!$H$3:$I$1003,2,0)&amp;" ("&amp;Tabla1[[#This Row],[CANTIDAD UND COMERCIALES]]&amp;")"&amp;"_"&amp;Tabla1[[#This Row],[CANTIDAD]],"")</f>
        <v>Tres (3)_Frasco x 30 mL</v>
      </c>
    </row>
    <row r="798" spans="2:30" x14ac:dyDescent="0.25">
      <c r="B798" s="10">
        <v>325</v>
      </c>
      <c r="C798" s="10" t="s">
        <v>3657</v>
      </c>
      <c r="D798" s="10" t="s">
        <v>3658</v>
      </c>
      <c r="E798" s="10" t="s">
        <v>3659</v>
      </c>
      <c r="F798" s="10" t="s">
        <v>3660</v>
      </c>
      <c r="G798" s="10" t="s">
        <v>3661</v>
      </c>
      <c r="H798" s="10" t="s">
        <v>3662</v>
      </c>
      <c r="I798" s="10" t="s">
        <v>2128</v>
      </c>
      <c r="J798" s="10" t="s">
        <v>1942</v>
      </c>
      <c r="K798" s="10" t="s">
        <v>2976</v>
      </c>
      <c r="L798" s="11">
        <v>202124101051892</v>
      </c>
      <c r="M798" s="20">
        <v>44363</v>
      </c>
      <c r="N798" s="20" t="str">
        <f>UPPER(TEXT(Tabla1[[#This Row],[FECHA RADICADO ENTRADA]],"MMM"))</f>
        <v>JUN</v>
      </c>
      <c r="O798" s="11">
        <v>202124110992581</v>
      </c>
      <c r="P798" s="20">
        <v>44363</v>
      </c>
      <c r="Q798" s="20" t="str">
        <f>UPPER(TEXT(Tabla1[[#This Row],[FECHA RADICADO ENTRADA]],"MMM"))</f>
        <v>JUN</v>
      </c>
      <c r="R798" s="10">
        <f t="shared" si="25"/>
        <v>0</v>
      </c>
      <c r="S798" s="10" t="s">
        <v>2154</v>
      </c>
      <c r="U798" s="10" t="s">
        <v>2435</v>
      </c>
      <c r="V798" s="20">
        <v>43381</v>
      </c>
      <c r="W798" s="10" t="s">
        <v>64</v>
      </c>
      <c r="X798" s="10">
        <v>400</v>
      </c>
      <c r="Y798" s="11">
        <f>IFERROR(INT(Tabla1[[#This Row],[CANTIDAD UND FARMACEUTICAS]]/(VLOOKUP(Tabla1[[#This Row],[MEDICAMENTO]],TAB_REF!$K$3:$L$27,2,0))),"")</f>
        <v>40</v>
      </c>
      <c r="Z798" s="10" t="str">
        <f>IFERROR(VLOOKUP(Tabla1[[#This Row],[MEDICAMENTO]],TAB_REF!$B$3:$F$27,2,0), "")</f>
        <v xml:space="preserve">Morfina HCl </v>
      </c>
      <c r="AA798" s="10" t="str">
        <f>IFERROR(VLOOKUP(Tabla1[[#This Row],[MEDICAMENTO]],TAB_REF!$B$3:$F$27,3,0), "")</f>
        <v xml:space="preserve">10 (50mg/5mL) </v>
      </c>
      <c r="AB798" s="10" t="str">
        <f>IFERROR(VLOOKUP(Tabla1[[#This Row],[MEDICAMENTO]],TAB_REF!$B$3:$F$27,4,0), "")</f>
        <v>Solución Inyectable</v>
      </c>
      <c r="AC798" s="10" t="str">
        <f>IFERROR(VLOOKUP(Tabla1[[#This Row],[MEDICAMENTO]],TAB_REF!$B$3:$F$27,5,0), "")</f>
        <v>Caja x 5 unidades</v>
      </c>
      <c r="AD798" s="10" t="str">
        <f>IFERROR(VLOOKUP(Tabla1[[#This Row],[CANTIDAD UND COMERCIALES]],TAB_REF!$H$3:$I$1003,2,0)&amp;" ("&amp;Tabla1[[#This Row],[CANTIDAD UND COMERCIALES]]&amp;")"&amp;"_"&amp;Tabla1[[#This Row],[CANTIDAD]],"")</f>
        <v>Cuarenta (40)_Caja x 5 unidades</v>
      </c>
    </row>
    <row r="799" spans="2:30" x14ac:dyDescent="0.25">
      <c r="B799" s="10">
        <v>326</v>
      </c>
      <c r="C799" s="10" t="s">
        <v>3663</v>
      </c>
      <c r="D799" s="10" t="s">
        <v>3664</v>
      </c>
      <c r="E799" s="10" t="s">
        <v>3665</v>
      </c>
      <c r="F799" s="10" t="s">
        <v>3666</v>
      </c>
      <c r="G799" s="10" t="s">
        <v>3473</v>
      </c>
      <c r="H799" s="10" t="s">
        <v>3667</v>
      </c>
      <c r="I799" s="10" t="s">
        <v>2128</v>
      </c>
      <c r="J799" s="10" t="s">
        <v>1942</v>
      </c>
      <c r="K799" s="10" t="s">
        <v>2976</v>
      </c>
      <c r="L799" s="11">
        <v>202124101051972</v>
      </c>
      <c r="M799" s="20">
        <v>44363</v>
      </c>
      <c r="N799" s="20" t="str">
        <f>UPPER(TEXT(Tabla1[[#This Row],[FECHA RADICADO ENTRADA]],"MMM"))</f>
        <v>JUN</v>
      </c>
      <c r="O799" s="11">
        <v>202124110997451</v>
      </c>
      <c r="P799" s="20">
        <v>44371</v>
      </c>
      <c r="Q799" s="20" t="str">
        <f>UPPER(TEXT(Tabla1[[#This Row],[FECHA RADICADO ENTRADA]],"MMM"))</f>
        <v>JUN</v>
      </c>
      <c r="R799" s="10">
        <f t="shared" si="25"/>
        <v>-8</v>
      </c>
      <c r="U799" s="10" t="s">
        <v>3476</v>
      </c>
      <c r="V799" s="20">
        <v>43490</v>
      </c>
      <c r="Y799" s="11" t="str">
        <f>IFERROR(INT(Tabla1[[#This Row],[CANTIDAD UND FARMACEUTICAS]]/(VLOOKUP(Tabla1[[#This Row],[MEDICAMENTO]],TAB_REF!$K$3:$L$27,2,0))),"")</f>
        <v/>
      </c>
      <c r="Z799" s="10" t="str">
        <f>IFERROR(VLOOKUP(Tabla1[[#This Row],[MEDICAMENTO]],TAB_REF!$B$3:$F$27,2,0), "")</f>
        <v/>
      </c>
      <c r="AA799" s="10" t="str">
        <f>IFERROR(VLOOKUP(Tabla1[[#This Row],[MEDICAMENTO]],TAB_REF!$B$3:$F$27,3,0), "")</f>
        <v/>
      </c>
      <c r="AB799" s="10" t="str">
        <f>IFERROR(VLOOKUP(Tabla1[[#This Row],[MEDICAMENTO]],TAB_REF!$B$3:$F$27,4,0), "")</f>
        <v/>
      </c>
      <c r="AC799" s="10" t="str">
        <f>IFERROR(VLOOKUP(Tabla1[[#This Row],[MEDICAMENTO]],TAB_REF!$B$3:$F$27,5,0), "")</f>
        <v/>
      </c>
      <c r="AD799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800" spans="2:30" x14ac:dyDescent="0.25">
      <c r="B800" s="10">
        <v>327</v>
      </c>
      <c r="C800" s="10" t="s">
        <v>2530</v>
      </c>
      <c r="D800" s="10" t="s">
        <v>2175</v>
      </c>
      <c r="E800" s="10" t="s">
        <v>2765</v>
      </c>
      <c r="F800" s="10" t="s">
        <v>2766</v>
      </c>
      <c r="G800" s="10" t="s">
        <v>2534</v>
      </c>
      <c r="H800" s="10" t="s">
        <v>3668</v>
      </c>
      <c r="I800" s="10" t="s">
        <v>2123</v>
      </c>
      <c r="J800" s="10" t="s">
        <v>1770</v>
      </c>
      <c r="K800" s="10" t="s">
        <v>2976</v>
      </c>
      <c r="L800" s="11">
        <v>202124101052012</v>
      </c>
      <c r="M800" s="20">
        <v>44363</v>
      </c>
      <c r="N800" s="20" t="str">
        <f>UPPER(TEXT(Tabla1[[#This Row],[FECHA RADICADO ENTRADA]],"MMM"))</f>
        <v>JUN</v>
      </c>
      <c r="O800" s="11">
        <v>202124110993041</v>
      </c>
      <c r="P800" s="20">
        <v>44371</v>
      </c>
      <c r="Q800" s="20" t="str">
        <f>UPPER(TEXT(Tabla1[[#This Row],[FECHA RADICADO ENTRADA]],"MMM"))</f>
        <v>JUN</v>
      </c>
      <c r="R800" s="10">
        <f t="shared" si="25"/>
        <v>-8</v>
      </c>
      <c r="S800" s="10" t="s">
        <v>2145</v>
      </c>
      <c r="T800" s="10" t="s">
        <v>3669</v>
      </c>
      <c r="U800" s="10" t="s">
        <v>3670</v>
      </c>
      <c r="V800" s="20">
        <v>44145</v>
      </c>
      <c r="W800" s="10" t="s">
        <v>32</v>
      </c>
      <c r="X800" s="10">
        <v>0</v>
      </c>
      <c r="Y800" s="11">
        <f>IFERROR(INT(Tabla1[[#This Row],[CANTIDAD UND FARMACEUTICAS]]/(VLOOKUP(Tabla1[[#This Row],[MEDICAMENTO]],TAB_REF!$K$3:$L$27,2,0))),"")</f>
        <v>0</v>
      </c>
      <c r="Z800" s="10" t="str">
        <f>IFERROR(VLOOKUP(Tabla1[[#This Row],[MEDICAMENTO]],TAB_REF!$B$3:$F$27,2,0), "")</f>
        <v xml:space="preserve">Fenobarbital </v>
      </c>
      <c r="AA800" s="10" t="str">
        <f>IFERROR(VLOOKUP(Tabla1[[#This Row],[MEDICAMENTO]],TAB_REF!$B$3:$F$27,3,0), "")</f>
        <v xml:space="preserve">100 mg </v>
      </c>
      <c r="AB800" s="10" t="str">
        <f>IFERROR(VLOOKUP(Tabla1[[#This Row],[MEDICAMENTO]],TAB_REF!$B$3:$F$27,4,0), "")</f>
        <v>Tabletas</v>
      </c>
      <c r="AC800" s="10" t="str">
        <f>IFERROR(VLOOKUP(Tabla1[[#This Row],[MEDICAMENTO]],TAB_REF!$B$3:$F$27,5,0), "")</f>
        <v>Caja x 30 unidades</v>
      </c>
      <c r="AD800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801" spans="2:30" x14ac:dyDescent="0.25">
      <c r="B801" s="10">
        <v>327</v>
      </c>
      <c r="C801" s="10" t="s">
        <v>2530</v>
      </c>
      <c r="D801" s="10" t="s">
        <v>2175</v>
      </c>
      <c r="E801" s="10" t="s">
        <v>2765</v>
      </c>
      <c r="F801" s="10" t="s">
        <v>2766</v>
      </c>
      <c r="G801" s="10" t="s">
        <v>2534</v>
      </c>
      <c r="H801" s="10" t="s">
        <v>3668</v>
      </c>
      <c r="I801" s="10" t="s">
        <v>2123</v>
      </c>
      <c r="J801" s="10" t="s">
        <v>1770</v>
      </c>
      <c r="K801" s="10" t="s">
        <v>2976</v>
      </c>
      <c r="L801" s="11">
        <v>202124101052012</v>
      </c>
      <c r="M801" s="20">
        <v>44363</v>
      </c>
      <c r="N801" s="20" t="str">
        <f>UPPER(TEXT(Tabla1[[#This Row],[FECHA RADICADO ENTRADA]],"MMM"))</f>
        <v>JUN</v>
      </c>
      <c r="O801" s="11">
        <v>202124110993041</v>
      </c>
      <c r="P801" s="20">
        <v>44371</v>
      </c>
      <c r="Q801" s="20" t="str">
        <f>UPPER(TEXT(Tabla1[[#This Row],[FECHA RADICADO ENTRADA]],"MMM"))</f>
        <v>JUN</v>
      </c>
      <c r="R801" s="10">
        <f t="shared" si="25"/>
        <v>-8</v>
      </c>
      <c r="S801" s="10" t="s">
        <v>2145</v>
      </c>
      <c r="T801" s="10" t="s">
        <v>3669</v>
      </c>
      <c r="U801" s="10" t="s">
        <v>3670</v>
      </c>
      <c r="V801" s="20">
        <v>44145</v>
      </c>
      <c r="W801" s="10" t="s">
        <v>36</v>
      </c>
      <c r="X801" s="10">
        <v>0</v>
      </c>
      <c r="Y801" s="11">
        <f>IFERROR(INT(Tabla1[[#This Row],[CANTIDAD UND FARMACEUTICAS]]/(VLOOKUP(Tabla1[[#This Row],[MEDICAMENTO]],TAB_REF!$K$3:$L$27,2,0))),"")</f>
        <v>0</v>
      </c>
      <c r="Z801" s="10" t="str">
        <f>IFERROR(VLOOKUP(Tabla1[[#This Row],[MEDICAMENTO]],TAB_REF!$B$3:$F$27,2,0), "")</f>
        <v xml:space="preserve">Fenobarbital Sódico </v>
      </c>
      <c r="AA801" s="10" t="str">
        <f>IFERROR(VLOOKUP(Tabla1[[#This Row],[MEDICAMENTO]],TAB_REF!$B$3:$F$27,3,0), "")</f>
        <v xml:space="preserve">40 mg/mL </v>
      </c>
      <c r="AB801" s="10" t="str">
        <f>IFERROR(VLOOKUP(Tabla1[[#This Row],[MEDICAMENTO]],TAB_REF!$B$3:$F$27,4,0), "")</f>
        <v>Solución Inyectable</v>
      </c>
      <c r="AC801" s="10" t="str">
        <f>IFERROR(VLOOKUP(Tabla1[[#This Row],[MEDICAMENTO]],TAB_REF!$B$3:$F$27,5,0), "")</f>
        <v>Caja x 10 unidades</v>
      </c>
      <c r="AD801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802" spans="2:30" x14ac:dyDescent="0.25">
      <c r="B802" s="10">
        <v>327</v>
      </c>
      <c r="C802" s="10" t="s">
        <v>2530</v>
      </c>
      <c r="D802" s="10" t="s">
        <v>2175</v>
      </c>
      <c r="E802" s="10" t="s">
        <v>2765</v>
      </c>
      <c r="F802" s="10" t="s">
        <v>2766</v>
      </c>
      <c r="G802" s="10" t="s">
        <v>2534</v>
      </c>
      <c r="H802" s="10" t="s">
        <v>3668</v>
      </c>
      <c r="I802" s="10" t="s">
        <v>2123</v>
      </c>
      <c r="J802" s="10" t="s">
        <v>1770</v>
      </c>
      <c r="K802" s="10" t="s">
        <v>2976</v>
      </c>
      <c r="L802" s="11">
        <v>202124101052012</v>
      </c>
      <c r="M802" s="20">
        <v>44363</v>
      </c>
      <c r="N802" s="20" t="str">
        <f>UPPER(TEXT(Tabla1[[#This Row],[FECHA RADICADO ENTRADA]],"MMM"))</f>
        <v>JUN</v>
      </c>
      <c r="O802" s="11">
        <v>202124110993041</v>
      </c>
      <c r="P802" s="20">
        <v>44371</v>
      </c>
      <c r="Q802" s="20" t="str">
        <f>UPPER(TEXT(Tabla1[[#This Row],[FECHA RADICADO ENTRADA]],"MMM"))</f>
        <v>JUN</v>
      </c>
      <c r="R802" s="10">
        <f t="shared" si="25"/>
        <v>-8</v>
      </c>
      <c r="S802" s="10" t="s">
        <v>2145</v>
      </c>
      <c r="T802" s="10" t="s">
        <v>3669</v>
      </c>
      <c r="U802" s="10" t="s">
        <v>3670</v>
      </c>
      <c r="V802" s="20">
        <v>44145</v>
      </c>
      <c r="W802" s="10" t="s">
        <v>34</v>
      </c>
      <c r="X802" s="10">
        <v>0</v>
      </c>
      <c r="Y802" s="11">
        <f>IFERROR(INT(Tabla1[[#This Row],[CANTIDAD UND FARMACEUTICAS]]/(VLOOKUP(Tabla1[[#This Row],[MEDICAMENTO]],TAB_REF!$K$3:$L$27,2,0))),"")</f>
        <v>0</v>
      </c>
      <c r="Z802" s="10" t="str">
        <f>IFERROR(VLOOKUP(Tabla1[[#This Row],[MEDICAMENTO]],TAB_REF!$B$3:$F$27,2,0), "")</f>
        <v xml:space="preserve">Fenobarbital Sódico </v>
      </c>
      <c r="AA802" s="10" t="str">
        <f>IFERROR(VLOOKUP(Tabla1[[#This Row],[MEDICAMENTO]],TAB_REF!$B$3:$F$27,3,0), "")</f>
        <v xml:space="preserve">200 mg/Ml </v>
      </c>
      <c r="AB802" s="10" t="str">
        <f>IFERROR(VLOOKUP(Tabla1[[#This Row],[MEDICAMENTO]],TAB_REF!$B$3:$F$27,4,0), "")</f>
        <v>Solución Inyectable</v>
      </c>
      <c r="AC802" s="10" t="str">
        <f>IFERROR(VLOOKUP(Tabla1[[#This Row],[MEDICAMENTO]],TAB_REF!$B$3:$F$27,5,0), "")</f>
        <v>Caja x 10 unidades</v>
      </c>
      <c r="AD802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803" spans="2:30" x14ac:dyDescent="0.25">
      <c r="B803" s="10">
        <v>327</v>
      </c>
      <c r="C803" s="10" t="s">
        <v>2530</v>
      </c>
      <c r="D803" s="10" t="s">
        <v>2175</v>
      </c>
      <c r="E803" s="10" t="s">
        <v>2765</v>
      </c>
      <c r="F803" s="10" t="s">
        <v>2766</v>
      </c>
      <c r="G803" s="10" t="s">
        <v>2534</v>
      </c>
      <c r="H803" s="10" t="s">
        <v>3668</v>
      </c>
      <c r="I803" s="10" t="s">
        <v>2123</v>
      </c>
      <c r="J803" s="10" t="s">
        <v>1770</v>
      </c>
      <c r="K803" s="10" t="s">
        <v>2976</v>
      </c>
      <c r="L803" s="11">
        <v>202124101052012</v>
      </c>
      <c r="M803" s="20">
        <v>44363</v>
      </c>
      <c r="N803" s="20" t="str">
        <f>UPPER(TEXT(Tabla1[[#This Row],[FECHA RADICADO ENTRADA]],"MMM"))</f>
        <v>JUN</v>
      </c>
      <c r="O803" s="11">
        <v>202124110993041</v>
      </c>
      <c r="P803" s="20">
        <v>44371</v>
      </c>
      <c r="Q803" s="20" t="str">
        <f>UPPER(TEXT(Tabla1[[#This Row],[FECHA RADICADO ENTRADA]],"MMM"))</f>
        <v>JUN</v>
      </c>
      <c r="R803" s="10">
        <f t="shared" si="25"/>
        <v>-8</v>
      </c>
      <c r="S803" s="10" t="s">
        <v>2145</v>
      </c>
      <c r="T803" s="10" t="s">
        <v>3669</v>
      </c>
      <c r="U803" s="10" t="s">
        <v>3670</v>
      </c>
      <c r="V803" s="20">
        <v>44145</v>
      </c>
      <c r="W803" s="10" t="s">
        <v>28</v>
      </c>
      <c r="X803" s="10">
        <v>0</v>
      </c>
      <c r="Y803" s="11">
        <f>IFERROR(INT(Tabla1[[#This Row],[CANTIDAD UND FARMACEUTICAS]]/(VLOOKUP(Tabla1[[#This Row],[MEDICAMENTO]],TAB_REF!$K$3:$L$27,2,0))),"")</f>
        <v>0</v>
      </c>
      <c r="Z803" s="10" t="str">
        <f>IFERROR(VLOOKUP(Tabla1[[#This Row],[MEDICAMENTO]],TAB_REF!$B$3:$F$27,2,0), "")</f>
        <v xml:space="preserve">Fenobarbital </v>
      </c>
      <c r="AA803" s="10" t="str">
        <f>IFERROR(VLOOKUP(Tabla1[[#This Row],[MEDICAMENTO]],TAB_REF!$B$3:$F$27,3,0), "")</f>
        <v xml:space="preserve">0,4%. </v>
      </c>
      <c r="AB803" s="10" t="str">
        <f>IFERROR(VLOOKUP(Tabla1[[#This Row],[MEDICAMENTO]],TAB_REF!$B$3:$F$27,4,0), "")</f>
        <v>Solución Oral</v>
      </c>
      <c r="AC803" s="10" t="str">
        <f>IFERROR(VLOOKUP(Tabla1[[#This Row],[MEDICAMENTO]],TAB_REF!$B$3:$F$27,5,0), "")</f>
        <v>Frasco x 120 mL</v>
      </c>
      <c r="AD803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804" spans="2:30" x14ac:dyDescent="0.25">
      <c r="B804" s="10">
        <v>327</v>
      </c>
      <c r="C804" s="10" t="s">
        <v>2530</v>
      </c>
      <c r="D804" s="10" t="s">
        <v>2175</v>
      </c>
      <c r="E804" s="10" t="s">
        <v>2765</v>
      </c>
      <c r="F804" s="10" t="s">
        <v>2766</v>
      </c>
      <c r="G804" s="10" t="s">
        <v>2534</v>
      </c>
      <c r="H804" s="10" t="s">
        <v>3668</v>
      </c>
      <c r="I804" s="10" t="s">
        <v>2123</v>
      </c>
      <c r="J804" s="10" t="s">
        <v>1770</v>
      </c>
      <c r="K804" s="10" t="s">
        <v>2976</v>
      </c>
      <c r="L804" s="11">
        <v>202124101052012</v>
      </c>
      <c r="M804" s="20">
        <v>44363</v>
      </c>
      <c r="N804" s="20" t="str">
        <f>UPPER(TEXT(Tabla1[[#This Row],[FECHA RADICADO ENTRADA]],"MMM"))</f>
        <v>JUN</v>
      </c>
      <c r="O804" s="11">
        <v>202124110993041</v>
      </c>
      <c r="P804" s="20">
        <v>44371</v>
      </c>
      <c r="Q804" s="20" t="str">
        <f>UPPER(TEXT(Tabla1[[#This Row],[FECHA RADICADO ENTRADA]],"MMM"))</f>
        <v>JUN</v>
      </c>
      <c r="R804" s="10">
        <f t="shared" si="25"/>
        <v>-8</v>
      </c>
      <c r="S804" s="10" t="s">
        <v>2145</v>
      </c>
      <c r="T804" s="10" t="s">
        <v>3669</v>
      </c>
      <c r="U804" s="10" t="s">
        <v>3670</v>
      </c>
      <c r="V804" s="20">
        <v>44145</v>
      </c>
      <c r="W804" s="10" t="s">
        <v>41</v>
      </c>
      <c r="X804" s="10">
        <v>0</v>
      </c>
      <c r="Y804" s="11">
        <f>IFERROR(INT(Tabla1[[#This Row],[CANTIDAD UND FARMACEUTICAS]]/(VLOOKUP(Tabla1[[#This Row],[MEDICAMENTO]],TAB_REF!$K$3:$L$27,2,0))),"")</f>
        <v>0</v>
      </c>
      <c r="Z804" s="10" t="str">
        <f>IFERROR(VLOOKUP(Tabla1[[#This Row],[MEDICAMENTO]],TAB_REF!$B$3:$F$27,2,0), "")</f>
        <v xml:space="preserve">Meperidina HCl </v>
      </c>
      <c r="AA804" s="10" t="str">
        <f>IFERROR(VLOOKUP(Tabla1[[#This Row],[MEDICAMENTO]],TAB_REF!$B$3:$F$27,3,0), "")</f>
        <v xml:space="preserve">100 mg/2mL </v>
      </c>
      <c r="AB804" s="10" t="str">
        <f>IFERROR(VLOOKUP(Tabla1[[#This Row],[MEDICAMENTO]],TAB_REF!$B$3:$F$27,4,0), "")</f>
        <v>Solución Inyectable</v>
      </c>
      <c r="AC804" s="10" t="str">
        <f>IFERROR(VLOOKUP(Tabla1[[#This Row],[MEDICAMENTO]],TAB_REF!$B$3:$F$27,5,0), "")</f>
        <v>Caja 10 ampollas</v>
      </c>
      <c r="AD804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805" spans="2:30" x14ac:dyDescent="0.25">
      <c r="B805" s="10">
        <v>327</v>
      </c>
      <c r="C805" s="10" t="s">
        <v>2530</v>
      </c>
      <c r="D805" s="10" t="s">
        <v>2175</v>
      </c>
      <c r="E805" s="10" t="s">
        <v>2765</v>
      </c>
      <c r="F805" s="10" t="s">
        <v>2766</v>
      </c>
      <c r="G805" s="10" t="s">
        <v>2534</v>
      </c>
      <c r="H805" s="10" t="s">
        <v>3668</v>
      </c>
      <c r="I805" s="10" t="s">
        <v>2123</v>
      </c>
      <c r="J805" s="10" t="s">
        <v>1770</v>
      </c>
      <c r="K805" s="10" t="s">
        <v>2976</v>
      </c>
      <c r="L805" s="11">
        <v>202124101052012</v>
      </c>
      <c r="M805" s="20">
        <v>44363</v>
      </c>
      <c r="N805" s="20" t="str">
        <f>UPPER(TEXT(Tabla1[[#This Row],[FECHA RADICADO ENTRADA]],"MMM"))</f>
        <v>JUN</v>
      </c>
      <c r="O805" s="11">
        <v>202124110993041</v>
      </c>
      <c r="P805" s="20">
        <v>44371</v>
      </c>
      <c r="Q805" s="20" t="str">
        <f>UPPER(TEXT(Tabla1[[#This Row],[FECHA RADICADO ENTRADA]],"MMM"))</f>
        <v>JUN</v>
      </c>
      <c r="R805" s="10">
        <f t="shared" si="25"/>
        <v>-8</v>
      </c>
      <c r="S805" s="10" t="s">
        <v>2145</v>
      </c>
      <c r="T805" s="10" t="s">
        <v>3669</v>
      </c>
      <c r="U805" s="10" t="s">
        <v>3670</v>
      </c>
      <c r="V805" s="20">
        <v>44145</v>
      </c>
      <c r="W805" s="10" t="s">
        <v>63</v>
      </c>
      <c r="X805" s="10">
        <v>0</v>
      </c>
      <c r="Y805" s="11">
        <f>IFERROR(INT(Tabla1[[#This Row],[CANTIDAD UND FARMACEUTICAS]]/(VLOOKUP(Tabla1[[#This Row],[MEDICAMENTO]],TAB_REF!$K$3:$L$27,2,0))),"")</f>
        <v>0</v>
      </c>
      <c r="Z805" s="10" t="str">
        <f>IFERROR(VLOOKUP(Tabla1[[#This Row],[MEDICAMENTO]],TAB_REF!$B$3:$F$27,2,0), "")</f>
        <v xml:space="preserve">Morfina HCl </v>
      </c>
      <c r="AA805" s="10" t="str">
        <f>IFERROR(VLOOKUP(Tabla1[[#This Row],[MEDICAMENTO]],TAB_REF!$B$3:$F$27,3,0), "")</f>
        <v xml:space="preserve">10 mg/mL </v>
      </c>
      <c r="AB805" s="10" t="str">
        <f>IFERROR(VLOOKUP(Tabla1[[#This Row],[MEDICAMENTO]],TAB_REF!$B$3:$F$27,4,0), "")</f>
        <v>Solución Inyectable</v>
      </c>
      <c r="AC805" s="10" t="str">
        <f>IFERROR(VLOOKUP(Tabla1[[#This Row],[MEDICAMENTO]],TAB_REF!$B$3:$F$27,5,0), "")</f>
        <v>Caja x 10 unidades</v>
      </c>
      <c r="AD805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806" spans="2:30" x14ac:dyDescent="0.25">
      <c r="B806" s="10">
        <v>327</v>
      </c>
      <c r="C806" s="10" t="s">
        <v>2530</v>
      </c>
      <c r="D806" s="10" t="s">
        <v>2175</v>
      </c>
      <c r="E806" s="10" t="s">
        <v>2765</v>
      </c>
      <c r="F806" s="10" t="s">
        <v>2766</v>
      </c>
      <c r="G806" s="10" t="s">
        <v>2534</v>
      </c>
      <c r="H806" s="10" t="s">
        <v>3668</v>
      </c>
      <c r="I806" s="10" t="s">
        <v>2123</v>
      </c>
      <c r="J806" s="10" t="s">
        <v>1770</v>
      </c>
      <c r="K806" s="10" t="s">
        <v>2976</v>
      </c>
      <c r="L806" s="11">
        <v>202124101052012</v>
      </c>
      <c r="M806" s="20">
        <v>44363</v>
      </c>
      <c r="N806" s="20" t="str">
        <f>UPPER(TEXT(Tabla1[[#This Row],[FECHA RADICADO ENTRADA]],"MMM"))</f>
        <v>JUN</v>
      </c>
      <c r="O806" s="11">
        <v>202124110993041</v>
      </c>
      <c r="P806" s="20">
        <v>44371</v>
      </c>
      <c r="Q806" s="20" t="str">
        <f>UPPER(TEXT(Tabla1[[#This Row],[FECHA RADICADO ENTRADA]],"MMM"))</f>
        <v>JUN</v>
      </c>
      <c r="R806" s="10">
        <f t="shared" si="25"/>
        <v>-8</v>
      </c>
      <c r="S806" s="10" t="s">
        <v>2145</v>
      </c>
      <c r="T806" s="10" t="s">
        <v>3669</v>
      </c>
      <c r="U806" s="10" t="s">
        <v>3670</v>
      </c>
      <c r="V806" s="20">
        <v>44145</v>
      </c>
      <c r="W806" s="10" t="s">
        <v>60</v>
      </c>
      <c r="X806" s="10">
        <v>0</v>
      </c>
      <c r="Y806" s="11">
        <f>IFERROR(INT(Tabla1[[#This Row],[CANTIDAD UND FARMACEUTICAS]]/(VLOOKUP(Tabla1[[#This Row],[MEDICAMENTO]],TAB_REF!$K$3:$L$27,2,0))),"")</f>
        <v>0</v>
      </c>
      <c r="Z806" s="10" t="str">
        <f>IFERROR(VLOOKUP(Tabla1[[#This Row],[MEDICAMENTO]],TAB_REF!$B$3:$F$27,2,0), "")</f>
        <v xml:space="preserve">Morfina HCl </v>
      </c>
      <c r="AA806" s="10" t="str">
        <f>IFERROR(VLOOKUP(Tabla1[[#This Row],[MEDICAMENTO]],TAB_REF!$B$3:$F$27,3,0), "")</f>
        <v xml:space="preserve">3%. </v>
      </c>
      <c r="AB806" s="10" t="str">
        <f>IFERROR(VLOOKUP(Tabla1[[#This Row],[MEDICAMENTO]],TAB_REF!$B$3:$F$27,4,0), "")</f>
        <v>Solución Oral</v>
      </c>
      <c r="AC806" s="10" t="str">
        <f>IFERROR(VLOOKUP(Tabla1[[#This Row],[MEDICAMENTO]],TAB_REF!$B$3:$F$27,5,0), "")</f>
        <v>Frasco x 30 mL</v>
      </c>
      <c r="AD806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807" spans="2:30" x14ac:dyDescent="0.25">
      <c r="B807" s="10">
        <v>328</v>
      </c>
      <c r="C807" s="10" t="s">
        <v>3671</v>
      </c>
      <c r="D807" s="10" t="s">
        <v>2312</v>
      </c>
      <c r="E807" s="10" t="s">
        <v>3672</v>
      </c>
      <c r="F807" s="10" t="s">
        <v>3673</v>
      </c>
      <c r="G807" s="10" t="s">
        <v>3674</v>
      </c>
      <c r="H807" s="10" t="s">
        <v>3675</v>
      </c>
      <c r="I807" s="10" t="s">
        <v>2123</v>
      </c>
      <c r="J807" s="10" t="s">
        <v>1770</v>
      </c>
      <c r="K807" s="10" t="s">
        <v>2976</v>
      </c>
      <c r="L807" s="11">
        <v>202124101054672</v>
      </c>
      <c r="M807" s="20">
        <v>44363</v>
      </c>
      <c r="N807" s="20" t="str">
        <f>UPPER(TEXT(Tabla1[[#This Row],[FECHA RADICADO ENTRADA]],"MMM"))</f>
        <v>JUN</v>
      </c>
      <c r="O807" s="11">
        <v>202124110993181</v>
      </c>
      <c r="P807" s="20">
        <v>44371</v>
      </c>
      <c r="Q807" s="20" t="str">
        <f>UPPER(TEXT(Tabla1[[#This Row],[FECHA RADICADO ENTRADA]],"MMM"))</f>
        <v>JUN</v>
      </c>
      <c r="R807" s="10">
        <f t="shared" si="25"/>
        <v>-8</v>
      </c>
      <c r="S807" s="10" t="s">
        <v>2154</v>
      </c>
      <c r="U807" s="10" t="s">
        <v>2977</v>
      </c>
      <c r="V807" s="20">
        <v>43844</v>
      </c>
      <c r="W807" s="10" t="s">
        <v>60</v>
      </c>
      <c r="X807" s="10">
        <v>6</v>
      </c>
      <c r="Y807" s="11">
        <f>IFERROR(INT(Tabla1[[#This Row],[CANTIDAD UND FARMACEUTICAS]]/(VLOOKUP(Tabla1[[#This Row],[MEDICAMENTO]],TAB_REF!$K$3:$L$27,2,0))),"")</f>
        <v>6</v>
      </c>
      <c r="Z807" s="10" t="str">
        <f>IFERROR(VLOOKUP(Tabla1[[#This Row],[MEDICAMENTO]],TAB_REF!$B$3:$F$27,2,0), "")</f>
        <v xml:space="preserve">Morfina HCl </v>
      </c>
      <c r="AA807" s="10" t="str">
        <f>IFERROR(VLOOKUP(Tabla1[[#This Row],[MEDICAMENTO]],TAB_REF!$B$3:$F$27,3,0), "")</f>
        <v xml:space="preserve">3%. </v>
      </c>
      <c r="AB807" s="10" t="str">
        <f>IFERROR(VLOOKUP(Tabla1[[#This Row],[MEDICAMENTO]],TAB_REF!$B$3:$F$27,4,0), "")</f>
        <v>Solución Oral</v>
      </c>
      <c r="AC807" s="10" t="str">
        <f>IFERROR(VLOOKUP(Tabla1[[#This Row],[MEDICAMENTO]],TAB_REF!$B$3:$F$27,5,0), "")</f>
        <v>Frasco x 30 mL</v>
      </c>
      <c r="AD807" s="10" t="str">
        <f>IFERROR(VLOOKUP(Tabla1[[#This Row],[CANTIDAD UND COMERCIALES]],TAB_REF!$H$3:$I$1003,2,0)&amp;" ("&amp;Tabla1[[#This Row],[CANTIDAD UND COMERCIALES]]&amp;")"&amp;"_"&amp;Tabla1[[#This Row],[CANTIDAD]],"")</f>
        <v>Seis (6)_Frasco x 30 mL</v>
      </c>
    </row>
    <row r="808" spans="2:30" x14ac:dyDescent="0.25">
      <c r="B808" s="10">
        <v>328</v>
      </c>
      <c r="C808" s="10" t="s">
        <v>3671</v>
      </c>
      <c r="D808" s="10" t="s">
        <v>2312</v>
      </c>
      <c r="E808" s="10" t="s">
        <v>3672</v>
      </c>
      <c r="F808" s="10" t="s">
        <v>3673</v>
      </c>
      <c r="G808" s="10" t="s">
        <v>3674</v>
      </c>
      <c r="H808" s="10" t="s">
        <v>3675</v>
      </c>
      <c r="I808" s="10" t="s">
        <v>2123</v>
      </c>
      <c r="J808" s="10" t="s">
        <v>1770</v>
      </c>
      <c r="K808" s="10" t="s">
        <v>2976</v>
      </c>
      <c r="L808" s="11">
        <v>202124101054672</v>
      </c>
      <c r="M808" s="20">
        <v>44363</v>
      </c>
      <c r="N808" s="20" t="str">
        <f>UPPER(TEXT(Tabla1[[#This Row],[FECHA RADICADO ENTRADA]],"MMM"))</f>
        <v>JUN</v>
      </c>
      <c r="O808" s="11">
        <v>202124110993181</v>
      </c>
      <c r="P808" s="20">
        <v>44371</v>
      </c>
      <c r="Q808" s="20" t="str">
        <f>UPPER(TEXT(Tabla1[[#This Row],[FECHA RADICADO ENTRADA]],"MMM"))</f>
        <v>JUN</v>
      </c>
      <c r="R808" s="10">
        <f t="shared" si="25"/>
        <v>-8</v>
      </c>
      <c r="S808" s="10" t="s">
        <v>2154</v>
      </c>
      <c r="U808" s="10" t="s">
        <v>2977</v>
      </c>
      <c r="V808" s="20">
        <v>43844</v>
      </c>
      <c r="W808" s="10" t="s">
        <v>63</v>
      </c>
      <c r="X808" s="10">
        <v>300</v>
      </c>
      <c r="Y808" s="11">
        <f>IFERROR(INT(Tabla1[[#This Row],[CANTIDAD UND FARMACEUTICAS]]/(VLOOKUP(Tabla1[[#This Row],[MEDICAMENTO]],TAB_REF!$K$3:$L$27,2,0))),"")</f>
        <v>30</v>
      </c>
      <c r="Z808" s="10" t="str">
        <f>IFERROR(VLOOKUP(Tabla1[[#This Row],[MEDICAMENTO]],TAB_REF!$B$3:$F$27,2,0), "")</f>
        <v xml:space="preserve">Morfina HCl </v>
      </c>
      <c r="AA808" s="10" t="str">
        <f>IFERROR(VLOOKUP(Tabla1[[#This Row],[MEDICAMENTO]],TAB_REF!$B$3:$F$27,3,0), "")</f>
        <v xml:space="preserve">10 mg/mL </v>
      </c>
      <c r="AB808" s="10" t="str">
        <f>IFERROR(VLOOKUP(Tabla1[[#This Row],[MEDICAMENTO]],TAB_REF!$B$3:$F$27,4,0), "")</f>
        <v>Solución Inyectable</v>
      </c>
      <c r="AC808" s="10" t="str">
        <f>IFERROR(VLOOKUP(Tabla1[[#This Row],[MEDICAMENTO]],TAB_REF!$B$3:$F$27,5,0), "")</f>
        <v>Caja x 10 unidades</v>
      </c>
      <c r="AD808" s="10" t="str">
        <f>IFERROR(VLOOKUP(Tabla1[[#This Row],[CANTIDAD UND COMERCIALES]],TAB_REF!$H$3:$I$1003,2,0)&amp;" ("&amp;Tabla1[[#This Row],[CANTIDAD UND COMERCIALES]]&amp;")"&amp;"_"&amp;Tabla1[[#This Row],[CANTIDAD]],"")</f>
        <v>Treinta (30)_Caja x 10 unidades</v>
      </c>
    </row>
    <row r="809" spans="2:30" x14ac:dyDescent="0.25">
      <c r="B809" s="10">
        <v>329</v>
      </c>
      <c r="C809" s="10" t="s">
        <v>3676</v>
      </c>
      <c r="D809" s="10" t="s">
        <v>2182</v>
      </c>
      <c r="E809" s="10" t="s">
        <v>3677</v>
      </c>
      <c r="F809" s="10" t="s">
        <v>3678</v>
      </c>
      <c r="G809" s="10" t="s">
        <v>3114</v>
      </c>
      <c r="H809" s="10" t="s">
        <v>3679</v>
      </c>
      <c r="I809" s="10" t="s">
        <v>2123</v>
      </c>
      <c r="J809" s="10" t="s">
        <v>1770</v>
      </c>
      <c r="K809" s="10" t="s">
        <v>2976</v>
      </c>
      <c r="L809" s="11">
        <v>202124101056822</v>
      </c>
      <c r="M809" s="20">
        <v>44363</v>
      </c>
      <c r="N809" s="20" t="str">
        <f>UPPER(TEXT(Tabla1[[#This Row],[FECHA RADICADO ENTRADA]],"MMM"))</f>
        <v>JUN</v>
      </c>
      <c r="O809" s="11">
        <v>202124110993501</v>
      </c>
      <c r="P809" s="20">
        <v>44371</v>
      </c>
      <c r="Q809" s="20" t="str">
        <f>UPPER(TEXT(Tabla1[[#This Row],[FECHA RADICADO ENTRADA]],"MMM"))</f>
        <v>JUN</v>
      </c>
      <c r="R809" s="10">
        <f t="shared" si="25"/>
        <v>-8</v>
      </c>
      <c r="S809" s="10" t="s">
        <v>2154</v>
      </c>
      <c r="U809" s="10" t="s">
        <v>3121</v>
      </c>
      <c r="V809" s="20">
        <v>44281</v>
      </c>
      <c r="W809" s="10" t="s">
        <v>63</v>
      </c>
      <c r="X809" s="10">
        <v>300</v>
      </c>
      <c r="Y809" s="11">
        <f>IFERROR(INT(Tabla1[[#This Row],[CANTIDAD UND FARMACEUTICAS]]/(VLOOKUP(Tabla1[[#This Row],[MEDICAMENTO]],TAB_REF!$K$3:$L$27,2,0))),"")</f>
        <v>30</v>
      </c>
      <c r="Z809" s="10" t="str">
        <f>IFERROR(VLOOKUP(Tabla1[[#This Row],[MEDICAMENTO]],TAB_REF!$B$3:$F$27,2,0), "")</f>
        <v xml:space="preserve">Morfina HCl </v>
      </c>
      <c r="AA809" s="10" t="str">
        <f>IFERROR(VLOOKUP(Tabla1[[#This Row],[MEDICAMENTO]],TAB_REF!$B$3:$F$27,3,0), "")</f>
        <v xml:space="preserve">10 mg/mL </v>
      </c>
      <c r="AB809" s="10" t="str">
        <f>IFERROR(VLOOKUP(Tabla1[[#This Row],[MEDICAMENTO]],TAB_REF!$B$3:$F$27,4,0), "")</f>
        <v>Solución Inyectable</v>
      </c>
      <c r="AC809" s="10" t="str">
        <f>IFERROR(VLOOKUP(Tabla1[[#This Row],[MEDICAMENTO]],TAB_REF!$B$3:$F$27,5,0), "")</f>
        <v>Caja x 10 unidades</v>
      </c>
      <c r="AD809" s="10" t="str">
        <f>IFERROR(VLOOKUP(Tabla1[[#This Row],[CANTIDAD UND COMERCIALES]],TAB_REF!$H$3:$I$1003,2,0)&amp;" ("&amp;Tabla1[[#This Row],[CANTIDAD UND COMERCIALES]]&amp;")"&amp;"_"&amp;Tabla1[[#This Row],[CANTIDAD]],"")</f>
        <v>Treinta (30)_Caja x 10 unidades</v>
      </c>
    </row>
    <row r="810" spans="2:30" x14ac:dyDescent="0.25">
      <c r="B810" s="10">
        <v>330</v>
      </c>
      <c r="C810" s="10" t="s">
        <v>3680</v>
      </c>
      <c r="D810" s="10" t="s">
        <v>2755</v>
      </c>
      <c r="E810" s="10" t="s">
        <v>3681</v>
      </c>
      <c r="F810" s="10" t="s">
        <v>3682</v>
      </c>
      <c r="G810" s="10" t="s">
        <v>3555</v>
      </c>
      <c r="H810" s="10" t="s">
        <v>3683</v>
      </c>
      <c r="I810" s="10" t="s">
        <v>2122</v>
      </c>
      <c r="J810" s="10" t="s">
        <v>1742</v>
      </c>
      <c r="K810" s="10" t="s">
        <v>2976</v>
      </c>
      <c r="L810" s="11">
        <v>202124101057202</v>
      </c>
      <c r="M810" s="20">
        <v>44363</v>
      </c>
      <c r="N810" s="20" t="str">
        <f>UPPER(TEXT(Tabla1[[#This Row],[FECHA RADICADO ENTRADA]],"MMM"))</f>
        <v>JUN</v>
      </c>
      <c r="O810" s="11">
        <v>202124110993911</v>
      </c>
      <c r="P810" s="20">
        <v>44371</v>
      </c>
      <c r="Q810" s="20" t="str">
        <f>UPPER(TEXT(Tabla1[[#This Row],[FECHA RADICADO ENTRADA]],"MMM"))</f>
        <v>JUN</v>
      </c>
      <c r="R810" s="10">
        <f t="shared" si="25"/>
        <v>-8</v>
      </c>
      <c r="S810" s="10" t="s">
        <v>2154</v>
      </c>
      <c r="U810" s="10" t="s">
        <v>3558</v>
      </c>
      <c r="V810" s="20">
        <v>44306</v>
      </c>
      <c r="W810" s="10" t="s">
        <v>41</v>
      </c>
      <c r="X810" s="10">
        <v>200</v>
      </c>
      <c r="Y810" s="11">
        <f>IFERROR(INT(Tabla1[[#This Row],[CANTIDAD UND FARMACEUTICAS]]/(VLOOKUP(Tabla1[[#This Row],[MEDICAMENTO]],TAB_REF!$K$3:$L$27,2,0))),"")</f>
        <v>20</v>
      </c>
      <c r="Z810" s="10" t="str">
        <f>IFERROR(VLOOKUP(Tabla1[[#This Row],[MEDICAMENTO]],TAB_REF!$B$3:$F$27,2,0), "")</f>
        <v xml:space="preserve">Meperidina HCl </v>
      </c>
      <c r="AA810" s="10" t="str">
        <f>IFERROR(VLOOKUP(Tabla1[[#This Row],[MEDICAMENTO]],TAB_REF!$B$3:$F$27,3,0), "")</f>
        <v xml:space="preserve">100 mg/2mL </v>
      </c>
      <c r="AB810" s="10" t="str">
        <f>IFERROR(VLOOKUP(Tabla1[[#This Row],[MEDICAMENTO]],TAB_REF!$B$3:$F$27,4,0), "")</f>
        <v>Solución Inyectable</v>
      </c>
      <c r="AC810" s="10" t="str">
        <f>IFERROR(VLOOKUP(Tabla1[[#This Row],[MEDICAMENTO]],TAB_REF!$B$3:$F$27,5,0), "")</f>
        <v>Caja 10 ampollas</v>
      </c>
      <c r="AD810" s="10" t="str">
        <f>IFERROR(VLOOKUP(Tabla1[[#This Row],[CANTIDAD UND COMERCIALES]],TAB_REF!$H$3:$I$1003,2,0)&amp;" ("&amp;Tabla1[[#This Row],[CANTIDAD UND COMERCIALES]]&amp;")"&amp;"_"&amp;Tabla1[[#This Row],[CANTIDAD]],"")</f>
        <v>Veinte (20)_Caja 10 ampollas</v>
      </c>
    </row>
    <row r="811" spans="2:30" x14ac:dyDescent="0.25">
      <c r="B811" s="10">
        <v>330</v>
      </c>
      <c r="C811" s="10" t="s">
        <v>3680</v>
      </c>
      <c r="D811" s="10" t="s">
        <v>2755</v>
      </c>
      <c r="E811" s="10" t="s">
        <v>3681</v>
      </c>
      <c r="F811" s="10" t="s">
        <v>3682</v>
      </c>
      <c r="G811" s="10" t="s">
        <v>3555</v>
      </c>
      <c r="H811" s="10" t="s">
        <v>3683</v>
      </c>
      <c r="I811" s="10" t="s">
        <v>2122</v>
      </c>
      <c r="J811" s="10" t="s">
        <v>1742</v>
      </c>
      <c r="K811" s="10" t="s">
        <v>2976</v>
      </c>
      <c r="L811" s="11">
        <v>202124101057202</v>
      </c>
      <c r="M811" s="20">
        <v>44363</v>
      </c>
      <c r="N811" s="20" t="str">
        <f>UPPER(TEXT(Tabla1[[#This Row],[FECHA RADICADO ENTRADA]],"MMM"))</f>
        <v>JUN</v>
      </c>
      <c r="O811" s="11">
        <v>202124110993911</v>
      </c>
      <c r="P811" s="20">
        <v>44371</v>
      </c>
      <c r="Q811" s="20" t="str">
        <f>UPPER(TEXT(Tabla1[[#This Row],[FECHA RADICADO ENTRADA]],"MMM"))</f>
        <v>JUN</v>
      </c>
      <c r="R811" s="10">
        <f t="shared" si="25"/>
        <v>-8</v>
      </c>
      <c r="S811" s="10" t="s">
        <v>2154</v>
      </c>
      <c r="U811" s="10" t="s">
        <v>3558</v>
      </c>
      <c r="V811" s="20">
        <v>44306</v>
      </c>
      <c r="W811" s="10" t="s">
        <v>63</v>
      </c>
      <c r="X811" s="10">
        <v>200</v>
      </c>
      <c r="Y811" s="11">
        <f>IFERROR(INT(Tabla1[[#This Row],[CANTIDAD UND FARMACEUTICAS]]/(VLOOKUP(Tabla1[[#This Row],[MEDICAMENTO]],TAB_REF!$K$3:$L$27,2,0))),"")</f>
        <v>20</v>
      </c>
      <c r="Z811" s="10" t="str">
        <f>IFERROR(VLOOKUP(Tabla1[[#This Row],[MEDICAMENTO]],TAB_REF!$B$3:$F$27,2,0), "")</f>
        <v xml:space="preserve">Morfina HCl </v>
      </c>
      <c r="AA811" s="10" t="str">
        <f>IFERROR(VLOOKUP(Tabla1[[#This Row],[MEDICAMENTO]],TAB_REF!$B$3:$F$27,3,0), "")</f>
        <v xml:space="preserve">10 mg/mL </v>
      </c>
      <c r="AB811" s="10" t="str">
        <f>IFERROR(VLOOKUP(Tabla1[[#This Row],[MEDICAMENTO]],TAB_REF!$B$3:$F$27,4,0), "")</f>
        <v>Solución Inyectable</v>
      </c>
      <c r="AC811" s="10" t="str">
        <f>IFERROR(VLOOKUP(Tabla1[[#This Row],[MEDICAMENTO]],TAB_REF!$B$3:$F$27,5,0), "")</f>
        <v>Caja x 10 unidades</v>
      </c>
      <c r="AD811" s="10" t="str">
        <f>IFERROR(VLOOKUP(Tabla1[[#This Row],[CANTIDAD UND COMERCIALES]],TAB_REF!$H$3:$I$1003,2,0)&amp;" ("&amp;Tabla1[[#This Row],[CANTIDAD UND COMERCIALES]]&amp;")"&amp;"_"&amp;Tabla1[[#This Row],[CANTIDAD]],"")</f>
        <v>Veinte (20)_Caja x 10 unidades</v>
      </c>
    </row>
    <row r="812" spans="2:30" x14ac:dyDescent="0.25">
      <c r="B812" s="10">
        <v>330</v>
      </c>
      <c r="C812" s="10" t="s">
        <v>3680</v>
      </c>
      <c r="D812" s="10" t="s">
        <v>2755</v>
      </c>
      <c r="E812" s="10" t="s">
        <v>3681</v>
      </c>
      <c r="F812" s="10" t="s">
        <v>3682</v>
      </c>
      <c r="G812" s="10" t="s">
        <v>3555</v>
      </c>
      <c r="H812" s="10" t="s">
        <v>3683</v>
      </c>
      <c r="I812" s="10" t="s">
        <v>2122</v>
      </c>
      <c r="J812" s="10" t="s">
        <v>1742</v>
      </c>
      <c r="K812" s="10" t="s">
        <v>2976</v>
      </c>
      <c r="L812" s="11">
        <v>202124101057202</v>
      </c>
      <c r="M812" s="20">
        <v>44363</v>
      </c>
      <c r="N812" s="20" t="str">
        <f>UPPER(TEXT(Tabla1[[#This Row],[FECHA RADICADO ENTRADA]],"MMM"))</f>
        <v>JUN</v>
      </c>
      <c r="O812" s="11">
        <v>202124110993911</v>
      </c>
      <c r="P812" s="20">
        <v>44371</v>
      </c>
      <c r="Q812" s="20" t="str">
        <f>UPPER(TEXT(Tabla1[[#This Row],[FECHA RADICADO ENTRADA]],"MMM"))</f>
        <v>JUN</v>
      </c>
      <c r="R812" s="10">
        <f t="shared" si="25"/>
        <v>-8</v>
      </c>
      <c r="S812" s="10" t="s">
        <v>2154</v>
      </c>
      <c r="U812" s="10" t="s">
        <v>3558</v>
      </c>
      <c r="V812" s="20">
        <v>44306</v>
      </c>
      <c r="W812" s="10" t="s">
        <v>34</v>
      </c>
      <c r="X812" s="10">
        <v>50</v>
      </c>
      <c r="Y812" s="11">
        <f>IFERROR(INT(Tabla1[[#This Row],[CANTIDAD UND FARMACEUTICAS]]/(VLOOKUP(Tabla1[[#This Row],[MEDICAMENTO]],TAB_REF!$K$3:$L$27,2,0))),"")</f>
        <v>5</v>
      </c>
      <c r="Z812" s="10" t="str">
        <f>IFERROR(VLOOKUP(Tabla1[[#This Row],[MEDICAMENTO]],TAB_REF!$B$3:$F$27,2,0), "")</f>
        <v xml:space="preserve">Fenobarbital Sódico </v>
      </c>
      <c r="AA812" s="10" t="str">
        <f>IFERROR(VLOOKUP(Tabla1[[#This Row],[MEDICAMENTO]],TAB_REF!$B$3:$F$27,3,0), "")</f>
        <v xml:space="preserve">200 mg/Ml </v>
      </c>
      <c r="AB812" s="10" t="str">
        <f>IFERROR(VLOOKUP(Tabla1[[#This Row],[MEDICAMENTO]],TAB_REF!$B$3:$F$27,4,0), "")</f>
        <v>Solución Inyectable</v>
      </c>
      <c r="AC812" s="10" t="str">
        <f>IFERROR(VLOOKUP(Tabla1[[#This Row],[MEDICAMENTO]],TAB_REF!$B$3:$F$27,5,0), "")</f>
        <v>Caja x 10 unidades</v>
      </c>
      <c r="AD812" s="10" t="str">
        <f>IFERROR(VLOOKUP(Tabla1[[#This Row],[CANTIDAD UND COMERCIALES]],TAB_REF!$H$3:$I$1003,2,0)&amp;" ("&amp;Tabla1[[#This Row],[CANTIDAD UND COMERCIALES]]&amp;")"&amp;"_"&amp;Tabla1[[#This Row],[CANTIDAD]],"")</f>
        <v>Cinco (5)_Caja x 10 unidades</v>
      </c>
    </row>
    <row r="813" spans="2:30" x14ac:dyDescent="0.25">
      <c r="B813" s="10">
        <v>330</v>
      </c>
      <c r="C813" s="10" t="s">
        <v>3680</v>
      </c>
      <c r="D813" s="10" t="s">
        <v>2755</v>
      </c>
      <c r="E813" s="10" t="s">
        <v>3681</v>
      </c>
      <c r="F813" s="10" t="s">
        <v>3682</v>
      </c>
      <c r="G813" s="10" t="s">
        <v>3555</v>
      </c>
      <c r="H813" s="10" t="s">
        <v>3683</v>
      </c>
      <c r="I813" s="10" t="s">
        <v>2122</v>
      </c>
      <c r="J813" s="10" t="s">
        <v>1742</v>
      </c>
      <c r="K813" s="10" t="s">
        <v>2976</v>
      </c>
      <c r="L813" s="11">
        <v>202124101057202</v>
      </c>
      <c r="M813" s="20">
        <v>44363</v>
      </c>
      <c r="N813" s="20" t="str">
        <f>UPPER(TEXT(Tabla1[[#This Row],[FECHA RADICADO ENTRADA]],"MMM"))</f>
        <v>JUN</v>
      </c>
      <c r="O813" s="11">
        <v>202124110993911</v>
      </c>
      <c r="P813" s="20">
        <v>44371</v>
      </c>
      <c r="Q813" s="20" t="str">
        <f>UPPER(TEXT(Tabla1[[#This Row],[FECHA RADICADO ENTRADA]],"MMM"))</f>
        <v>JUN</v>
      </c>
      <c r="R813" s="10">
        <f t="shared" si="25"/>
        <v>-8</v>
      </c>
      <c r="S813" s="10" t="s">
        <v>2154</v>
      </c>
      <c r="U813" s="10" t="s">
        <v>3558</v>
      </c>
      <c r="V813" s="20">
        <v>44306</v>
      </c>
      <c r="W813" s="10" t="s">
        <v>36</v>
      </c>
      <c r="X813" s="10">
        <v>50</v>
      </c>
      <c r="Y813" s="11">
        <f>IFERROR(INT(Tabla1[[#This Row],[CANTIDAD UND FARMACEUTICAS]]/(VLOOKUP(Tabla1[[#This Row],[MEDICAMENTO]],TAB_REF!$K$3:$L$27,2,0))),"")</f>
        <v>5</v>
      </c>
      <c r="Z813" s="10" t="str">
        <f>IFERROR(VLOOKUP(Tabla1[[#This Row],[MEDICAMENTO]],TAB_REF!$B$3:$F$27,2,0), "")</f>
        <v xml:space="preserve">Fenobarbital Sódico </v>
      </c>
      <c r="AA813" s="10" t="str">
        <f>IFERROR(VLOOKUP(Tabla1[[#This Row],[MEDICAMENTO]],TAB_REF!$B$3:$F$27,3,0), "")</f>
        <v xml:space="preserve">40 mg/mL </v>
      </c>
      <c r="AB813" s="10" t="str">
        <f>IFERROR(VLOOKUP(Tabla1[[#This Row],[MEDICAMENTO]],TAB_REF!$B$3:$F$27,4,0), "")</f>
        <v>Solución Inyectable</v>
      </c>
      <c r="AC813" s="10" t="str">
        <f>IFERROR(VLOOKUP(Tabla1[[#This Row],[MEDICAMENTO]],TAB_REF!$B$3:$F$27,5,0), "")</f>
        <v>Caja x 10 unidades</v>
      </c>
      <c r="AD813" s="10" t="str">
        <f>IFERROR(VLOOKUP(Tabla1[[#This Row],[CANTIDAD UND COMERCIALES]],TAB_REF!$H$3:$I$1003,2,0)&amp;" ("&amp;Tabla1[[#This Row],[CANTIDAD UND COMERCIALES]]&amp;")"&amp;"_"&amp;Tabla1[[#This Row],[CANTIDAD]],"")</f>
        <v>Cinco (5)_Caja x 10 unidades</v>
      </c>
    </row>
    <row r="814" spans="2:30" x14ac:dyDescent="0.25">
      <c r="B814" s="10">
        <v>331</v>
      </c>
      <c r="C814" s="10" t="s">
        <v>3684</v>
      </c>
      <c r="D814" s="10" t="s">
        <v>2755</v>
      </c>
      <c r="E814" s="10" t="s">
        <v>3685</v>
      </c>
      <c r="F814" s="10" t="s">
        <v>3686</v>
      </c>
      <c r="G814" s="10" t="s">
        <v>3687</v>
      </c>
      <c r="H814" s="10" t="s">
        <v>3688</v>
      </c>
      <c r="I814" s="10" t="s">
        <v>2125</v>
      </c>
      <c r="J814" s="10" t="s">
        <v>1887</v>
      </c>
      <c r="K814" s="10" t="s">
        <v>2976</v>
      </c>
      <c r="L814" s="11">
        <v>202124101062102</v>
      </c>
      <c r="M814" s="20">
        <v>44364</v>
      </c>
      <c r="N814" s="20" t="str">
        <f>UPPER(TEXT(Tabla1[[#This Row],[FECHA RADICADO ENTRADA]],"MMM"))</f>
        <v>JUN</v>
      </c>
      <c r="O814" s="11">
        <v>202124110994901</v>
      </c>
      <c r="P814" s="20">
        <v>44371</v>
      </c>
      <c r="Q814" s="20" t="str">
        <f>UPPER(TEXT(Tabla1[[#This Row],[FECHA RADICADO ENTRADA]],"MMM"))</f>
        <v>JUN</v>
      </c>
      <c r="R814" s="10">
        <f t="shared" si="25"/>
        <v>-7</v>
      </c>
      <c r="S814" s="10" t="s">
        <v>2145</v>
      </c>
      <c r="T814" s="10" t="s">
        <v>3689</v>
      </c>
      <c r="U814" s="10" t="s">
        <v>3690</v>
      </c>
      <c r="V814" s="20">
        <v>44278</v>
      </c>
      <c r="W814" s="10" t="s">
        <v>63</v>
      </c>
      <c r="X814" s="10">
        <v>0</v>
      </c>
      <c r="Y814" s="11">
        <f>IFERROR(INT(Tabla1[[#This Row],[CANTIDAD UND FARMACEUTICAS]]/(VLOOKUP(Tabla1[[#This Row],[MEDICAMENTO]],TAB_REF!$K$3:$L$27,2,0))),"")</f>
        <v>0</v>
      </c>
      <c r="Z814" s="10" t="str">
        <f>IFERROR(VLOOKUP(Tabla1[[#This Row],[MEDICAMENTO]],TAB_REF!$B$3:$F$27,2,0), "")</f>
        <v xml:space="preserve">Morfina HCl </v>
      </c>
      <c r="AA814" s="10" t="str">
        <f>IFERROR(VLOOKUP(Tabla1[[#This Row],[MEDICAMENTO]],TAB_REF!$B$3:$F$27,3,0), "")</f>
        <v xml:space="preserve">10 mg/mL </v>
      </c>
      <c r="AB814" s="10" t="str">
        <f>IFERROR(VLOOKUP(Tabla1[[#This Row],[MEDICAMENTO]],TAB_REF!$B$3:$F$27,4,0), "")</f>
        <v>Solución Inyectable</v>
      </c>
      <c r="AC814" s="10" t="str">
        <f>IFERROR(VLOOKUP(Tabla1[[#This Row],[MEDICAMENTO]],TAB_REF!$B$3:$F$27,5,0), "")</f>
        <v>Caja x 10 unidades</v>
      </c>
      <c r="AD814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815" spans="2:30" x14ac:dyDescent="0.25">
      <c r="B815" s="10">
        <v>332</v>
      </c>
      <c r="C815" s="10" t="s">
        <v>2476</v>
      </c>
      <c r="D815" s="10" t="s">
        <v>2175</v>
      </c>
      <c r="E815" s="10" t="s">
        <v>3691</v>
      </c>
      <c r="F815" s="10" t="s">
        <v>3692</v>
      </c>
      <c r="G815" s="10" t="s">
        <v>2480</v>
      </c>
      <c r="H815" s="10" t="s">
        <v>3693</v>
      </c>
      <c r="I815" s="10" t="s">
        <v>2116</v>
      </c>
      <c r="J815" s="10" t="s">
        <v>1550</v>
      </c>
      <c r="K815" s="10" t="s">
        <v>2976</v>
      </c>
      <c r="L815" s="11">
        <v>202124101063882</v>
      </c>
      <c r="M815" s="20">
        <v>44364</v>
      </c>
      <c r="N815" s="20" t="str">
        <f>UPPER(TEXT(Tabla1[[#This Row],[FECHA RADICADO ENTRADA]],"MMM"))</f>
        <v>JUN</v>
      </c>
      <c r="O815" s="11">
        <v>202124110994751</v>
      </c>
      <c r="P815" s="20">
        <v>44371</v>
      </c>
      <c r="Q815" s="20" t="str">
        <f>UPPER(TEXT(Tabla1[[#This Row],[FECHA RADICADO ENTRADA]],"MMM"))</f>
        <v>JUN</v>
      </c>
      <c r="R815" s="10">
        <f t="shared" si="25"/>
        <v>-7</v>
      </c>
      <c r="S815" s="10" t="s">
        <v>2154</v>
      </c>
      <c r="U815" s="10" t="s">
        <v>3694</v>
      </c>
      <c r="V815" s="20">
        <v>43256</v>
      </c>
      <c r="W815" s="10" t="s">
        <v>63</v>
      </c>
      <c r="X815" s="10">
        <v>400</v>
      </c>
      <c r="Y815" s="11">
        <f>IFERROR(INT(Tabla1[[#This Row],[CANTIDAD UND FARMACEUTICAS]]/(VLOOKUP(Tabla1[[#This Row],[MEDICAMENTO]],TAB_REF!$K$3:$L$27,2,0))),"")</f>
        <v>40</v>
      </c>
      <c r="Z815" s="10" t="str">
        <f>IFERROR(VLOOKUP(Tabla1[[#This Row],[MEDICAMENTO]],TAB_REF!$B$3:$F$27,2,0), "")</f>
        <v xml:space="preserve">Morfina HCl </v>
      </c>
      <c r="AA815" s="10" t="str">
        <f>IFERROR(VLOOKUP(Tabla1[[#This Row],[MEDICAMENTO]],TAB_REF!$B$3:$F$27,3,0), "")</f>
        <v xml:space="preserve">10 mg/mL </v>
      </c>
      <c r="AB815" s="10" t="str">
        <f>IFERROR(VLOOKUP(Tabla1[[#This Row],[MEDICAMENTO]],TAB_REF!$B$3:$F$27,4,0), "")</f>
        <v>Solución Inyectable</v>
      </c>
      <c r="AC815" s="10" t="str">
        <f>IFERROR(VLOOKUP(Tabla1[[#This Row],[MEDICAMENTO]],TAB_REF!$B$3:$F$27,5,0), "")</f>
        <v>Caja x 10 unidades</v>
      </c>
      <c r="AD815" s="10" t="str">
        <f>IFERROR(VLOOKUP(Tabla1[[#This Row],[CANTIDAD UND COMERCIALES]],TAB_REF!$H$3:$I$1003,2,0)&amp;" ("&amp;Tabla1[[#This Row],[CANTIDAD UND COMERCIALES]]&amp;")"&amp;"_"&amp;Tabla1[[#This Row],[CANTIDAD]],"")</f>
        <v>Cuarenta (40)_Caja x 10 unidades</v>
      </c>
    </row>
    <row r="816" spans="2:30" x14ac:dyDescent="0.25">
      <c r="B816" s="10">
        <v>332</v>
      </c>
      <c r="C816" s="10" t="s">
        <v>2476</v>
      </c>
      <c r="D816" s="10" t="s">
        <v>2175</v>
      </c>
      <c r="E816" s="10" t="s">
        <v>3691</v>
      </c>
      <c r="F816" s="10" t="s">
        <v>3692</v>
      </c>
      <c r="G816" s="10" t="s">
        <v>2480</v>
      </c>
      <c r="H816" s="10" t="s">
        <v>3693</v>
      </c>
      <c r="I816" s="10" t="s">
        <v>2116</v>
      </c>
      <c r="J816" s="10" t="s">
        <v>1550</v>
      </c>
      <c r="K816" s="10" t="s">
        <v>2976</v>
      </c>
      <c r="L816" s="11">
        <v>202124101063882</v>
      </c>
      <c r="M816" s="20">
        <v>44364</v>
      </c>
      <c r="N816" s="20" t="str">
        <f>UPPER(TEXT(Tabla1[[#This Row],[FECHA RADICADO ENTRADA]],"MMM"))</f>
        <v>JUN</v>
      </c>
      <c r="O816" s="11">
        <v>202124110994751</v>
      </c>
      <c r="P816" s="20">
        <v>44371</v>
      </c>
      <c r="Q816" s="20" t="str">
        <f>UPPER(TEXT(Tabla1[[#This Row],[FECHA RADICADO ENTRADA]],"MMM"))</f>
        <v>JUN</v>
      </c>
      <c r="R816" s="10">
        <f t="shared" si="25"/>
        <v>-7</v>
      </c>
      <c r="S816" s="10" t="s">
        <v>2154</v>
      </c>
      <c r="U816" s="10" t="s">
        <v>3694</v>
      </c>
      <c r="V816" s="20">
        <v>43256</v>
      </c>
      <c r="W816" s="10" t="s">
        <v>41</v>
      </c>
      <c r="X816" s="10">
        <v>150</v>
      </c>
      <c r="Y816" s="11">
        <f>IFERROR(INT(Tabla1[[#This Row],[CANTIDAD UND FARMACEUTICAS]]/(VLOOKUP(Tabla1[[#This Row],[MEDICAMENTO]],TAB_REF!$K$3:$L$27,2,0))),"")</f>
        <v>15</v>
      </c>
      <c r="Z816" s="10" t="str">
        <f>IFERROR(VLOOKUP(Tabla1[[#This Row],[MEDICAMENTO]],TAB_REF!$B$3:$F$27,2,0), "")</f>
        <v xml:space="preserve">Meperidina HCl </v>
      </c>
      <c r="AA816" s="10" t="str">
        <f>IFERROR(VLOOKUP(Tabla1[[#This Row],[MEDICAMENTO]],TAB_REF!$B$3:$F$27,3,0), "")</f>
        <v xml:space="preserve">100 mg/2mL </v>
      </c>
      <c r="AB816" s="10" t="str">
        <f>IFERROR(VLOOKUP(Tabla1[[#This Row],[MEDICAMENTO]],TAB_REF!$B$3:$F$27,4,0), "")</f>
        <v>Solución Inyectable</v>
      </c>
      <c r="AC816" s="10" t="str">
        <f>IFERROR(VLOOKUP(Tabla1[[#This Row],[MEDICAMENTO]],TAB_REF!$B$3:$F$27,5,0), "")</f>
        <v>Caja 10 ampollas</v>
      </c>
      <c r="AD816" s="10" t="str">
        <f>IFERROR(VLOOKUP(Tabla1[[#This Row],[CANTIDAD UND COMERCIALES]],TAB_REF!$H$3:$I$1003,2,0)&amp;" ("&amp;Tabla1[[#This Row],[CANTIDAD UND COMERCIALES]]&amp;")"&amp;"_"&amp;Tabla1[[#This Row],[CANTIDAD]],"")</f>
        <v>Quince (15)_Caja 10 ampollas</v>
      </c>
    </row>
    <row r="817" spans="2:30" x14ac:dyDescent="0.25">
      <c r="B817" s="10">
        <v>333</v>
      </c>
      <c r="C817" s="10" t="s">
        <v>3695</v>
      </c>
      <c r="D817" s="10" t="s">
        <v>2437</v>
      </c>
      <c r="E817" s="10" t="s">
        <v>3696</v>
      </c>
      <c r="F817" s="10" t="s">
        <v>3697</v>
      </c>
      <c r="G817" s="10" t="s">
        <v>3586</v>
      </c>
      <c r="H817" s="10" t="s">
        <v>3698</v>
      </c>
      <c r="I817" s="10" t="s">
        <v>2123</v>
      </c>
      <c r="J817" s="10" t="s">
        <v>1770</v>
      </c>
      <c r="K817" s="10" t="s">
        <v>2976</v>
      </c>
      <c r="L817" s="11">
        <v>202124101064752</v>
      </c>
      <c r="M817" s="20">
        <v>44364</v>
      </c>
      <c r="N817" s="20" t="str">
        <f>UPPER(TEXT(Tabla1[[#This Row],[FECHA RADICADO ENTRADA]],"MMM"))</f>
        <v>JUN</v>
      </c>
      <c r="O817" s="11">
        <v>202124110995161</v>
      </c>
      <c r="P817" s="20">
        <v>44371</v>
      </c>
      <c r="Q817" s="20" t="str">
        <f>UPPER(TEXT(Tabla1[[#This Row],[FECHA RADICADO ENTRADA]],"MMM"))</f>
        <v>JUN</v>
      </c>
      <c r="R817" s="10">
        <f t="shared" si="25"/>
        <v>-7</v>
      </c>
      <c r="S817" s="10" t="s">
        <v>2154</v>
      </c>
      <c r="U817" s="10" t="s">
        <v>3699</v>
      </c>
      <c r="V817" s="20">
        <v>44163</v>
      </c>
      <c r="W817" s="10" t="s">
        <v>63</v>
      </c>
      <c r="X817" s="10">
        <v>300</v>
      </c>
      <c r="Y817" s="11">
        <f>IFERROR(INT(Tabla1[[#This Row],[CANTIDAD UND FARMACEUTICAS]]/(VLOOKUP(Tabla1[[#This Row],[MEDICAMENTO]],TAB_REF!$K$3:$L$27,2,0))),"")</f>
        <v>30</v>
      </c>
      <c r="Z817" s="10" t="str">
        <f>IFERROR(VLOOKUP(Tabla1[[#This Row],[MEDICAMENTO]],TAB_REF!$B$3:$F$27,2,0), "")</f>
        <v xml:space="preserve">Morfina HCl </v>
      </c>
      <c r="AA817" s="10" t="str">
        <f>IFERROR(VLOOKUP(Tabla1[[#This Row],[MEDICAMENTO]],TAB_REF!$B$3:$F$27,3,0), "")</f>
        <v xml:space="preserve">10 mg/mL </v>
      </c>
      <c r="AB817" s="10" t="str">
        <f>IFERROR(VLOOKUP(Tabla1[[#This Row],[MEDICAMENTO]],TAB_REF!$B$3:$F$27,4,0), "")</f>
        <v>Solución Inyectable</v>
      </c>
      <c r="AC817" s="10" t="str">
        <f>IFERROR(VLOOKUP(Tabla1[[#This Row],[MEDICAMENTO]],TAB_REF!$B$3:$F$27,5,0), "")</f>
        <v>Caja x 10 unidades</v>
      </c>
      <c r="AD817" s="10" t="str">
        <f>IFERROR(VLOOKUP(Tabla1[[#This Row],[CANTIDAD UND COMERCIALES]],TAB_REF!$H$3:$I$1003,2,0)&amp;" ("&amp;Tabla1[[#This Row],[CANTIDAD UND COMERCIALES]]&amp;")"&amp;"_"&amp;Tabla1[[#This Row],[CANTIDAD]],"")</f>
        <v>Treinta (30)_Caja x 10 unidades</v>
      </c>
    </row>
    <row r="818" spans="2:30" x14ac:dyDescent="0.25">
      <c r="B818" s="10">
        <v>333</v>
      </c>
      <c r="C818" s="10" t="s">
        <v>3695</v>
      </c>
      <c r="D818" s="10" t="s">
        <v>2437</v>
      </c>
      <c r="E818" s="10" t="s">
        <v>3696</v>
      </c>
      <c r="F818" s="10" t="s">
        <v>3697</v>
      </c>
      <c r="G818" s="10" t="s">
        <v>3586</v>
      </c>
      <c r="H818" s="10" t="s">
        <v>3698</v>
      </c>
      <c r="I818" s="10" t="s">
        <v>2123</v>
      </c>
      <c r="J818" s="10" t="s">
        <v>1770</v>
      </c>
      <c r="K818" s="10" t="s">
        <v>2976</v>
      </c>
      <c r="L818" s="11">
        <v>202124101064752</v>
      </c>
      <c r="M818" s="20">
        <v>44364</v>
      </c>
      <c r="N818" s="20" t="str">
        <f>UPPER(TEXT(Tabla1[[#This Row],[FECHA RADICADO ENTRADA]],"MMM"))</f>
        <v>JUN</v>
      </c>
      <c r="O818" s="11">
        <v>202124110995161</v>
      </c>
      <c r="P818" s="20">
        <v>44371</v>
      </c>
      <c r="Q818" s="20" t="str">
        <f>UPPER(TEXT(Tabla1[[#This Row],[FECHA RADICADO ENTRADA]],"MMM"))</f>
        <v>JUN</v>
      </c>
      <c r="R818" s="10">
        <f t="shared" si="25"/>
        <v>-7</v>
      </c>
      <c r="S818" s="10" t="s">
        <v>2154</v>
      </c>
      <c r="U818" s="10" t="s">
        <v>3699</v>
      </c>
      <c r="V818" s="20">
        <v>44163</v>
      </c>
      <c r="W818" s="10" t="s">
        <v>41</v>
      </c>
      <c r="X818" s="10">
        <v>40</v>
      </c>
      <c r="Y818" s="11">
        <f>IFERROR(INT(Tabla1[[#This Row],[CANTIDAD UND FARMACEUTICAS]]/(VLOOKUP(Tabla1[[#This Row],[MEDICAMENTO]],TAB_REF!$K$3:$L$27,2,0))),"")</f>
        <v>4</v>
      </c>
      <c r="Z818" s="10" t="str">
        <f>IFERROR(VLOOKUP(Tabla1[[#This Row],[MEDICAMENTO]],TAB_REF!$B$3:$F$27,2,0), "")</f>
        <v xml:space="preserve">Meperidina HCl </v>
      </c>
      <c r="AA818" s="10" t="str">
        <f>IFERROR(VLOOKUP(Tabla1[[#This Row],[MEDICAMENTO]],TAB_REF!$B$3:$F$27,3,0), "")</f>
        <v xml:space="preserve">100 mg/2mL </v>
      </c>
      <c r="AB818" s="10" t="str">
        <f>IFERROR(VLOOKUP(Tabla1[[#This Row],[MEDICAMENTO]],TAB_REF!$B$3:$F$27,4,0), "")</f>
        <v>Solución Inyectable</v>
      </c>
      <c r="AC818" s="10" t="str">
        <f>IFERROR(VLOOKUP(Tabla1[[#This Row],[MEDICAMENTO]],TAB_REF!$B$3:$F$27,5,0), "")</f>
        <v>Caja 10 ampollas</v>
      </c>
      <c r="AD818" s="10" t="str">
        <f>IFERROR(VLOOKUP(Tabla1[[#This Row],[CANTIDAD UND COMERCIALES]],TAB_REF!$H$3:$I$1003,2,0)&amp;" ("&amp;Tabla1[[#This Row],[CANTIDAD UND COMERCIALES]]&amp;")"&amp;"_"&amp;Tabla1[[#This Row],[CANTIDAD]],"")</f>
        <v>Cuatro (4)_Caja 10 ampollas</v>
      </c>
    </row>
    <row r="819" spans="2:30" x14ac:dyDescent="0.25">
      <c r="B819" s="10">
        <v>334</v>
      </c>
      <c r="C819" s="10" t="s">
        <v>3700</v>
      </c>
      <c r="D819" s="10" t="s">
        <v>2182</v>
      </c>
      <c r="E819" s="10" t="s">
        <v>3701</v>
      </c>
      <c r="F819" s="10" t="s">
        <v>3702</v>
      </c>
      <c r="G819" s="10" t="s">
        <v>3703</v>
      </c>
      <c r="H819" s="10" t="s">
        <v>3704</v>
      </c>
      <c r="I819" s="10" t="s">
        <v>2109</v>
      </c>
      <c r="J819" s="10" t="s">
        <v>1080</v>
      </c>
      <c r="K819" s="10" t="s">
        <v>2976</v>
      </c>
      <c r="L819" s="11">
        <v>202124101065142</v>
      </c>
      <c r="M819" s="20">
        <v>44364</v>
      </c>
      <c r="N819" s="20" t="str">
        <f>UPPER(TEXT(Tabla1[[#This Row],[FECHA RADICADO ENTRADA]],"MMM"))</f>
        <v>JUN</v>
      </c>
      <c r="O819" s="11">
        <v>202124110995161</v>
      </c>
      <c r="P819" s="20">
        <v>44371</v>
      </c>
      <c r="Q819" s="20" t="str">
        <f>UPPER(TEXT(Tabla1[[#This Row],[FECHA RADICADO ENTRADA]],"MMM"))</f>
        <v>JUN</v>
      </c>
      <c r="R819" s="10">
        <f t="shared" si="25"/>
        <v>-7</v>
      </c>
      <c r="S819" s="10" t="s">
        <v>2154</v>
      </c>
      <c r="U819" s="10" t="s">
        <v>3705</v>
      </c>
      <c r="V819" s="20">
        <v>43530</v>
      </c>
      <c r="W819" s="10" t="s">
        <v>49</v>
      </c>
      <c r="X819" s="10">
        <v>720</v>
      </c>
      <c r="Y819" s="11">
        <f>IFERROR(INT(Tabla1[[#This Row],[CANTIDAD UND FARMACEUTICAS]]/(VLOOKUP(Tabla1[[#This Row],[MEDICAMENTO]],TAB_REF!$K$3:$L$27,2,0))),"")</f>
        <v>24</v>
      </c>
      <c r="Z819" s="10" t="str">
        <f>IFERROR(VLOOKUP(Tabla1[[#This Row],[MEDICAMENTO]],TAB_REF!$B$3:$F$27,2,0), "")</f>
        <v xml:space="preserve">Metilfenidato HCl </v>
      </c>
      <c r="AA819" s="10" t="str">
        <f>IFERROR(VLOOKUP(Tabla1[[#This Row],[MEDICAMENTO]],TAB_REF!$B$3:$F$27,3,0), "")</f>
        <v xml:space="preserve">18 mg </v>
      </c>
      <c r="AB819" s="10" t="str">
        <f>IFERROR(VLOOKUP(Tabla1[[#This Row],[MEDICAMENTO]],TAB_REF!$B$3:$F$27,4,0), "")</f>
        <v>Tabletas de Liberación Prolongada</v>
      </c>
      <c r="AC819" s="10" t="str">
        <f>IFERROR(VLOOKUP(Tabla1[[#This Row],[MEDICAMENTO]],TAB_REF!$B$3:$F$27,5,0), "")</f>
        <v>Frasco x 30 unidades</v>
      </c>
      <c r="AD819" s="10" t="str">
        <f>IFERROR(VLOOKUP(Tabla1[[#This Row],[CANTIDAD UND COMERCIALES]],TAB_REF!$H$3:$I$1003,2,0)&amp;" ("&amp;Tabla1[[#This Row],[CANTIDAD UND COMERCIALES]]&amp;")"&amp;"_"&amp;Tabla1[[#This Row],[CANTIDAD]],"")</f>
        <v>Veinticuatro (24)_Frasco x 30 unidades</v>
      </c>
    </row>
    <row r="820" spans="2:30" x14ac:dyDescent="0.25">
      <c r="B820" s="10">
        <v>334</v>
      </c>
      <c r="C820" s="10" t="s">
        <v>3700</v>
      </c>
      <c r="D820" s="10" t="s">
        <v>2182</v>
      </c>
      <c r="E820" s="10" t="s">
        <v>3701</v>
      </c>
      <c r="F820" s="10" t="s">
        <v>3702</v>
      </c>
      <c r="G820" s="10" t="s">
        <v>3703</v>
      </c>
      <c r="H820" s="10" t="s">
        <v>3704</v>
      </c>
      <c r="I820" s="10" t="s">
        <v>2109</v>
      </c>
      <c r="J820" s="10" t="s">
        <v>1080</v>
      </c>
      <c r="K820" s="10" t="s">
        <v>2976</v>
      </c>
      <c r="L820" s="11">
        <v>202124101065142</v>
      </c>
      <c r="M820" s="20">
        <v>44364</v>
      </c>
      <c r="N820" s="20" t="str">
        <f>UPPER(TEXT(Tabla1[[#This Row],[FECHA RADICADO ENTRADA]],"MMM"))</f>
        <v>JUN</v>
      </c>
      <c r="O820" s="11">
        <v>202124110995161</v>
      </c>
      <c r="P820" s="20">
        <v>44371</v>
      </c>
      <c r="Q820" s="20" t="str">
        <f>UPPER(TEXT(Tabla1[[#This Row],[FECHA RADICADO ENTRADA]],"MMM"))</f>
        <v>JUN</v>
      </c>
      <c r="R820" s="10">
        <f t="shared" si="25"/>
        <v>-7</v>
      </c>
      <c r="S820" s="10" t="s">
        <v>2154</v>
      </c>
      <c r="U820" s="10" t="s">
        <v>3705</v>
      </c>
      <c r="V820" s="20">
        <v>43530</v>
      </c>
      <c r="W820" s="10" t="s">
        <v>57</v>
      </c>
      <c r="X820" s="10">
        <v>1110</v>
      </c>
      <c r="Y820" s="11">
        <f>IFERROR(INT(Tabla1[[#This Row],[CANTIDAD UND FARMACEUTICAS]]/(VLOOKUP(Tabla1[[#This Row],[MEDICAMENTO]],TAB_REF!$K$3:$L$27,2,0))),"")</f>
        <v>37</v>
      </c>
      <c r="Z820" s="10" t="str">
        <f>IFERROR(VLOOKUP(Tabla1[[#This Row],[MEDICAMENTO]],TAB_REF!$B$3:$F$27,2,0), "")</f>
        <v xml:space="preserve">Metilfenidato HCl </v>
      </c>
      <c r="AA820" s="10" t="str">
        <f>IFERROR(VLOOKUP(Tabla1[[#This Row],[MEDICAMENTO]],TAB_REF!$B$3:$F$27,3,0), "")</f>
        <v xml:space="preserve">36 mg </v>
      </c>
      <c r="AB820" s="10" t="str">
        <f>IFERROR(VLOOKUP(Tabla1[[#This Row],[MEDICAMENTO]],TAB_REF!$B$3:$F$27,4,0), "")</f>
        <v>Tabletas de Liberación Prolongada</v>
      </c>
      <c r="AC820" s="10" t="str">
        <f>IFERROR(VLOOKUP(Tabla1[[#This Row],[MEDICAMENTO]],TAB_REF!$B$3:$F$27,5,0), "")</f>
        <v>Frasco x 30 unidades</v>
      </c>
      <c r="AD820" s="10" t="str">
        <f>IFERROR(VLOOKUP(Tabla1[[#This Row],[CANTIDAD UND COMERCIALES]],TAB_REF!$H$3:$I$1003,2,0)&amp;" ("&amp;Tabla1[[#This Row],[CANTIDAD UND COMERCIALES]]&amp;")"&amp;"_"&amp;Tabla1[[#This Row],[CANTIDAD]],"")</f>
        <v>Treinta Y Siete (37)_Frasco x 30 unidades</v>
      </c>
    </row>
    <row r="821" spans="2:30" x14ac:dyDescent="0.25">
      <c r="B821" s="10">
        <v>335</v>
      </c>
      <c r="C821" s="10" t="s">
        <v>3706</v>
      </c>
      <c r="D821" s="10" t="s">
        <v>2182</v>
      </c>
      <c r="E821" s="10" t="s">
        <v>3707</v>
      </c>
      <c r="F821" s="10" t="s">
        <v>3678</v>
      </c>
      <c r="G821" s="10" t="s">
        <v>3708</v>
      </c>
      <c r="H821" s="10" t="s">
        <v>3709</v>
      </c>
      <c r="I821" s="10" t="s">
        <v>2123</v>
      </c>
      <c r="J821" s="10" t="s">
        <v>1770</v>
      </c>
      <c r="K821" s="10" t="s">
        <v>2976</v>
      </c>
      <c r="L821" s="11">
        <v>202124101066432</v>
      </c>
      <c r="M821" s="20">
        <v>44364</v>
      </c>
      <c r="N821" s="20" t="str">
        <f>UPPER(TEXT(Tabla1[[#This Row],[FECHA RADICADO ENTRADA]],"MMM"))</f>
        <v>JUN</v>
      </c>
      <c r="O821" s="11">
        <v>202124110995621</v>
      </c>
      <c r="P821" s="20">
        <v>44371</v>
      </c>
      <c r="Q821" s="20" t="str">
        <f>UPPER(TEXT(Tabla1[[#This Row],[FECHA RADICADO ENTRADA]],"MMM"))</f>
        <v>JUN</v>
      </c>
      <c r="R821" s="10">
        <f t="shared" si="25"/>
        <v>-7</v>
      </c>
      <c r="S821" s="10" t="s">
        <v>2145</v>
      </c>
      <c r="T821" s="10" t="s">
        <v>3710</v>
      </c>
      <c r="U821" s="10" t="s">
        <v>3121</v>
      </c>
      <c r="V821" s="20">
        <v>44281</v>
      </c>
      <c r="W821" s="10" t="s">
        <v>32</v>
      </c>
      <c r="X821" s="10">
        <v>0</v>
      </c>
      <c r="Y821" s="11">
        <f>IFERROR(INT(Tabla1[[#This Row],[CANTIDAD UND FARMACEUTICAS]]/(VLOOKUP(Tabla1[[#This Row],[MEDICAMENTO]],TAB_REF!$K$3:$L$27,2,0))),"")</f>
        <v>0</v>
      </c>
      <c r="Z821" s="10" t="str">
        <f>IFERROR(VLOOKUP(Tabla1[[#This Row],[MEDICAMENTO]],TAB_REF!$B$3:$F$27,2,0), "")</f>
        <v xml:space="preserve">Fenobarbital </v>
      </c>
      <c r="AA821" s="10" t="str">
        <f>IFERROR(VLOOKUP(Tabla1[[#This Row],[MEDICAMENTO]],TAB_REF!$B$3:$F$27,3,0), "")</f>
        <v xml:space="preserve">100 mg </v>
      </c>
      <c r="AB821" s="10" t="str">
        <f>IFERROR(VLOOKUP(Tabla1[[#This Row],[MEDICAMENTO]],TAB_REF!$B$3:$F$27,4,0), "")</f>
        <v>Tabletas</v>
      </c>
      <c r="AC821" s="10" t="str">
        <f>IFERROR(VLOOKUP(Tabla1[[#This Row],[MEDICAMENTO]],TAB_REF!$B$3:$F$27,5,0), "")</f>
        <v>Caja x 30 unidades</v>
      </c>
      <c r="AD821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822" spans="2:30" x14ac:dyDescent="0.25">
      <c r="B822" s="10">
        <v>336</v>
      </c>
      <c r="C822" s="10" t="s">
        <v>3711</v>
      </c>
      <c r="D822" s="10" t="s">
        <v>3712</v>
      </c>
      <c r="E822" s="10" t="s">
        <v>3713</v>
      </c>
      <c r="F822" s="10" t="s">
        <v>2867</v>
      </c>
      <c r="G822" s="10" t="s">
        <v>2303</v>
      </c>
      <c r="H822" s="10" t="s">
        <v>3714</v>
      </c>
      <c r="I822" s="10" t="s">
        <v>2122</v>
      </c>
      <c r="J822" s="10" t="s">
        <v>1748</v>
      </c>
      <c r="K822" s="10" t="s">
        <v>2976</v>
      </c>
      <c r="L822" s="11">
        <v>202124101068322</v>
      </c>
      <c r="M822" s="20">
        <v>44364</v>
      </c>
      <c r="N822" s="20" t="str">
        <f>UPPER(TEXT(Tabla1[[#This Row],[FECHA RADICADO ENTRADA]],"MMM"))</f>
        <v>JUN</v>
      </c>
      <c r="O822" s="11">
        <v>202124110996941</v>
      </c>
      <c r="P822" s="20">
        <v>44371</v>
      </c>
      <c r="Q822" s="20" t="str">
        <f>UPPER(TEXT(Tabla1[[#This Row],[FECHA RADICADO ENTRADA]],"MMM"))</f>
        <v>JUN</v>
      </c>
      <c r="R822" s="10">
        <f t="shared" si="25"/>
        <v>-7</v>
      </c>
      <c r="S822" s="10" t="s">
        <v>2154</v>
      </c>
      <c r="U822" s="10" t="s">
        <v>2311</v>
      </c>
      <c r="V822" s="20">
        <v>43787</v>
      </c>
      <c r="W822" s="10" t="s">
        <v>32</v>
      </c>
      <c r="X822" s="10">
        <v>5220</v>
      </c>
      <c r="Y822" s="11">
        <f>IFERROR(INT(Tabla1[[#This Row],[CANTIDAD UND FARMACEUTICAS]]/(VLOOKUP(Tabla1[[#This Row],[MEDICAMENTO]],TAB_REF!$K$3:$L$27,2,0))),"")</f>
        <v>174</v>
      </c>
      <c r="Z822" s="10" t="str">
        <f>IFERROR(VLOOKUP(Tabla1[[#This Row],[MEDICAMENTO]],TAB_REF!$B$3:$F$27,2,0), "")</f>
        <v xml:space="preserve">Fenobarbital </v>
      </c>
      <c r="AA822" s="10" t="str">
        <f>IFERROR(VLOOKUP(Tabla1[[#This Row],[MEDICAMENTO]],TAB_REF!$B$3:$F$27,3,0), "")</f>
        <v xml:space="preserve">100 mg </v>
      </c>
      <c r="AB822" s="10" t="str">
        <f>IFERROR(VLOOKUP(Tabla1[[#This Row],[MEDICAMENTO]],TAB_REF!$B$3:$F$27,4,0), "")</f>
        <v>Tabletas</v>
      </c>
      <c r="AC822" s="10" t="str">
        <f>IFERROR(VLOOKUP(Tabla1[[#This Row],[MEDICAMENTO]],TAB_REF!$B$3:$F$27,5,0), "")</f>
        <v>Caja x 30 unidades</v>
      </c>
      <c r="AD822" s="10" t="str">
        <f>IFERROR(VLOOKUP(Tabla1[[#This Row],[CANTIDAD UND COMERCIALES]],TAB_REF!$H$3:$I$1003,2,0)&amp;" ("&amp;Tabla1[[#This Row],[CANTIDAD UND COMERCIALES]]&amp;")"&amp;"_"&amp;Tabla1[[#This Row],[CANTIDAD]],"")</f>
        <v>Ciento Setenta Y Cuatro (174)_Caja x 30 unidades</v>
      </c>
    </row>
    <row r="823" spans="2:30" x14ac:dyDescent="0.25">
      <c r="B823" s="10">
        <v>337</v>
      </c>
      <c r="C823" s="10" t="s">
        <v>3711</v>
      </c>
      <c r="D823" s="10" t="s">
        <v>3712</v>
      </c>
      <c r="E823" s="10" t="s">
        <v>3713</v>
      </c>
      <c r="F823" s="10" t="s">
        <v>2867</v>
      </c>
      <c r="G823" s="10" t="s">
        <v>2303</v>
      </c>
      <c r="H823" s="10" t="s">
        <v>3715</v>
      </c>
      <c r="I823" s="10" t="s">
        <v>2122</v>
      </c>
      <c r="J823" s="10" t="s">
        <v>1757</v>
      </c>
      <c r="K823" s="10" t="s">
        <v>2976</v>
      </c>
      <c r="L823" s="11">
        <v>202124101068322</v>
      </c>
      <c r="M823" s="20">
        <v>44364</v>
      </c>
      <c r="N823" s="20" t="str">
        <f>UPPER(TEXT(Tabla1[[#This Row],[FECHA RADICADO ENTRADA]],"MMM"))</f>
        <v>JUN</v>
      </c>
      <c r="O823" s="11">
        <v>202124110996991</v>
      </c>
      <c r="P823" s="20">
        <v>44371</v>
      </c>
      <c r="Q823" s="20" t="str">
        <f>UPPER(TEXT(Tabla1[[#This Row],[FECHA RADICADO ENTRADA]],"MMM"))</f>
        <v>JUN</v>
      </c>
      <c r="R823" s="10">
        <f t="shared" si="25"/>
        <v>-7</v>
      </c>
      <c r="S823" s="10" t="s">
        <v>2154</v>
      </c>
      <c r="U823" s="10" t="s">
        <v>3716</v>
      </c>
      <c r="V823" s="20">
        <v>44001</v>
      </c>
      <c r="W823" s="10" t="s">
        <v>32</v>
      </c>
      <c r="X823" s="10">
        <v>3000</v>
      </c>
      <c r="Y823" s="11">
        <f>IFERROR(INT(Tabla1[[#This Row],[CANTIDAD UND FARMACEUTICAS]]/(VLOOKUP(Tabla1[[#This Row],[MEDICAMENTO]],TAB_REF!$K$3:$L$27,2,0))),"")</f>
        <v>100</v>
      </c>
      <c r="Z823" s="10" t="str">
        <f>IFERROR(VLOOKUP(Tabla1[[#This Row],[MEDICAMENTO]],TAB_REF!$B$3:$F$27,2,0), "")</f>
        <v xml:space="preserve">Fenobarbital </v>
      </c>
      <c r="AA823" s="10" t="str">
        <f>IFERROR(VLOOKUP(Tabla1[[#This Row],[MEDICAMENTO]],TAB_REF!$B$3:$F$27,3,0), "")</f>
        <v xml:space="preserve">100 mg </v>
      </c>
      <c r="AB823" s="10" t="str">
        <f>IFERROR(VLOOKUP(Tabla1[[#This Row],[MEDICAMENTO]],TAB_REF!$B$3:$F$27,4,0), "")</f>
        <v>Tabletas</v>
      </c>
      <c r="AC823" s="10" t="str">
        <f>IFERROR(VLOOKUP(Tabla1[[#This Row],[MEDICAMENTO]],TAB_REF!$B$3:$F$27,5,0), "")</f>
        <v>Caja x 30 unidades</v>
      </c>
      <c r="AD823" s="10" t="str">
        <f>IFERROR(VLOOKUP(Tabla1[[#This Row],[CANTIDAD UND COMERCIALES]],TAB_REF!$H$3:$I$1003,2,0)&amp;" ("&amp;Tabla1[[#This Row],[CANTIDAD UND COMERCIALES]]&amp;")"&amp;"_"&amp;Tabla1[[#This Row],[CANTIDAD]],"")</f>
        <v>Cien (100)_Caja x 30 unidades</v>
      </c>
    </row>
    <row r="824" spans="2:30" x14ac:dyDescent="0.25">
      <c r="B824" s="10">
        <v>338</v>
      </c>
      <c r="C824" s="10" t="s">
        <v>3711</v>
      </c>
      <c r="D824" s="10" t="s">
        <v>3712</v>
      </c>
      <c r="E824" s="10" t="s">
        <v>3713</v>
      </c>
      <c r="F824" s="10" t="s">
        <v>2867</v>
      </c>
      <c r="G824" s="10" t="s">
        <v>2303</v>
      </c>
      <c r="H824" s="10" t="s">
        <v>3717</v>
      </c>
      <c r="I824" s="10" t="s">
        <v>2122</v>
      </c>
      <c r="J824" s="10" t="s">
        <v>1758</v>
      </c>
      <c r="K824" s="10" t="s">
        <v>2976</v>
      </c>
      <c r="L824" s="11">
        <v>202124101068322</v>
      </c>
      <c r="M824" s="20">
        <v>44364</v>
      </c>
      <c r="N824" s="20" t="str">
        <f>UPPER(TEXT(Tabla1[[#This Row],[FECHA RADICADO ENTRADA]],"MMM"))</f>
        <v>JUN</v>
      </c>
      <c r="O824" s="11">
        <v>202124110997011</v>
      </c>
      <c r="P824" s="20">
        <v>44371</v>
      </c>
      <c r="Q824" s="20" t="str">
        <f>UPPER(TEXT(Tabla1[[#This Row],[FECHA RADICADO ENTRADA]],"MMM"))</f>
        <v>JUN</v>
      </c>
      <c r="R824" s="10">
        <f t="shared" si="25"/>
        <v>-7</v>
      </c>
      <c r="S824" s="10" t="s">
        <v>2154</v>
      </c>
      <c r="U824" s="10" t="s">
        <v>2309</v>
      </c>
      <c r="V824" s="20">
        <v>43787</v>
      </c>
      <c r="W824" s="10" t="s">
        <v>32</v>
      </c>
      <c r="X824" s="10">
        <v>900</v>
      </c>
      <c r="Y824" s="11">
        <f>IFERROR(INT(Tabla1[[#This Row],[CANTIDAD UND FARMACEUTICAS]]/(VLOOKUP(Tabla1[[#This Row],[MEDICAMENTO]],TAB_REF!$K$3:$L$27,2,0))),"")</f>
        <v>30</v>
      </c>
      <c r="Z824" s="10" t="str">
        <f>IFERROR(VLOOKUP(Tabla1[[#This Row],[MEDICAMENTO]],TAB_REF!$B$3:$F$27,2,0), "")</f>
        <v xml:space="preserve">Fenobarbital </v>
      </c>
      <c r="AA824" s="10" t="str">
        <f>IFERROR(VLOOKUP(Tabla1[[#This Row],[MEDICAMENTO]],TAB_REF!$B$3:$F$27,3,0), "")</f>
        <v xml:space="preserve">100 mg </v>
      </c>
      <c r="AB824" s="10" t="str">
        <f>IFERROR(VLOOKUP(Tabla1[[#This Row],[MEDICAMENTO]],TAB_REF!$B$3:$F$27,4,0), "")</f>
        <v>Tabletas</v>
      </c>
      <c r="AC824" s="10" t="str">
        <f>IFERROR(VLOOKUP(Tabla1[[#This Row],[MEDICAMENTO]],TAB_REF!$B$3:$F$27,5,0), "")</f>
        <v>Caja x 30 unidades</v>
      </c>
      <c r="AD824" s="10" t="str">
        <f>IFERROR(VLOOKUP(Tabla1[[#This Row],[CANTIDAD UND COMERCIALES]],TAB_REF!$H$3:$I$1003,2,0)&amp;" ("&amp;Tabla1[[#This Row],[CANTIDAD UND COMERCIALES]]&amp;")"&amp;"_"&amp;Tabla1[[#This Row],[CANTIDAD]],"")</f>
        <v>Treinta (30)_Caja x 30 unidades</v>
      </c>
    </row>
    <row r="825" spans="2:30" x14ac:dyDescent="0.25">
      <c r="B825" s="10">
        <v>339</v>
      </c>
      <c r="C825" s="10" t="s">
        <v>2149</v>
      </c>
      <c r="D825" s="10" t="s">
        <v>3495</v>
      </c>
      <c r="E825" s="10" t="s">
        <v>3718</v>
      </c>
      <c r="F825" s="10" t="s">
        <v>3719</v>
      </c>
      <c r="G825" s="10" t="s">
        <v>2193</v>
      </c>
      <c r="H825" s="10" t="s">
        <v>3720</v>
      </c>
      <c r="I825" s="10" t="s">
        <v>2116</v>
      </c>
      <c r="J825" s="10" t="s">
        <v>1550</v>
      </c>
      <c r="K825" s="10" t="s">
        <v>2976</v>
      </c>
      <c r="L825" s="11">
        <v>202124101071872</v>
      </c>
      <c r="M825" s="20">
        <v>44365</v>
      </c>
      <c r="N825" s="20" t="str">
        <f>UPPER(TEXT(Tabla1[[#This Row],[FECHA RADICADO ENTRADA]],"MMM"))</f>
        <v>JUN</v>
      </c>
      <c r="O825" s="11">
        <v>202124110997151</v>
      </c>
      <c r="P825" s="20">
        <v>44371</v>
      </c>
      <c r="Q825" s="20" t="str">
        <f>UPPER(TEXT(Tabla1[[#This Row],[FECHA RADICADO ENTRADA]],"MMM"))</f>
        <v>JUN</v>
      </c>
      <c r="R825" s="10">
        <f t="shared" si="25"/>
        <v>-6</v>
      </c>
      <c r="S825" s="10" t="s">
        <v>2145</v>
      </c>
      <c r="T825" s="10" t="s">
        <v>3721</v>
      </c>
      <c r="U825" s="10" t="s">
        <v>3722</v>
      </c>
      <c r="V825" s="20" t="s">
        <v>3722</v>
      </c>
      <c r="W825" s="10" t="s">
        <v>63</v>
      </c>
      <c r="X825" s="10">
        <v>0</v>
      </c>
      <c r="Y825" s="11">
        <f>IFERROR(INT(Tabla1[[#This Row],[CANTIDAD UND FARMACEUTICAS]]/(VLOOKUP(Tabla1[[#This Row],[MEDICAMENTO]],TAB_REF!$K$3:$L$27,2,0))),"")</f>
        <v>0</v>
      </c>
      <c r="Z825" s="10" t="str">
        <f>IFERROR(VLOOKUP(Tabla1[[#This Row],[MEDICAMENTO]],TAB_REF!$B$3:$F$27,2,0), "")</f>
        <v xml:space="preserve">Morfina HCl </v>
      </c>
      <c r="AA825" s="10" t="str">
        <f>IFERROR(VLOOKUP(Tabla1[[#This Row],[MEDICAMENTO]],TAB_REF!$B$3:$F$27,3,0), "")</f>
        <v xml:space="preserve">10 mg/mL </v>
      </c>
      <c r="AB825" s="10" t="str">
        <f>IFERROR(VLOOKUP(Tabla1[[#This Row],[MEDICAMENTO]],TAB_REF!$B$3:$F$27,4,0), "")</f>
        <v>Solución Inyectable</v>
      </c>
      <c r="AC825" s="10" t="str">
        <f>IFERROR(VLOOKUP(Tabla1[[#This Row],[MEDICAMENTO]],TAB_REF!$B$3:$F$27,5,0), "")</f>
        <v>Caja x 10 unidades</v>
      </c>
      <c r="AD825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826" spans="2:30" x14ac:dyDescent="0.25">
      <c r="B826" s="10">
        <v>339</v>
      </c>
      <c r="C826" s="10" t="s">
        <v>2149</v>
      </c>
      <c r="D826" s="10" t="s">
        <v>3495</v>
      </c>
      <c r="E826" s="10" t="s">
        <v>3718</v>
      </c>
      <c r="F826" s="10" t="s">
        <v>3719</v>
      </c>
      <c r="G826" s="10" t="s">
        <v>2193</v>
      </c>
      <c r="H826" s="10" t="s">
        <v>3720</v>
      </c>
      <c r="I826" s="10" t="s">
        <v>2116</v>
      </c>
      <c r="J826" s="10" t="s">
        <v>1550</v>
      </c>
      <c r="K826" s="10" t="s">
        <v>2976</v>
      </c>
      <c r="L826" s="11">
        <v>202124101071872</v>
      </c>
      <c r="M826" s="20">
        <v>44365</v>
      </c>
      <c r="N826" s="20" t="str">
        <f>UPPER(TEXT(Tabla1[[#This Row],[FECHA RADICADO ENTRADA]],"MMM"))</f>
        <v>JUN</v>
      </c>
      <c r="O826" s="11">
        <v>202124110997151</v>
      </c>
      <c r="P826" s="20">
        <v>44371</v>
      </c>
      <c r="Q826" s="20" t="str">
        <f>UPPER(TEXT(Tabla1[[#This Row],[FECHA RADICADO ENTRADA]],"MMM"))</f>
        <v>JUN</v>
      </c>
      <c r="R826" s="10">
        <f t="shared" si="25"/>
        <v>-6</v>
      </c>
      <c r="S826" s="10" t="s">
        <v>2145</v>
      </c>
      <c r="T826" s="10" t="s">
        <v>3721</v>
      </c>
      <c r="U826" s="10" t="s">
        <v>3722</v>
      </c>
      <c r="V826" s="20" t="s">
        <v>3722</v>
      </c>
      <c r="W826" s="10" t="s">
        <v>38</v>
      </c>
      <c r="X826" s="10">
        <v>0</v>
      </c>
      <c r="Y826" s="11">
        <f>IFERROR(INT(Tabla1[[#This Row],[CANTIDAD UND FARMACEUTICAS]]/(VLOOKUP(Tabla1[[#This Row],[MEDICAMENTO]],TAB_REF!$K$3:$L$27,2,0))),"")</f>
        <v>0</v>
      </c>
      <c r="Z826" s="10" t="str">
        <f>IFERROR(VLOOKUP(Tabla1[[#This Row],[MEDICAMENTO]],TAB_REF!$B$3:$F$27,2,0), "")</f>
        <v xml:space="preserve">Hidromorfona HCl </v>
      </c>
      <c r="AA826" s="10" t="str">
        <f>IFERROR(VLOOKUP(Tabla1[[#This Row],[MEDICAMENTO]],TAB_REF!$B$3:$F$27,3,0), "")</f>
        <v xml:space="preserve">2,5 mg </v>
      </c>
      <c r="AB826" s="10" t="str">
        <f>IFERROR(VLOOKUP(Tabla1[[#This Row],[MEDICAMENTO]],TAB_REF!$B$3:$F$27,4,0), "")</f>
        <v>Tabletas</v>
      </c>
      <c r="AC826" s="10" t="str">
        <f>IFERROR(VLOOKUP(Tabla1[[#This Row],[MEDICAMENTO]],TAB_REF!$B$3:$F$27,5,0), "")</f>
        <v>Caja x 20 unidades</v>
      </c>
      <c r="AD826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827" spans="2:30" x14ac:dyDescent="0.25">
      <c r="B827" s="10">
        <v>340</v>
      </c>
      <c r="C827" s="10" t="s">
        <v>2874</v>
      </c>
      <c r="D827" s="10" t="s">
        <v>2182</v>
      </c>
      <c r="E827" s="10" t="s">
        <v>2875</v>
      </c>
      <c r="F827" s="10" t="s">
        <v>3723</v>
      </c>
      <c r="G827" s="10" t="s">
        <v>3061</v>
      </c>
      <c r="H827" s="10" t="s">
        <v>2908</v>
      </c>
      <c r="I827" s="10" t="s">
        <v>2123</v>
      </c>
      <c r="J827" s="10" t="s">
        <v>1770</v>
      </c>
      <c r="K827" s="10" t="s">
        <v>2976</v>
      </c>
      <c r="L827" s="11">
        <v>202124101078052</v>
      </c>
      <c r="M827" s="20">
        <v>44365</v>
      </c>
      <c r="N827" s="20" t="str">
        <f>UPPER(TEXT(Tabla1[[#This Row],[FECHA RADICADO ENTRADA]],"MMM"))</f>
        <v>JUN</v>
      </c>
      <c r="O827" s="11">
        <v>202124110997291</v>
      </c>
      <c r="P827" s="20">
        <v>44371</v>
      </c>
      <c r="Q827" s="20" t="str">
        <f>UPPER(TEXT(Tabla1[[#This Row],[FECHA RADICADO ENTRADA]],"MMM"))</f>
        <v>JUN</v>
      </c>
      <c r="R827" s="10">
        <f t="shared" si="25"/>
        <v>-6</v>
      </c>
      <c r="S827" s="10" t="s">
        <v>2154</v>
      </c>
      <c r="U827" s="10" t="s">
        <v>2911</v>
      </c>
      <c r="V827" s="20">
        <v>44211</v>
      </c>
      <c r="W827" s="10" t="s">
        <v>38</v>
      </c>
      <c r="X827" s="10">
        <v>2000</v>
      </c>
      <c r="Y827" s="11">
        <f>IFERROR(INT(Tabla1[[#This Row],[CANTIDAD UND FARMACEUTICAS]]/(VLOOKUP(Tabla1[[#This Row],[MEDICAMENTO]],TAB_REF!$K$3:$L$27,2,0))),"")</f>
        <v>100</v>
      </c>
      <c r="Z827" s="10" t="str">
        <f>IFERROR(VLOOKUP(Tabla1[[#This Row],[MEDICAMENTO]],TAB_REF!$B$3:$F$27,2,0), "")</f>
        <v xml:space="preserve">Hidromorfona HCl </v>
      </c>
      <c r="AA827" s="10" t="str">
        <f>IFERROR(VLOOKUP(Tabla1[[#This Row],[MEDICAMENTO]],TAB_REF!$B$3:$F$27,3,0), "")</f>
        <v xml:space="preserve">2,5 mg </v>
      </c>
      <c r="AB827" s="10" t="str">
        <f>IFERROR(VLOOKUP(Tabla1[[#This Row],[MEDICAMENTO]],TAB_REF!$B$3:$F$27,4,0), "")</f>
        <v>Tabletas</v>
      </c>
      <c r="AC827" s="10" t="str">
        <f>IFERROR(VLOOKUP(Tabla1[[#This Row],[MEDICAMENTO]],TAB_REF!$B$3:$F$27,5,0), "")</f>
        <v>Caja x 20 unidades</v>
      </c>
      <c r="AD827" s="10" t="str">
        <f>IFERROR(VLOOKUP(Tabla1[[#This Row],[CANTIDAD UND COMERCIALES]],TAB_REF!$H$3:$I$1003,2,0)&amp;" ("&amp;Tabla1[[#This Row],[CANTIDAD UND COMERCIALES]]&amp;")"&amp;"_"&amp;Tabla1[[#This Row],[CANTIDAD]],"")</f>
        <v>Cien (100)_Caja x 20 unidades</v>
      </c>
    </row>
    <row r="828" spans="2:30" x14ac:dyDescent="0.25">
      <c r="B828" s="10">
        <v>340</v>
      </c>
      <c r="C828" s="10" t="s">
        <v>2874</v>
      </c>
      <c r="D828" s="10" t="s">
        <v>2182</v>
      </c>
      <c r="E828" s="10" t="s">
        <v>2875</v>
      </c>
      <c r="F828" s="10" t="s">
        <v>3723</v>
      </c>
      <c r="G828" s="10" t="s">
        <v>3061</v>
      </c>
      <c r="H828" s="10" t="s">
        <v>2908</v>
      </c>
      <c r="I828" s="10" t="s">
        <v>2123</v>
      </c>
      <c r="J828" s="10" t="s">
        <v>1770</v>
      </c>
      <c r="K828" s="10" t="s">
        <v>2976</v>
      </c>
      <c r="L828" s="11">
        <v>202124101078052</v>
      </c>
      <c r="M828" s="20">
        <v>44365</v>
      </c>
      <c r="N828" s="20" t="str">
        <f>UPPER(TEXT(Tabla1[[#This Row],[FECHA RADICADO ENTRADA]],"MMM"))</f>
        <v>JUN</v>
      </c>
      <c r="O828" s="11">
        <v>202124110997291</v>
      </c>
      <c r="P828" s="20">
        <v>44371</v>
      </c>
      <c r="Q828" s="20" t="str">
        <f>UPPER(TEXT(Tabla1[[#This Row],[FECHA RADICADO ENTRADA]],"MMM"))</f>
        <v>JUN</v>
      </c>
      <c r="R828" s="10">
        <f t="shared" si="25"/>
        <v>-6</v>
      </c>
      <c r="S828" s="10" t="s">
        <v>2154</v>
      </c>
      <c r="U828" s="10" t="s">
        <v>2911</v>
      </c>
      <c r="V828" s="20">
        <v>44211</v>
      </c>
      <c r="W828" s="10" t="s">
        <v>32</v>
      </c>
      <c r="X828" s="10">
        <v>3600</v>
      </c>
      <c r="Y828" s="11">
        <f>IFERROR(INT(Tabla1[[#This Row],[CANTIDAD UND FARMACEUTICAS]]/(VLOOKUP(Tabla1[[#This Row],[MEDICAMENTO]],TAB_REF!$K$3:$L$27,2,0))),"")</f>
        <v>120</v>
      </c>
      <c r="Z828" s="10" t="str">
        <f>IFERROR(VLOOKUP(Tabla1[[#This Row],[MEDICAMENTO]],TAB_REF!$B$3:$F$27,2,0), "")</f>
        <v xml:space="preserve">Fenobarbital </v>
      </c>
      <c r="AA828" s="10" t="str">
        <f>IFERROR(VLOOKUP(Tabla1[[#This Row],[MEDICAMENTO]],TAB_REF!$B$3:$F$27,3,0), "")</f>
        <v xml:space="preserve">100 mg </v>
      </c>
      <c r="AB828" s="10" t="str">
        <f>IFERROR(VLOOKUP(Tabla1[[#This Row],[MEDICAMENTO]],TAB_REF!$B$3:$F$27,4,0), "")</f>
        <v>Tabletas</v>
      </c>
      <c r="AC828" s="10" t="str">
        <f>IFERROR(VLOOKUP(Tabla1[[#This Row],[MEDICAMENTO]],TAB_REF!$B$3:$F$27,5,0), "")</f>
        <v>Caja x 30 unidades</v>
      </c>
      <c r="AD828" s="10" t="str">
        <f>IFERROR(VLOOKUP(Tabla1[[#This Row],[CANTIDAD UND COMERCIALES]],TAB_REF!$H$3:$I$1003,2,0)&amp;" ("&amp;Tabla1[[#This Row],[CANTIDAD UND COMERCIALES]]&amp;")"&amp;"_"&amp;Tabla1[[#This Row],[CANTIDAD]],"")</f>
        <v>Ciento Veinte (120)_Caja x 30 unidades</v>
      </c>
    </row>
    <row r="829" spans="2:30" x14ac:dyDescent="0.25">
      <c r="B829" s="10">
        <v>341</v>
      </c>
      <c r="C829" s="10" t="s">
        <v>2384</v>
      </c>
      <c r="D829" s="10" t="s">
        <v>2175</v>
      </c>
      <c r="E829" s="10" t="s">
        <v>3724</v>
      </c>
      <c r="F829" s="10" t="s">
        <v>3725</v>
      </c>
      <c r="G829" s="10" t="s">
        <v>2810</v>
      </c>
      <c r="H829" s="10" t="s">
        <v>2569</v>
      </c>
      <c r="I829" s="10" t="s">
        <v>2122</v>
      </c>
      <c r="J829" s="10" t="s">
        <v>1742</v>
      </c>
      <c r="K829" s="10" t="s">
        <v>2976</v>
      </c>
      <c r="L829" s="11">
        <v>202124101082012</v>
      </c>
      <c r="M829" s="20">
        <v>44368</v>
      </c>
      <c r="N829" s="20" t="str">
        <f>UPPER(TEXT(Tabla1[[#This Row],[FECHA RADICADO ENTRADA]],"MMM"))</f>
        <v>JUN</v>
      </c>
      <c r="O829" s="11">
        <v>202124110998281</v>
      </c>
      <c r="P829" s="20">
        <v>44371</v>
      </c>
      <c r="Q829" s="20" t="str">
        <f>UPPER(TEXT(Tabla1[[#This Row],[FECHA RADICADO ENTRADA]],"MMM"))</f>
        <v>JUN</v>
      </c>
      <c r="R829" s="10">
        <f t="shared" si="25"/>
        <v>-3</v>
      </c>
      <c r="S829" s="10" t="s">
        <v>2154</v>
      </c>
      <c r="U829" s="10" t="s">
        <v>3726</v>
      </c>
      <c r="V829" s="20">
        <v>43167</v>
      </c>
      <c r="W829" s="10" t="s">
        <v>32</v>
      </c>
      <c r="X829" s="10">
        <v>6000</v>
      </c>
      <c r="Y829" s="11">
        <f>IFERROR(INT(Tabla1[[#This Row],[CANTIDAD UND FARMACEUTICAS]]/(VLOOKUP(Tabla1[[#This Row],[MEDICAMENTO]],TAB_REF!$K$3:$L$27,2,0))),"")</f>
        <v>200</v>
      </c>
      <c r="Z829" s="10" t="str">
        <f>IFERROR(VLOOKUP(Tabla1[[#This Row],[MEDICAMENTO]],TAB_REF!$B$3:$F$27,2,0), "")</f>
        <v xml:space="preserve">Fenobarbital </v>
      </c>
      <c r="AA829" s="10" t="str">
        <f>IFERROR(VLOOKUP(Tabla1[[#This Row],[MEDICAMENTO]],TAB_REF!$B$3:$F$27,3,0), "")</f>
        <v xml:space="preserve">100 mg </v>
      </c>
      <c r="AB829" s="10" t="str">
        <f>IFERROR(VLOOKUP(Tabla1[[#This Row],[MEDICAMENTO]],TAB_REF!$B$3:$F$27,4,0), "")</f>
        <v>Tabletas</v>
      </c>
      <c r="AC829" s="10" t="str">
        <f>IFERROR(VLOOKUP(Tabla1[[#This Row],[MEDICAMENTO]],TAB_REF!$B$3:$F$27,5,0), "")</f>
        <v>Caja x 30 unidades</v>
      </c>
      <c r="AD829" s="10" t="str">
        <f>IFERROR(VLOOKUP(Tabla1[[#This Row],[CANTIDAD UND COMERCIALES]],TAB_REF!$H$3:$I$1003,2,0)&amp;" ("&amp;Tabla1[[#This Row],[CANTIDAD UND COMERCIALES]]&amp;")"&amp;"_"&amp;Tabla1[[#This Row],[CANTIDAD]],"")</f>
        <v>Doscientos (200)_Caja x 30 unidades</v>
      </c>
    </row>
    <row r="830" spans="2:30" x14ac:dyDescent="0.25">
      <c r="B830" s="10">
        <v>341</v>
      </c>
      <c r="C830" s="10" t="s">
        <v>2384</v>
      </c>
      <c r="D830" s="10" t="s">
        <v>2175</v>
      </c>
      <c r="E830" s="10" t="s">
        <v>3724</v>
      </c>
      <c r="F830" s="10" t="s">
        <v>3725</v>
      </c>
      <c r="G830" s="10" t="s">
        <v>2810</v>
      </c>
      <c r="H830" s="10" t="s">
        <v>2569</v>
      </c>
      <c r="I830" s="10" t="s">
        <v>2122</v>
      </c>
      <c r="J830" s="10" t="s">
        <v>1742</v>
      </c>
      <c r="K830" s="10" t="s">
        <v>2976</v>
      </c>
      <c r="L830" s="11">
        <v>202124101082012</v>
      </c>
      <c r="M830" s="20">
        <v>44368</v>
      </c>
      <c r="N830" s="20" t="str">
        <f>UPPER(TEXT(Tabla1[[#This Row],[FECHA RADICADO ENTRADA]],"MMM"))</f>
        <v>JUN</v>
      </c>
      <c r="O830" s="11">
        <v>202124110998281</v>
      </c>
      <c r="P830" s="20">
        <v>44371</v>
      </c>
      <c r="Q830" s="20" t="str">
        <f>UPPER(TEXT(Tabla1[[#This Row],[FECHA RADICADO ENTRADA]],"MMM"))</f>
        <v>JUN</v>
      </c>
      <c r="R830" s="10">
        <f t="shared" si="25"/>
        <v>-3</v>
      </c>
      <c r="S830" s="10" t="s">
        <v>2154</v>
      </c>
      <c r="U830" s="10" t="s">
        <v>3726</v>
      </c>
      <c r="V830" s="20">
        <v>43167</v>
      </c>
      <c r="W830" s="10" t="s">
        <v>60</v>
      </c>
      <c r="X830" s="10">
        <v>15</v>
      </c>
      <c r="Y830" s="11">
        <f>IFERROR(INT(Tabla1[[#This Row],[CANTIDAD UND FARMACEUTICAS]]/(VLOOKUP(Tabla1[[#This Row],[MEDICAMENTO]],TAB_REF!$K$3:$L$27,2,0))),"")</f>
        <v>15</v>
      </c>
      <c r="Z830" s="10" t="str">
        <f>IFERROR(VLOOKUP(Tabla1[[#This Row],[MEDICAMENTO]],TAB_REF!$B$3:$F$27,2,0), "")</f>
        <v xml:space="preserve">Morfina HCl </v>
      </c>
      <c r="AA830" s="10" t="str">
        <f>IFERROR(VLOOKUP(Tabla1[[#This Row],[MEDICAMENTO]],TAB_REF!$B$3:$F$27,3,0), "")</f>
        <v xml:space="preserve">3%. </v>
      </c>
      <c r="AB830" s="10" t="str">
        <f>IFERROR(VLOOKUP(Tabla1[[#This Row],[MEDICAMENTO]],TAB_REF!$B$3:$F$27,4,0), "")</f>
        <v>Solución Oral</v>
      </c>
      <c r="AC830" s="10" t="str">
        <f>IFERROR(VLOOKUP(Tabla1[[#This Row],[MEDICAMENTO]],TAB_REF!$B$3:$F$27,5,0), "")</f>
        <v>Frasco x 30 mL</v>
      </c>
      <c r="AD830" s="10" t="str">
        <f>IFERROR(VLOOKUP(Tabla1[[#This Row],[CANTIDAD UND COMERCIALES]],TAB_REF!$H$3:$I$1003,2,0)&amp;" ("&amp;Tabla1[[#This Row],[CANTIDAD UND COMERCIALES]]&amp;")"&amp;"_"&amp;Tabla1[[#This Row],[CANTIDAD]],"")</f>
        <v>Quince (15)_Frasco x 30 mL</v>
      </c>
    </row>
    <row r="831" spans="2:30" x14ac:dyDescent="0.25">
      <c r="B831" s="10">
        <v>342</v>
      </c>
      <c r="C831" s="10" t="s">
        <v>2509</v>
      </c>
      <c r="D831" s="10" t="s">
        <v>2312</v>
      </c>
      <c r="E831" s="10" t="s">
        <v>3727</v>
      </c>
      <c r="F831" s="10" t="s">
        <v>3728</v>
      </c>
      <c r="G831" s="10" t="s">
        <v>2512</v>
      </c>
      <c r="H831" s="10" t="s">
        <v>3729</v>
      </c>
      <c r="I831" s="10" t="s">
        <v>2116</v>
      </c>
      <c r="J831" s="10" t="s">
        <v>1550</v>
      </c>
      <c r="K831" s="10" t="s">
        <v>2976</v>
      </c>
      <c r="L831" s="11">
        <v>202124101090932</v>
      </c>
      <c r="M831" s="20">
        <v>44368</v>
      </c>
      <c r="N831" s="20" t="str">
        <f>UPPER(TEXT(Tabla1[[#This Row],[FECHA RADICADO ENTRADA]],"MMM"))</f>
        <v>JUN</v>
      </c>
      <c r="O831" s="11">
        <v>202124111001421</v>
      </c>
      <c r="P831" s="20">
        <v>44371</v>
      </c>
      <c r="Q831" s="20" t="str">
        <f>UPPER(TEXT(Tabla1[[#This Row],[FECHA RADICADO ENTRADA]],"MMM"))</f>
        <v>JUN</v>
      </c>
      <c r="R831" s="10">
        <f t="shared" si="25"/>
        <v>-3</v>
      </c>
      <c r="S831" s="10" t="s">
        <v>2154</v>
      </c>
      <c r="U831" s="10" t="s">
        <v>3730</v>
      </c>
      <c r="V831" s="20">
        <v>43263</v>
      </c>
      <c r="W831" s="10" t="s">
        <v>63</v>
      </c>
      <c r="X831" s="10">
        <v>300</v>
      </c>
      <c r="Y831" s="11">
        <f>IFERROR(INT(Tabla1[[#This Row],[CANTIDAD UND FARMACEUTICAS]]/(VLOOKUP(Tabla1[[#This Row],[MEDICAMENTO]],TAB_REF!$K$3:$L$27,2,0))),"")</f>
        <v>30</v>
      </c>
      <c r="Z831" s="10" t="str">
        <f>IFERROR(VLOOKUP(Tabla1[[#This Row],[MEDICAMENTO]],TAB_REF!$B$3:$F$27,2,0), "")</f>
        <v xml:space="preserve">Morfina HCl </v>
      </c>
      <c r="AA831" s="10" t="str">
        <f>IFERROR(VLOOKUP(Tabla1[[#This Row],[MEDICAMENTO]],TAB_REF!$B$3:$F$27,3,0), "")</f>
        <v xml:space="preserve">10 mg/mL </v>
      </c>
      <c r="AB831" s="10" t="str">
        <f>IFERROR(VLOOKUP(Tabla1[[#This Row],[MEDICAMENTO]],TAB_REF!$B$3:$F$27,4,0), "")</f>
        <v>Solución Inyectable</v>
      </c>
      <c r="AC831" s="10" t="str">
        <f>IFERROR(VLOOKUP(Tabla1[[#This Row],[MEDICAMENTO]],TAB_REF!$B$3:$F$27,5,0), "")</f>
        <v>Caja x 10 unidades</v>
      </c>
      <c r="AD831" s="10" t="str">
        <f>IFERROR(VLOOKUP(Tabla1[[#This Row],[CANTIDAD UND COMERCIALES]],TAB_REF!$H$3:$I$1003,2,0)&amp;" ("&amp;Tabla1[[#This Row],[CANTIDAD UND COMERCIALES]]&amp;")"&amp;"_"&amp;Tabla1[[#This Row],[CANTIDAD]],"")</f>
        <v>Treinta (30)_Caja x 10 unidades</v>
      </c>
    </row>
    <row r="832" spans="2:30" x14ac:dyDescent="0.25">
      <c r="B832" s="10">
        <v>342</v>
      </c>
      <c r="C832" s="10" t="s">
        <v>2509</v>
      </c>
      <c r="D832" s="10" t="s">
        <v>2312</v>
      </c>
      <c r="E832" s="10" t="s">
        <v>3727</v>
      </c>
      <c r="F832" s="10" t="s">
        <v>3728</v>
      </c>
      <c r="G832" s="10" t="s">
        <v>2512</v>
      </c>
      <c r="H832" s="10" t="s">
        <v>3729</v>
      </c>
      <c r="I832" s="10" t="s">
        <v>2116</v>
      </c>
      <c r="J832" s="10" t="s">
        <v>1550</v>
      </c>
      <c r="K832" s="10" t="s">
        <v>2976</v>
      </c>
      <c r="L832" s="11">
        <v>202124101090932</v>
      </c>
      <c r="M832" s="20">
        <v>44368</v>
      </c>
      <c r="N832" s="20" t="str">
        <f>UPPER(TEXT(Tabla1[[#This Row],[FECHA RADICADO ENTRADA]],"MMM"))</f>
        <v>JUN</v>
      </c>
      <c r="O832" s="11">
        <v>202124111001421</v>
      </c>
      <c r="P832" s="20">
        <v>44371</v>
      </c>
      <c r="Q832" s="20" t="str">
        <f>UPPER(TEXT(Tabla1[[#This Row],[FECHA RADICADO ENTRADA]],"MMM"))</f>
        <v>JUN</v>
      </c>
      <c r="R832" s="10">
        <f t="shared" si="25"/>
        <v>-3</v>
      </c>
      <c r="S832" s="10" t="s">
        <v>2154</v>
      </c>
      <c r="U832" s="10" t="s">
        <v>3730</v>
      </c>
      <c r="V832" s="20">
        <v>43263</v>
      </c>
      <c r="W832" s="10" t="s">
        <v>41</v>
      </c>
      <c r="X832" s="10">
        <v>100</v>
      </c>
      <c r="Y832" s="11">
        <f>IFERROR(INT(Tabla1[[#This Row],[CANTIDAD UND FARMACEUTICAS]]/(VLOOKUP(Tabla1[[#This Row],[MEDICAMENTO]],TAB_REF!$K$3:$L$27,2,0))),"")</f>
        <v>10</v>
      </c>
      <c r="Z832" s="10" t="str">
        <f>IFERROR(VLOOKUP(Tabla1[[#This Row],[MEDICAMENTO]],TAB_REF!$B$3:$F$27,2,0), "")</f>
        <v xml:space="preserve">Meperidina HCl </v>
      </c>
      <c r="AA832" s="10" t="str">
        <f>IFERROR(VLOOKUP(Tabla1[[#This Row],[MEDICAMENTO]],TAB_REF!$B$3:$F$27,3,0), "")</f>
        <v xml:space="preserve">100 mg/2mL </v>
      </c>
      <c r="AB832" s="10" t="str">
        <f>IFERROR(VLOOKUP(Tabla1[[#This Row],[MEDICAMENTO]],TAB_REF!$B$3:$F$27,4,0), "")</f>
        <v>Solución Inyectable</v>
      </c>
      <c r="AC832" s="10" t="str">
        <f>IFERROR(VLOOKUP(Tabla1[[#This Row],[MEDICAMENTO]],TAB_REF!$B$3:$F$27,5,0), "")</f>
        <v>Caja 10 ampollas</v>
      </c>
      <c r="AD832" s="10" t="str">
        <f>IFERROR(VLOOKUP(Tabla1[[#This Row],[CANTIDAD UND COMERCIALES]],TAB_REF!$H$3:$I$1003,2,0)&amp;" ("&amp;Tabla1[[#This Row],[CANTIDAD UND COMERCIALES]]&amp;")"&amp;"_"&amp;Tabla1[[#This Row],[CANTIDAD]],"")</f>
        <v>Diez (10)_Caja 10 ampollas</v>
      </c>
    </row>
    <row r="833" spans="2:30" x14ac:dyDescent="0.25">
      <c r="B833" s="10">
        <v>342</v>
      </c>
      <c r="C833" s="10" t="s">
        <v>2509</v>
      </c>
      <c r="D833" s="10" t="s">
        <v>2312</v>
      </c>
      <c r="E833" s="10" t="s">
        <v>3727</v>
      </c>
      <c r="F833" s="10" t="s">
        <v>3728</v>
      </c>
      <c r="G833" s="10" t="s">
        <v>2512</v>
      </c>
      <c r="H833" s="10" t="s">
        <v>3729</v>
      </c>
      <c r="I833" s="10" t="s">
        <v>2116</v>
      </c>
      <c r="J833" s="10" t="s">
        <v>1550</v>
      </c>
      <c r="K833" s="10" t="s">
        <v>2976</v>
      </c>
      <c r="L833" s="11">
        <v>202124101090932</v>
      </c>
      <c r="M833" s="20">
        <v>44368</v>
      </c>
      <c r="N833" s="20" t="str">
        <f>UPPER(TEXT(Tabla1[[#This Row],[FECHA RADICADO ENTRADA]],"MMM"))</f>
        <v>JUN</v>
      </c>
      <c r="O833" s="11">
        <v>202124111001421</v>
      </c>
      <c r="P833" s="20">
        <v>44371</v>
      </c>
      <c r="Q833" s="20" t="str">
        <f>UPPER(TEXT(Tabla1[[#This Row],[FECHA RADICADO ENTRADA]],"MMM"))</f>
        <v>JUN</v>
      </c>
      <c r="R833" s="10">
        <f t="shared" si="25"/>
        <v>-3</v>
      </c>
      <c r="S833" s="10" t="s">
        <v>2154</v>
      </c>
      <c r="U833" s="10" t="s">
        <v>3730</v>
      </c>
      <c r="V833" s="20">
        <v>43263</v>
      </c>
      <c r="W833" s="10" t="s">
        <v>34</v>
      </c>
      <c r="X833" s="10">
        <v>500</v>
      </c>
      <c r="Y833" s="11">
        <f>IFERROR(INT(Tabla1[[#This Row],[CANTIDAD UND FARMACEUTICAS]]/(VLOOKUP(Tabla1[[#This Row],[MEDICAMENTO]],TAB_REF!$K$3:$L$27,2,0))),"")</f>
        <v>50</v>
      </c>
      <c r="Z833" s="10" t="str">
        <f>IFERROR(VLOOKUP(Tabla1[[#This Row],[MEDICAMENTO]],TAB_REF!$B$3:$F$27,2,0), "")</f>
        <v xml:space="preserve">Fenobarbital Sódico </v>
      </c>
      <c r="AA833" s="10" t="str">
        <f>IFERROR(VLOOKUP(Tabla1[[#This Row],[MEDICAMENTO]],TAB_REF!$B$3:$F$27,3,0), "")</f>
        <v xml:space="preserve">200 mg/Ml </v>
      </c>
      <c r="AB833" s="10" t="str">
        <f>IFERROR(VLOOKUP(Tabla1[[#This Row],[MEDICAMENTO]],TAB_REF!$B$3:$F$27,4,0), "")</f>
        <v>Solución Inyectable</v>
      </c>
      <c r="AC833" s="10" t="str">
        <f>IFERROR(VLOOKUP(Tabla1[[#This Row],[MEDICAMENTO]],TAB_REF!$B$3:$F$27,5,0), "")</f>
        <v>Caja x 10 unidades</v>
      </c>
      <c r="AD833" s="10" t="str">
        <f>IFERROR(VLOOKUP(Tabla1[[#This Row],[CANTIDAD UND COMERCIALES]],TAB_REF!$H$3:$I$1003,2,0)&amp;" ("&amp;Tabla1[[#This Row],[CANTIDAD UND COMERCIALES]]&amp;")"&amp;"_"&amp;Tabla1[[#This Row],[CANTIDAD]],"")</f>
        <v>Cincuenta (50)_Caja x 10 unidades</v>
      </c>
    </row>
    <row r="834" spans="2:30" x14ac:dyDescent="0.25">
      <c r="B834" s="10">
        <v>342</v>
      </c>
      <c r="C834" s="10" t="s">
        <v>2509</v>
      </c>
      <c r="D834" s="10" t="s">
        <v>2312</v>
      </c>
      <c r="E834" s="10" t="s">
        <v>3727</v>
      </c>
      <c r="F834" s="10" t="s">
        <v>3728</v>
      </c>
      <c r="G834" s="10" t="s">
        <v>2512</v>
      </c>
      <c r="H834" s="10" t="s">
        <v>3729</v>
      </c>
      <c r="I834" s="10" t="s">
        <v>2116</v>
      </c>
      <c r="J834" s="10" t="s">
        <v>1550</v>
      </c>
      <c r="K834" s="10" t="s">
        <v>2976</v>
      </c>
      <c r="L834" s="11">
        <v>202124101090932</v>
      </c>
      <c r="M834" s="20">
        <v>44368</v>
      </c>
      <c r="N834" s="20" t="str">
        <f>UPPER(TEXT(Tabla1[[#This Row],[FECHA RADICADO ENTRADA]],"MMM"))</f>
        <v>JUN</v>
      </c>
      <c r="O834" s="11">
        <v>202124111001421</v>
      </c>
      <c r="P834" s="20">
        <v>44371</v>
      </c>
      <c r="Q834" s="20" t="str">
        <f>UPPER(TEXT(Tabla1[[#This Row],[FECHA RADICADO ENTRADA]],"MMM"))</f>
        <v>JUN</v>
      </c>
      <c r="R834" s="10">
        <f t="shared" si="25"/>
        <v>-3</v>
      </c>
      <c r="S834" s="10" t="s">
        <v>2154</v>
      </c>
      <c r="U834" s="10" t="s">
        <v>3730</v>
      </c>
      <c r="V834" s="20">
        <v>43263</v>
      </c>
      <c r="W834" s="10" t="s">
        <v>28</v>
      </c>
      <c r="X834" s="10">
        <v>20</v>
      </c>
      <c r="Y834" s="11">
        <f>IFERROR(INT(Tabla1[[#This Row],[CANTIDAD UND FARMACEUTICAS]]/(VLOOKUP(Tabla1[[#This Row],[MEDICAMENTO]],TAB_REF!$K$3:$L$27,2,0))),"")</f>
        <v>20</v>
      </c>
      <c r="Z834" s="10" t="str">
        <f>IFERROR(VLOOKUP(Tabla1[[#This Row],[MEDICAMENTO]],TAB_REF!$B$3:$F$27,2,0), "")</f>
        <v xml:space="preserve">Fenobarbital </v>
      </c>
      <c r="AA834" s="10" t="str">
        <f>IFERROR(VLOOKUP(Tabla1[[#This Row],[MEDICAMENTO]],TAB_REF!$B$3:$F$27,3,0), "")</f>
        <v xml:space="preserve">0,4%. </v>
      </c>
      <c r="AB834" s="10" t="str">
        <f>IFERROR(VLOOKUP(Tabla1[[#This Row],[MEDICAMENTO]],TAB_REF!$B$3:$F$27,4,0), "")</f>
        <v>Solución Oral</v>
      </c>
      <c r="AC834" s="10" t="str">
        <f>IFERROR(VLOOKUP(Tabla1[[#This Row],[MEDICAMENTO]],TAB_REF!$B$3:$F$27,5,0), "")</f>
        <v>Frasco x 120 mL</v>
      </c>
      <c r="AD834" s="10" t="str">
        <f>IFERROR(VLOOKUP(Tabla1[[#This Row],[CANTIDAD UND COMERCIALES]],TAB_REF!$H$3:$I$1003,2,0)&amp;" ("&amp;Tabla1[[#This Row],[CANTIDAD UND COMERCIALES]]&amp;")"&amp;"_"&amp;Tabla1[[#This Row],[CANTIDAD]],"")</f>
        <v>Veinte (20)_Frasco x 120 mL</v>
      </c>
    </row>
    <row r="835" spans="2:30" x14ac:dyDescent="0.25">
      <c r="B835" s="10">
        <v>343</v>
      </c>
      <c r="C835" s="10" t="s">
        <v>2710</v>
      </c>
      <c r="D835" s="10" t="s">
        <v>3731</v>
      </c>
      <c r="E835" s="10" t="s">
        <v>3659</v>
      </c>
      <c r="F835" s="10" t="s">
        <v>3660</v>
      </c>
      <c r="G835" s="10" t="s">
        <v>2712</v>
      </c>
      <c r="H835" s="10" t="s">
        <v>3662</v>
      </c>
      <c r="I835" s="10" t="s">
        <v>2128</v>
      </c>
      <c r="J835" s="10" t="s">
        <v>1942</v>
      </c>
      <c r="K835" s="10" t="s">
        <v>2976</v>
      </c>
      <c r="L835" s="11">
        <v>202124101101342</v>
      </c>
      <c r="M835" s="20">
        <v>44369</v>
      </c>
      <c r="N835" s="20" t="str">
        <f>UPPER(TEXT(Tabla1[[#This Row],[FECHA RADICADO ENTRADA]],"MMM"))</f>
        <v>JUN</v>
      </c>
      <c r="O835" s="11">
        <v>202124111006251</v>
      </c>
      <c r="P835" s="20">
        <v>44372</v>
      </c>
      <c r="Q835" s="20" t="str">
        <f>UPPER(TEXT(Tabla1[[#This Row],[FECHA RADICADO ENTRADA]],"MMM"))</f>
        <v>JUN</v>
      </c>
      <c r="R835" s="10">
        <f t="shared" si="25"/>
        <v>-3</v>
      </c>
      <c r="S835" s="10" t="s">
        <v>2145</v>
      </c>
      <c r="T835" s="10" t="s">
        <v>3732</v>
      </c>
      <c r="U835" s="10" t="s">
        <v>2435</v>
      </c>
      <c r="V835" s="20">
        <v>43381</v>
      </c>
      <c r="W835" s="10" t="s">
        <v>64</v>
      </c>
      <c r="X835" s="10">
        <v>0</v>
      </c>
      <c r="Y835" s="11">
        <f>IFERROR(INT(Tabla1[[#This Row],[CANTIDAD UND FARMACEUTICAS]]/(VLOOKUP(Tabla1[[#This Row],[MEDICAMENTO]],TAB_REF!$K$3:$L$27,2,0))),"")</f>
        <v>0</v>
      </c>
      <c r="Z835" s="10" t="str">
        <f>IFERROR(VLOOKUP(Tabla1[[#This Row],[MEDICAMENTO]],TAB_REF!$B$3:$F$27,2,0), "")</f>
        <v xml:space="preserve">Morfina HCl </v>
      </c>
      <c r="AA835" s="10" t="str">
        <f>IFERROR(VLOOKUP(Tabla1[[#This Row],[MEDICAMENTO]],TAB_REF!$B$3:$F$27,3,0), "")</f>
        <v xml:space="preserve">10 (50mg/5mL) </v>
      </c>
      <c r="AB835" s="10" t="str">
        <f>IFERROR(VLOOKUP(Tabla1[[#This Row],[MEDICAMENTO]],TAB_REF!$B$3:$F$27,4,0), "")</f>
        <v>Solución Inyectable</v>
      </c>
      <c r="AC835" s="10" t="str">
        <f>IFERROR(VLOOKUP(Tabla1[[#This Row],[MEDICAMENTO]],TAB_REF!$B$3:$F$27,5,0), "")</f>
        <v>Caja x 5 unidades</v>
      </c>
      <c r="AD835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836" spans="2:30" x14ac:dyDescent="0.25">
      <c r="B836" s="10">
        <v>343</v>
      </c>
      <c r="C836" s="10" t="s">
        <v>2710</v>
      </c>
      <c r="D836" s="10" t="s">
        <v>3731</v>
      </c>
      <c r="E836" s="10" t="s">
        <v>3659</v>
      </c>
      <c r="F836" s="10" t="s">
        <v>3660</v>
      </c>
      <c r="G836" s="10" t="s">
        <v>2712</v>
      </c>
      <c r="H836" s="10" t="s">
        <v>3662</v>
      </c>
      <c r="I836" s="10" t="s">
        <v>2128</v>
      </c>
      <c r="J836" s="10" t="s">
        <v>1942</v>
      </c>
      <c r="K836" s="10" t="s">
        <v>2976</v>
      </c>
      <c r="L836" s="11">
        <v>202124101101342</v>
      </c>
      <c r="M836" s="20">
        <v>44369</v>
      </c>
      <c r="N836" s="20" t="str">
        <f>UPPER(TEXT(Tabla1[[#This Row],[FECHA RADICADO ENTRADA]],"MMM"))</f>
        <v>JUN</v>
      </c>
      <c r="O836" s="11">
        <v>202124111006251</v>
      </c>
      <c r="P836" s="20">
        <v>44372</v>
      </c>
      <c r="Q836" s="20" t="str">
        <f>UPPER(TEXT(Tabla1[[#This Row],[FECHA RADICADO ENTRADA]],"MMM"))</f>
        <v>JUN</v>
      </c>
      <c r="R836" s="10">
        <f t="shared" si="25"/>
        <v>-3</v>
      </c>
      <c r="S836" s="10" t="s">
        <v>2145</v>
      </c>
      <c r="T836" s="10" t="s">
        <v>3732</v>
      </c>
      <c r="U836" s="10" t="s">
        <v>2435</v>
      </c>
      <c r="V836" s="20">
        <v>43381</v>
      </c>
      <c r="W836" s="10" t="s">
        <v>45</v>
      </c>
      <c r="X836" s="10">
        <v>0</v>
      </c>
      <c r="Y836" s="11">
        <f>IFERROR(INT(Tabla1[[#This Row],[CANTIDAD UND FARMACEUTICAS]]/(VLOOKUP(Tabla1[[#This Row],[MEDICAMENTO]],TAB_REF!$K$3:$L$27,2,0))),"")</f>
        <v>0</v>
      </c>
      <c r="Z836" s="10" t="str">
        <f>IFERROR(VLOOKUP(Tabla1[[#This Row],[MEDICAMENTO]],TAB_REF!$B$3:$F$27,2,0), "")</f>
        <v xml:space="preserve">Metadona HCl </v>
      </c>
      <c r="AA836" s="10" t="str">
        <f>IFERROR(VLOOKUP(Tabla1[[#This Row],[MEDICAMENTO]],TAB_REF!$B$3:$F$27,3,0), "")</f>
        <v xml:space="preserve">10 mg </v>
      </c>
      <c r="AB836" s="10" t="str">
        <f>IFERROR(VLOOKUP(Tabla1[[#This Row],[MEDICAMENTO]],TAB_REF!$B$3:$F$27,4,0), "")</f>
        <v>Tabletas NACIONAL</v>
      </c>
      <c r="AC836" s="10" t="str">
        <f>IFERROR(VLOOKUP(Tabla1[[#This Row],[MEDICAMENTO]],TAB_REF!$B$3:$F$27,5,0), "")</f>
        <v>Caja x 30 unidades</v>
      </c>
      <c r="AD836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837" spans="2:30" x14ac:dyDescent="0.25">
      <c r="B837" s="10">
        <v>344</v>
      </c>
      <c r="C837" s="10" t="s">
        <v>3733</v>
      </c>
      <c r="D837" s="10" t="s">
        <v>3734</v>
      </c>
      <c r="E837" s="10" t="s">
        <v>3735</v>
      </c>
      <c r="F837" s="10" t="s">
        <v>3736</v>
      </c>
      <c r="G837" s="10" t="s">
        <v>3737</v>
      </c>
      <c r="H837" s="10" t="s">
        <v>3738</v>
      </c>
      <c r="I837" s="10" t="s">
        <v>2118</v>
      </c>
      <c r="J837" s="10" t="s">
        <v>1686</v>
      </c>
      <c r="K837" s="10" t="s">
        <v>2976</v>
      </c>
      <c r="L837" s="11">
        <v>202124101102792</v>
      </c>
      <c r="M837" s="20">
        <v>44369</v>
      </c>
      <c r="N837" s="20" t="str">
        <f>UPPER(TEXT(Tabla1[[#This Row],[FECHA RADICADO ENTRADA]],"MMM"))</f>
        <v>JUN</v>
      </c>
      <c r="O837" s="11">
        <v>202124111006451</v>
      </c>
      <c r="P837" s="20">
        <v>44372</v>
      </c>
      <c r="Q837" s="20" t="str">
        <f>UPPER(TEXT(Tabla1[[#This Row],[FECHA RADICADO ENTRADA]],"MMM"))</f>
        <v>JUN</v>
      </c>
      <c r="R837" s="10">
        <f t="shared" si="25"/>
        <v>-3</v>
      </c>
      <c r="S837" s="10" t="s">
        <v>2154</v>
      </c>
      <c r="U837" s="10" t="s">
        <v>3739</v>
      </c>
      <c r="V837" s="20">
        <v>43602</v>
      </c>
      <c r="W837" s="10" t="s">
        <v>32</v>
      </c>
      <c r="X837" s="10">
        <v>3600</v>
      </c>
      <c r="Y837" s="11">
        <f>IFERROR(INT(Tabla1[[#This Row],[CANTIDAD UND FARMACEUTICAS]]/(VLOOKUP(Tabla1[[#This Row],[MEDICAMENTO]],TAB_REF!$K$3:$L$27,2,0))),"")</f>
        <v>120</v>
      </c>
      <c r="Z837" s="10" t="str">
        <f>IFERROR(VLOOKUP(Tabla1[[#This Row],[MEDICAMENTO]],TAB_REF!$B$3:$F$27,2,0), "")</f>
        <v xml:space="preserve">Fenobarbital </v>
      </c>
      <c r="AA837" s="10" t="str">
        <f>IFERROR(VLOOKUP(Tabla1[[#This Row],[MEDICAMENTO]],TAB_REF!$B$3:$F$27,3,0), "")</f>
        <v xml:space="preserve">100 mg </v>
      </c>
      <c r="AB837" s="10" t="str">
        <f>IFERROR(VLOOKUP(Tabla1[[#This Row],[MEDICAMENTO]],TAB_REF!$B$3:$F$27,4,0), "")</f>
        <v>Tabletas</v>
      </c>
      <c r="AC837" s="10" t="str">
        <f>IFERROR(VLOOKUP(Tabla1[[#This Row],[MEDICAMENTO]],TAB_REF!$B$3:$F$27,5,0), "")</f>
        <v>Caja x 30 unidades</v>
      </c>
      <c r="AD837" s="10" t="str">
        <f>IFERROR(VLOOKUP(Tabla1[[#This Row],[CANTIDAD UND COMERCIALES]],TAB_REF!$H$3:$I$1003,2,0)&amp;" ("&amp;Tabla1[[#This Row],[CANTIDAD UND COMERCIALES]]&amp;")"&amp;"_"&amp;Tabla1[[#This Row],[CANTIDAD]],"")</f>
        <v>Ciento Veinte (120)_Caja x 30 unidades</v>
      </c>
    </row>
    <row r="838" spans="2:30" x14ac:dyDescent="0.25">
      <c r="B838" s="10">
        <v>344</v>
      </c>
      <c r="C838" s="10" t="s">
        <v>3733</v>
      </c>
      <c r="D838" s="10" t="s">
        <v>3734</v>
      </c>
      <c r="E838" s="10" t="s">
        <v>3735</v>
      </c>
      <c r="F838" s="10" t="s">
        <v>3736</v>
      </c>
      <c r="G838" s="10" t="s">
        <v>3737</v>
      </c>
      <c r="H838" s="10" t="s">
        <v>3738</v>
      </c>
      <c r="I838" s="10" t="s">
        <v>2118</v>
      </c>
      <c r="J838" s="10" t="s">
        <v>1686</v>
      </c>
      <c r="K838" s="10" t="s">
        <v>2976</v>
      </c>
      <c r="L838" s="11">
        <v>202124101102792</v>
      </c>
      <c r="M838" s="20">
        <v>44369</v>
      </c>
      <c r="N838" s="20" t="str">
        <f>UPPER(TEXT(Tabla1[[#This Row],[FECHA RADICADO ENTRADA]],"MMM"))</f>
        <v>JUN</v>
      </c>
      <c r="O838" s="11">
        <v>202124111006451</v>
      </c>
      <c r="P838" s="20">
        <v>44372</v>
      </c>
      <c r="Q838" s="20" t="str">
        <f>UPPER(TEXT(Tabla1[[#This Row],[FECHA RADICADO ENTRADA]],"MMM"))</f>
        <v>JUN</v>
      </c>
      <c r="R838" s="10">
        <f t="shared" si="25"/>
        <v>-3</v>
      </c>
      <c r="S838" s="10" t="s">
        <v>2154</v>
      </c>
      <c r="U838" s="10" t="s">
        <v>3739</v>
      </c>
      <c r="V838" s="20">
        <v>43602</v>
      </c>
      <c r="W838" s="10" t="s">
        <v>33</v>
      </c>
      <c r="X838" s="10">
        <v>3600</v>
      </c>
      <c r="Y838" s="11">
        <f>IFERROR(INT(Tabla1[[#This Row],[CANTIDAD UND FARMACEUTICAS]]/(VLOOKUP(Tabla1[[#This Row],[MEDICAMENTO]],TAB_REF!$K$3:$L$27,2,0))),"")</f>
        <v>120</v>
      </c>
      <c r="Z838" s="10" t="str">
        <f>IFERROR(VLOOKUP(Tabla1[[#This Row],[MEDICAMENTO]],TAB_REF!$B$3:$F$27,2,0), "")</f>
        <v xml:space="preserve">Fenobarbital </v>
      </c>
      <c r="AA838" s="10" t="str">
        <f>IFERROR(VLOOKUP(Tabla1[[#This Row],[MEDICAMENTO]],TAB_REF!$B$3:$F$27,3,0), "")</f>
        <v xml:space="preserve">50 mg </v>
      </c>
      <c r="AB838" s="10" t="str">
        <f>IFERROR(VLOOKUP(Tabla1[[#This Row],[MEDICAMENTO]],TAB_REF!$B$3:$F$27,4,0), "")</f>
        <v>Tabletas</v>
      </c>
      <c r="AC838" s="10" t="str">
        <f>IFERROR(VLOOKUP(Tabla1[[#This Row],[MEDICAMENTO]],TAB_REF!$B$3:$F$27,5,0), "")</f>
        <v>Caja x 30 unidades</v>
      </c>
      <c r="AD838" s="10" t="str">
        <f>IFERROR(VLOOKUP(Tabla1[[#This Row],[CANTIDAD UND COMERCIALES]],TAB_REF!$H$3:$I$1003,2,0)&amp;" ("&amp;Tabla1[[#This Row],[CANTIDAD UND COMERCIALES]]&amp;")"&amp;"_"&amp;Tabla1[[#This Row],[CANTIDAD]],"")</f>
        <v>Ciento Veinte (120)_Caja x 30 unidades</v>
      </c>
    </row>
    <row r="839" spans="2:30" x14ac:dyDescent="0.25">
      <c r="B839" s="10">
        <v>344</v>
      </c>
      <c r="C839" s="10" t="s">
        <v>3733</v>
      </c>
      <c r="D839" s="10" t="s">
        <v>3734</v>
      </c>
      <c r="E839" s="10" t="s">
        <v>3735</v>
      </c>
      <c r="F839" s="10" t="s">
        <v>3736</v>
      </c>
      <c r="G839" s="10" t="s">
        <v>3737</v>
      </c>
      <c r="H839" s="10" t="s">
        <v>3738</v>
      </c>
      <c r="I839" s="10" t="s">
        <v>2118</v>
      </c>
      <c r="J839" s="10" t="s">
        <v>1686</v>
      </c>
      <c r="K839" s="10" t="s">
        <v>2976</v>
      </c>
      <c r="L839" s="11">
        <v>202124101102792</v>
      </c>
      <c r="M839" s="20">
        <v>44369</v>
      </c>
      <c r="N839" s="20" t="str">
        <f>UPPER(TEXT(Tabla1[[#This Row],[FECHA RADICADO ENTRADA]],"MMM"))</f>
        <v>JUN</v>
      </c>
      <c r="O839" s="11">
        <v>202124111006451</v>
      </c>
      <c r="P839" s="20">
        <v>44372</v>
      </c>
      <c r="Q839" s="20" t="str">
        <f>UPPER(TEXT(Tabla1[[#This Row],[FECHA RADICADO ENTRADA]],"MMM"))</f>
        <v>JUN</v>
      </c>
      <c r="R839" s="10">
        <f t="shared" si="25"/>
        <v>-3</v>
      </c>
      <c r="S839" s="10" t="s">
        <v>2154</v>
      </c>
      <c r="U839" s="10" t="s">
        <v>3739</v>
      </c>
      <c r="V839" s="20">
        <v>43602</v>
      </c>
      <c r="W839" s="10" t="s">
        <v>36</v>
      </c>
      <c r="X839" s="10">
        <v>500</v>
      </c>
      <c r="Y839" s="11">
        <f>IFERROR(INT(Tabla1[[#This Row],[CANTIDAD UND FARMACEUTICAS]]/(VLOOKUP(Tabla1[[#This Row],[MEDICAMENTO]],TAB_REF!$K$3:$L$27,2,0))),"")</f>
        <v>50</v>
      </c>
      <c r="Z839" s="10" t="str">
        <f>IFERROR(VLOOKUP(Tabla1[[#This Row],[MEDICAMENTO]],TAB_REF!$B$3:$F$27,2,0), "")</f>
        <v xml:space="preserve">Fenobarbital Sódico </v>
      </c>
      <c r="AA839" s="10" t="str">
        <f>IFERROR(VLOOKUP(Tabla1[[#This Row],[MEDICAMENTO]],TAB_REF!$B$3:$F$27,3,0), "")</f>
        <v xml:space="preserve">40 mg/mL </v>
      </c>
      <c r="AB839" s="10" t="str">
        <f>IFERROR(VLOOKUP(Tabla1[[#This Row],[MEDICAMENTO]],TAB_REF!$B$3:$F$27,4,0), "")</f>
        <v>Solución Inyectable</v>
      </c>
      <c r="AC839" s="10" t="str">
        <f>IFERROR(VLOOKUP(Tabla1[[#This Row],[MEDICAMENTO]],TAB_REF!$B$3:$F$27,5,0), "")</f>
        <v>Caja x 10 unidades</v>
      </c>
      <c r="AD839" s="10" t="str">
        <f>IFERROR(VLOOKUP(Tabla1[[#This Row],[CANTIDAD UND COMERCIALES]],TAB_REF!$H$3:$I$1003,2,0)&amp;" ("&amp;Tabla1[[#This Row],[CANTIDAD UND COMERCIALES]]&amp;")"&amp;"_"&amp;Tabla1[[#This Row],[CANTIDAD]],"")</f>
        <v>Cincuenta (50)_Caja x 10 unidades</v>
      </c>
    </row>
    <row r="840" spans="2:30" x14ac:dyDescent="0.25">
      <c r="B840" s="10">
        <v>344</v>
      </c>
      <c r="C840" s="10" t="s">
        <v>3733</v>
      </c>
      <c r="D840" s="10" t="s">
        <v>3734</v>
      </c>
      <c r="E840" s="10" t="s">
        <v>3735</v>
      </c>
      <c r="F840" s="10" t="s">
        <v>3736</v>
      </c>
      <c r="G840" s="10" t="s">
        <v>3737</v>
      </c>
      <c r="H840" s="10" t="s">
        <v>3738</v>
      </c>
      <c r="I840" s="10" t="s">
        <v>2118</v>
      </c>
      <c r="J840" s="10" t="s">
        <v>1686</v>
      </c>
      <c r="K840" s="10" t="s">
        <v>2976</v>
      </c>
      <c r="L840" s="11">
        <v>202124101102792</v>
      </c>
      <c r="M840" s="20">
        <v>44369</v>
      </c>
      <c r="N840" s="20" t="str">
        <f>UPPER(TEXT(Tabla1[[#This Row],[FECHA RADICADO ENTRADA]],"MMM"))</f>
        <v>JUN</v>
      </c>
      <c r="O840" s="11">
        <v>202124111006451</v>
      </c>
      <c r="P840" s="20">
        <v>44372</v>
      </c>
      <c r="Q840" s="20" t="str">
        <f>UPPER(TEXT(Tabla1[[#This Row],[FECHA RADICADO ENTRADA]],"MMM"))</f>
        <v>JUN</v>
      </c>
      <c r="R840" s="10">
        <f t="shared" si="25"/>
        <v>-3</v>
      </c>
      <c r="S840" s="10" t="s">
        <v>2154</v>
      </c>
      <c r="U840" s="10" t="s">
        <v>3739</v>
      </c>
      <c r="V840" s="20">
        <v>43602</v>
      </c>
      <c r="W840" s="10" t="s">
        <v>34</v>
      </c>
      <c r="X840" s="10">
        <v>100</v>
      </c>
      <c r="Y840" s="11">
        <f>IFERROR(INT(Tabla1[[#This Row],[CANTIDAD UND FARMACEUTICAS]]/(VLOOKUP(Tabla1[[#This Row],[MEDICAMENTO]],TAB_REF!$K$3:$L$27,2,0))),"")</f>
        <v>10</v>
      </c>
      <c r="Z840" s="10" t="str">
        <f>IFERROR(VLOOKUP(Tabla1[[#This Row],[MEDICAMENTO]],TAB_REF!$B$3:$F$27,2,0), "")</f>
        <v xml:space="preserve">Fenobarbital Sódico </v>
      </c>
      <c r="AA840" s="10" t="str">
        <f>IFERROR(VLOOKUP(Tabla1[[#This Row],[MEDICAMENTO]],TAB_REF!$B$3:$F$27,3,0), "")</f>
        <v xml:space="preserve">200 mg/Ml </v>
      </c>
      <c r="AB840" s="10" t="str">
        <f>IFERROR(VLOOKUP(Tabla1[[#This Row],[MEDICAMENTO]],TAB_REF!$B$3:$F$27,4,0), "")</f>
        <v>Solución Inyectable</v>
      </c>
      <c r="AC840" s="10" t="str">
        <f>IFERROR(VLOOKUP(Tabla1[[#This Row],[MEDICAMENTO]],TAB_REF!$B$3:$F$27,5,0), "")</f>
        <v>Caja x 10 unidades</v>
      </c>
      <c r="AD840" s="10" t="str">
        <f>IFERROR(VLOOKUP(Tabla1[[#This Row],[CANTIDAD UND COMERCIALES]],TAB_REF!$H$3:$I$1003,2,0)&amp;" ("&amp;Tabla1[[#This Row],[CANTIDAD UND COMERCIALES]]&amp;")"&amp;"_"&amp;Tabla1[[#This Row],[CANTIDAD]],"")</f>
        <v>Diez (10)_Caja x 10 unidades</v>
      </c>
    </row>
    <row r="841" spans="2:30" x14ac:dyDescent="0.25">
      <c r="B841" s="10">
        <v>344</v>
      </c>
      <c r="C841" s="10" t="s">
        <v>3733</v>
      </c>
      <c r="D841" s="10" t="s">
        <v>3734</v>
      </c>
      <c r="E841" s="10" t="s">
        <v>3735</v>
      </c>
      <c r="F841" s="10" t="s">
        <v>3736</v>
      </c>
      <c r="G841" s="10" t="s">
        <v>3737</v>
      </c>
      <c r="H841" s="10" t="s">
        <v>3738</v>
      </c>
      <c r="I841" s="10" t="s">
        <v>2118</v>
      </c>
      <c r="J841" s="10" t="s">
        <v>1686</v>
      </c>
      <c r="K841" s="10" t="s">
        <v>2976</v>
      </c>
      <c r="L841" s="11">
        <v>202124101102792</v>
      </c>
      <c r="M841" s="20">
        <v>44369</v>
      </c>
      <c r="N841" s="20" t="str">
        <f>UPPER(TEXT(Tabla1[[#This Row],[FECHA RADICADO ENTRADA]],"MMM"))</f>
        <v>JUN</v>
      </c>
      <c r="O841" s="11">
        <v>202124111006451</v>
      </c>
      <c r="P841" s="20">
        <v>44372</v>
      </c>
      <c r="Q841" s="20" t="str">
        <f>UPPER(TEXT(Tabla1[[#This Row],[FECHA RADICADO ENTRADA]],"MMM"))</f>
        <v>JUN</v>
      </c>
      <c r="R841" s="10">
        <f t="shared" si="25"/>
        <v>-3</v>
      </c>
      <c r="S841" s="10" t="s">
        <v>2154</v>
      </c>
      <c r="U841" s="10" t="s">
        <v>3739</v>
      </c>
      <c r="V841" s="20">
        <v>43602</v>
      </c>
      <c r="W841" s="10" t="s">
        <v>28</v>
      </c>
      <c r="X841" s="10">
        <v>12</v>
      </c>
      <c r="Y841" s="11">
        <f>IFERROR(INT(Tabla1[[#This Row],[CANTIDAD UND FARMACEUTICAS]]/(VLOOKUP(Tabla1[[#This Row],[MEDICAMENTO]],TAB_REF!$K$3:$L$27,2,0))),"")</f>
        <v>12</v>
      </c>
      <c r="Z841" s="10" t="str">
        <f>IFERROR(VLOOKUP(Tabla1[[#This Row],[MEDICAMENTO]],TAB_REF!$B$3:$F$27,2,0), "")</f>
        <v xml:space="preserve">Fenobarbital </v>
      </c>
      <c r="AA841" s="10" t="str">
        <f>IFERROR(VLOOKUP(Tabla1[[#This Row],[MEDICAMENTO]],TAB_REF!$B$3:$F$27,3,0), "")</f>
        <v xml:space="preserve">0,4%. </v>
      </c>
      <c r="AB841" s="10" t="str">
        <f>IFERROR(VLOOKUP(Tabla1[[#This Row],[MEDICAMENTO]],TAB_REF!$B$3:$F$27,4,0), "")</f>
        <v>Solución Oral</v>
      </c>
      <c r="AC841" s="10" t="str">
        <f>IFERROR(VLOOKUP(Tabla1[[#This Row],[MEDICAMENTO]],TAB_REF!$B$3:$F$27,5,0), "")</f>
        <v>Frasco x 120 mL</v>
      </c>
      <c r="AD841" s="10" t="str">
        <f>IFERROR(VLOOKUP(Tabla1[[#This Row],[CANTIDAD UND COMERCIALES]],TAB_REF!$H$3:$I$1003,2,0)&amp;" ("&amp;Tabla1[[#This Row],[CANTIDAD UND COMERCIALES]]&amp;")"&amp;"_"&amp;Tabla1[[#This Row],[CANTIDAD]],"")</f>
        <v>Doce (12)_Frasco x 120 mL</v>
      </c>
    </row>
    <row r="842" spans="2:30" x14ac:dyDescent="0.25">
      <c r="B842" s="10">
        <v>344</v>
      </c>
      <c r="C842" s="10" t="s">
        <v>3733</v>
      </c>
      <c r="D842" s="10" t="s">
        <v>3734</v>
      </c>
      <c r="E842" s="10" t="s">
        <v>3735</v>
      </c>
      <c r="F842" s="10" t="s">
        <v>3736</v>
      </c>
      <c r="G842" s="10" t="s">
        <v>3737</v>
      </c>
      <c r="H842" s="10" t="s">
        <v>3738</v>
      </c>
      <c r="I842" s="10" t="s">
        <v>2118</v>
      </c>
      <c r="J842" s="10" t="s">
        <v>1686</v>
      </c>
      <c r="K842" s="10" t="s">
        <v>2976</v>
      </c>
      <c r="L842" s="11">
        <v>202124101102792</v>
      </c>
      <c r="M842" s="20">
        <v>44369</v>
      </c>
      <c r="N842" s="20" t="str">
        <f>UPPER(TEXT(Tabla1[[#This Row],[FECHA RADICADO ENTRADA]],"MMM"))</f>
        <v>JUN</v>
      </c>
      <c r="O842" s="11">
        <v>202124111006451</v>
      </c>
      <c r="P842" s="20">
        <v>44372</v>
      </c>
      <c r="Q842" s="20" t="str">
        <f>UPPER(TEXT(Tabla1[[#This Row],[FECHA RADICADO ENTRADA]],"MMM"))</f>
        <v>JUN</v>
      </c>
      <c r="R842" s="10">
        <f t="shared" si="25"/>
        <v>-3</v>
      </c>
      <c r="S842" s="10" t="s">
        <v>2154</v>
      </c>
      <c r="U842" s="10" t="s">
        <v>3739</v>
      </c>
      <c r="V842" s="20">
        <v>43602</v>
      </c>
      <c r="W842" s="10" t="s">
        <v>30</v>
      </c>
      <c r="X842" s="10">
        <v>1800</v>
      </c>
      <c r="Y842" s="11">
        <f>IFERROR(INT(Tabla1[[#This Row],[CANTIDAD UND FARMACEUTICAS]]/(VLOOKUP(Tabla1[[#This Row],[MEDICAMENTO]],TAB_REF!$K$3:$L$27,2,0))),"")</f>
        <v>60</v>
      </c>
      <c r="Z842" s="10" t="str">
        <f>IFERROR(VLOOKUP(Tabla1[[#This Row],[MEDICAMENTO]],TAB_REF!$B$3:$F$27,2,0), "")</f>
        <v xml:space="preserve">Fenobarbital </v>
      </c>
      <c r="AA842" s="10" t="str">
        <f>IFERROR(VLOOKUP(Tabla1[[#This Row],[MEDICAMENTO]],TAB_REF!$B$3:$F$27,3,0), "")</f>
        <v xml:space="preserve">10 mg </v>
      </c>
      <c r="AB842" s="10" t="str">
        <f>IFERROR(VLOOKUP(Tabla1[[#This Row],[MEDICAMENTO]],TAB_REF!$B$3:$F$27,4,0), "")</f>
        <v>Tabletas</v>
      </c>
      <c r="AC842" s="10" t="str">
        <f>IFERROR(VLOOKUP(Tabla1[[#This Row],[MEDICAMENTO]],TAB_REF!$B$3:$F$27,5,0), "")</f>
        <v>Caja x 30 unidades</v>
      </c>
      <c r="AD842" s="10" t="str">
        <f>IFERROR(VLOOKUP(Tabla1[[#This Row],[CANTIDAD UND COMERCIALES]],TAB_REF!$H$3:$I$1003,2,0)&amp;" ("&amp;Tabla1[[#This Row],[CANTIDAD UND COMERCIALES]]&amp;")"&amp;"_"&amp;Tabla1[[#This Row],[CANTIDAD]],"")</f>
        <v>Sesenta (60)_Caja x 30 unidades</v>
      </c>
    </row>
    <row r="843" spans="2:30" x14ac:dyDescent="0.25">
      <c r="B843" s="10">
        <v>344</v>
      </c>
      <c r="C843" s="10" t="s">
        <v>3733</v>
      </c>
      <c r="D843" s="10" t="s">
        <v>3734</v>
      </c>
      <c r="E843" s="10" t="s">
        <v>3735</v>
      </c>
      <c r="F843" s="10" t="s">
        <v>3736</v>
      </c>
      <c r="G843" s="10" t="s">
        <v>3737</v>
      </c>
      <c r="H843" s="10" t="s">
        <v>3738</v>
      </c>
      <c r="I843" s="10" t="s">
        <v>2118</v>
      </c>
      <c r="J843" s="10" t="s">
        <v>1686</v>
      </c>
      <c r="K843" s="10" t="s">
        <v>2976</v>
      </c>
      <c r="L843" s="11">
        <v>202124101102792</v>
      </c>
      <c r="M843" s="20">
        <v>44369</v>
      </c>
      <c r="N843" s="20" t="str">
        <f>UPPER(TEXT(Tabla1[[#This Row],[FECHA RADICADO ENTRADA]],"MMM"))</f>
        <v>JUN</v>
      </c>
      <c r="O843" s="11">
        <v>202124111006451</v>
      </c>
      <c r="P843" s="20">
        <v>44372</v>
      </c>
      <c r="Q843" s="20" t="str">
        <f>UPPER(TEXT(Tabla1[[#This Row],[FECHA RADICADO ENTRADA]],"MMM"))</f>
        <v>JUN</v>
      </c>
      <c r="R843" s="10">
        <f t="shared" si="25"/>
        <v>-3</v>
      </c>
      <c r="S843" s="10" t="s">
        <v>2154</v>
      </c>
      <c r="U843" s="10" t="s">
        <v>3739</v>
      </c>
      <c r="V843" s="20">
        <v>43602</v>
      </c>
      <c r="W843" s="10" t="s">
        <v>63</v>
      </c>
      <c r="X843" s="10">
        <v>300</v>
      </c>
      <c r="Y843" s="11">
        <f>IFERROR(INT(Tabla1[[#This Row],[CANTIDAD UND FARMACEUTICAS]]/(VLOOKUP(Tabla1[[#This Row],[MEDICAMENTO]],TAB_REF!$K$3:$L$27,2,0))),"")</f>
        <v>30</v>
      </c>
      <c r="Z843" s="10" t="str">
        <f>IFERROR(VLOOKUP(Tabla1[[#This Row],[MEDICAMENTO]],TAB_REF!$B$3:$F$27,2,0), "")</f>
        <v xml:space="preserve">Morfina HCl </v>
      </c>
      <c r="AA843" s="10" t="str">
        <f>IFERROR(VLOOKUP(Tabla1[[#This Row],[MEDICAMENTO]],TAB_REF!$B$3:$F$27,3,0), "")</f>
        <v xml:space="preserve">10 mg/mL </v>
      </c>
      <c r="AB843" s="10" t="str">
        <f>IFERROR(VLOOKUP(Tabla1[[#This Row],[MEDICAMENTO]],TAB_REF!$B$3:$F$27,4,0), "")</f>
        <v>Solución Inyectable</v>
      </c>
      <c r="AC843" s="10" t="str">
        <f>IFERROR(VLOOKUP(Tabla1[[#This Row],[MEDICAMENTO]],TAB_REF!$B$3:$F$27,5,0), "")</f>
        <v>Caja x 10 unidades</v>
      </c>
      <c r="AD843" s="10" t="str">
        <f>IFERROR(VLOOKUP(Tabla1[[#This Row],[CANTIDAD UND COMERCIALES]],TAB_REF!$H$3:$I$1003,2,0)&amp;" ("&amp;Tabla1[[#This Row],[CANTIDAD UND COMERCIALES]]&amp;")"&amp;"_"&amp;Tabla1[[#This Row],[CANTIDAD]],"")</f>
        <v>Treinta (30)_Caja x 10 unidades</v>
      </c>
    </row>
    <row r="844" spans="2:30" x14ac:dyDescent="0.25">
      <c r="B844" s="10">
        <v>344</v>
      </c>
      <c r="C844" s="10" t="s">
        <v>3733</v>
      </c>
      <c r="D844" s="10" t="s">
        <v>3734</v>
      </c>
      <c r="E844" s="10" t="s">
        <v>3735</v>
      </c>
      <c r="F844" s="10" t="s">
        <v>3736</v>
      </c>
      <c r="G844" s="10" t="s">
        <v>3737</v>
      </c>
      <c r="H844" s="10" t="s">
        <v>3738</v>
      </c>
      <c r="I844" s="10" t="s">
        <v>2118</v>
      </c>
      <c r="J844" s="10" t="s">
        <v>1686</v>
      </c>
      <c r="K844" s="10" t="s">
        <v>2976</v>
      </c>
      <c r="L844" s="11">
        <v>202124101102792</v>
      </c>
      <c r="M844" s="20">
        <v>44369</v>
      </c>
      <c r="N844" s="20" t="str">
        <f>UPPER(TEXT(Tabla1[[#This Row],[FECHA RADICADO ENTRADA]],"MMM"))</f>
        <v>JUN</v>
      </c>
      <c r="O844" s="11">
        <v>202124111006451</v>
      </c>
      <c r="P844" s="20">
        <v>44372</v>
      </c>
      <c r="Q844" s="20" t="str">
        <f>UPPER(TEXT(Tabla1[[#This Row],[FECHA RADICADO ENTRADA]],"MMM"))</f>
        <v>JUN</v>
      </c>
      <c r="R844" s="10">
        <f t="shared" si="25"/>
        <v>-3</v>
      </c>
      <c r="S844" s="10" t="s">
        <v>2154</v>
      </c>
      <c r="U844" s="10" t="s">
        <v>3739</v>
      </c>
      <c r="V844" s="20">
        <v>43602</v>
      </c>
      <c r="W844" s="10" t="s">
        <v>60</v>
      </c>
      <c r="X844" s="10">
        <v>48</v>
      </c>
      <c r="Y844" s="11">
        <f>IFERROR(INT(Tabla1[[#This Row],[CANTIDAD UND FARMACEUTICAS]]/(VLOOKUP(Tabla1[[#This Row],[MEDICAMENTO]],TAB_REF!$K$3:$L$27,2,0))),"")</f>
        <v>48</v>
      </c>
      <c r="Z844" s="10" t="str">
        <f>IFERROR(VLOOKUP(Tabla1[[#This Row],[MEDICAMENTO]],TAB_REF!$B$3:$F$27,2,0), "")</f>
        <v xml:space="preserve">Morfina HCl </v>
      </c>
      <c r="AA844" s="10" t="str">
        <f>IFERROR(VLOOKUP(Tabla1[[#This Row],[MEDICAMENTO]],TAB_REF!$B$3:$F$27,3,0), "")</f>
        <v xml:space="preserve">3%. </v>
      </c>
      <c r="AB844" s="10" t="str">
        <f>IFERROR(VLOOKUP(Tabla1[[#This Row],[MEDICAMENTO]],TAB_REF!$B$3:$F$27,4,0), "")</f>
        <v>Solución Oral</v>
      </c>
      <c r="AC844" s="10" t="str">
        <f>IFERROR(VLOOKUP(Tabla1[[#This Row],[MEDICAMENTO]],TAB_REF!$B$3:$F$27,5,0), "")</f>
        <v>Frasco x 30 mL</v>
      </c>
      <c r="AD844" s="10" t="str">
        <f>IFERROR(VLOOKUP(Tabla1[[#This Row],[CANTIDAD UND COMERCIALES]],TAB_REF!$H$3:$I$1003,2,0)&amp;" ("&amp;Tabla1[[#This Row],[CANTIDAD UND COMERCIALES]]&amp;")"&amp;"_"&amp;Tabla1[[#This Row],[CANTIDAD]],"")</f>
        <v>Cuarenta Y Ocho (48)_Frasco x 30 mL</v>
      </c>
    </row>
    <row r="845" spans="2:30" x14ac:dyDescent="0.25">
      <c r="B845" s="10">
        <v>344</v>
      </c>
      <c r="C845" s="10" t="s">
        <v>3733</v>
      </c>
      <c r="D845" s="10" t="s">
        <v>3734</v>
      </c>
      <c r="E845" s="10" t="s">
        <v>3735</v>
      </c>
      <c r="F845" s="10" t="s">
        <v>3736</v>
      </c>
      <c r="G845" s="10" t="s">
        <v>3737</v>
      </c>
      <c r="H845" s="10" t="s">
        <v>3738</v>
      </c>
      <c r="I845" s="10" t="s">
        <v>2118</v>
      </c>
      <c r="J845" s="10" t="s">
        <v>1686</v>
      </c>
      <c r="K845" s="10" t="s">
        <v>2976</v>
      </c>
      <c r="L845" s="11">
        <v>202124101102792</v>
      </c>
      <c r="M845" s="20">
        <v>44369</v>
      </c>
      <c r="N845" s="20" t="str">
        <f>UPPER(TEXT(Tabla1[[#This Row],[FECHA RADICADO ENTRADA]],"MMM"))</f>
        <v>JUN</v>
      </c>
      <c r="O845" s="11">
        <v>202124111006451</v>
      </c>
      <c r="P845" s="20">
        <v>44372</v>
      </c>
      <c r="Q845" s="20" t="str">
        <f>UPPER(TEXT(Tabla1[[#This Row],[FECHA RADICADO ENTRADA]],"MMM"))</f>
        <v>JUN</v>
      </c>
      <c r="R845" s="10">
        <f t="shared" si="25"/>
        <v>-3</v>
      </c>
      <c r="S845" s="10" t="s">
        <v>2154</v>
      </c>
      <c r="U845" s="10" t="s">
        <v>3739</v>
      </c>
      <c r="V845" s="20">
        <v>43602</v>
      </c>
      <c r="W845" s="10" t="s">
        <v>37</v>
      </c>
      <c r="X845" s="10">
        <v>300</v>
      </c>
      <c r="Y845" s="11">
        <f>IFERROR(INT(Tabla1[[#This Row],[CANTIDAD UND FARMACEUTICAS]]/(VLOOKUP(Tabla1[[#This Row],[MEDICAMENTO]],TAB_REF!$K$3:$L$27,2,0))),"")</f>
        <v>30</v>
      </c>
      <c r="Z845" s="10" t="str">
        <f>IFERROR(VLOOKUP(Tabla1[[#This Row],[MEDICAMENTO]],TAB_REF!$B$3:$F$27,2,0), "")</f>
        <v xml:space="preserve">Hidromorfona HCl </v>
      </c>
      <c r="AA845" s="10" t="str">
        <f>IFERROR(VLOOKUP(Tabla1[[#This Row],[MEDICAMENTO]],TAB_REF!$B$3:$F$27,3,0), "")</f>
        <v xml:space="preserve">2 mg/mL </v>
      </c>
      <c r="AB845" s="10" t="str">
        <f>IFERROR(VLOOKUP(Tabla1[[#This Row],[MEDICAMENTO]],TAB_REF!$B$3:$F$27,4,0), "")</f>
        <v>Solución Inyectable</v>
      </c>
      <c r="AC845" s="10" t="str">
        <f>IFERROR(VLOOKUP(Tabla1[[#This Row],[MEDICAMENTO]],TAB_REF!$B$3:$F$27,5,0), "")</f>
        <v>Caja x 10 unidades</v>
      </c>
      <c r="AD845" s="10" t="str">
        <f>IFERROR(VLOOKUP(Tabla1[[#This Row],[CANTIDAD UND COMERCIALES]],TAB_REF!$H$3:$I$1003,2,0)&amp;" ("&amp;Tabla1[[#This Row],[CANTIDAD UND COMERCIALES]]&amp;")"&amp;"_"&amp;Tabla1[[#This Row],[CANTIDAD]],"")</f>
        <v>Treinta (30)_Caja x 10 unidades</v>
      </c>
    </row>
    <row r="846" spans="2:30" x14ac:dyDescent="0.25">
      <c r="B846" s="10">
        <v>344</v>
      </c>
      <c r="C846" s="10" t="s">
        <v>3733</v>
      </c>
      <c r="D846" s="10" t="s">
        <v>3734</v>
      </c>
      <c r="E846" s="10" t="s">
        <v>3735</v>
      </c>
      <c r="F846" s="10" t="s">
        <v>3736</v>
      </c>
      <c r="G846" s="10" t="s">
        <v>3737</v>
      </c>
      <c r="H846" s="10" t="s">
        <v>3738</v>
      </c>
      <c r="I846" s="10" t="s">
        <v>2118</v>
      </c>
      <c r="J846" s="10" t="s">
        <v>1686</v>
      </c>
      <c r="K846" s="10" t="s">
        <v>2976</v>
      </c>
      <c r="L846" s="11">
        <v>202124101102792</v>
      </c>
      <c r="M846" s="20">
        <v>44369</v>
      </c>
      <c r="N846" s="20" t="str">
        <f>UPPER(TEXT(Tabla1[[#This Row],[FECHA RADICADO ENTRADA]],"MMM"))</f>
        <v>JUN</v>
      </c>
      <c r="O846" s="11">
        <v>202124111006451</v>
      </c>
      <c r="P846" s="20">
        <v>44372</v>
      </c>
      <c r="Q846" s="20" t="str">
        <f>UPPER(TEXT(Tabla1[[#This Row],[FECHA RADICADO ENTRADA]],"MMM"))</f>
        <v>JUN</v>
      </c>
      <c r="R846" s="10">
        <f t="shared" si="25"/>
        <v>-3</v>
      </c>
      <c r="S846" s="10" t="s">
        <v>2154</v>
      </c>
      <c r="U846" s="10" t="s">
        <v>3739</v>
      </c>
      <c r="V846" s="20">
        <v>43602</v>
      </c>
      <c r="W846" s="10" t="s">
        <v>38</v>
      </c>
      <c r="X846" s="10">
        <v>720</v>
      </c>
      <c r="Y846" s="11">
        <f>IFERROR(INT(Tabla1[[#This Row],[CANTIDAD UND FARMACEUTICAS]]/(VLOOKUP(Tabla1[[#This Row],[MEDICAMENTO]],TAB_REF!$K$3:$L$27,2,0))),"")</f>
        <v>36</v>
      </c>
      <c r="Z846" s="10" t="str">
        <f>IFERROR(VLOOKUP(Tabla1[[#This Row],[MEDICAMENTO]],TAB_REF!$B$3:$F$27,2,0), "")</f>
        <v xml:space="preserve">Hidromorfona HCl </v>
      </c>
      <c r="AA846" s="10" t="str">
        <f>IFERROR(VLOOKUP(Tabla1[[#This Row],[MEDICAMENTO]],TAB_REF!$B$3:$F$27,3,0), "")</f>
        <v xml:space="preserve">2,5 mg </v>
      </c>
      <c r="AB846" s="10" t="str">
        <f>IFERROR(VLOOKUP(Tabla1[[#This Row],[MEDICAMENTO]],TAB_REF!$B$3:$F$27,4,0), "")</f>
        <v>Tabletas</v>
      </c>
      <c r="AC846" s="10" t="str">
        <f>IFERROR(VLOOKUP(Tabla1[[#This Row],[MEDICAMENTO]],TAB_REF!$B$3:$F$27,5,0), "")</f>
        <v>Caja x 20 unidades</v>
      </c>
      <c r="AD846" s="10" t="str">
        <f>IFERROR(VLOOKUP(Tabla1[[#This Row],[CANTIDAD UND COMERCIALES]],TAB_REF!$H$3:$I$1003,2,0)&amp;" ("&amp;Tabla1[[#This Row],[CANTIDAD UND COMERCIALES]]&amp;")"&amp;"_"&amp;Tabla1[[#This Row],[CANTIDAD]],"")</f>
        <v>Treinta Y Seis (36)_Caja x 20 unidades</v>
      </c>
    </row>
    <row r="847" spans="2:30" x14ac:dyDescent="0.25">
      <c r="B847" s="10">
        <v>345</v>
      </c>
      <c r="C847" s="10" t="s">
        <v>3543</v>
      </c>
      <c r="D847" s="10" t="s">
        <v>2312</v>
      </c>
      <c r="E847" s="10" t="s">
        <v>3740</v>
      </c>
      <c r="F847" s="10" t="s">
        <v>3741</v>
      </c>
      <c r="G847" s="10" t="s">
        <v>3544</v>
      </c>
      <c r="H847" s="10" t="s">
        <v>3742</v>
      </c>
      <c r="I847" s="10" t="s">
        <v>2128</v>
      </c>
      <c r="J847" s="10" t="s">
        <v>1968</v>
      </c>
      <c r="K847" s="10" t="s">
        <v>2976</v>
      </c>
      <c r="L847" s="11">
        <v>202124101102982</v>
      </c>
      <c r="M847" s="20">
        <v>44369</v>
      </c>
      <c r="N847" s="20" t="str">
        <f>UPPER(TEXT(Tabla1[[#This Row],[FECHA RADICADO ENTRADA]],"MMM"))</f>
        <v>JUN</v>
      </c>
      <c r="O847" s="11">
        <v>202124111007261</v>
      </c>
      <c r="P847" s="20">
        <v>44372</v>
      </c>
      <c r="Q847" s="20" t="str">
        <f>UPPER(TEXT(Tabla1[[#This Row],[FECHA RADICADO ENTRADA]],"MMM"))</f>
        <v>JUN</v>
      </c>
      <c r="R847" s="10">
        <f t="shared" si="25"/>
        <v>-3</v>
      </c>
      <c r="S847" s="10" t="s">
        <v>2145</v>
      </c>
      <c r="T847" s="10" t="s">
        <v>3743</v>
      </c>
      <c r="U847" s="10" t="s">
        <v>3594</v>
      </c>
      <c r="V847" s="20">
        <v>42516</v>
      </c>
      <c r="W847" s="10" t="s">
        <v>37</v>
      </c>
      <c r="X847" s="10">
        <v>0</v>
      </c>
      <c r="Y847" s="11">
        <f>IFERROR(INT(Tabla1[[#This Row],[CANTIDAD UND FARMACEUTICAS]]/(VLOOKUP(Tabla1[[#This Row],[MEDICAMENTO]],TAB_REF!$K$3:$L$27,2,0))),"")</f>
        <v>0</v>
      </c>
      <c r="Z847" s="10" t="str">
        <f>IFERROR(VLOOKUP(Tabla1[[#This Row],[MEDICAMENTO]],TAB_REF!$B$3:$F$27,2,0), "")</f>
        <v xml:space="preserve">Hidromorfona HCl </v>
      </c>
      <c r="AA847" s="10" t="str">
        <f>IFERROR(VLOOKUP(Tabla1[[#This Row],[MEDICAMENTO]],TAB_REF!$B$3:$F$27,3,0), "")</f>
        <v xml:space="preserve">2 mg/mL </v>
      </c>
      <c r="AB847" s="10" t="str">
        <f>IFERROR(VLOOKUP(Tabla1[[#This Row],[MEDICAMENTO]],TAB_REF!$B$3:$F$27,4,0), "")</f>
        <v>Solución Inyectable</v>
      </c>
      <c r="AC847" s="10" t="str">
        <f>IFERROR(VLOOKUP(Tabla1[[#This Row],[MEDICAMENTO]],TAB_REF!$B$3:$F$27,5,0), "")</f>
        <v>Caja x 10 unidades</v>
      </c>
      <c r="AD847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848" spans="2:30" x14ac:dyDescent="0.25">
      <c r="B848" s="10">
        <v>345</v>
      </c>
      <c r="C848" s="10" t="s">
        <v>3543</v>
      </c>
      <c r="D848" s="10" t="s">
        <v>2312</v>
      </c>
      <c r="E848" s="10" t="s">
        <v>3740</v>
      </c>
      <c r="F848" s="10" t="s">
        <v>3741</v>
      </c>
      <c r="G848" s="10" t="s">
        <v>3544</v>
      </c>
      <c r="H848" s="10" t="s">
        <v>3742</v>
      </c>
      <c r="I848" s="10" t="s">
        <v>2128</v>
      </c>
      <c r="J848" s="10" t="s">
        <v>1968</v>
      </c>
      <c r="K848" s="10" t="s">
        <v>2976</v>
      </c>
      <c r="L848" s="11">
        <v>202124101102982</v>
      </c>
      <c r="M848" s="20">
        <v>44369</v>
      </c>
      <c r="N848" s="20" t="str">
        <f>UPPER(TEXT(Tabla1[[#This Row],[FECHA RADICADO ENTRADA]],"MMM"))</f>
        <v>JUN</v>
      </c>
      <c r="O848" s="11">
        <v>202124111007261</v>
      </c>
      <c r="P848" s="20">
        <v>44372</v>
      </c>
      <c r="Q848" s="20" t="str">
        <f>UPPER(TEXT(Tabla1[[#This Row],[FECHA RADICADO ENTRADA]],"MMM"))</f>
        <v>JUN</v>
      </c>
      <c r="R848" s="10">
        <f t="shared" si="25"/>
        <v>-3</v>
      </c>
      <c r="S848" s="10" t="s">
        <v>2145</v>
      </c>
      <c r="T848" s="10" t="s">
        <v>3743</v>
      </c>
      <c r="U848" s="10" t="s">
        <v>3594</v>
      </c>
      <c r="V848" s="20">
        <v>42516</v>
      </c>
      <c r="W848" s="10" t="s">
        <v>63</v>
      </c>
      <c r="X848" s="10">
        <v>0</v>
      </c>
      <c r="Y848" s="11">
        <f>IFERROR(INT(Tabla1[[#This Row],[CANTIDAD UND FARMACEUTICAS]]/(VLOOKUP(Tabla1[[#This Row],[MEDICAMENTO]],TAB_REF!$K$3:$L$27,2,0))),"")</f>
        <v>0</v>
      </c>
      <c r="Z848" s="10" t="str">
        <f>IFERROR(VLOOKUP(Tabla1[[#This Row],[MEDICAMENTO]],TAB_REF!$B$3:$F$27,2,0), "")</f>
        <v xml:space="preserve">Morfina HCl </v>
      </c>
      <c r="AA848" s="10" t="str">
        <f>IFERROR(VLOOKUP(Tabla1[[#This Row],[MEDICAMENTO]],TAB_REF!$B$3:$F$27,3,0), "")</f>
        <v xml:space="preserve">10 mg/mL </v>
      </c>
      <c r="AB848" s="10" t="str">
        <f>IFERROR(VLOOKUP(Tabla1[[#This Row],[MEDICAMENTO]],TAB_REF!$B$3:$F$27,4,0), "")</f>
        <v>Solución Inyectable</v>
      </c>
      <c r="AC848" s="10" t="str">
        <f>IFERROR(VLOOKUP(Tabla1[[#This Row],[MEDICAMENTO]],TAB_REF!$B$3:$F$27,5,0), "")</f>
        <v>Caja x 10 unidades</v>
      </c>
      <c r="AD848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849" spans="2:30" x14ac:dyDescent="0.25">
      <c r="B849" s="10">
        <v>345</v>
      </c>
      <c r="C849" s="10" t="s">
        <v>3543</v>
      </c>
      <c r="D849" s="10" t="s">
        <v>2312</v>
      </c>
      <c r="E849" s="10" t="s">
        <v>3740</v>
      </c>
      <c r="F849" s="10" t="s">
        <v>3741</v>
      </c>
      <c r="G849" s="10" t="s">
        <v>3544</v>
      </c>
      <c r="H849" s="10" t="s">
        <v>3742</v>
      </c>
      <c r="I849" s="10" t="s">
        <v>2128</v>
      </c>
      <c r="J849" s="10" t="s">
        <v>1968</v>
      </c>
      <c r="K849" s="10" t="s">
        <v>2976</v>
      </c>
      <c r="L849" s="11">
        <v>202124101102982</v>
      </c>
      <c r="M849" s="20">
        <v>44369</v>
      </c>
      <c r="N849" s="20" t="str">
        <f>UPPER(TEXT(Tabla1[[#This Row],[FECHA RADICADO ENTRADA]],"MMM"))</f>
        <v>JUN</v>
      </c>
      <c r="O849" s="11">
        <v>202124111007261</v>
      </c>
      <c r="P849" s="20">
        <v>44372</v>
      </c>
      <c r="Q849" s="20" t="str">
        <f>UPPER(TEXT(Tabla1[[#This Row],[FECHA RADICADO ENTRADA]],"MMM"))</f>
        <v>JUN</v>
      </c>
      <c r="R849" s="10">
        <f t="shared" si="25"/>
        <v>-3</v>
      </c>
      <c r="S849" s="10" t="s">
        <v>2145</v>
      </c>
      <c r="T849" s="10" t="s">
        <v>3743</v>
      </c>
      <c r="U849" s="10" t="s">
        <v>3594</v>
      </c>
      <c r="V849" s="20">
        <v>42516</v>
      </c>
      <c r="W849" s="10" t="s">
        <v>60</v>
      </c>
      <c r="X849" s="10">
        <v>0</v>
      </c>
      <c r="Y849" s="11">
        <f>IFERROR(INT(Tabla1[[#This Row],[CANTIDAD UND FARMACEUTICAS]]/(VLOOKUP(Tabla1[[#This Row],[MEDICAMENTO]],TAB_REF!$K$3:$L$27,2,0))),"")</f>
        <v>0</v>
      </c>
      <c r="Z849" s="10" t="str">
        <f>IFERROR(VLOOKUP(Tabla1[[#This Row],[MEDICAMENTO]],TAB_REF!$B$3:$F$27,2,0), "")</f>
        <v xml:space="preserve">Morfina HCl </v>
      </c>
      <c r="AA849" s="10" t="str">
        <f>IFERROR(VLOOKUP(Tabla1[[#This Row],[MEDICAMENTO]],TAB_REF!$B$3:$F$27,3,0), "")</f>
        <v xml:space="preserve">3%. </v>
      </c>
      <c r="AB849" s="10" t="str">
        <f>IFERROR(VLOOKUP(Tabla1[[#This Row],[MEDICAMENTO]],TAB_REF!$B$3:$F$27,4,0), "")</f>
        <v>Solución Oral</v>
      </c>
      <c r="AC849" s="10" t="str">
        <f>IFERROR(VLOOKUP(Tabla1[[#This Row],[MEDICAMENTO]],TAB_REF!$B$3:$F$27,5,0), "")</f>
        <v>Frasco x 30 mL</v>
      </c>
      <c r="AD849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850" spans="2:30" x14ac:dyDescent="0.25">
      <c r="B850" s="10">
        <v>346</v>
      </c>
      <c r="C850" s="10" t="s">
        <v>3744</v>
      </c>
      <c r="D850" s="10" t="s">
        <v>2312</v>
      </c>
      <c r="E850" s="10" t="s">
        <v>3745</v>
      </c>
      <c r="F850" s="10" t="s">
        <v>3746</v>
      </c>
      <c r="G850" s="10" t="s">
        <v>3172</v>
      </c>
      <c r="H850" s="10" t="s">
        <v>3747</v>
      </c>
      <c r="I850" s="10" t="s">
        <v>2113</v>
      </c>
      <c r="J850" s="10" t="s">
        <v>1442</v>
      </c>
      <c r="K850" s="10" t="s">
        <v>2976</v>
      </c>
      <c r="L850" s="11">
        <v>202124101112842</v>
      </c>
      <c r="M850" s="20">
        <v>44370</v>
      </c>
      <c r="N850" s="20" t="str">
        <f>UPPER(TEXT(Tabla1[[#This Row],[FECHA RADICADO ENTRADA]],"MMM"))</f>
        <v>JUN</v>
      </c>
      <c r="O850" s="11">
        <v>202124111007401</v>
      </c>
      <c r="P850" s="20">
        <v>44372</v>
      </c>
      <c r="Q850" s="20" t="str">
        <f>UPPER(TEXT(Tabla1[[#This Row],[FECHA RADICADO ENTRADA]],"MMM"))</f>
        <v>JUN</v>
      </c>
      <c r="R850" s="10">
        <f t="shared" si="25"/>
        <v>-2</v>
      </c>
      <c r="S850" s="10" t="s">
        <v>2154</v>
      </c>
      <c r="U850" s="10" t="s">
        <v>3748</v>
      </c>
      <c r="V850" s="20">
        <v>43615</v>
      </c>
      <c r="W850" s="10" t="s">
        <v>63</v>
      </c>
      <c r="X850" s="10">
        <v>750</v>
      </c>
      <c r="Y850" s="11">
        <f>IFERROR(INT(Tabla1[[#This Row],[CANTIDAD UND FARMACEUTICAS]]/(VLOOKUP(Tabla1[[#This Row],[MEDICAMENTO]],TAB_REF!$K$3:$L$27,2,0))),"")</f>
        <v>75</v>
      </c>
      <c r="Z850" s="10" t="str">
        <f>IFERROR(VLOOKUP(Tabla1[[#This Row],[MEDICAMENTO]],TAB_REF!$B$3:$F$27,2,0), "")</f>
        <v xml:space="preserve">Morfina HCl </v>
      </c>
      <c r="AA850" s="10" t="str">
        <f>IFERROR(VLOOKUP(Tabla1[[#This Row],[MEDICAMENTO]],TAB_REF!$B$3:$F$27,3,0), "")</f>
        <v xml:space="preserve">10 mg/mL </v>
      </c>
      <c r="AB850" s="10" t="str">
        <f>IFERROR(VLOOKUP(Tabla1[[#This Row],[MEDICAMENTO]],TAB_REF!$B$3:$F$27,4,0), "")</f>
        <v>Solución Inyectable</v>
      </c>
      <c r="AC850" s="10" t="str">
        <f>IFERROR(VLOOKUP(Tabla1[[#This Row],[MEDICAMENTO]],TAB_REF!$B$3:$F$27,5,0), "")</f>
        <v>Caja x 10 unidades</v>
      </c>
      <c r="AD850" s="10" t="str">
        <f>IFERROR(VLOOKUP(Tabla1[[#This Row],[CANTIDAD UND COMERCIALES]],TAB_REF!$H$3:$I$1003,2,0)&amp;" ("&amp;Tabla1[[#This Row],[CANTIDAD UND COMERCIALES]]&amp;")"&amp;"_"&amp;Tabla1[[#This Row],[CANTIDAD]],"")</f>
        <v>Setenta Y Cinco (75)_Caja x 10 unidades</v>
      </c>
    </row>
    <row r="851" spans="2:30" x14ac:dyDescent="0.25">
      <c r="B851" s="10">
        <v>347</v>
      </c>
      <c r="C851" s="10" t="s">
        <v>3749</v>
      </c>
      <c r="D851" s="10" t="s">
        <v>2531</v>
      </c>
      <c r="E851" s="10" t="s">
        <v>3750</v>
      </c>
      <c r="F851" s="10" t="s">
        <v>3751</v>
      </c>
      <c r="G851" s="10" t="s">
        <v>2431</v>
      </c>
      <c r="H851" s="10" t="s">
        <v>3752</v>
      </c>
      <c r="I851" s="10" t="s">
        <v>2128</v>
      </c>
      <c r="J851" s="10" t="s">
        <v>1968</v>
      </c>
      <c r="K851" s="10" t="s">
        <v>2976</v>
      </c>
      <c r="L851" s="11">
        <v>202124101081362</v>
      </c>
      <c r="M851" s="20">
        <v>44368</v>
      </c>
      <c r="N851" s="20" t="str">
        <f>UPPER(TEXT(Tabla1[[#This Row],[FECHA RADICADO ENTRADA]],"MMM"))</f>
        <v>JUN</v>
      </c>
      <c r="O851" s="11">
        <v>202124111007491</v>
      </c>
      <c r="P851" s="20">
        <v>44372</v>
      </c>
      <c r="Q851" s="20" t="str">
        <f>UPPER(TEXT(Tabla1[[#This Row],[FECHA RADICADO ENTRADA]],"MMM"))</f>
        <v>JUN</v>
      </c>
      <c r="R851" s="10">
        <f t="shared" si="25"/>
        <v>-4</v>
      </c>
      <c r="S851" s="10" t="s">
        <v>2145</v>
      </c>
      <c r="T851" s="10" t="s">
        <v>3732</v>
      </c>
      <c r="U851" s="10" t="s">
        <v>3753</v>
      </c>
      <c r="V851" s="20">
        <v>43630</v>
      </c>
      <c r="W851" s="10" t="s">
        <v>63</v>
      </c>
      <c r="X851" s="10">
        <v>0</v>
      </c>
      <c r="Y851" s="11">
        <f>IFERROR(INT(Tabla1[[#This Row],[CANTIDAD UND FARMACEUTICAS]]/(VLOOKUP(Tabla1[[#This Row],[MEDICAMENTO]],TAB_REF!$K$3:$L$27,2,0))),"")</f>
        <v>0</v>
      </c>
      <c r="Z851" s="10" t="str">
        <f>IFERROR(VLOOKUP(Tabla1[[#This Row],[MEDICAMENTO]],TAB_REF!$B$3:$F$27,2,0), "")</f>
        <v xml:space="preserve">Morfina HCl </v>
      </c>
      <c r="AA851" s="10" t="str">
        <f>IFERROR(VLOOKUP(Tabla1[[#This Row],[MEDICAMENTO]],TAB_REF!$B$3:$F$27,3,0), "")</f>
        <v xml:space="preserve">10 mg/mL </v>
      </c>
      <c r="AB851" s="10" t="str">
        <f>IFERROR(VLOOKUP(Tabla1[[#This Row],[MEDICAMENTO]],TAB_REF!$B$3:$F$27,4,0), "")</f>
        <v>Solución Inyectable</v>
      </c>
      <c r="AC851" s="10" t="str">
        <f>IFERROR(VLOOKUP(Tabla1[[#This Row],[MEDICAMENTO]],TAB_REF!$B$3:$F$27,5,0), "")</f>
        <v>Caja x 10 unidades</v>
      </c>
      <c r="AD851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852" spans="2:30" x14ac:dyDescent="0.25">
      <c r="B852" s="10">
        <v>347</v>
      </c>
      <c r="C852" s="10" t="s">
        <v>3749</v>
      </c>
      <c r="D852" s="10" t="s">
        <v>2531</v>
      </c>
      <c r="E852" s="10" t="s">
        <v>3750</v>
      </c>
      <c r="F852" s="10" t="s">
        <v>3751</v>
      </c>
      <c r="G852" s="10" t="s">
        <v>2431</v>
      </c>
      <c r="H852" s="10" t="s">
        <v>3752</v>
      </c>
      <c r="I852" s="10" t="s">
        <v>2128</v>
      </c>
      <c r="J852" s="10" t="s">
        <v>1968</v>
      </c>
      <c r="K852" s="10" t="s">
        <v>2976</v>
      </c>
      <c r="L852" s="11">
        <v>202124101081362</v>
      </c>
      <c r="M852" s="20">
        <v>44368</v>
      </c>
      <c r="N852" s="20" t="str">
        <f>UPPER(TEXT(Tabla1[[#This Row],[FECHA RADICADO ENTRADA]],"MMM"))</f>
        <v>JUN</v>
      </c>
      <c r="O852" s="11">
        <v>202124111007491</v>
      </c>
      <c r="P852" s="20">
        <v>44372</v>
      </c>
      <c r="Q852" s="20" t="str">
        <f>UPPER(TEXT(Tabla1[[#This Row],[FECHA RADICADO ENTRADA]],"MMM"))</f>
        <v>JUN</v>
      </c>
      <c r="R852" s="10">
        <f t="shared" si="25"/>
        <v>-4</v>
      </c>
      <c r="S852" s="10" t="s">
        <v>2145</v>
      </c>
      <c r="T852" s="10" t="s">
        <v>3732</v>
      </c>
      <c r="U852" s="10" t="s">
        <v>3753</v>
      </c>
      <c r="V852" s="20">
        <v>43630</v>
      </c>
      <c r="W852" s="10" t="s">
        <v>34</v>
      </c>
      <c r="X852" s="10">
        <v>0</v>
      </c>
      <c r="Y852" s="11">
        <f>IFERROR(INT(Tabla1[[#This Row],[CANTIDAD UND FARMACEUTICAS]]/(VLOOKUP(Tabla1[[#This Row],[MEDICAMENTO]],TAB_REF!$K$3:$L$27,2,0))),"")</f>
        <v>0</v>
      </c>
      <c r="Z852" s="10" t="str">
        <f>IFERROR(VLOOKUP(Tabla1[[#This Row],[MEDICAMENTO]],TAB_REF!$B$3:$F$27,2,0), "")</f>
        <v xml:space="preserve">Fenobarbital Sódico </v>
      </c>
      <c r="AA852" s="10" t="str">
        <f>IFERROR(VLOOKUP(Tabla1[[#This Row],[MEDICAMENTO]],TAB_REF!$B$3:$F$27,3,0), "")</f>
        <v xml:space="preserve">200 mg/Ml </v>
      </c>
      <c r="AB852" s="10" t="str">
        <f>IFERROR(VLOOKUP(Tabla1[[#This Row],[MEDICAMENTO]],TAB_REF!$B$3:$F$27,4,0), "")</f>
        <v>Solución Inyectable</v>
      </c>
      <c r="AC852" s="10" t="str">
        <f>IFERROR(VLOOKUP(Tabla1[[#This Row],[MEDICAMENTO]],TAB_REF!$B$3:$F$27,5,0), "")</f>
        <v>Caja x 10 unidades</v>
      </c>
      <c r="AD852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853" spans="2:30" x14ac:dyDescent="0.25">
      <c r="B853" s="10">
        <v>348</v>
      </c>
      <c r="C853" s="10" t="s">
        <v>3754</v>
      </c>
      <c r="D853" s="10" t="s">
        <v>2531</v>
      </c>
      <c r="E853" s="10" t="s">
        <v>3755</v>
      </c>
      <c r="F853" s="10" t="s">
        <v>3756</v>
      </c>
      <c r="G853" s="10" t="s">
        <v>3367</v>
      </c>
      <c r="H853" s="10" t="s">
        <v>3757</v>
      </c>
      <c r="I853" s="10" t="s">
        <v>2128</v>
      </c>
      <c r="J853" s="10" t="s">
        <v>1918</v>
      </c>
      <c r="K853" s="10" t="s">
        <v>2976</v>
      </c>
      <c r="L853" s="11">
        <v>202124101063682</v>
      </c>
      <c r="M853" s="20">
        <v>44364</v>
      </c>
      <c r="N853" s="20" t="str">
        <f>UPPER(TEXT(Tabla1[[#This Row],[FECHA RADICADO ENTRADA]],"MMM"))</f>
        <v>JUN</v>
      </c>
      <c r="O853" s="11">
        <v>202124111007661</v>
      </c>
      <c r="P853" s="20">
        <v>44372</v>
      </c>
      <c r="Q853" s="20" t="str">
        <f>UPPER(TEXT(Tabla1[[#This Row],[FECHA RADICADO ENTRADA]],"MMM"))</f>
        <v>JUN</v>
      </c>
      <c r="R853" s="10">
        <f t="shared" si="25"/>
        <v>-8</v>
      </c>
      <c r="S853" s="10" t="s">
        <v>2145</v>
      </c>
      <c r="T853" s="10" t="s">
        <v>3732</v>
      </c>
      <c r="U853" s="10" t="s">
        <v>3758</v>
      </c>
      <c r="V853" s="20">
        <v>42888</v>
      </c>
      <c r="W853" s="10" t="s">
        <v>63</v>
      </c>
      <c r="X853" s="10">
        <v>0</v>
      </c>
      <c r="Y853" s="11">
        <f>IFERROR(INT(Tabla1[[#This Row],[CANTIDAD UND FARMACEUTICAS]]/(VLOOKUP(Tabla1[[#This Row],[MEDICAMENTO]],TAB_REF!$K$3:$L$27,2,0))),"")</f>
        <v>0</v>
      </c>
      <c r="Z853" s="10" t="str">
        <f>IFERROR(VLOOKUP(Tabla1[[#This Row],[MEDICAMENTO]],TAB_REF!$B$3:$F$27,2,0), "")</f>
        <v xml:space="preserve">Morfina HCl </v>
      </c>
      <c r="AA853" s="10" t="str">
        <f>IFERROR(VLOOKUP(Tabla1[[#This Row],[MEDICAMENTO]],TAB_REF!$B$3:$F$27,3,0), "")</f>
        <v xml:space="preserve">10 mg/mL </v>
      </c>
      <c r="AB853" s="10" t="str">
        <f>IFERROR(VLOOKUP(Tabla1[[#This Row],[MEDICAMENTO]],TAB_REF!$B$3:$F$27,4,0), "")</f>
        <v>Solución Inyectable</v>
      </c>
      <c r="AC853" s="10" t="str">
        <f>IFERROR(VLOOKUP(Tabla1[[#This Row],[MEDICAMENTO]],TAB_REF!$B$3:$F$27,5,0), "")</f>
        <v>Caja x 10 unidades</v>
      </c>
      <c r="AD853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854" spans="2:30" x14ac:dyDescent="0.25">
      <c r="B854" s="10">
        <v>349</v>
      </c>
      <c r="C854" s="10" t="s">
        <v>3759</v>
      </c>
      <c r="D854" s="10" t="s">
        <v>2312</v>
      </c>
      <c r="E854" s="10" t="s">
        <v>3066</v>
      </c>
      <c r="F854" s="10" t="s">
        <v>3760</v>
      </c>
      <c r="G854" s="10" t="s">
        <v>3068</v>
      </c>
      <c r="H854" s="10" t="s">
        <v>3761</v>
      </c>
      <c r="I854" s="10" t="s">
        <v>2116</v>
      </c>
      <c r="J854" s="10" t="s">
        <v>1550</v>
      </c>
      <c r="K854" s="10" t="s">
        <v>2976</v>
      </c>
      <c r="L854" s="11">
        <v>202124101117462</v>
      </c>
      <c r="M854" s="20">
        <v>44371</v>
      </c>
      <c r="N854" s="20" t="str">
        <f>UPPER(TEXT(Tabla1[[#This Row],[FECHA RADICADO ENTRADA]],"MMM"))</f>
        <v>JUN</v>
      </c>
      <c r="O854" s="11">
        <v>202124111044021</v>
      </c>
      <c r="P854" s="20">
        <v>44378</v>
      </c>
      <c r="Q854" s="20" t="str">
        <f>UPPER(TEXT(Tabla1[[#This Row],[FECHA RADICADO ENTRADA]],"MMM"))</f>
        <v>JUN</v>
      </c>
      <c r="R854" s="10">
        <f t="shared" si="25"/>
        <v>-7</v>
      </c>
      <c r="S854" s="10" t="s">
        <v>2154</v>
      </c>
      <c r="U854" s="10" t="s">
        <v>3071</v>
      </c>
      <c r="V854" s="20">
        <v>44186</v>
      </c>
      <c r="W854" s="10" t="s">
        <v>63</v>
      </c>
      <c r="X854" s="10">
        <v>200</v>
      </c>
      <c r="Y854" s="11">
        <f>IFERROR(INT(Tabla1[[#This Row],[CANTIDAD UND FARMACEUTICAS]]/(VLOOKUP(Tabla1[[#This Row],[MEDICAMENTO]],TAB_REF!$K$3:$L$27,2,0))),"")</f>
        <v>20</v>
      </c>
      <c r="Z854" s="10" t="str">
        <f>IFERROR(VLOOKUP(Tabla1[[#This Row],[MEDICAMENTO]],TAB_REF!$B$3:$F$27,2,0), "")</f>
        <v xml:space="preserve">Morfina HCl </v>
      </c>
      <c r="AA854" s="10" t="str">
        <f>IFERROR(VLOOKUP(Tabla1[[#This Row],[MEDICAMENTO]],TAB_REF!$B$3:$F$27,3,0), "")</f>
        <v xml:space="preserve">10 mg/mL </v>
      </c>
      <c r="AB854" s="10" t="str">
        <f>IFERROR(VLOOKUP(Tabla1[[#This Row],[MEDICAMENTO]],TAB_REF!$B$3:$F$27,4,0), "")</f>
        <v>Solución Inyectable</v>
      </c>
      <c r="AC854" s="10" t="str">
        <f>IFERROR(VLOOKUP(Tabla1[[#This Row],[MEDICAMENTO]],TAB_REF!$B$3:$F$27,5,0), "")</f>
        <v>Caja x 10 unidades</v>
      </c>
      <c r="AD854" s="10" t="str">
        <f>IFERROR(VLOOKUP(Tabla1[[#This Row],[CANTIDAD UND COMERCIALES]],TAB_REF!$H$3:$I$1003,2,0)&amp;" ("&amp;Tabla1[[#This Row],[CANTIDAD UND COMERCIALES]]&amp;")"&amp;"_"&amp;Tabla1[[#This Row],[CANTIDAD]],"")</f>
        <v>Veinte (20)_Caja x 10 unidades</v>
      </c>
    </row>
    <row r="855" spans="2:30" x14ac:dyDescent="0.25">
      <c r="B855" s="10">
        <v>350</v>
      </c>
      <c r="C855" s="10" t="s">
        <v>2149</v>
      </c>
      <c r="D855" s="10" t="s">
        <v>3495</v>
      </c>
      <c r="E855" s="10" t="s">
        <v>3718</v>
      </c>
      <c r="F855" s="10" t="s">
        <v>3719</v>
      </c>
      <c r="G855" s="10" t="s">
        <v>2193</v>
      </c>
      <c r="H855" s="10" t="s">
        <v>3762</v>
      </c>
      <c r="I855" s="10" t="s">
        <v>2116</v>
      </c>
      <c r="J855" s="10" t="s">
        <v>1550</v>
      </c>
      <c r="K855" s="10" t="s">
        <v>3763</v>
      </c>
      <c r="L855" s="11">
        <v>202124101128012</v>
      </c>
      <c r="M855" s="20">
        <v>44372</v>
      </c>
      <c r="N855" s="20" t="str">
        <f>UPPER(TEXT(Tabla1[[#This Row],[FECHA RADICADO ENTRADA]],"MMM"))</f>
        <v>JUN</v>
      </c>
      <c r="O855" s="11">
        <v>202124111044131</v>
      </c>
      <c r="P855" s="20">
        <v>44378</v>
      </c>
      <c r="Q855" s="20" t="str">
        <f>UPPER(TEXT(Tabla1[[#This Row],[FECHA RADICADO ENTRADA]],"MMM"))</f>
        <v>JUN</v>
      </c>
      <c r="R855" s="10">
        <f t="shared" si="25"/>
        <v>-6</v>
      </c>
      <c r="S855" s="10" t="s">
        <v>2154</v>
      </c>
      <c r="U855" s="10" t="s">
        <v>3764</v>
      </c>
      <c r="V855" s="20">
        <v>43829</v>
      </c>
      <c r="W855" s="10" t="s">
        <v>63</v>
      </c>
      <c r="X855" s="10">
        <v>1500</v>
      </c>
      <c r="Y855" s="11">
        <f>IFERROR(INT(Tabla1[[#This Row],[CANTIDAD UND FARMACEUTICAS]]/(VLOOKUP(Tabla1[[#This Row],[MEDICAMENTO]],TAB_REF!$K$3:$L$27,2,0))),"")</f>
        <v>150</v>
      </c>
      <c r="Z855" s="10" t="str">
        <f>IFERROR(VLOOKUP(Tabla1[[#This Row],[MEDICAMENTO]],TAB_REF!$B$3:$F$27,2,0), "")</f>
        <v xml:space="preserve">Morfina HCl </v>
      </c>
      <c r="AA855" s="10" t="str">
        <f>IFERROR(VLOOKUP(Tabla1[[#This Row],[MEDICAMENTO]],TAB_REF!$B$3:$F$27,3,0), "")</f>
        <v xml:space="preserve">10 mg/mL </v>
      </c>
      <c r="AB855" s="10" t="str">
        <f>IFERROR(VLOOKUP(Tabla1[[#This Row],[MEDICAMENTO]],TAB_REF!$B$3:$F$27,4,0), "")</f>
        <v>Solución Inyectable</v>
      </c>
      <c r="AC855" s="10" t="str">
        <f>IFERROR(VLOOKUP(Tabla1[[#This Row],[MEDICAMENTO]],TAB_REF!$B$3:$F$27,5,0), "")</f>
        <v>Caja x 10 unidades</v>
      </c>
      <c r="AD855" s="10" t="str">
        <f>IFERROR(VLOOKUP(Tabla1[[#This Row],[CANTIDAD UND COMERCIALES]],TAB_REF!$H$3:$I$1003,2,0)&amp;" ("&amp;Tabla1[[#This Row],[CANTIDAD UND COMERCIALES]]&amp;")"&amp;"_"&amp;Tabla1[[#This Row],[CANTIDAD]],"")</f>
        <v>Ciento Cincuenta (150)_Caja x 10 unidades</v>
      </c>
    </row>
    <row r="856" spans="2:30" x14ac:dyDescent="0.25">
      <c r="B856" s="10">
        <v>350</v>
      </c>
      <c r="C856" s="10" t="s">
        <v>2149</v>
      </c>
      <c r="D856" s="10" t="s">
        <v>3495</v>
      </c>
      <c r="E856" s="10" t="s">
        <v>3718</v>
      </c>
      <c r="F856" s="10" t="s">
        <v>3719</v>
      </c>
      <c r="G856" s="10" t="s">
        <v>2193</v>
      </c>
      <c r="H856" s="10" t="s">
        <v>3762</v>
      </c>
      <c r="I856" s="10" t="s">
        <v>2116</v>
      </c>
      <c r="J856" s="10" t="s">
        <v>1550</v>
      </c>
      <c r="K856" s="10" t="s">
        <v>3763</v>
      </c>
      <c r="L856" s="11">
        <v>202124101128012</v>
      </c>
      <c r="M856" s="20">
        <v>44372</v>
      </c>
      <c r="N856" s="20" t="str">
        <f>UPPER(TEXT(Tabla1[[#This Row],[FECHA RADICADO ENTRADA]],"MMM"))</f>
        <v>JUN</v>
      </c>
      <c r="O856" s="11">
        <v>202124111044131</v>
      </c>
      <c r="P856" s="20">
        <v>44378</v>
      </c>
      <c r="Q856" s="20" t="str">
        <f>UPPER(TEXT(Tabla1[[#This Row],[FECHA RADICADO ENTRADA]],"MMM"))</f>
        <v>JUN</v>
      </c>
      <c r="R856" s="10">
        <f t="shared" si="25"/>
        <v>-6</v>
      </c>
      <c r="S856" s="10" t="s">
        <v>2154</v>
      </c>
      <c r="U856" s="10" t="s">
        <v>3764</v>
      </c>
      <c r="V856" s="20">
        <v>43829</v>
      </c>
      <c r="W856" s="10" t="s">
        <v>38</v>
      </c>
      <c r="X856" s="10">
        <v>3000</v>
      </c>
      <c r="Y856" s="11">
        <f>IFERROR(INT(Tabla1[[#This Row],[CANTIDAD UND FARMACEUTICAS]]/(VLOOKUP(Tabla1[[#This Row],[MEDICAMENTO]],TAB_REF!$K$3:$L$27,2,0))),"")</f>
        <v>150</v>
      </c>
      <c r="Z856" s="10" t="str">
        <f>IFERROR(VLOOKUP(Tabla1[[#This Row],[MEDICAMENTO]],TAB_REF!$B$3:$F$27,2,0), "")</f>
        <v xml:space="preserve">Hidromorfona HCl </v>
      </c>
      <c r="AA856" s="10" t="str">
        <f>IFERROR(VLOOKUP(Tabla1[[#This Row],[MEDICAMENTO]],TAB_REF!$B$3:$F$27,3,0), "")</f>
        <v xml:space="preserve">2,5 mg </v>
      </c>
      <c r="AB856" s="10" t="str">
        <f>IFERROR(VLOOKUP(Tabla1[[#This Row],[MEDICAMENTO]],TAB_REF!$B$3:$F$27,4,0), "")</f>
        <v>Tabletas</v>
      </c>
      <c r="AC856" s="10" t="str">
        <f>IFERROR(VLOOKUP(Tabla1[[#This Row],[MEDICAMENTO]],TAB_REF!$B$3:$F$27,5,0), "")</f>
        <v>Caja x 20 unidades</v>
      </c>
      <c r="AD856" s="10" t="str">
        <f>IFERROR(VLOOKUP(Tabla1[[#This Row],[CANTIDAD UND COMERCIALES]],TAB_REF!$H$3:$I$1003,2,0)&amp;" ("&amp;Tabla1[[#This Row],[CANTIDAD UND COMERCIALES]]&amp;")"&amp;"_"&amp;Tabla1[[#This Row],[CANTIDAD]],"")</f>
        <v>Ciento Cincuenta (150)_Caja x 20 unidades</v>
      </c>
    </row>
    <row r="857" spans="2:30" x14ac:dyDescent="0.25">
      <c r="B857" s="10">
        <v>351</v>
      </c>
      <c r="C857" s="10" t="s">
        <v>3765</v>
      </c>
      <c r="D857" s="10" t="s">
        <v>3162</v>
      </c>
      <c r="E857" s="10" t="s">
        <v>3766</v>
      </c>
      <c r="F857" s="10" t="s">
        <v>3767</v>
      </c>
      <c r="G857" s="10" t="s">
        <v>3768</v>
      </c>
      <c r="H857" s="10" t="s">
        <v>3769</v>
      </c>
      <c r="I857" s="10" t="s">
        <v>1490</v>
      </c>
      <c r="J857" s="10" t="s">
        <v>1992</v>
      </c>
      <c r="K857" s="10" t="s">
        <v>3770</v>
      </c>
      <c r="L857" s="11">
        <v>202124101129762</v>
      </c>
      <c r="M857" s="20">
        <v>44372</v>
      </c>
      <c r="N857" s="20" t="str">
        <f>UPPER(TEXT(Tabla1[[#This Row],[FECHA RADICADO ENTRADA]],"MMM"))</f>
        <v>JUN</v>
      </c>
      <c r="O857" s="11">
        <v>202124111044191</v>
      </c>
      <c r="P857" s="20">
        <v>44378</v>
      </c>
      <c r="Q857" s="20" t="str">
        <f>UPPER(TEXT(Tabla1[[#This Row],[FECHA RADICADO ENTRADA]],"MMM"))</f>
        <v>JUN</v>
      </c>
      <c r="R857" s="10">
        <f t="shared" si="25"/>
        <v>-6</v>
      </c>
      <c r="S857" s="10" t="s">
        <v>2154</v>
      </c>
      <c r="U857" s="10" t="s">
        <v>3771</v>
      </c>
      <c r="V857" s="20">
        <v>44025</v>
      </c>
      <c r="W857" s="10" t="s">
        <v>57</v>
      </c>
      <c r="X857" s="10">
        <v>60</v>
      </c>
      <c r="Y857" s="11">
        <f>IFERROR(INT(Tabla1[[#This Row],[CANTIDAD UND FARMACEUTICAS]]/(VLOOKUP(Tabla1[[#This Row],[MEDICAMENTO]],TAB_REF!$K$3:$L$27,2,0))),"")</f>
        <v>2</v>
      </c>
      <c r="Z857" s="10" t="str">
        <f>IFERROR(VLOOKUP(Tabla1[[#This Row],[MEDICAMENTO]],TAB_REF!$B$3:$F$27,2,0), "")</f>
        <v xml:space="preserve">Metilfenidato HCl </v>
      </c>
      <c r="AA857" s="10" t="str">
        <f>IFERROR(VLOOKUP(Tabla1[[#This Row],[MEDICAMENTO]],TAB_REF!$B$3:$F$27,3,0), "")</f>
        <v xml:space="preserve">36 mg </v>
      </c>
      <c r="AB857" s="10" t="str">
        <f>IFERROR(VLOOKUP(Tabla1[[#This Row],[MEDICAMENTO]],TAB_REF!$B$3:$F$27,4,0), "")</f>
        <v>Tabletas de Liberación Prolongada</v>
      </c>
      <c r="AC857" s="10" t="str">
        <f>IFERROR(VLOOKUP(Tabla1[[#This Row],[MEDICAMENTO]],TAB_REF!$B$3:$F$27,5,0), "")</f>
        <v>Frasco x 30 unidades</v>
      </c>
      <c r="AD857" s="10" t="str">
        <f>IFERROR(VLOOKUP(Tabla1[[#This Row],[CANTIDAD UND COMERCIALES]],TAB_REF!$H$3:$I$1003,2,0)&amp;" ("&amp;Tabla1[[#This Row],[CANTIDAD UND COMERCIALES]]&amp;")"&amp;"_"&amp;Tabla1[[#This Row],[CANTIDAD]],"")</f>
        <v>Dos (2)_Frasco x 30 unidades</v>
      </c>
    </row>
    <row r="858" spans="2:30" x14ac:dyDescent="0.25">
      <c r="B858" s="10">
        <v>352</v>
      </c>
      <c r="C858" s="10" t="s">
        <v>2874</v>
      </c>
      <c r="D858" s="10" t="s">
        <v>2182</v>
      </c>
      <c r="E858" s="10" t="s">
        <v>2875</v>
      </c>
      <c r="F858" s="10" t="s">
        <v>3723</v>
      </c>
      <c r="G858" s="10" t="s">
        <v>3061</v>
      </c>
      <c r="H858" s="10" t="s">
        <v>2908</v>
      </c>
      <c r="I858" s="10" t="s">
        <v>2123</v>
      </c>
      <c r="J858" s="10" t="s">
        <v>1770</v>
      </c>
      <c r="K858" s="10" t="s">
        <v>2976</v>
      </c>
      <c r="L858" s="11">
        <v>202124101137772</v>
      </c>
      <c r="M858" s="20">
        <v>44375</v>
      </c>
      <c r="N858" s="20" t="str">
        <f>UPPER(TEXT(Tabla1[[#This Row],[FECHA RADICADO ENTRADA]],"MMM"))</f>
        <v>JUN</v>
      </c>
      <c r="O858" s="11"/>
      <c r="Q858" s="20" t="str">
        <f>UPPER(TEXT(Tabla1[[#This Row],[FECHA RADICADO ENTRADA]],"MMM"))</f>
        <v>JUN</v>
      </c>
      <c r="R858" s="10">
        <f t="shared" si="25"/>
        <v>44375</v>
      </c>
      <c r="S858" s="10" t="s">
        <v>2154</v>
      </c>
      <c r="U858" s="10" t="s">
        <v>2911</v>
      </c>
      <c r="V858" s="20">
        <v>44211</v>
      </c>
      <c r="W858" s="10" t="s">
        <v>38</v>
      </c>
      <c r="X858" s="10">
        <v>600</v>
      </c>
      <c r="Y858" s="11">
        <f>IFERROR(INT(Tabla1[[#This Row],[CANTIDAD UND FARMACEUTICAS]]/(VLOOKUP(Tabla1[[#This Row],[MEDICAMENTO]],TAB_REF!$K$3:$L$27,2,0))),"")</f>
        <v>30</v>
      </c>
      <c r="Z858" s="10" t="str">
        <f>IFERROR(VLOOKUP(Tabla1[[#This Row],[MEDICAMENTO]],TAB_REF!$B$3:$F$27,2,0), "")</f>
        <v xml:space="preserve">Hidromorfona HCl </v>
      </c>
      <c r="AA858" s="10" t="str">
        <f>IFERROR(VLOOKUP(Tabla1[[#This Row],[MEDICAMENTO]],TAB_REF!$B$3:$F$27,3,0), "")</f>
        <v xml:space="preserve">2,5 mg </v>
      </c>
      <c r="AB858" s="10" t="str">
        <f>IFERROR(VLOOKUP(Tabla1[[#This Row],[MEDICAMENTO]],TAB_REF!$B$3:$F$27,4,0), "")</f>
        <v>Tabletas</v>
      </c>
      <c r="AC858" s="10" t="str">
        <f>IFERROR(VLOOKUP(Tabla1[[#This Row],[MEDICAMENTO]],TAB_REF!$B$3:$F$27,5,0), "")</f>
        <v>Caja x 20 unidades</v>
      </c>
      <c r="AD858" s="10" t="str">
        <f>IFERROR(VLOOKUP(Tabla1[[#This Row],[CANTIDAD UND COMERCIALES]],TAB_REF!$H$3:$I$1003,2,0)&amp;" ("&amp;Tabla1[[#This Row],[CANTIDAD UND COMERCIALES]]&amp;")"&amp;"_"&amp;Tabla1[[#This Row],[CANTIDAD]],"")</f>
        <v>Treinta (30)_Caja x 20 unidades</v>
      </c>
    </row>
    <row r="859" spans="2:30" x14ac:dyDescent="0.25">
      <c r="B859" s="10">
        <v>352</v>
      </c>
      <c r="C859" s="10" t="s">
        <v>2874</v>
      </c>
      <c r="D859" s="10" t="s">
        <v>2182</v>
      </c>
      <c r="E859" s="10" t="s">
        <v>2875</v>
      </c>
      <c r="F859" s="10" t="s">
        <v>3723</v>
      </c>
      <c r="G859" s="10" t="s">
        <v>3061</v>
      </c>
      <c r="H859" s="10" t="s">
        <v>2908</v>
      </c>
      <c r="I859" s="10" t="s">
        <v>2123</v>
      </c>
      <c r="J859" s="10" t="s">
        <v>1770</v>
      </c>
      <c r="K859" s="10" t="s">
        <v>2976</v>
      </c>
      <c r="L859" s="11">
        <v>202124101137772</v>
      </c>
      <c r="M859" s="20">
        <v>44375</v>
      </c>
      <c r="N859" s="20" t="str">
        <f>UPPER(TEXT(Tabla1[[#This Row],[FECHA RADICADO ENTRADA]],"MMM"))</f>
        <v>JUN</v>
      </c>
      <c r="O859" s="11"/>
      <c r="Q859" s="20" t="str">
        <f>UPPER(TEXT(Tabla1[[#This Row],[FECHA RADICADO ENTRADA]],"MMM"))</f>
        <v>JUN</v>
      </c>
      <c r="R859" s="10">
        <f t="shared" ref="R859:R880" si="26">_xlfn.DAYS(M859,P859)</f>
        <v>44375</v>
      </c>
      <c r="S859" s="10" t="s">
        <v>2154</v>
      </c>
      <c r="U859" s="10" t="s">
        <v>2911</v>
      </c>
      <c r="V859" s="20">
        <v>44211</v>
      </c>
      <c r="W859" s="10" t="s">
        <v>32</v>
      </c>
      <c r="X859" s="10">
        <v>120</v>
      </c>
      <c r="Y859" s="11">
        <f>IFERROR(INT(Tabla1[[#This Row],[CANTIDAD UND FARMACEUTICAS]]/(VLOOKUP(Tabla1[[#This Row],[MEDICAMENTO]],TAB_REF!$K$3:$L$27,2,0))),"")</f>
        <v>4</v>
      </c>
      <c r="Z859" s="10" t="str">
        <f>IFERROR(VLOOKUP(Tabla1[[#This Row],[MEDICAMENTO]],TAB_REF!$B$3:$F$27,2,0), "")</f>
        <v xml:space="preserve">Fenobarbital </v>
      </c>
      <c r="AA859" s="10" t="str">
        <f>IFERROR(VLOOKUP(Tabla1[[#This Row],[MEDICAMENTO]],TAB_REF!$B$3:$F$27,3,0), "")</f>
        <v xml:space="preserve">100 mg </v>
      </c>
      <c r="AB859" s="10" t="str">
        <f>IFERROR(VLOOKUP(Tabla1[[#This Row],[MEDICAMENTO]],TAB_REF!$B$3:$F$27,4,0), "")</f>
        <v>Tabletas</v>
      </c>
      <c r="AC859" s="10" t="str">
        <f>IFERROR(VLOOKUP(Tabla1[[#This Row],[MEDICAMENTO]],TAB_REF!$B$3:$F$27,5,0), "")</f>
        <v>Caja x 30 unidades</v>
      </c>
      <c r="AD859" s="10" t="str">
        <f>IFERROR(VLOOKUP(Tabla1[[#This Row],[CANTIDAD UND COMERCIALES]],TAB_REF!$H$3:$I$1003,2,0)&amp;" ("&amp;Tabla1[[#This Row],[CANTIDAD UND COMERCIALES]]&amp;")"&amp;"_"&amp;Tabla1[[#This Row],[CANTIDAD]],"")</f>
        <v>Cuatro (4)_Caja x 30 unidades</v>
      </c>
    </row>
    <row r="860" spans="2:30" x14ac:dyDescent="0.25">
      <c r="B860" s="10">
        <v>353</v>
      </c>
      <c r="C860" s="10" t="s">
        <v>3772</v>
      </c>
      <c r="D860" s="10" t="s">
        <v>3773</v>
      </c>
      <c r="E860" s="10" t="s">
        <v>3774</v>
      </c>
      <c r="F860" s="10" t="s">
        <v>3775</v>
      </c>
      <c r="G860" s="10" t="s">
        <v>3776</v>
      </c>
      <c r="H860" s="10" t="s">
        <v>3777</v>
      </c>
      <c r="I860" s="10" t="s">
        <v>2123</v>
      </c>
      <c r="J860" s="10" t="s">
        <v>1771</v>
      </c>
      <c r="K860" s="10" t="s">
        <v>2976</v>
      </c>
      <c r="L860" s="11">
        <v>202124101137952</v>
      </c>
      <c r="M860" s="20">
        <v>44375</v>
      </c>
      <c r="N860" s="20" t="str">
        <f>UPPER(TEXT(Tabla1[[#This Row],[FECHA RADICADO ENTRADA]],"MMM"))</f>
        <v>JUN</v>
      </c>
      <c r="O860" s="11">
        <v>202124111079291</v>
      </c>
      <c r="P860" s="20">
        <v>44385</v>
      </c>
      <c r="Q860" s="20" t="str">
        <f>UPPER(TEXT(Tabla1[[#This Row],[FECHA RADICADO ENTRADA]],"MMM"))</f>
        <v>JUN</v>
      </c>
      <c r="R860" s="10">
        <f t="shared" si="26"/>
        <v>-10</v>
      </c>
      <c r="S860" s="10" t="s">
        <v>2154</v>
      </c>
      <c r="U860" s="10" t="s">
        <v>3778</v>
      </c>
      <c r="V860" s="20">
        <v>44165</v>
      </c>
      <c r="W860" s="10" t="s">
        <v>41</v>
      </c>
      <c r="X860" s="10">
        <v>250</v>
      </c>
      <c r="Y860" s="11">
        <f>IFERROR(INT(Tabla1[[#This Row],[CANTIDAD UND FARMACEUTICAS]]/(VLOOKUP(Tabla1[[#This Row],[MEDICAMENTO]],TAB_REF!$K$3:$L$27,2,0))),"")</f>
        <v>25</v>
      </c>
      <c r="Z860" s="10" t="str">
        <f>IFERROR(VLOOKUP(Tabla1[[#This Row],[MEDICAMENTO]],TAB_REF!$B$3:$F$27,2,0), "")</f>
        <v xml:space="preserve">Meperidina HCl </v>
      </c>
      <c r="AA860" s="10" t="str">
        <f>IFERROR(VLOOKUP(Tabla1[[#This Row],[MEDICAMENTO]],TAB_REF!$B$3:$F$27,3,0), "")</f>
        <v xml:space="preserve">100 mg/2mL </v>
      </c>
      <c r="AB860" s="10" t="str">
        <f>IFERROR(VLOOKUP(Tabla1[[#This Row],[MEDICAMENTO]],TAB_REF!$B$3:$F$27,4,0), "")</f>
        <v>Solución Inyectable</v>
      </c>
      <c r="AC860" s="10" t="str">
        <f>IFERROR(VLOOKUP(Tabla1[[#This Row],[MEDICAMENTO]],TAB_REF!$B$3:$F$27,5,0), "")</f>
        <v>Caja 10 ampollas</v>
      </c>
      <c r="AD860" s="10" t="str">
        <f>IFERROR(VLOOKUP(Tabla1[[#This Row],[CANTIDAD UND COMERCIALES]],TAB_REF!$H$3:$I$1003,2,0)&amp;" ("&amp;Tabla1[[#This Row],[CANTIDAD UND COMERCIALES]]&amp;")"&amp;"_"&amp;Tabla1[[#This Row],[CANTIDAD]],"")</f>
        <v>Veinticinco (25)_Caja 10 ampollas</v>
      </c>
    </row>
    <row r="861" spans="2:30" x14ac:dyDescent="0.25">
      <c r="B861" s="10">
        <v>353</v>
      </c>
      <c r="C861" s="10" t="s">
        <v>3772</v>
      </c>
      <c r="D861" s="10" t="s">
        <v>3773</v>
      </c>
      <c r="E861" s="10" t="s">
        <v>3774</v>
      </c>
      <c r="F861" s="10" t="s">
        <v>3775</v>
      </c>
      <c r="G861" s="10" t="s">
        <v>3776</v>
      </c>
      <c r="H861" s="10" t="s">
        <v>3777</v>
      </c>
      <c r="I861" s="10" t="s">
        <v>2123</v>
      </c>
      <c r="J861" s="10" t="s">
        <v>1771</v>
      </c>
      <c r="K861" s="10" t="s">
        <v>2976</v>
      </c>
      <c r="L861" s="11">
        <v>202124101137952</v>
      </c>
      <c r="M861" s="20">
        <v>44375</v>
      </c>
      <c r="N861" s="20" t="str">
        <f>UPPER(TEXT(Tabla1[[#This Row],[FECHA RADICADO ENTRADA]],"MMM"))</f>
        <v>JUN</v>
      </c>
      <c r="O861" s="11">
        <v>202124111079291</v>
      </c>
      <c r="P861" s="20">
        <v>44385</v>
      </c>
      <c r="Q861" s="20" t="str">
        <f>UPPER(TEXT(Tabla1[[#This Row],[FECHA RADICADO ENTRADA]],"MMM"))</f>
        <v>JUN</v>
      </c>
      <c r="R861" s="10">
        <f t="shared" si="26"/>
        <v>-10</v>
      </c>
      <c r="S861" s="10" t="s">
        <v>2154</v>
      </c>
      <c r="U861" s="10" t="s">
        <v>3778</v>
      </c>
      <c r="V861" s="20">
        <v>44165</v>
      </c>
      <c r="W861" s="10" t="s">
        <v>63</v>
      </c>
      <c r="X861" s="10">
        <v>200</v>
      </c>
      <c r="Y861" s="11">
        <f>IFERROR(INT(Tabla1[[#This Row],[CANTIDAD UND FARMACEUTICAS]]/(VLOOKUP(Tabla1[[#This Row],[MEDICAMENTO]],TAB_REF!$K$3:$L$27,2,0))),"")</f>
        <v>20</v>
      </c>
      <c r="Z861" s="10" t="str">
        <f>IFERROR(VLOOKUP(Tabla1[[#This Row],[MEDICAMENTO]],TAB_REF!$B$3:$F$27,2,0), "")</f>
        <v xml:space="preserve">Morfina HCl </v>
      </c>
      <c r="AA861" s="10" t="str">
        <f>IFERROR(VLOOKUP(Tabla1[[#This Row],[MEDICAMENTO]],TAB_REF!$B$3:$F$27,3,0), "")</f>
        <v xml:space="preserve">10 mg/mL </v>
      </c>
      <c r="AB861" s="10" t="str">
        <f>IFERROR(VLOOKUP(Tabla1[[#This Row],[MEDICAMENTO]],TAB_REF!$B$3:$F$27,4,0), "")</f>
        <v>Solución Inyectable</v>
      </c>
      <c r="AC861" s="10" t="str">
        <f>IFERROR(VLOOKUP(Tabla1[[#This Row],[MEDICAMENTO]],TAB_REF!$B$3:$F$27,5,0), "")</f>
        <v>Caja x 10 unidades</v>
      </c>
      <c r="AD861" s="10" t="str">
        <f>IFERROR(VLOOKUP(Tabla1[[#This Row],[CANTIDAD UND COMERCIALES]],TAB_REF!$H$3:$I$1003,2,0)&amp;" ("&amp;Tabla1[[#This Row],[CANTIDAD UND COMERCIALES]]&amp;")"&amp;"_"&amp;Tabla1[[#This Row],[CANTIDAD]],"")</f>
        <v>Veinte (20)_Caja x 10 unidades</v>
      </c>
    </row>
    <row r="862" spans="2:30" x14ac:dyDescent="0.25">
      <c r="B862" s="10">
        <v>354</v>
      </c>
      <c r="C862" s="10" t="s">
        <v>2781</v>
      </c>
      <c r="D862" s="10" t="s">
        <v>2782</v>
      </c>
      <c r="E862" s="10" t="s">
        <v>3779</v>
      </c>
      <c r="F862" s="10" t="s">
        <v>3780</v>
      </c>
      <c r="G862" s="21" t="s">
        <v>2784</v>
      </c>
      <c r="H862" s="10" t="s">
        <v>3781</v>
      </c>
      <c r="I862" s="10" t="s">
        <v>2129</v>
      </c>
      <c r="J862" s="10" t="s">
        <v>2011</v>
      </c>
      <c r="K862" s="10" t="s">
        <v>3782</v>
      </c>
      <c r="L862" s="11">
        <v>202124101063722</v>
      </c>
      <c r="M862" s="20">
        <v>44364</v>
      </c>
      <c r="N862" s="20" t="str">
        <f>UPPER(TEXT(Tabla1[[#This Row],[FECHA RADICADO ENTRADA]],"MMM"))</f>
        <v>JUN</v>
      </c>
      <c r="O862" s="11">
        <v>202124111044631</v>
      </c>
      <c r="P862" s="20">
        <v>44378</v>
      </c>
      <c r="Q862" s="20" t="str">
        <f>UPPER(TEXT(Tabla1[[#This Row],[FECHA RADICADO ENTRADA]],"MMM"))</f>
        <v>JUN</v>
      </c>
      <c r="R862" s="10">
        <f t="shared" si="26"/>
        <v>-14</v>
      </c>
      <c r="S862" s="10" t="s">
        <v>2145</v>
      </c>
      <c r="U862" s="10" t="s">
        <v>3327</v>
      </c>
      <c r="V862" s="20">
        <v>43392</v>
      </c>
      <c r="W862" s="10" t="s">
        <v>63</v>
      </c>
      <c r="X862" s="10">
        <v>800</v>
      </c>
      <c r="Y862" s="11">
        <f>IFERROR(INT(Tabla1[[#This Row],[CANTIDAD UND FARMACEUTICAS]]/(VLOOKUP(Tabla1[[#This Row],[MEDICAMENTO]],TAB_REF!$K$3:$L$27,2,0))),"")</f>
        <v>80</v>
      </c>
      <c r="Z862" s="10" t="str">
        <f>IFERROR(VLOOKUP(Tabla1[[#This Row],[MEDICAMENTO]],TAB_REF!$B$3:$F$27,2,0), "")</f>
        <v xml:space="preserve">Morfina HCl </v>
      </c>
      <c r="AA862" s="10" t="str">
        <f>IFERROR(VLOOKUP(Tabla1[[#This Row],[MEDICAMENTO]],TAB_REF!$B$3:$F$27,3,0), "")</f>
        <v xml:space="preserve">10 mg/mL </v>
      </c>
      <c r="AB862" s="10" t="str">
        <f>IFERROR(VLOOKUP(Tabla1[[#This Row],[MEDICAMENTO]],TAB_REF!$B$3:$F$27,4,0), "")</f>
        <v>Solución Inyectable</v>
      </c>
      <c r="AC862" s="10" t="str">
        <f>IFERROR(VLOOKUP(Tabla1[[#This Row],[MEDICAMENTO]],TAB_REF!$B$3:$F$27,5,0), "")</f>
        <v>Caja x 10 unidades</v>
      </c>
      <c r="AD862" s="10" t="str">
        <f>IFERROR(VLOOKUP(Tabla1[[#This Row],[CANTIDAD UND COMERCIALES]],TAB_REF!$H$3:$I$1003,2,0)&amp;" ("&amp;Tabla1[[#This Row],[CANTIDAD UND COMERCIALES]]&amp;")"&amp;"_"&amp;Tabla1[[#This Row],[CANTIDAD]],"")</f>
        <v>Ochenta (80)_Caja x 10 unidades</v>
      </c>
    </row>
    <row r="863" spans="2:30" x14ac:dyDescent="0.25">
      <c r="B863" s="10">
        <v>355</v>
      </c>
      <c r="C863" s="10" t="s">
        <v>3744</v>
      </c>
      <c r="D863" s="10" t="s">
        <v>2312</v>
      </c>
      <c r="E863" s="10" t="s">
        <v>3745</v>
      </c>
      <c r="F863" s="10" t="s">
        <v>3746</v>
      </c>
      <c r="G863" s="10" t="s">
        <v>3783</v>
      </c>
      <c r="H863" s="10" t="s">
        <v>3747</v>
      </c>
      <c r="I863" s="10" t="s">
        <v>2113</v>
      </c>
      <c r="J863" s="10" t="s">
        <v>1442</v>
      </c>
      <c r="K863" s="10" t="s">
        <v>2976</v>
      </c>
      <c r="L863" s="11">
        <v>202124101107542</v>
      </c>
      <c r="M863" s="20">
        <v>44370</v>
      </c>
      <c r="N863" s="20" t="str">
        <f>UPPER(TEXT(Tabla1[[#This Row],[FECHA RADICADO ENTRADA]],"MMM"))</f>
        <v>JUN</v>
      </c>
      <c r="O863" s="11"/>
      <c r="Q863" s="20" t="str">
        <f>UPPER(TEXT(Tabla1[[#This Row],[FECHA RADICADO ENTRADA]],"MMM"))</f>
        <v>JUN</v>
      </c>
      <c r="R863" s="10">
        <f t="shared" si="26"/>
        <v>44370</v>
      </c>
      <c r="S863" s="10" t="s">
        <v>2154</v>
      </c>
      <c r="U863" s="10" t="s">
        <v>3748</v>
      </c>
      <c r="V863" s="20">
        <v>44346</v>
      </c>
      <c r="X863" s="10">
        <v>750</v>
      </c>
      <c r="Y863" s="11" t="str">
        <f>IFERROR(INT(Tabla1[[#This Row],[CANTIDAD UND FARMACEUTICAS]]/(VLOOKUP(Tabla1[[#This Row],[MEDICAMENTO]],TAB_REF!$K$3:$L$27,2,0))),"")</f>
        <v/>
      </c>
      <c r="Z863" s="10" t="str">
        <f>IFERROR(VLOOKUP(Tabla1[[#This Row],[MEDICAMENTO]],TAB_REF!$B$3:$F$27,2,0), "")</f>
        <v/>
      </c>
      <c r="AA863" s="10" t="str">
        <f>IFERROR(VLOOKUP(Tabla1[[#This Row],[MEDICAMENTO]],TAB_REF!$B$3:$F$27,3,0), "")</f>
        <v/>
      </c>
      <c r="AB863" s="10" t="str">
        <f>IFERROR(VLOOKUP(Tabla1[[#This Row],[MEDICAMENTO]],TAB_REF!$B$3:$F$27,4,0), "")</f>
        <v/>
      </c>
      <c r="AC863" s="10" t="str">
        <f>IFERROR(VLOOKUP(Tabla1[[#This Row],[MEDICAMENTO]],TAB_REF!$B$3:$F$27,5,0), "")</f>
        <v/>
      </c>
      <c r="AD863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864" spans="2:30" x14ac:dyDescent="0.25">
      <c r="B864" s="10">
        <v>356</v>
      </c>
      <c r="C864" s="10" t="s">
        <v>3784</v>
      </c>
      <c r="D864" s="10" t="s">
        <v>3785</v>
      </c>
      <c r="E864" s="10" t="s">
        <v>3786</v>
      </c>
      <c r="F864" s="10" t="s">
        <v>3789</v>
      </c>
      <c r="G864" s="10" t="s">
        <v>3787</v>
      </c>
      <c r="H864" s="10" t="s">
        <v>3788</v>
      </c>
      <c r="I864" s="10" t="s">
        <v>2128</v>
      </c>
      <c r="J864" s="10" t="s">
        <v>1942</v>
      </c>
      <c r="K864" s="10" t="s">
        <v>2976</v>
      </c>
      <c r="L864" s="11">
        <v>202124101130892</v>
      </c>
      <c r="M864" s="20">
        <v>44372</v>
      </c>
      <c r="N864" s="20" t="str">
        <f>UPPER(TEXT(Tabla1[[#This Row],[FECHA RADICADO ENTRADA]],"MMM"))</f>
        <v>JUN</v>
      </c>
      <c r="O864" s="11">
        <v>202124111079361</v>
      </c>
      <c r="P864" s="20">
        <v>44385</v>
      </c>
      <c r="Q864" s="20" t="str">
        <f>UPPER(TEXT(Tabla1[[#This Row],[FECHA RADICADO ENTRADA]],"MMM"))</f>
        <v>JUN</v>
      </c>
      <c r="R864" s="10">
        <f t="shared" si="26"/>
        <v>-13</v>
      </c>
      <c r="S864" s="10" t="s">
        <v>2145</v>
      </c>
      <c r="V864" s="20"/>
      <c r="Y864" s="11" t="str">
        <f>IFERROR(INT(Tabla1[[#This Row],[CANTIDAD UND FARMACEUTICAS]]/(VLOOKUP(Tabla1[[#This Row],[MEDICAMENTO]],TAB_REF!$K$3:$L$27,2,0))),"")</f>
        <v/>
      </c>
      <c r="Z864" s="10" t="str">
        <f>IFERROR(VLOOKUP(Tabla1[[#This Row],[MEDICAMENTO]],TAB_REF!$B$3:$F$27,2,0), "")</f>
        <v/>
      </c>
      <c r="AA864" s="10" t="str">
        <f>IFERROR(VLOOKUP(Tabla1[[#This Row],[MEDICAMENTO]],TAB_REF!$B$3:$F$27,3,0), "")</f>
        <v/>
      </c>
      <c r="AB864" s="10" t="str">
        <f>IFERROR(VLOOKUP(Tabla1[[#This Row],[MEDICAMENTO]],TAB_REF!$B$3:$F$27,4,0), "")</f>
        <v/>
      </c>
      <c r="AC864" s="10" t="str">
        <f>IFERROR(VLOOKUP(Tabla1[[#This Row],[MEDICAMENTO]],TAB_REF!$B$3:$F$27,5,0), "")</f>
        <v/>
      </c>
      <c r="AD864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865" spans="2:30" x14ac:dyDescent="0.25">
      <c r="B865" s="10">
        <v>357</v>
      </c>
      <c r="C865" s="10" t="s">
        <v>3790</v>
      </c>
      <c r="D865" s="10" t="s">
        <v>3791</v>
      </c>
      <c r="E865" s="10" t="s">
        <v>3792</v>
      </c>
      <c r="F865" s="10" t="s">
        <v>3793</v>
      </c>
      <c r="G865" s="10" t="s">
        <v>3794</v>
      </c>
      <c r="H865" s="10" t="s">
        <v>3795</v>
      </c>
      <c r="I865" s="10" t="s">
        <v>2109</v>
      </c>
      <c r="J865" s="10" t="s">
        <v>1080</v>
      </c>
      <c r="K865" s="10" t="s">
        <v>3796</v>
      </c>
      <c r="L865" s="11">
        <v>202124101134012</v>
      </c>
      <c r="M865" s="20">
        <v>44375</v>
      </c>
      <c r="N865" s="20" t="str">
        <f>UPPER(TEXT(Tabla1[[#This Row],[FECHA RADICADO ENTRADA]],"MMM"))</f>
        <v>JUN</v>
      </c>
      <c r="O865" s="11">
        <v>202124111079381</v>
      </c>
      <c r="P865" s="20">
        <v>44385</v>
      </c>
      <c r="Q865" s="20" t="str">
        <f>UPPER(TEXT(Tabla1[[#This Row],[FECHA RADICADO ENTRADA]],"MMM"))</f>
        <v>JUN</v>
      </c>
      <c r="R865" s="10">
        <f t="shared" si="26"/>
        <v>-10</v>
      </c>
      <c r="S865" s="10" t="s">
        <v>2154</v>
      </c>
      <c r="U865" s="10" t="s">
        <v>3797</v>
      </c>
      <c r="V865" s="20">
        <v>44301</v>
      </c>
      <c r="W865" s="10" t="s">
        <v>49</v>
      </c>
      <c r="X865" s="10">
        <v>2850</v>
      </c>
      <c r="Y865" s="11">
        <f>IFERROR(INT(Tabla1[[#This Row],[CANTIDAD UND FARMACEUTICAS]]/(VLOOKUP(Tabla1[[#This Row],[MEDICAMENTO]],TAB_REF!$K$3:$L$27,2,0))),"")</f>
        <v>95</v>
      </c>
      <c r="Z865" s="10" t="str">
        <f>IFERROR(VLOOKUP(Tabla1[[#This Row],[MEDICAMENTO]],TAB_REF!$B$3:$F$27,2,0), "")</f>
        <v xml:space="preserve">Metilfenidato HCl </v>
      </c>
      <c r="AA865" s="10" t="str">
        <f>IFERROR(VLOOKUP(Tabla1[[#This Row],[MEDICAMENTO]],TAB_REF!$B$3:$F$27,3,0), "")</f>
        <v xml:space="preserve">18 mg </v>
      </c>
      <c r="AB865" s="10" t="str">
        <f>IFERROR(VLOOKUP(Tabla1[[#This Row],[MEDICAMENTO]],TAB_REF!$B$3:$F$27,4,0), "")</f>
        <v>Tabletas de Liberación Prolongada</v>
      </c>
      <c r="AC865" s="10" t="str">
        <f>IFERROR(VLOOKUP(Tabla1[[#This Row],[MEDICAMENTO]],TAB_REF!$B$3:$F$27,5,0), "")</f>
        <v>Frasco x 30 unidades</v>
      </c>
      <c r="AD865" s="10" t="str">
        <f>IFERROR(VLOOKUP(Tabla1[[#This Row],[CANTIDAD UND COMERCIALES]],TAB_REF!$H$3:$I$1003,2,0)&amp;" ("&amp;Tabla1[[#This Row],[CANTIDAD UND COMERCIALES]]&amp;")"&amp;"_"&amp;Tabla1[[#This Row],[CANTIDAD]],"")</f>
        <v>Noventa Y Cinco (95)_Frasco x 30 unidades</v>
      </c>
    </row>
    <row r="866" spans="2:30" x14ac:dyDescent="0.25">
      <c r="B866" s="10">
        <v>357</v>
      </c>
      <c r="C866" s="10" t="s">
        <v>3790</v>
      </c>
      <c r="D866" s="10" t="s">
        <v>3791</v>
      </c>
      <c r="E866" s="10" t="s">
        <v>3792</v>
      </c>
      <c r="F866" s="10" t="s">
        <v>3793</v>
      </c>
      <c r="G866" s="10" t="s">
        <v>3794</v>
      </c>
      <c r="H866" s="10" t="s">
        <v>3795</v>
      </c>
      <c r="I866" s="10" t="s">
        <v>2109</v>
      </c>
      <c r="J866" s="10" t="s">
        <v>1080</v>
      </c>
      <c r="K866" s="10" t="s">
        <v>3796</v>
      </c>
      <c r="L866" s="11">
        <v>202124101134012</v>
      </c>
      <c r="M866" s="20">
        <v>44375</v>
      </c>
      <c r="N866" s="20" t="str">
        <f>UPPER(TEXT(Tabla1[[#This Row],[FECHA RADICADO ENTRADA]],"MMM"))</f>
        <v>JUN</v>
      </c>
      <c r="O866" s="11">
        <v>202124111079381</v>
      </c>
      <c r="P866" s="20">
        <v>44385</v>
      </c>
      <c r="Q866" s="20" t="str">
        <f>UPPER(TEXT(Tabla1[[#This Row],[FECHA RADICADO ENTRADA]],"MMM"))</f>
        <v>JUN</v>
      </c>
      <c r="R866" s="10">
        <f t="shared" ref="R866" si="27">_xlfn.DAYS(M866,P866)</f>
        <v>-10</v>
      </c>
      <c r="S866" s="10" t="s">
        <v>2154</v>
      </c>
      <c r="U866" s="10" t="s">
        <v>3797</v>
      </c>
      <c r="V866" s="20">
        <v>44301</v>
      </c>
      <c r="W866" s="10" t="s">
        <v>57</v>
      </c>
      <c r="X866" s="10">
        <v>2850</v>
      </c>
      <c r="Y866" s="11">
        <f>IFERROR(INT(Tabla1[[#This Row],[CANTIDAD UND FARMACEUTICAS]]/(VLOOKUP(Tabla1[[#This Row],[MEDICAMENTO]],TAB_REF!$K$3:$L$27,2,0))),"")</f>
        <v>95</v>
      </c>
      <c r="Z866" s="10" t="str">
        <f>IFERROR(VLOOKUP(Tabla1[[#This Row],[MEDICAMENTO]],TAB_REF!$B$3:$F$27,2,0), "")</f>
        <v xml:space="preserve">Metilfenidato HCl </v>
      </c>
      <c r="AA866" s="10" t="str">
        <f>IFERROR(VLOOKUP(Tabla1[[#This Row],[MEDICAMENTO]],TAB_REF!$B$3:$F$27,3,0), "")</f>
        <v xml:space="preserve">36 mg </v>
      </c>
      <c r="AB866" s="10" t="str">
        <f>IFERROR(VLOOKUP(Tabla1[[#This Row],[MEDICAMENTO]],TAB_REF!$B$3:$F$27,4,0), "")</f>
        <v>Tabletas de Liberación Prolongada</v>
      </c>
      <c r="AC866" s="10" t="str">
        <f>IFERROR(VLOOKUP(Tabla1[[#This Row],[MEDICAMENTO]],TAB_REF!$B$3:$F$27,5,0), "")</f>
        <v>Frasco x 30 unidades</v>
      </c>
      <c r="AD866" s="10" t="str">
        <f>IFERROR(VLOOKUP(Tabla1[[#This Row],[CANTIDAD UND COMERCIALES]],TAB_REF!$H$3:$I$1003,2,0)&amp;" ("&amp;Tabla1[[#This Row],[CANTIDAD UND COMERCIALES]]&amp;")"&amp;"_"&amp;Tabla1[[#This Row],[CANTIDAD]],"")</f>
        <v>Noventa Y Cinco (95)_Frasco x 30 unidades</v>
      </c>
    </row>
    <row r="867" spans="2:30" x14ac:dyDescent="0.25">
      <c r="B867" s="10">
        <v>358</v>
      </c>
      <c r="C867" s="10" t="s">
        <v>3798</v>
      </c>
      <c r="D867" s="10" t="s">
        <v>2182</v>
      </c>
      <c r="E867" s="10" t="s">
        <v>2445</v>
      </c>
      <c r="F867" s="10" t="s">
        <v>3799</v>
      </c>
      <c r="G867" s="10" t="s">
        <v>2447</v>
      </c>
      <c r="H867" s="10" t="s">
        <v>2448</v>
      </c>
      <c r="I867" s="10" t="s">
        <v>2129</v>
      </c>
      <c r="J867" s="10" t="s">
        <v>2011</v>
      </c>
      <c r="K867" s="10" t="s">
        <v>2449</v>
      </c>
      <c r="L867" s="11">
        <v>202124101137642</v>
      </c>
      <c r="M867" s="20">
        <v>44375</v>
      </c>
      <c r="N867" s="20" t="str">
        <f>UPPER(TEXT(Tabla1[[#This Row],[FECHA RADICADO ENTRADA]],"MMM"))</f>
        <v>JUN</v>
      </c>
      <c r="O867" s="11">
        <v>202124111079431</v>
      </c>
      <c r="P867" s="20">
        <v>44385</v>
      </c>
      <c r="Q867" s="20" t="str">
        <f>UPPER(TEXT(Tabla1[[#This Row],[FECHA RADICADO ENTRADA]],"MMM"))</f>
        <v>JUN</v>
      </c>
      <c r="R867" s="10">
        <f t="shared" si="26"/>
        <v>-10</v>
      </c>
      <c r="S867" s="10" t="s">
        <v>2154</v>
      </c>
      <c r="U867" s="10" t="s">
        <v>2450</v>
      </c>
      <c r="V867" s="20">
        <v>44186</v>
      </c>
      <c r="W867" s="10" t="s">
        <v>32</v>
      </c>
      <c r="X867" s="10">
        <v>1800</v>
      </c>
      <c r="Y867" s="11">
        <f>IFERROR(INT(Tabla1[[#This Row],[CANTIDAD UND FARMACEUTICAS]]/(VLOOKUP(Tabla1[[#This Row],[MEDICAMENTO]],TAB_REF!$K$3:$L$27,2,0))),"")</f>
        <v>60</v>
      </c>
      <c r="Z867" s="10" t="str">
        <f>IFERROR(VLOOKUP(Tabla1[[#This Row],[MEDICAMENTO]],TAB_REF!$B$3:$F$27,2,0), "")</f>
        <v xml:space="preserve">Fenobarbital </v>
      </c>
      <c r="AA867" s="10" t="str">
        <f>IFERROR(VLOOKUP(Tabla1[[#This Row],[MEDICAMENTO]],TAB_REF!$B$3:$F$27,3,0), "")</f>
        <v xml:space="preserve">100 mg </v>
      </c>
      <c r="AB867" s="10" t="str">
        <f>IFERROR(VLOOKUP(Tabla1[[#This Row],[MEDICAMENTO]],TAB_REF!$B$3:$F$27,4,0), "")</f>
        <v>Tabletas</v>
      </c>
      <c r="AC867" s="10" t="str">
        <f>IFERROR(VLOOKUP(Tabla1[[#This Row],[MEDICAMENTO]],TAB_REF!$B$3:$F$27,5,0), "")</f>
        <v>Caja x 30 unidades</v>
      </c>
      <c r="AD867" s="10" t="str">
        <f>IFERROR(VLOOKUP(Tabla1[[#This Row],[CANTIDAD UND COMERCIALES]],TAB_REF!$H$3:$I$1003,2,0)&amp;" ("&amp;Tabla1[[#This Row],[CANTIDAD UND COMERCIALES]]&amp;")"&amp;"_"&amp;Tabla1[[#This Row],[CANTIDAD]],"")</f>
        <v>Sesenta (60)_Caja x 30 unidades</v>
      </c>
    </row>
    <row r="868" spans="2:30" x14ac:dyDescent="0.25">
      <c r="B868" s="10">
        <v>358</v>
      </c>
      <c r="C868" s="10" t="s">
        <v>3798</v>
      </c>
      <c r="D868" s="10" t="s">
        <v>2182</v>
      </c>
      <c r="E868" s="10" t="s">
        <v>2445</v>
      </c>
      <c r="F868" s="10" t="s">
        <v>3799</v>
      </c>
      <c r="G868" s="10" t="s">
        <v>2447</v>
      </c>
      <c r="H868" s="10" t="s">
        <v>2448</v>
      </c>
      <c r="I868" s="10" t="s">
        <v>2129</v>
      </c>
      <c r="J868" s="10" t="s">
        <v>2011</v>
      </c>
      <c r="K868" s="10" t="s">
        <v>2449</v>
      </c>
      <c r="L868" s="11">
        <v>202124101137642</v>
      </c>
      <c r="M868" s="20">
        <v>44375</v>
      </c>
      <c r="N868" s="20" t="str">
        <f>UPPER(TEXT(Tabla1[[#This Row],[FECHA RADICADO ENTRADA]],"MMM"))</f>
        <v>JUN</v>
      </c>
      <c r="O868" s="11">
        <v>202124111079431</v>
      </c>
      <c r="P868" s="20">
        <v>44385</v>
      </c>
      <c r="Q868" s="20" t="str">
        <f>UPPER(TEXT(Tabla1[[#This Row],[FECHA RADICADO ENTRADA]],"MMM"))</f>
        <v>JUN</v>
      </c>
      <c r="R868" s="10">
        <f>_xlfn.DAYS(M868,P868)</f>
        <v>-10</v>
      </c>
      <c r="S868" s="10" t="s">
        <v>2154</v>
      </c>
      <c r="U868" s="10" t="s">
        <v>2450</v>
      </c>
      <c r="V868" s="20">
        <v>44186</v>
      </c>
      <c r="W868" s="10" t="s">
        <v>60</v>
      </c>
      <c r="X868" s="10">
        <v>45</v>
      </c>
      <c r="Y868" s="11">
        <f>IFERROR(INT(Tabla1[[#This Row],[CANTIDAD UND FARMACEUTICAS]]/(VLOOKUP(Tabla1[[#This Row],[MEDICAMENTO]],TAB_REF!$K$3:$L$27,2,0))),"")</f>
        <v>45</v>
      </c>
      <c r="Z868" s="26" t="str">
        <f>IFERROR(VLOOKUP(Tabla1[[#This Row],[MEDICAMENTO]],TAB_REF!$B$3:$F$27,2,0), "")</f>
        <v xml:space="preserve">Morfina HCl </v>
      </c>
      <c r="AA868" s="26" t="str">
        <f>IFERROR(VLOOKUP(Tabla1[[#This Row],[MEDICAMENTO]],TAB_REF!$B$3:$F$27,3,0), "")</f>
        <v xml:space="preserve">3%. </v>
      </c>
      <c r="AB868" s="26" t="str">
        <f>IFERROR(VLOOKUP(Tabla1[[#This Row],[MEDICAMENTO]],TAB_REF!$B$3:$F$27,4,0), "")</f>
        <v>Solución Oral</v>
      </c>
      <c r="AC868" s="26" t="str">
        <f>IFERROR(VLOOKUP(Tabla1[[#This Row],[MEDICAMENTO]],TAB_REF!$B$3:$F$27,5,0), "")</f>
        <v>Frasco x 30 mL</v>
      </c>
      <c r="AD868" s="26" t="str">
        <f>IFERROR(VLOOKUP(Tabla1[[#This Row],[CANTIDAD UND COMERCIALES]],TAB_REF!$H$3:$I$1003,2,0)&amp;" ("&amp;Tabla1[[#This Row],[CANTIDAD UND COMERCIALES]]&amp;")"&amp;"_"&amp;Tabla1[[#This Row],[CANTIDAD]],"")</f>
        <v>Cuarenta Y Cinco (45)_Frasco x 30 mL</v>
      </c>
    </row>
    <row r="869" spans="2:30" x14ac:dyDescent="0.25">
      <c r="B869" s="10">
        <v>358</v>
      </c>
      <c r="C869" s="10" t="s">
        <v>3798</v>
      </c>
      <c r="D869" s="10" t="s">
        <v>2182</v>
      </c>
      <c r="E869" s="10" t="s">
        <v>2445</v>
      </c>
      <c r="F869" s="10" t="s">
        <v>3799</v>
      </c>
      <c r="G869" s="10" t="s">
        <v>2447</v>
      </c>
      <c r="H869" s="10" t="s">
        <v>2448</v>
      </c>
      <c r="I869" s="10" t="s">
        <v>2129</v>
      </c>
      <c r="J869" s="10" t="s">
        <v>2011</v>
      </c>
      <c r="K869" s="10" t="s">
        <v>2449</v>
      </c>
      <c r="L869" s="11">
        <v>202124101137642</v>
      </c>
      <c r="M869" s="20">
        <v>44375</v>
      </c>
      <c r="N869" s="20" t="str">
        <f>UPPER(TEXT(Tabla1[[#This Row],[FECHA RADICADO ENTRADA]],"MMM"))</f>
        <v>JUN</v>
      </c>
      <c r="O869" s="11">
        <v>202124111079431</v>
      </c>
      <c r="P869" s="20">
        <v>44385</v>
      </c>
      <c r="Q869" s="20" t="str">
        <f>UPPER(TEXT(Tabla1[[#This Row],[FECHA RADICADO ENTRADA]],"MMM"))</f>
        <v>JUN</v>
      </c>
      <c r="R869" s="10">
        <f>_xlfn.DAYS(M869,P869)</f>
        <v>-10</v>
      </c>
      <c r="S869" s="10" t="s">
        <v>2154</v>
      </c>
      <c r="U869" s="10" t="s">
        <v>2450</v>
      </c>
      <c r="V869" s="20">
        <v>44186</v>
      </c>
      <c r="W869" s="10" t="s">
        <v>64</v>
      </c>
      <c r="X869" s="10">
        <v>240</v>
      </c>
      <c r="Y869" s="11">
        <f>IFERROR(INT(Tabla1[[#This Row],[CANTIDAD UND FARMACEUTICAS]]/(VLOOKUP(Tabla1[[#This Row],[MEDICAMENTO]],TAB_REF!$K$3:$L$27,2,0))),"")</f>
        <v>24</v>
      </c>
      <c r="Z869" s="26" t="str">
        <f>IFERROR(VLOOKUP(Tabla1[[#This Row],[MEDICAMENTO]],TAB_REF!$B$3:$F$27,2,0), "")</f>
        <v xml:space="preserve">Morfina HCl </v>
      </c>
      <c r="AA869" s="26" t="str">
        <f>IFERROR(VLOOKUP(Tabla1[[#This Row],[MEDICAMENTO]],TAB_REF!$B$3:$F$27,3,0), "")</f>
        <v xml:space="preserve">10 (50mg/5mL) </v>
      </c>
      <c r="AB869" s="26" t="str">
        <f>IFERROR(VLOOKUP(Tabla1[[#This Row],[MEDICAMENTO]],TAB_REF!$B$3:$F$27,4,0), "")</f>
        <v>Solución Inyectable</v>
      </c>
      <c r="AC869" s="26" t="str">
        <f>IFERROR(VLOOKUP(Tabla1[[#This Row],[MEDICAMENTO]],TAB_REF!$B$3:$F$27,5,0), "")</f>
        <v>Caja x 5 unidades</v>
      </c>
      <c r="AD869" s="26" t="str">
        <f>IFERROR(VLOOKUP(Tabla1[[#This Row],[CANTIDAD UND COMERCIALES]],TAB_REF!$H$3:$I$1003,2,0)&amp;" ("&amp;Tabla1[[#This Row],[CANTIDAD UND COMERCIALES]]&amp;")"&amp;"_"&amp;Tabla1[[#This Row],[CANTIDAD]],"")</f>
        <v>Veinticuatro (24)_Caja x 5 unidades</v>
      </c>
    </row>
    <row r="870" spans="2:30" x14ac:dyDescent="0.25">
      <c r="B870" s="10">
        <v>358</v>
      </c>
      <c r="C870" s="10" t="s">
        <v>3798</v>
      </c>
      <c r="D870" s="10" t="s">
        <v>2182</v>
      </c>
      <c r="E870" s="10" t="s">
        <v>2445</v>
      </c>
      <c r="F870" s="10" t="s">
        <v>3799</v>
      </c>
      <c r="G870" s="10" t="s">
        <v>2447</v>
      </c>
      <c r="H870" s="10" t="s">
        <v>2448</v>
      </c>
      <c r="I870" s="10" t="s">
        <v>2129</v>
      </c>
      <c r="J870" s="10" t="s">
        <v>2011</v>
      </c>
      <c r="K870" s="10" t="s">
        <v>2449</v>
      </c>
      <c r="L870" s="11">
        <v>202124101137642</v>
      </c>
      <c r="M870" s="20">
        <v>44375</v>
      </c>
      <c r="N870" s="20" t="str">
        <f>UPPER(TEXT(Tabla1[[#This Row],[FECHA RADICADO ENTRADA]],"MMM"))</f>
        <v>JUN</v>
      </c>
      <c r="O870" s="11">
        <v>202124111079431</v>
      </c>
      <c r="P870" s="20">
        <v>44385</v>
      </c>
      <c r="Q870" s="20" t="str">
        <f>UPPER(TEXT(Tabla1[[#This Row],[FECHA RADICADO ENTRADA]],"MMM"))</f>
        <v>JUN</v>
      </c>
      <c r="R870" s="10">
        <f>_xlfn.DAYS(M870,P870)</f>
        <v>-10</v>
      </c>
      <c r="S870" s="10" t="s">
        <v>2154</v>
      </c>
      <c r="U870" s="10" t="s">
        <v>2450</v>
      </c>
      <c r="V870" s="20">
        <v>44186</v>
      </c>
      <c r="W870" s="10" t="s">
        <v>48</v>
      </c>
      <c r="X870" s="10">
        <v>1800</v>
      </c>
      <c r="Y870" s="11">
        <f>IFERROR(INT(Tabla1[[#This Row],[CANTIDAD UND FARMACEUTICAS]]/(VLOOKUP(Tabla1[[#This Row],[MEDICAMENTO]],TAB_REF!$K$3:$L$27,2,0))),"")</f>
        <v>60</v>
      </c>
      <c r="Z870" s="26" t="str">
        <f>IFERROR(VLOOKUP(Tabla1[[#This Row],[MEDICAMENTO]],TAB_REF!$B$3:$F$27,2,0), "")</f>
        <v xml:space="preserve">Metilfenidato HCl </v>
      </c>
      <c r="AA870" s="26" t="str">
        <f>IFERROR(VLOOKUP(Tabla1[[#This Row],[MEDICAMENTO]],TAB_REF!$B$3:$F$27,3,0), "")</f>
        <v xml:space="preserve">10 mg </v>
      </c>
      <c r="AB870" s="26" t="str">
        <f>IFERROR(VLOOKUP(Tabla1[[#This Row],[MEDICAMENTO]],TAB_REF!$B$3:$F$27,4,0), "")</f>
        <v>Comprimidos</v>
      </c>
      <c r="AC870" s="26" t="str">
        <f>IFERROR(VLOOKUP(Tabla1[[#This Row],[MEDICAMENTO]],TAB_REF!$B$3:$F$27,5,0), "")</f>
        <v>Caja x 30 unidades</v>
      </c>
      <c r="AD870" s="26" t="str">
        <f>IFERROR(VLOOKUP(Tabla1[[#This Row],[CANTIDAD UND COMERCIALES]],TAB_REF!$H$3:$I$1003,2,0)&amp;" ("&amp;Tabla1[[#This Row],[CANTIDAD UND COMERCIALES]]&amp;")"&amp;"_"&amp;Tabla1[[#This Row],[CANTIDAD]],"")</f>
        <v>Sesenta (60)_Caja x 30 unidades</v>
      </c>
    </row>
    <row r="871" spans="2:30" x14ac:dyDescent="0.25">
      <c r="B871" s="10">
        <v>358</v>
      </c>
      <c r="C871" s="10" t="s">
        <v>3798</v>
      </c>
      <c r="D871" s="10" t="s">
        <v>2182</v>
      </c>
      <c r="E871" s="10" t="s">
        <v>2445</v>
      </c>
      <c r="F871" s="10" t="s">
        <v>3799</v>
      </c>
      <c r="G871" s="10" t="s">
        <v>2447</v>
      </c>
      <c r="H871" s="10" t="s">
        <v>2448</v>
      </c>
      <c r="I871" s="10" t="s">
        <v>2129</v>
      </c>
      <c r="J871" s="10" t="s">
        <v>2011</v>
      </c>
      <c r="K871" s="10" t="s">
        <v>2449</v>
      </c>
      <c r="L871" s="11">
        <v>202124101137642</v>
      </c>
      <c r="M871" s="20">
        <v>44375</v>
      </c>
      <c r="N871" s="20" t="str">
        <f>UPPER(TEXT(Tabla1[[#This Row],[FECHA RADICADO ENTRADA]],"MMM"))</f>
        <v>JUN</v>
      </c>
      <c r="O871" s="11">
        <v>202124111079431</v>
      </c>
      <c r="P871" s="20">
        <v>44385</v>
      </c>
      <c r="Q871" s="20" t="str">
        <f>UPPER(TEXT(Tabla1[[#This Row],[FECHA RADICADO ENTRADA]],"MMM"))</f>
        <v>JUN</v>
      </c>
      <c r="R871" s="10">
        <f>_xlfn.DAYS(M871,P871)</f>
        <v>-10</v>
      </c>
      <c r="S871" s="10" t="s">
        <v>2154</v>
      </c>
      <c r="U871" s="10" t="s">
        <v>2450</v>
      </c>
      <c r="V871" s="20">
        <v>44186</v>
      </c>
      <c r="W871" s="10" t="s">
        <v>63</v>
      </c>
      <c r="X871" s="10">
        <v>500</v>
      </c>
      <c r="Y871" s="11">
        <f>IFERROR(INT(Tabla1[[#This Row],[CANTIDAD UND FARMACEUTICAS]]/(VLOOKUP(Tabla1[[#This Row],[MEDICAMENTO]],TAB_REF!$K$3:$L$27,2,0))),"")</f>
        <v>50</v>
      </c>
      <c r="Z871" s="26" t="str">
        <f>IFERROR(VLOOKUP(Tabla1[[#This Row],[MEDICAMENTO]],TAB_REF!$B$3:$F$27,2,0), "")</f>
        <v xml:space="preserve">Morfina HCl </v>
      </c>
      <c r="AA871" s="26" t="str">
        <f>IFERROR(VLOOKUP(Tabla1[[#This Row],[MEDICAMENTO]],TAB_REF!$B$3:$F$27,3,0), "")</f>
        <v xml:space="preserve">10 mg/mL </v>
      </c>
      <c r="AB871" s="26" t="str">
        <f>IFERROR(VLOOKUP(Tabla1[[#This Row],[MEDICAMENTO]],TAB_REF!$B$3:$F$27,4,0), "")</f>
        <v>Solución Inyectable</v>
      </c>
      <c r="AC871" s="26" t="str">
        <f>IFERROR(VLOOKUP(Tabla1[[#This Row],[MEDICAMENTO]],TAB_REF!$B$3:$F$27,5,0), "")</f>
        <v>Caja x 10 unidades</v>
      </c>
      <c r="AD871" s="26" t="str">
        <f>IFERROR(VLOOKUP(Tabla1[[#This Row],[CANTIDAD UND COMERCIALES]],TAB_REF!$H$3:$I$1003,2,0)&amp;" ("&amp;Tabla1[[#This Row],[CANTIDAD UND COMERCIALES]]&amp;")"&amp;"_"&amp;Tabla1[[#This Row],[CANTIDAD]],"")</f>
        <v>Cincuenta (50)_Caja x 10 unidades</v>
      </c>
    </row>
    <row r="872" spans="2:30" x14ac:dyDescent="0.25">
      <c r="B872" s="10">
        <v>360</v>
      </c>
      <c r="C872" s="10" t="s">
        <v>3805</v>
      </c>
      <c r="D872" s="10" t="s">
        <v>3806</v>
      </c>
      <c r="E872" s="10" t="s">
        <v>3802</v>
      </c>
      <c r="F872" s="10" t="s">
        <v>3803</v>
      </c>
      <c r="G872" s="10" t="s">
        <v>2259</v>
      </c>
      <c r="H872" s="10" t="s">
        <v>3602</v>
      </c>
      <c r="I872" s="10" t="s">
        <v>2122</v>
      </c>
      <c r="J872" s="10" t="s">
        <v>1742</v>
      </c>
      <c r="K872" s="10" t="s">
        <v>3804</v>
      </c>
      <c r="L872" s="11">
        <v>202124101141022</v>
      </c>
      <c r="M872" s="20">
        <v>44375</v>
      </c>
      <c r="N872" s="20" t="str">
        <f>UPPER(TEXT(Tabla1[[#This Row],[FECHA RADICADO ENTRADA]],"MMM"))</f>
        <v>JUN</v>
      </c>
      <c r="O872" s="11">
        <v>202124111079491</v>
      </c>
      <c r="P872" s="20">
        <v>44385</v>
      </c>
      <c r="Q872" s="20" t="str">
        <f>UPPER(TEXT(Tabla1[[#This Row],[FECHA RADICADO ENTRADA]],"MMM"))</f>
        <v>JUN</v>
      </c>
      <c r="R872" s="10">
        <f t="shared" si="26"/>
        <v>-10</v>
      </c>
      <c r="S872" s="10" t="s">
        <v>2145</v>
      </c>
      <c r="U872" s="10" t="s">
        <v>2265</v>
      </c>
      <c r="V872" s="20">
        <v>43765</v>
      </c>
      <c r="W872" s="10" t="s">
        <v>36</v>
      </c>
      <c r="X872" s="10">
        <v>50</v>
      </c>
      <c r="Y872" s="11">
        <f>IFERROR(INT(Tabla1[[#This Row],[CANTIDAD UND FARMACEUTICAS]]/(VLOOKUP(Tabla1[[#This Row],[MEDICAMENTO]],TAB_REF!$K$3:$L$27,2,0))),"")</f>
        <v>5</v>
      </c>
      <c r="Z872" s="10" t="str">
        <f>IFERROR(VLOOKUP(Tabla1[[#This Row],[MEDICAMENTO]],TAB_REF!$B$3:$F$27,2,0), "")</f>
        <v xml:space="preserve">Fenobarbital Sódico </v>
      </c>
      <c r="AA872" s="10" t="str">
        <f>IFERROR(VLOOKUP(Tabla1[[#This Row],[MEDICAMENTO]],TAB_REF!$B$3:$F$27,3,0), "")</f>
        <v xml:space="preserve">40 mg/mL </v>
      </c>
      <c r="AB872" s="10" t="str">
        <f>IFERROR(VLOOKUP(Tabla1[[#This Row],[MEDICAMENTO]],TAB_REF!$B$3:$F$27,4,0), "")</f>
        <v>Solución Inyectable</v>
      </c>
      <c r="AC872" s="10" t="str">
        <f>IFERROR(VLOOKUP(Tabla1[[#This Row],[MEDICAMENTO]],TAB_REF!$B$3:$F$27,5,0), "")</f>
        <v>Caja x 10 unidades</v>
      </c>
      <c r="AD872" s="10" t="str">
        <f>IFERROR(VLOOKUP(Tabla1[[#This Row],[CANTIDAD UND COMERCIALES]],TAB_REF!$H$3:$I$1003,2,0)&amp;" ("&amp;Tabla1[[#This Row],[CANTIDAD UND COMERCIALES]]&amp;")"&amp;"_"&amp;Tabla1[[#This Row],[CANTIDAD]],"")</f>
        <v>Cinco (5)_Caja x 10 unidades</v>
      </c>
    </row>
    <row r="873" spans="2:30" x14ac:dyDescent="0.25">
      <c r="B873" s="10">
        <v>360</v>
      </c>
      <c r="C873" s="10" t="s">
        <v>3805</v>
      </c>
      <c r="D873" s="10" t="s">
        <v>3806</v>
      </c>
      <c r="E873" s="10" t="s">
        <v>3802</v>
      </c>
      <c r="F873" s="10" t="s">
        <v>3803</v>
      </c>
      <c r="G873" s="10" t="s">
        <v>2259</v>
      </c>
      <c r="H873" s="10" t="s">
        <v>3602</v>
      </c>
      <c r="I873" s="10" t="s">
        <v>2122</v>
      </c>
      <c r="J873" s="10" t="s">
        <v>1742</v>
      </c>
      <c r="K873" s="10" t="s">
        <v>3804</v>
      </c>
      <c r="L873" s="11">
        <v>202124101141022</v>
      </c>
      <c r="M873" s="20">
        <v>44375</v>
      </c>
      <c r="N873" s="20" t="str">
        <f>UPPER(TEXT(Tabla1[[#This Row],[FECHA RADICADO ENTRADA]],"MMM"))</f>
        <v>JUN</v>
      </c>
      <c r="O873" s="11">
        <v>202124111079491</v>
      </c>
      <c r="P873" s="20">
        <v>44385</v>
      </c>
      <c r="Q873" s="20" t="str">
        <f>UPPER(TEXT(Tabla1[[#This Row],[FECHA RADICADO ENTRADA]],"MMM"))</f>
        <v>JUN</v>
      </c>
      <c r="R873" s="10">
        <f t="shared" ref="R873:R875" si="28">_xlfn.DAYS(M873,P873)</f>
        <v>-10</v>
      </c>
      <c r="S873" s="10" t="s">
        <v>2145</v>
      </c>
      <c r="U873" s="10" t="s">
        <v>2265</v>
      </c>
      <c r="V873" s="20">
        <v>43765</v>
      </c>
      <c r="W873" s="10" t="s">
        <v>33</v>
      </c>
      <c r="X873" s="10">
        <v>30</v>
      </c>
      <c r="Y873" s="11">
        <f>IFERROR(INT(Tabla1[[#This Row],[CANTIDAD UND FARMACEUTICAS]]/(VLOOKUP(Tabla1[[#This Row],[MEDICAMENTO]],TAB_REF!$K$3:$L$27,2,0))),"")</f>
        <v>1</v>
      </c>
      <c r="Z873" s="10" t="str">
        <f>IFERROR(VLOOKUP(Tabla1[[#This Row],[MEDICAMENTO]],TAB_REF!$B$3:$F$27,2,0), "")</f>
        <v xml:space="preserve">Fenobarbital </v>
      </c>
      <c r="AA873" s="10" t="str">
        <f>IFERROR(VLOOKUP(Tabla1[[#This Row],[MEDICAMENTO]],TAB_REF!$B$3:$F$27,3,0), "")</f>
        <v xml:space="preserve">50 mg </v>
      </c>
      <c r="AB873" s="10" t="str">
        <f>IFERROR(VLOOKUP(Tabla1[[#This Row],[MEDICAMENTO]],TAB_REF!$B$3:$F$27,4,0), "")</f>
        <v>Tabletas</v>
      </c>
      <c r="AC873" s="10" t="str">
        <f>IFERROR(VLOOKUP(Tabla1[[#This Row],[MEDICAMENTO]],TAB_REF!$B$3:$F$27,5,0), "")</f>
        <v>Caja x 30 unidades</v>
      </c>
      <c r="AD873" s="10" t="str">
        <f>IFERROR(VLOOKUP(Tabla1[[#This Row],[CANTIDAD UND COMERCIALES]],TAB_REF!$H$3:$I$1003,2,0)&amp;" ("&amp;Tabla1[[#This Row],[CANTIDAD UND COMERCIALES]]&amp;")"&amp;"_"&amp;Tabla1[[#This Row],[CANTIDAD]],"")</f>
        <v>Uno (1)_Caja x 30 unidades</v>
      </c>
    </row>
    <row r="874" spans="2:30" x14ac:dyDescent="0.25">
      <c r="B874" s="10">
        <v>360</v>
      </c>
      <c r="C874" s="10" t="s">
        <v>3805</v>
      </c>
      <c r="D874" s="10" t="s">
        <v>3806</v>
      </c>
      <c r="E874" s="10" t="s">
        <v>3802</v>
      </c>
      <c r="F874" s="10" t="s">
        <v>3803</v>
      </c>
      <c r="G874" s="10" t="s">
        <v>2259</v>
      </c>
      <c r="H874" s="10" t="s">
        <v>3602</v>
      </c>
      <c r="I874" s="10" t="s">
        <v>2122</v>
      </c>
      <c r="J874" s="10" t="s">
        <v>1742</v>
      </c>
      <c r="K874" s="10" t="s">
        <v>3804</v>
      </c>
      <c r="L874" s="11">
        <v>202124101141022</v>
      </c>
      <c r="M874" s="20">
        <v>44375</v>
      </c>
      <c r="N874" s="20" t="str">
        <f>UPPER(TEXT(Tabla1[[#This Row],[FECHA RADICADO ENTRADA]],"MMM"))</f>
        <v>JUN</v>
      </c>
      <c r="O874" s="11">
        <v>202124111079491</v>
      </c>
      <c r="P874" s="20">
        <v>44385</v>
      </c>
      <c r="Q874" s="20" t="str">
        <f>UPPER(TEXT(Tabla1[[#This Row],[FECHA RADICADO ENTRADA]],"MMM"))</f>
        <v>JUN</v>
      </c>
      <c r="R874" s="10">
        <f t="shared" si="28"/>
        <v>-10</v>
      </c>
      <c r="S874" s="10" t="s">
        <v>2145</v>
      </c>
      <c r="U874" s="10" t="s">
        <v>2265</v>
      </c>
      <c r="V874" s="20">
        <v>43765</v>
      </c>
      <c r="W874" s="10" t="s">
        <v>63</v>
      </c>
      <c r="X874" s="10">
        <v>200</v>
      </c>
      <c r="Y874" s="11">
        <f>IFERROR(INT(Tabla1[[#This Row],[CANTIDAD UND FARMACEUTICAS]]/(VLOOKUP(Tabla1[[#This Row],[MEDICAMENTO]],TAB_REF!$K$3:$L$27,2,0))),"")</f>
        <v>20</v>
      </c>
      <c r="Z874" s="10" t="str">
        <f>IFERROR(VLOOKUP(Tabla1[[#This Row],[MEDICAMENTO]],TAB_REF!$B$3:$F$27,2,0), "")</f>
        <v xml:space="preserve">Morfina HCl </v>
      </c>
      <c r="AA874" s="10" t="str">
        <f>IFERROR(VLOOKUP(Tabla1[[#This Row],[MEDICAMENTO]],TAB_REF!$B$3:$F$27,3,0), "")</f>
        <v xml:space="preserve">10 mg/mL </v>
      </c>
      <c r="AB874" s="10" t="str">
        <f>IFERROR(VLOOKUP(Tabla1[[#This Row],[MEDICAMENTO]],TAB_REF!$B$3:$F$27,4,0), "")</f>
        <v>Solución Inyectable</v>
      </c>
      <c r="AC874" s="10" t="str">
        <f>IFERROR(VLOOKUP(Tabla1[[#This Row],[MEDICAMENTO]],TAB_REF!$B$3:$F$27,5,0), "")</f>
        <v>Caja x 10 unidades</v>
      </c>
      <c r="AD874" s="10" t="str">
        <f>IFERROR(VLOOKUP(Tabla1[[#This Row],[CANTIDAD UND COMERCIALES]],TAB_REF!$H$3:$I$1003,2,0)&amp;" ("&amp;Tabla1[[#This Row],[CANTIDAD UND COMERCIALES]]&amp;")"&amp;"_"&amp;Tabla1[[#This Row],[CANTIDAD]],"")</f>
        <v>Veinte (20)_Caja x 10 unidades</v>
      </c>
    </row>
    <row r="875" spans="2:30" x14ac:dyDescent="0.25">
      <c r="B875" s="10">
        <v>360</v>
      </c>
      <c r="C875" s="10" t="s">
        <v>3805</v>
      </c>
      <c r="D875" s="10" t="s">
        <v>3806</v>
      </c>
      <c r="E875" s="10" t="s">
        <v>3802</v>
      </c>
      <c r="F875" s="10" t="s">
        <v>3803</v>
      </c>
      <c r="G875" s="10" t="s">
        <v>2259</v>
      </c>
      <c r="H875" s="10" t="s">
        <v>3602</v>
      </c>
      <c r="I875" s="10" t="s">
        <v>2122</v>
      </c>
      <c r="J875" s="10" t="s">
        <v>1742</v>
      </c>
      <c r="K875" s="10" t="s">
        <v>3804</v>
      </c>
      <c r="L875" s="11">
        <v>202124101141022</v>
      </c>
      <c r="M875" s="20">
        <v>44375</v>
      </c>
      <c r="N875" s="20" t="str">
        <f>UPPER(TEXT(Tabla1[[#This Row],[FECHA RADICADO ENTRADA]],"MMM"))</f>
        <v>JUN</v>
      </c>
      <c r="O875" s="11">
        <v>202124111079491</v>
      </c>
      <c r="P875" s="20">
        <v>44385</v>
      </c>
      <c r="Q875" s="20" t="str">
        <f>UPPER(TEXT(Tabla1[[#This Row],[FECHA RADICADO ENTRADA]],"MMM"))</f>
        <v>JUN</v>
      </c>
      <c r="R875" s="10">
        <f t="shared" si="28"/>
        <v>-10</v>
      </c>
      <c r="S875" s="10" t="s">
        <v>2145</v>
      </c>
      <c r="U875" s="10" t="s">
        <v>2265</v>
      </c>
      <c r="V875" s="20">
        <v>43765</v>
      </c>
      <c r="W875" s="10" t="s">
        <v>60</v>
      </c>
      <c r="X875" s="10">
        <v>3</v>
      </c>
      <c r="Y875" s="11">
        <f>IFERROR(INT(Tabla1[[#This Row],[CANTIDAD UND FARMACEUTICAS]]/(VLOOKUP(Tabla1[[#This Row],[MEDICAMENTO]],TAB_REF!$K$3:$L$27,2,0))),"")</f>
        <v>3</v>
      </c>
      <c r="Z875" s="10" t="str">
        <f>IFERROR(VLOOKUP(Tabla1[[#This Row],[MEDICAMENTO]],TAB_REF!$B$3:$F$27,2,0), "")</f>
        <v xml:space="preserve">Morfina HCl </v>
      </c>
      <c r="AA875" s="10" t="str">
        <f>IFERROR(VLOOKUP(Tabla1[[#This Row],[MEDICAMENTO]],TAB_REF!$B$3:$F$27,3,0), "")</f>
        <v xml:space="preserve">3%. </v>
      </c>
      <c r="AB875" s="10" t="str">
        <f>IFERROR(VLOOKUP(Tabla1[[#This Row],[MEDICAMENTO]],TAB_REF!$B$3:$F$27,4,0), "")</f>
        <v>Solución Oral</v>
      </c>
      <c r="AC875" s="10" t="str">
        <f>IFERROR(VLOOKUP(Tabla1[[#This Row],[MEDICAMENTO]],TAB_REF!$B$3:$F$27,5,0), "")</f>
        <v>Frasco x 30 mL</v>
      </c>
      <c r="AD875" s="10" t="str">
        <f>IFERROR(VLOOKUP(Tabla1[[#This Row],[CANTIDAD UND COMERCIALES]],TAB_REF!$H$3:$I$1003,2,0)&amp;" ("&amp;Tabla1[[#This Row],[CANTIDAD UND COMERCIALES]]&amp;")"&amp;"_"&amp;Tabla1[[#This Row],[CANTIDAD]],"")</f>
        <v>Tres (3)_Frasco x 30 mL</v>
      </c>
    </row>
    <row r="876" spans="2:30" x14ac:dyDescent="0.25">
      <c r="B876" s="10">
        <v>361</v>
      </c>
      <c r="C876" s="10" t="s">
        <v>3293</v>
      </c>
      <c r="D876" s="10" t="s">
        <v>3807</v>
      </c>
      <c r="E876" s="10" t="s">
        <v>3294</v>
      </c>
      <c r="F876" s="10" t="s">
        <v>3808</v>
      </c>
      <c r="G876" s="10" t="s">
        <v>3153</v>
      </c>
      <c r="H876" s="10" t="s">
        <v>3809</v>
      </c>
      <c r="I876" s="10" t="s">
        <v>2116</v>
      </c>
      <c r="J876" s="10" t="s">
        <v>1550</v>
      </c>
      <c r="K876" s="10" t="s">
        <v>3810</v>
      </c>
      <c r="L876" s="11">
        <v>202124101142372</v>
      </c>
      <c r="M876" s="20">
        <v>44375</v>
      </c>
      <c r="N876" s="20" t="str">
        <f>UPPER(TEXT(Tabla1[[#This Row],[FECHA RADICADO ENTRADA]],"MMM"))</f>
        <v>JUN</v>
      </c>
      <c r="O876" s="11">
        <v>202124111079611</v>
      </c>
      <c r="P876" s="20">
        <v>44385</v>
      </c>
      <c r="Q876" s="20" t="str">
        <f>UPPER(TEXT(Tabla1[[#This Row],[FECHA RADICADO ENTRADA]],"MMM"))</f>
        <v>JUN</v>
      </c>
      <c r="R876" s="10">
        <f t="shared" si="26"/>
        <v>-10</v>
      </c>
      <c r="S876" s="10" t="s">
        <v>2145</v>
      </c>
      <c r="U876" s="10" t="s">
        <v>3811</v>
      </c>
      <c r="V876" s="20">
        <v>42900</v>
      </c>
      <c r="W876" s="10" t="s">
        <v>28</v>
      </c>
      <c r="X876" s="10">
        <v>2</v>
      </c>
      <c r="Y876" s="11">
        <f>IFERROR(INT(Tabla1[[#This Row],[CANTIDAD UND FARMACEUTICAS]]/(VLOOKUP(Tabla1[[#This Row],[MEDICAMENTO]],TAB_REF!$K$3:$L$27,2,0))),"")</f>
        <v>2</v>
      </c>
      <c r="Z876" s="10" t="str">
        <f>IFERROR(VLOOKUP(Tabla1[[#This Row],[MEDICAMENTO]],TAB_REF!$B$3:$F$27,2,0), "")</f>
        <v xml:space="preserve">Fenobarbital </v>
      </c>
      <c r="AA876" s="10" t="str">
        <f>IFERROR(VLOOKUP(Tabla1[[#This Row],[MEDICAMENTO]],TAB_REF!$B$3:$F$27,3,0), "")</f>
        <v xml:space="preserve">0,4%. </v>
      </c>
      <c r="AB876" s="10" t="str">
        <f>IFERROR(VLOOKUP(Tabla1[[#This Row],[MEDICAMENTO]],TAB_REF!$B$3:$F$27,4,0), "")</f>
        <v>Solución Oral</v>
      </c>
      <c r="AC876" s="10" t="str">
        <f>IFERROR(VLOOKUP(Tabla1[[#This Row],[MEDICAMENTO]],TAB_REF!$B$3:$F$27,5,0), "")</f>
        <v>Frasco x 120 mL</v>
      </c>
      <c r="AD876" s="10" t="str">
        <f>IFERROR(VLOOKUP(Tabla1[[#This Row],[CANTIDAD UND COMERCIALES]],TAB_REF!$H$3:$I$1003,2,0)&amp;" ("&amp;Tabla1[[#This Row],[CANTIDAD UND COMERCIALES]]&amp;")"&amp;"_"&amp;Tabla1[[#This Row],[CANTIDAD]],"")</f>
        <v>Dos (2)_Frasco x 120 mL</v>
      </c>
    </row>
    <row r="877" spans="2:30" x14ac:dyDescent="0.25">
      <c r="B877" s="10">
        <v>361</v>
      </c>
      <c r="C877" s="10" t="s">
        <v>3293</v>
      </c>
      <c r="D877" s="10" t="s">
        <v>3807</v>
      </c>
      <c r="E877" s="10" t="s">
        <v>3294</v>
      </c>
      <c r="F877" s="10" t="s">
        <v>3808</v>
      </c>
      <c r="G877" s="10" t="s">
        <v>3153</v>
      </c>
      <c r="H877" s="10" t="s">
        <v>3809</v>
      </c>
      <c r="I877" s="10" t="s">
        <v>2116</v>
      </c>
      <c r="J877" s="10" t="s">
        <v>1550</v>
      </c>
      <c r="K877" s="10" t="s">
        <v>3810</v>
      </c>
      <c r="L877" s="11">
        <v>202124101142372</v>
      </c>
      <c r="M877" s="20">
        <v>44375</v>
      </c>
      <c r="N877" s="20" t="str">
        <f>UPPER(TEXT(Tabla1[[#This Row],[FECHA RADICADO ENTRADA]],"MMM"))</f>
        <v>JUN</v>
      </c>
      <c r="O877" s="11">
        <v>202124111079611</v>
      </c>
      <c r="P877" s="20">
        <v>44385</v>
      </c>
      <c r="Q877" s="20" t="str">
        <f>UPPER(TEXT(Tabla1[[#This Row],[FECHA RADICADO ENTRADA]],"MMM"))</f>
        <v>JUN</v>
      </c>
      <c r="R877" s="10">
        <f t="shared" ref="R877:R879" si="29">_xlfn.DAYS(M877,P877)</f>
        <v>-10</v>
      </c>
      <c r="S877" s="10" t="s">
        <v>2145</v>
      </c>
      <c r="U877" s="10" t="s">
        <v>3811</v>
      </c>
      <c r="V877" s="20">
        <v>42900</v>
      </c>
      <c r="W877" s="10" t="s">
        <v>48</v>
      </c>
      <c r="X877" s="10">
        <v>60</v>
      </c>
      <c r="Y877" s="11">
        <f>IFERROR(INT(Tabla1[[#This Row],[CANTIDAD UND FARMACEUTICAS]]/(VLOOKUP(Tabla1[[#This Row],[MEDICAMENTO]],TAB_REF!$K$3:$L$27,2,0))),"")</f>
        <v>2</v>
      </c>
      <c r="Z877" s="10" t="str">
        <f>IFERROR(VLOOKUP(Tabla1[[#This Row],[MEDICAMENTO]],TAB_REF!$B$3:$F$27,2,0), "")</f>
        <v xml:space="preserve">Metilfenidato HCl </v>
      </c>
      <c r="AA877" s="10" t="str">
        <f>IFERROR(VLOOKUP(Tabla1[[#This Row],[MEDICAMENTO]],TAB_REF!$B$3:$F$27,3,0), "")</f>
        <v xml:space="preserve">10 mg </v>
      </c>
      <c r="AB877" s="10" t="str">
        <f>IFERROR(VLOOKUP(Tabla1[[#This Row],[MEDICAMENTO]],TAB_REF!$B$3:$F$27,4,0), "")</f>
        <v>Comprimidos</v>
      </c>
      <c r="AC877" s="10" t="str">
        <f>IFERROR(VLOOKUP(Tabla1[[#This Row],[MEDICAMENTO]],TAB_REF!$B$3:$F$27,5,0), "")</f>
        <v>Caja x 30 unidades</v>
      </c>
      <c r="AD877" s="10" t="str">
        <f>IFERROR(VLOOKUP(Tabla1[[#This Row],[CANTIDAD UND COMERCIALES]],TAB_REF!$H$3:$I$1003,2,0)&amp;" ("&amp;Tabla1[[#This Row],[CANTIDAD UND COMERCIALES]]&amp;")"&amp;"_"&amp;Tabla1[[#This Row],[CANTIDAD]],"")</f>
        <v>Dos (2)_Caja x 30 unidades</v>
      </c>
    </row>
    <row r="878" spans="2:30" x14ac:dyDescent="0.25">
      <c r="B878" s="10">
        <v>361</v>
      </c>
      <c r="C878" s="10" t="s">
        <v>3293</v>
      </c>
      <c r="D878" s="10" t="s">
        <v>3807</v>
      </c>
      <c r="E878" s="10" t="s">
        <v>3294</v>
      </c>
      <c r="F878" s="10" t="s">
        <v>3808</v>
      </c>
      <c r="G878" s="10" t="s">
        <v>3153</v>
      </c>
      <c r="H878" s="10" t="s">
        <v>3809</v>
      </c>
      <c r="I878" s="10" t="s">
        <v>2116</v>
      </c>
      <c r="J878" s="10" t="s">
        <v>1550</v>
      </c>
      <c r="K878" s="10" t="s">
        <v>3810</v>
      </c>
      <c r="L878" s="11">
        <v>202124101142372</v>
      </c>
      <c r="M878" s="20">
        <v>44375</v>
      </c>
      <c r="N878" s="20" t="str">
        <f>UPPER(TEXT(Tabla1[[#This Row],[FECHA RADICADO ENTRADA]],"MMM"))</f>
        <v>JUN</v>
      </c>
      <c r="O878" s="11">
        <v>202124111079611</v>
      </c>
      <c r="P878" s="20">
        <v>44385</v>
      </c>
      <c r="Q878" s="20" t="str">
        <f>UPPER(TEXT(Tabla1[[#This Row],[FECHA RADICADO ENTRADA]],"MMM"))</f>
        <v>JUN</v>
      </c>
      <c r="R878" s="10">
        <f t="shared" si="29"/>
        <v>-10</v>
      </c>
      <c r="S878" s="10" t="s">
        <v>2145</v>
      </c>
      <c r="U878" s="10" t="s">
        <v>3811</v>
      </c>
      <c r="V878" s="20">
        <v>42900</v>
      </c>
      <c r="W878" s="10" t="s">
        <v>45</v>
      </c>
      <c r="X878" s="10">
        <v>30</v>
      </c>
      <c r="Y878" s="11">
        <f>IFERROR(INT(Tabla1[[#This Row],[CANTIDAD UND FARMACEUTICAS]]/(VLOOKUP(Tabla1[[#This Row],[MEDICAMENTO]],TAB_REF!$K$3:$L$27,2,0))),"")</f>
        <v>1</v>
      </c>
      <c r="Z878" s="10" t="str">
        <f>IFERROR(VLOOKUP(Tabla1[[#This Row],[MEDICAMENTO]],TAB_REF!$B$3:$F$27,2,0), "")</f>
        <v xml:space="preserve">Metadona HCl </v>
      </c>
      <c r="AA878" s="10" t="str">
        <f>IFERROR(VLOOKUP(Tabla1[[#This Row],[MEDICAMENTO]],TAB_REF!$B$3:$F$27,3,0), "")</f>
        <v xml:space="preserve">10 mg </v>
      </c>
      <c r="AB878" s="10" t="str">
        <f>IFERROR(VLOOKUP(Tabla1[[#This Row],[MEDICAMENTO]],TAB_REF!$B$3:$F$27,4,0), "")</f>
        <v>Tabletas NACIONAL</v>
      </c>
      <c r="AC878" s="10" t="str">
        <f>IFERROR(VLOOKUP(Tabla1[[#This Row],[MEDICAMENTO]],TAB_REF!$B$3:$F$27,5,0), "")</f>
        <v>Caja x 30 unidades</v>
      </c>
      <c r="AD878" s="10" t="str">
        <f>IFERROR(VLOOKUP(Tabla1[[#This Row],[CANTIDAD UND COMERCIALES]],TAB_REF!$H$3:$I$1003,2,0)&amp;" ("&amp;Tabla1[[#This Row],[CANTIDAD UND COMERCIALES]]&amp;")"&amp;"_"&amp;Tabla1[[#This Row],[CANTIDAD]],"")</f>
        <v>Uno (1)_Caja x 30 unidades</v>
      </c>
    </row>
    <row r="879" spans="2:30" x14ac:dyDescent="0.25">
      <c r="B879" s="10">
        <v>361</v>
      </c>
      <c r="C879" s="10" t="s">
        <v>3293</v>
      </c>
      <c r="D879" s="10" t="s">
        <v>3807</v>
      </c>
      <c r="E879" s="10" t="s">
        <v>3294</v>
      </c>
      <c r="F879" s="10" t="s">
        <v>3808</v>
      </c>
      <c r="G879" s="10" t="s">
        <v>3153</v>
      </c>
      <c r="H879" s="10" t="s">
        <v>3809</v>
      </c>
      <c r="I879" s="10" t="s">
        <v>2116</v>
      </c>
      <c r="J879" s="10" t="s">
        <v>1550</v>
      </c>
      <c r="K879" s="10" t="s">
        <v>3810</v>
      </c>
      <c r="L879" s="11">
        <v>202124101142372</v>
      </c>
      <c r="M879" s="20">
        <v>44375</v>
      </c>
      <c r="N879" s="20" t="str">
        <f>UPPER(TEXT(Tabla1[[#This Row],[FECHA RADICADO ENTRADA]],"MMM"))</f>
        <v>JUN</v>
      </c>
      <c r="O879" s="11">
        <v>202124111079611</v>
      </c>
      <c r="P879" s="20">
        <v>44385</v>
      </c>
      <c r="Q879" s="20" t="str">
        <f>UPPER(TEXT(Tabla1[[#This Row],[FECHA RADICADO ENTRADA]],"MMM"))</f>
        <v>JUN</v>
      </c>
      <c r="R879" s="10">
        <f t="shared" si="29"/>
        <v>-10</v>
      </c>
      <c r="S879" s="10" t="s">
        <v>2145</v>
      </c>
      <c r="U879" s="10" t="s">
        <v>3811</v>
      </c>
      <c r="V879" s="20">
        <v>42900</v>
      </c>
      <c r="W879" s="10" t="s">
        <v>60</v>
      </c>
      <c r="X879" s="10">
        <v>10</v>
      </c>
      <c r="Y879" s="11">
        <f>IFERROR(INT(Tabla1[[#This Row],[CANTIDAD UND FARMACEUTICAS]]/(VLOOKUP(Tabla1[[#This Row],[MEDICAMENTO]],TAB_REF!$K$3:$L$27,2,0))),"")</f>
        <v>10</v>
      </c>
      <c r="Z879" s="10" t="str">
        <f>IFERROR(VLOOKUP(Tabla1[[#This Row],[MEDICAMENTO]],TAB_REF!$B$3:$F$27,2,0), "")</f>
        <v xml:space="preserve">Morfina HCl </v>
      </c>
      <c r="AA879" s="10" t="str">
        <f>IFERROR(VLOOKUP(Tabla1[[#This Row],[MEDICAMENTO]],TAB_REF!$B$3:$F$27,3,0), "")</f>
        <v xml:space="preserve">3%. </v>
      </c>
      <c r="AB879" s="10" t="str">
        <f>IFERROR(VLOOKUP(Tabla1[[#This Row],[MEDICAMENTO]],TAB_REF!$B$3:$F$27,4,0), "")</f>
        <v>Solución Oral</v>
      </c>
      <c r="AC879" s="10" t="str">
        <f>IFERROR(VLOOKUP(Tabla1[[#This Row],[MEDICAMENTO]],TAB_REF!$B$3:$F$27,5,0), "")</f>
        <v>Frasco x 30 mL</v>
      </c>
      <c r="AD879" s="10" t="str">
        <f>IFERROR(VLOOKUP(Tabla1[[#This Row],[CANTIDAD UND COMERCIALES]],TAB_REF!$H$3:$I$1003,2,0)&amp;" ("&amp;Tabla1[[#This Row],[CANTIDAD UND COMERCIALES]]&amp;")"&amp;"_"&amp;Tabla1[[#This Row],[CANTIDAD]],"")</f>
        <v>Diez (10)_Frasco x 30 mL</v>
      </c>
    </row>
    <row r="880" spans="2:30" x14ac:dyDescent="0.25">
      <c r="B880" s="10">
        <v>362</v>
      </c>
      <c r="C880" s="10" t="s">
        <v>3812</v>
      </c>
      <c r="D880" s="10" t="s">
        <v>2312</v>
      </c>
      <c r="E880" s="10" t="s">
        <v>3813</v>
      </c>
      <c r="F880" s="10" t="s">
        <v>3814</v>
      </c>
      <c r="G880" s="10" t="s">
        <v>3815</v>
      </c>
      <c r="H880" s="10" t="s">
        <v>3816</v>
      </c>
      <c r="I880" s="10" t="s">
        <v>2123</v>
      </c>
      <c r="J880" s="10" t="s">
        <v>1770</v>
      </c>
      <c r="K880" s="10" t="s">
        <v>3817</v>
      </c>
      <c r="L880" s="11">
        <v>202124101146802</v>
      </c>
      <c r="M880" s="20">
        <v>44376</v>
      </c>
      <c r="N880" s="20" t="str">
        <f>UPPER(TEXT(Tabla1[[#This Row],[FECHA RADICADO ENTRADA]],"MMM"))</f>
        <v>JUN</v>
      </c>
      <c r="O880" s="11">
        <v>202124111090921</v>
      </c>
      <c r="P880" s="20">
        <v>44386</v>
      </c>
      <c r="Q880" s="20" t="str">
        <f>UPPER(TEXT(Tabla1[[#This Row],[FECHA RADICADO ENTRADA]],"MMM"))</f>
        <v>JUN</v>
      </c>
      <c r="R880" s="10">
        <f t="shared" si="26"/>
        <v>-10</v>
      </c>
      <c r="S880" s="10" t="s">
        <v>2154</v>
      </c>
      <c r="U880" s="10" t="s">
        <v>3818</v>
      </c>
      <c r="V880" s="20">
        <v>43844</v>
      </c>
      <c r="W880" s="10" t="s">
        <v>63</v>
      </c>
      <c r="X880" s="10">
        <v>900</v>
      </c>
      <c r="Y880" s="11">
        <f>IFERROR(INT(Tabla1[[#This Row],[CANTIDAD UND FARMACEUTICAS]]/(VLOOKUP(Tabla1[[#This Row],[MEDICAMENTO]],TAB_REF!$K$3:$L$27,2,0))),"")</f>
        <v>90</v>
      </c>
      <c r="Z880" s="10" t="str">
        <f>IFERROR(VLOOKUP(Tabla1[[#This Row],[MEDICAMENTO]],TAB_REF!$B$3:$F$27,2,0), "")</f>
        <v xml:space="preserve">Morfina HCl </v>
      </c>
      <c r="AA880" s="10" t="str">
        <f>IFERROR(VLOOKUP(Tabla1[[#This Row],[MEDICAMENTO]],TAB_REF!$B$3:$F$27,3,0), "")</f>
        <v xml:space="preserve">10 mg/mL </v>
      </c>
      <c r="AB880" s="10" t="str">
        <f>IFERROR(VLOOKUP(Tabla1[[#This Row],[MEDICAMENTO]],TAB_REF!$B$3:$F$27,4,0), "")</f>
        <v>Solución Inyectable</v>
      </c>
      <c r="AC880" s="10" t="str">
        <f>IFERROR(VLOOKUP(Tabla1[[#This Row],[MEDICAMENTO]],TAB_REF!$B$3:$F$27,5,0), "")</f>
        <v>Caja x 10 unidades</v>
      </c>
      <c r="AD880" s="10" t="str">
        <f>IFERROR(VLOOKUP(Tabla1[[#This Row],[CANTIDAD UND COMERCIALES]],TAB_REF!$H$3:$I$1003,2,0)&amp;" ("&amp;Tabla1[[#This Row],[CANTIDAD UND COMERCIALES]]&amp;")"&amp;"_"&amp;Tabla1[[#This Row],[CANTIDAD]],"")</f>
        <v>Noventa (90)_Caja x 10 unidades</v>
      </c>
    </row>
    <row r="881" spans="2:30" x14ac:dyDescent="0.25">
      <c r="B881" s="10">
        <v>362</v>
      </c>
      <c r="C881" s="10" t="s">
        <v>3812</v>
      </c>
      <c r="D881" s="10" t="s">
        <v>2312</v>
      </c>
      <c r="E881" s="10" t="s">
        <v>3813</v>
      </c>
      <c r="F881" s="10" t="s">
        <v>3814</v>
      </c>
      <c r="G881" s="10" t="s">
        <v>3815</v>
      </c>
      <c r="H881" s="10" t="s">
        <v>3816</v>
      </c>
      <c r="I881" s="10" t="s">
        <v>2123</v>
      </c>
      <c r="J881" s="10" t="s">
        <v>1770</v>
      </c>
      <c r="K881" s="10" t="s">
        <v>3817</v>
      </c>
      <c r="L881" s="11">
        <v>202124101146802</v>
      </c>
      <c r="M881" s="20">
        <v>44376</v>
      </c>
      <c r="N881" s="20" t="str">
        <f>UPPER(TEXT(Tabla1[[#This Row],[FECHA RADICADO ENTRADA]],"MMM"))</f>
        <v>JUN</v>
      </c>
      <c r="O881" s="11">
        <v>202124111090921</v>
      </c>
      <c r="P881" s="20">
        <v>44386</v>
      </c>
      <c r="Q881" s="20" t="str">
        <f>UPPER(TEXT(Tabla1[[#This Row],[FECHA RADICADO ENTRADA]],"MMM"))</f>
        <v>JUN</v>
      </c>
      <c r="R881" s="10">
        <f t="shared" ref="R881:R882" si="30">_xlfn.DAYS(M881,P881)</f>
        <v>-10</v>
      </c>
      <c r="S881" s="10" t="s">
        <v>2154</v>
      </c>
      <c r="U881" s="10" t="s">
        <v>3818</v>
      </c>
      <c r="V881" s="20">
        <v>43844</v>
      </c>
      <c r="W881" s="10" t="s">
        <v>32</v>
      </c>
      <c r="X881" s="10">
        <v>120</v>
      </c>
      <c r="Y881" s="11">
        <f>IFERROR(INT(Tabla1[[#This Row],[CANTIDAD UND FARMACEUTICAS]]/(VLOOKUP(Tabla1[[#This Row],[MEDICAMENTO]],TAB_REF!$K$3:$L$27,2,0))),"")</f>
        <v>4</v>
      </c>
      <c r="Z881" s="10" t="str">
        <f>IFERROR(VLOOKUP(Tabla1[[#This Row],[MEDICAMENTO]],TAB_REF!$B$3:$F$27,2,0), "")</f>
        <v xml:space="preserve">Fenobarbital </v>
      </c>
      <c r="AA881" s="10" t="str">
        <f>IFERROR(VLOOKUP(Tabla1[[#This Row],[MEDICAMENTO]],TAB_REF!$B$3:$F$27,3,0), "")</f>
        <v xml:space="preserve">100 mg </v>
      </c>
      <c r="AB881" s="10" t="str">
        <f>IFERROR(VLOOKUP(Tabla1[[#This Row],[MEDICAMENTO]],TAB_REF!$B$3:$F$27,4,0), "")</f>
        <v>Tabletas</v>
      </c>
      <c r="AC881" s="10" t="str">
        <f>IFERROR(VLOOKUP(Tabla1[[#This Row],[MEDICAMENTO]],TAB_REF!$B$3:$F$27,5,0), "")</f>
        <v>Caja x 30 unidades</v>
      </c>
      <c r="AD881" s="10" t="str">
        <f>IFERROR(VLOOKUP(Tabla1[[#This Row],[CANTIDAD UND COMERCIALES]],TAB_REF!$H$3:$I$1003,2,0)&amp;" ("&amp;Tabla1[[#This Row],[CANTIDAD UND COMERCIALES]]&amp;")"&amp;"_"&amp;Tabla1[[#This Row],[CANTIDAD]],"")</f>
        <v>Cuatro (4)_Caja x 30 unidades</v>
      </c>
    </row>
    <row r="882" spans="2:30" x14ac:dyDescent="0.25">
      <c r="B882" s="10">
        <v>362</v>
      </c>
      <c r="C882" s="10" t="s">
        <v>3812</v>
      </c>
      <c r="D882" s="10" t="s">
        <v>2312</v>
      </c>
      <c r="E882" s="10" t="s">
        <v>3813</v>
      </c>
      <c r="F882" s="10" t="s">
        <v>3814</v>
      </c>
      <c r="G882" s="10" t="s">
        <v>3815</v>
      </c>
      <c r="H882" s="10" t="s">
        <v>3816</v>
      </c>
      <c r="I882" s="10" t="s">
        <v>2123</v>
      </c>
      <c r="J882" s="10" t="s">
        <v>1770</v>
      </c>
      <c r="K882" s="10" t="s">
        <v>3817</v>
      </c>
      <c r="L882" s="11">
        <v>202124101146802</v>
      </c>
      <c r="M882" s="20">
        <v>44376</v>
      </c>
      <c r="N882" s="20" t="str">
        <f>UPPER(TEXT(Tabla1[[#This Row],[FECHA RADICADO ENTRADA]],"MMM"))</f>
        <v>JUN</v>
      </c>
      <c r="O882" s="11">
        <v>202124111090921</v>
      </c>
      <c r="P882" s="20">
        <v>44386</v>
      </c>
      <c r="Q882" s="20" t="str">
        <f>UPPER(TEXT(Tabla1[[#This Row],[FECHA RADICADO ENTRADA]],"MMM"))</f>
        <v>JUN</v>
      </c>
      <c r="R882" s="10">
        <f t="shared" si="30"/>
        <v>-10</v>
      </c>
      <c r="S882" s="10" t="s">
        <v>2154</v>
      </c>
      <c r="U882" s="10" t="s">
        <v>3818</v>
      </c>
      <c r="V882" s="20">
        <v>43844</v>
      </c>
      <c r="W882" s="10" t="s">
        <v>38</v>
      </c>
      <c r="X882" s="10">
        <v>120</v>
      </c>
      <c r="Y882" s="11">
        <f>IFERROR(INT(Tabla1[[#This Row],[CANTIDAD UND FARMACEUTICAS]]/(VLOOKUP(Tabla1[[#This Row],[MEDICAMENTO]],TAB_REF!$K$3:$L$27,2,0))),"")</f>
        <v>6</v>
      </c>
      <c r="Z882" s="10" t="str">
        <f>IFERROR(VLOOKUP(Tabla1[[#This Row],[MEDICAMENTO]],TAB_REF!$B$3:$F$27,2,0), "")</f>
        <v xml:space="preserve">Hidromorfona HCl </v>
      </c>
      <c r="AA882" s="10" t="str">
        <f>IFERROR(VLOOKUP(Tabla1[[#This Row],[MEDICAMENTO]],TAB_REF!$B$3:$F$27,3,0), "")</f>
        <v xml:space="preserve">2,5 mg </v>
      </c>
      <c r="AB882" s="10" t="str">
        <f>IFERROR(VLOOKUP(Tabla1[[#This Row],[MEDICAMENTO]],TAB_REF!$B$3:$F$27,4,0), "")</f>
        <v>Tabletas</v>
      </c>
      <c r="AC882" s="10" t="str">
        <f>IFERROR(VLOOKUP(Tabla1[[#This Row],[MEDICAMENTO]],TAB_REF!$B$3:$F$27,5,0), "")</f>
        <v>Caja x 20 unidades</v>
      </c>
      <c r="AD882" s="10" t="str">
        <f>IFERROR(VLOOKUP(Tabla1[[#This Row],[CANTIDAD UND COMERCIALES]],TAB_REF!$H$3:$I$1003,2,0)&amp;" ("&amp;Tabla1[[#This Row],[CANTIDAD UND COMERCIALES]]&amp;")"&amp;"_"&amp;Tabla1[[#This Row],[CANTIDAD]],"")</f>
        <v>Seis (6)_Caja x 20 unidades</v>
      </c>
    </row>
    <row r="883" spans="2:30" x14ac:dyDescent="0.25">
      <c r="B883" s="10">
        <v>363</v>
      </c>
      <c r="C883" s="10" t="s">
        <v>3819</v>
      </c>
      <c r="D883" s="10" t="s">
        <v>3162</v>
      </c>
      <c r="E883" s="10" t="s">
        <v>3820</v>
      </c>
      <c r="F883" s="10" t="s">
        <v>3702</v>
      </c>
      <c r="G883" s="10" t="s">
        <v>3821</v>
      </c>
      <c r="H883" s="10" t="s">
        <v>3822</v>
      </c>
      <c r="I883" s="10" t="s">
        <v>2109</v>
      </c>
      <c r="J883" s="10" t="s">
        <v>1126</v>
      </c>
      <c r="K883" s="10" t="s">
        <v>3823</v>
      </c>
      <c r="L883" s="11">
        <v>202124101159682</v>
      </c>
      <c r="M883" s="20">
        <v>44377</v>
      </c>
      <c r="N883" s="20" t="str">
        <f>UPPER(TEXT(Tabla1[[#This Row],[FECHA RADICADO ENTRADA]],"MMM"))</f>
        <v>JUN</v>
      </c>
      <c r="O883" s="11">
        <v>202124111108201</v>
      </c>
      <c r="P883" s="20">
        <v>44390</v>
      </c>
      <c r="Q883" s="20" t="str">
        <f>UPPER(TEXT(Tabla1[[#This Row],[FECHA RADICADO ENTRADA]],"MMM"))</f>
        <v>JUN</v>
      </c>
      <c r="R883" s="10">
        <f>_xlfn.DAYS(M883,P883)</f>
        <v>-13</v>
      </c>
      <c r="S883" s="10" t="s">
        <v>2145</v>
      </c>
      <c r="U883" s="10" t="s">
        <v>3824</v>
      </c>
      <c r="V883" s="20">
        <v>43881</v>
      </c>
      <c r="W883" s="10" t="s">
        <v>57</v>
      </c>
      <c r="Y883" s="11">
        <f>IFERROR(INT(Tabla1[[#This Row],[CANTIDAD UND FARMACEUTICAS]]/(VLOOKUP(Tabla1[[#This Row],[MEDICAMENTO]],TAB_REF!$K$3:$L$27,2,0))),"")</f>
        <v>0</v>
      </c>
      <c r="Z883" s="10" t="str">
        <f>IFERROR(VLOOKUP(Tabla1[[#This Row],[MEDICAMENTO]],TAB_REF!$B$3:$F$27,2,0), "")</f>
        <v xml:space="preserve">Metilfenidato HCl </v>
      </c>
      <c r="AA883" s="10" t="str">
        <f>IFERROR(VLOOKUP(Tabla1[[#This Row],[MEDICAMENTO]],TAB_REF!$B$3:$F$27,3,0), "")</f>
        <v xml:space="preserve">36 mg </v>
      </c>
      <c r="AB883" s="10" t="str">
        <f>IFERROR(VLOOKUP(Tabla1[[#This Row],[MEDICAMENTO]],TAB_REF!$B$3:$F$27,4,0), "")</f>
        <v>Tabletas de Liberación Prolongada</v>
      </c>
      <c r="AC883" s="10" t="str">
        <f>IFERROR(VLOOKUP(Tabla1[[#This Row],[MEDICAMENTO]],TAB_REF!$B$3:$F$27,5,0), "")</f>
        <v>Frasco x 30 unidades</v>
      </c>
      <c r="AD883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884" spans="2:30" x14ac:dyDescent="0.25">
      <c r="B884" s="10">
        <v>364</v>
      </c>
      <c r="C884" s="10" t="s">
        <v>3798</v>
      </c>
      <c r="D884" s="10" t="s">
        <v>2182</v>
      </c>
      <c r="E884" s="10" t="s">
        <v>2445</v>
      </c>
      <c r="F884" s="10" t="s">
        <v>3799</v>
      </c>
      <c r="G884" s="10" t="s">
        <v>2447</v>
      </c>
      <c r="H884" s="10" t="s">
        <v>2448</v>
      </c>
      <c r="I884" s="10" t="s">
        <v>2129</v>
      </c>
      <c r="J884" s="10" t="s">
        <v>2011</v>
      </c>
      <c r="K884" s="10" t="s">
        <v>2449</v>
      </c>
      <c r="L884" s="11">
        <v>202124101167432</v>
      </c>
      <c r="M884" s="20">
        <v>44378</v>
      </c>
      <c r="N884" s="20" t="str">
        <f>UPPER(TEXT(Tabla1[[#This Row],[FECHA RADICADO ENTRADA]],"MMM"))</f>
        <v>JUL</v>
      </c>
      <c r="O884" s="11">
        <v>202124111108291</v>
      </c>
      <c r="P884" s="20">
        <v>44390</v>
      </c>
      <c r="Q884" s="20" t="str">
        <f>UPPER(TEXT(Tabla1[[#This Row],[FECHA RADICADO ENTRADA]],"MMM"))</f>
        <v>JUL</v>
      </c>
      <c r="R884" s="26">
        <f t="shared" ref="R884" si="31">_xlfn.DAYS(M884,P884)</f>
        <v>-12</v>
      </c>
      <c r="S884" s="10" t="s">
        <v>2145</v>
      </c>
      <c r="U884" s="10" t="s">
        <v>2450</v>
      </c>
      <c r="V884" s="20">
        <v>44186</v>
      </c>
      <c r="W884" s="10" t="s">
        <v>32</v>
      </c>
      <c r="Y884" s="11">
        <f>IFERROR(INT(Tabla1[[#This Row],[CANTIDAD UND FARMACEUTICAS]]/(VLOOKUP(Tabla1[[#This Row],[MEDICAMENTO]],TAB_REF!$K$3:$L$27,2,0))),"")</f>
        <v>0</v>
      </c>
      <c r="Z884" s="10" t="str">
        <f>IFERROR(VLOOKUP(Tabla1[[#This Row],[MEDICAMENTO]],TAB_REF!$B$3:$F$27,2,0), "")</f>
        <v xml:space="preserve">Fenobarbital </v>
      </c>
      <c r="AA884" s="10" t="str">
        <f>IFERROR(VLOOKUP(Tabla1[[#This Row],[MEDICAMENTO]],TAB_REF!$B$3:$F$27,3,0), "")</f>
        <v xml:space="preserve">100 mg </v>
      </c>
      <c r="AB884" s="10" t="str">
        <f>IFERROR(VLOOKUP(Tabla1[[#This Row],[MEDICAMENTO]],TAB_REF!$B$3:$F$27,4,0), "")</f>
        <v>Tabletas</v>
      </c>
      <c r="AC884" s="10" t="str">
        <f>IFERROR(VLOOKUP(Tabla1[[#This Row],[MEDICAMENTO]],TAB_REF!$B$3:$F$27,5,0), "")</f>
        <v>Caja x 30 unidades</v>
      </c>
      <c r="AD884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885" spans="2:30" x14ac:dyDescent="0.25">
      <c r="B885" s="10">
        <v>364</v>
      </c>
      <c r="C885" s="10" t="s">
        <v>3798</v>
      </c>
      <c r="D885" s="10" t="s">
        <v>2182</v>
      </c>
      <c r="E885" s="10" t="s">
        <v>2445</v>
      </c>
      <c r="F885" s="10" t="s">
        <v>3799</v>
      </c>
      <c r="G885" s="10" t="s">
        <v>2447</v>
      </c>
      <c r="H885" s="10" t="s">
        <v>2448</v>
      </c>
      <c r="I885" s="10" t="s">
        <v>2129</v>
      </c>
      <c r="J885" s="10" t="s">
        <v>2011</v>
      </c>
      <c r="K885" s="10" t="s">
        <v>2449</v>
      </c>
      <c r="L885" s="11">
        <v>202124101167432</v>
      </c>
      <c r="M885" s="20">
        <v>44378</v>
      </c>
      <c r="N885" s="20" t="str">
        <f>UPPER(TEXT(Tabla1[[#This Row],[FECHA RADICADO ENTRADA]],"MMM"))</f>
        <v>JUL</v>
      </c>
      <c r="O885" s="11">
        <v>202124111108291</v>
      </c>
      <c r="P885" s="20">
        <v>44390</v>
      </c>
      <c r="Q885" s="20" t="str">
        <f>UPPER(TEXT(Tabla1[[#This Row],[FECHA RADICADO ENTRADA]],"MMM"))</f>
        <v>JUL</v>
      </c>
      <c r="R885" s="26">
        <f t="shared" ref="R885:R887" si="32">_xlfn.DAYS(M885,P885)</f>
        <v>-12</v>
      </c>
      <c r="S885" s="10" t="s">
        <v>2145</v>
      </c>
      <c r="U885" s="10" t="s">
        <v>2450</v>
      </c>
      <c r="V885" s="20">
        <v>44186</v>
      </c>
      <c r="W885" s="10" t="s">
        <v>48</v>
      </c>
      <c r="Y885" s="11">
        <f>IFERROR(INT(Tabla1[[#This Row],[CANTIDAD UND FARMACEUTICAS]]/(VLOOKUP(Tabla1[[#This Row],[MEDICAMENTO]],TAB_REF!$K$3:$L$27,2,0))),"")</f>
        <v>0</v>
      </c>
      <c r="Z885" s="26" t="str">
        <f>IFERROR(VLOOKUP(Tabla1[[#This Row],[MEDICAMENTO]],TAB_REF!$B$3:$F$27,2,0), "")</f>
        <v xml:space="preserve">Metilfenidato HCl </v>
      </c>
      <c r="AA885" s="26" t="str">
        <f>IFERROR(VLOOKUP(Tabla1[[#This Row],[MEDICAMENTO]],TAB_REF!$B$3:$F$27,3,0), "")</f>
        <v xml:space="preserve">10 mg </v>
      </c>
      <c r="AB885" s="26" t="str">
        <f>IFERROR(VLOOKUP(Tabla1[[#This Row],[MEDICAMENTO]],TAB_REF!$B$3:$F$27,4,0), "")</f>
        <v>Comprimidos</v>
      </c>
      <c r="AC885" s="26" t="str">
        <f>IFERROR(VLOOKUP(Tabla1[[#This Row],[MEDICAMENTO]],TAB_REF!$B$3:$F$27,5,0), "")</f>
        <v>Caja x 30 unidades</v>
      </c>
      <c r="AD885" s="26" t="str">
        <f>IFERROR(VLOOKUP(Tabla1[[#This Row],[CANTIDAD UND COMERCIALES]],TAB_REF!$H$3:$I$1003,2,0)&amp;" ("&amp;Tabla1[[#This Row],[CANTIDAD UND COMERCIALES]]&amp;")"&amp;"_"&amp;Tabla1[[#This Row],[CANTIDAD]],"")</f>
        <v/>
      </c>
    </row>
    <row r="886" spans="2:30" x14ac:dyDescent="0.25">
      <c r="B886" s="10">
        <v>364</v>
      </c>
      <c r="C886" s="10" t="s">
        <v>3798</v>
      </c>
      <c r="D886" s="10" t="s">
        <v>2182</v>
      </c>
      <c r="E886" s="10" t="s">
        <v>2445</v>
      </c>
      <c r="F886" s="10" t="s">
        <v>3799</v>
      </c>
      <c r="G886" s="10" t="s">
        <v>2447</v>
      </c>
      <c r="H886" s="10" t="s">
        <v>2448</v>
      </c>
      <c r="I886" s="10" t="s">
        <v>2129</v>
      </c>
      <c r="J886" s="10" t="s">
        <v>2011</v>
      </c>
      <c r="K886" s="10" t="s">
        <v>2449</v>
      </c>
      <c r="L886" s="11">
        <v>202124101167432</v>
      </c>
      <c r="M886" s="20">
        <v>44378</v>
      </c>
      <c r="N886" s="20" t="str">
        <f>UPPER(TEXT(Tabla1[[#This Row],[FECHA RADICADO ENTRADA]],"MMM"))</f>
        <v>JUL</v>
      </c>
      <c r="O886" s="11">
        <v>202124111108291</v>
      </c>
      <c r="P886" s="20">
        <v>44390</v>
      </c>
      <c r="Q886" s="20" t="str">
        <f>UPPER(TEXT(Tabla1[[#This Row],[FECHA RADICADO ENTRADA]],"MMM"))</f>
        <v>JUL</v>
      </c>
      <c r="R886" s="26">
        <f t="shared" si="32"/>
        <v>-12</v>
      </c>
      <c r="S886" s="10" t="s">
        <v>2154</v>
      </c>
      <c r="U886" s="10" t="s">
        <v>2450</v>
      </c>
      <c r="V886" s="20">
        <v>44186</v>
      </c>
      <c r="W886" s="10" t="s">
        <v>60</v>
      </c>
      <c r="X886" s="10">
        <v>45</v>
      </c>
      <c r="Y886" s="11">
        <f>IFERROR(INT(Tabla1[[#This Row],[CANTIDAD UND FARMACEUTICAS]]/(VLOOKUP(Tabla1[[#This Row],[MEDICAMENTO]],TAB_REF!$K$3:$L$27,2,0))),"")</f>
        <v>45</v>
      </c>
      <c r="Z886" s="26" t="str">
        <f>IFERROR(VLOOKUP(Tabla1[[#This Row],[MEDICAMENTO]],TAB_REF!$B$3:$F$27,2,0), "")</f>
        <v xml:space="preserve">Morfina HCl </v>
      </c>
      <c r="AA886" s="26" t="str">
        <f>IFERROR(VLOOKUP(Tabla1[[#This Row],[MEDICAMENTO]],TAB_REF!$B$3:$F$27,3,0), "")</f>
        <v xml:space="preserve">3%. </v>
      </c>
      <c r="AB886" s="26" t="str">
        <f>IFERROR(VLOOKUP(Tabla1[[#This Row],[MEDICAMENTO]],TAB_REF!$B$3:$F$27,4,0), "")</f>
        <v>Solución Oral</v>
      </c>
      <c r="AC886" s="26" t="str">
        <f>IFERROR(VLOOKUP(Tabla1[[#This Row],[MEDICAMENTO]],TAB_REF!$B$3:$F$27,5,0), "")</f>
        <v>Frasco x 30 mL</v>
      </c>
      <c r="AD886" s="26" t="str">
        <f>IFERROR(VLOOKUP(Tabla1[[#This Row],[CANTIDAD UND COMERCIALES]],TAB_REF!$H$3:$I$1003,2,0)&amp;" ("&amp;Tabla1[[#This Row],[CANTIDAD UND COMERCIALES]]&amp;")"&amp;"_"&amp;Tabla1[[#This Row],[CANTIDAD]],"")</f>
        <v>Cuarenta Y Cinco (45)_Frasco x 30 mL</v>
      </c>
    </row>
    <row r="887" spans="2:30" x14ac:dyDescent="0.25">
      <c r="B887" s="10">
        <v>364</v>
      </c>
      <c r="C887" s="10" t="s">
        <v>3798</v>
      </c>
      <c r="D887" s="10" t="s">
        <v>2182</v>
      </c>
      <c r="E887" s="10" t="s">
        <v>2445</v>
      </c>
      <c r="F887" s="10" t="s">
        <v>3799</v>
      </c>
      <c r="G887" s="10" t="s">
        <v>2447</v>
      </c>
      <c r="H887" s="10" t="s">
        <v>2448</v>
      </c>
      <c r="I887" s="10" t="s">
        <v>2129</v>
      </c>
      <c r="J887" s="10" t="s">
        <v>2011</v>
      </c>
      <c r="K887" s="10" t="s">
        <v>2449</v>
      </c>
      <c r="L887" s="11">
        <v>202124101167432</v>
      </c>
      <c r="M887" s="20">
        <v>44378</v>
      </c>
      <c r="N887" s="20" t="str">
        <f>UPPER(TEXT(Tabla1[[#This Row],[FECHA RADICADO ENTRADA]],"MMM"))</f>
        <v>JUL</v>
      </c>
      <c r="O887" s="11">
        <v>202124111108291</v>
      </c>
      <c r="P887" s="20">
        <v>44390</v>
      </c>
      <c r="Q887" s="20" t="str">
        <f>UPPER(TEXT(Tabla1[[#This Row],[FECHA RADICADO ENTRADA]],"MMM"))</f>
        <v>JUL</v>
      </c>
      <c r="R887" s="26">
        <f t="shared" si="32"/>
        <v>-12</v>
      </c>
      <c r="S887" s="10" t="s">
        <v>2145</v>
      </c>
      <c r="U887" s="10" t="s">
        <v>2450</v>
      </c>
      <c r="V887" s="20">
        <v>44186</v>
      </c>
      <c r="W887" s="10" t="s">
        <v>64</v>
      </c>
      <c r="Y887" s="11">
        <f>IFERROR(INT(Tabla1[[#This Row],[CANTIDAD UND FARMACEUTICAS]]/(VLOOKUP(Tabla1[[#This Row],[MEDICAMENTO]],TAB_REF!$K$3:$L$27,2,0))),"")</f>
        <v>0</v>
      </c>
      <c r="Z887" s="26" t="str">
        <f>IFERROR(VLOOKUP(Tabla1[[#This Row],[MEDICAMENTO]],TAB_REF!$B$3:$F$27,2,0), "")</f>
        <v xml:space="preserve">Morfina HCl </v>
      </c>
      <c r="AA887" s="26" t="str">
        <f>IFERROR(VLOOKUP(Tabla1[[#This Row],[MEDICAMENTO]],TAB_REF!$B$3:$F$27,3,0), "")</f>
        <v xml:space="preserve">10 (50mg/5mL) </v>
      </c>
      <c r="AB887" s="26" t="str">
        <f>IFERROR(VLOOKUP(Tabla1[[#This Row],[MEDICAMENTO]],TAB_REF!$B$3:$F$27,4,0), "")</f>
        <v>Solución Inyectable</v>
      </c>
      <c r="AC887" s="26" t="str">
        <f>IFERROR(VLOOKUP(Tabla1[[#This Row],[MEDICAMENTO]],TAB_REF!$B$3:$F$27,5,0), "")</f>
        <v>Caja x 5 unidades</v>
      </c>
      <c r="AD887" s="26" t="str">
        <f>IFERROR(VLOOKUP(Tabla1[[#This Row],[CANTIDAD UND COMERCIALES]],TAB_REF!$H$3:$I$1003,2,0)&amp;" ("&amp;Tabla1[[#This Row],[CANTIDAD UND COMERCIALES]]&amp;")"&amp;"_"&amp;Tabla1[[#This Row],[CANTIDAD]],"")</f>
        <v/>
      </c>
    </row>
    <row r="888" spans="2:30" x14ac:dyDescent="0.25">
      <c r="B888" s="10">
        <v>364</v>
      </c>
      <c r="C888" s="10" t="s">
        <v>3798</v>
      </c>
      <c r="D888" s="10" t="s">
        <v>2182</v>
      </c>
      <c r="E888" s="10" t="s">
        <v>2445</v>
      </c>
      <c r="F888" s="10" t="s">
        <v>3799</v>
      </c>
      <c r="G888" s="10" t="s">
        <v>2447</v>
      </c>
      <c r="H888" s="10" t="s">
        <v>2448</v>
      </c>
      <c r="I888" s="10" t="s">
        <v>2129</v>
      </c>
      <c r="J888" s="10" t="s">
        <v>2011</v>
      </c>
      <c r="K888" s="10" t="s">
        <v>2449</v>
      </c>
      <c r="L888" s="11">
        <v>202124101167432</v>
      </c>
      <c r="M888" s="20">
        <v>44378</v>
      </c>
      <c r="N888" s="20" t="str">
        <f>UPPER(TEXT(Tabla1[[#This Row],[FECHA RADICADO ENTRADA]],"MMM"))</f>
        <v>JUL</v>
      </c>
      <c r="O888" s="11">
        <v>202124111108291</v>
      </c>
      <c r="P888" s="20">
        <v>44390</v>
      </c>
      <c r="Q888" s="20" t="str">
        <f>UPPER(TEXT(Tabla1[[#This Row],[FECHA RADICADO ENTRADA]],"MMM"))</f>
        <v>JUL</v>
      </c>
      <c r="R888" s="26">
        <f t="shared" ref="R888" si="33">_xlfn.DAYS(M888,P888)</f>
        <v>-12</v>
      </c>
      <c r="S888" s="10" t="s">
        <v>2154</v>
      </c>
      <c r="U888" s="10" t="s">
        <v>2450</v>
      </c>
      <c r="V888" s="20">
        <v>44186</v>
      </c>
      <c r="W888" s="10" t="s">
        <v>63</v>
      </c>
      <c r="X888" s="10">
        <v>50</v>
      </c>
      <c r="Y888" s="11">
        <f>IFERROR(INT(Tabla1[[#This Row],[CANTIDAD UND FARMACEUTICAS]]/(VLOOKUP(Tabla1[[#This Row],[MEDICAMENTO]],TAB_REF!$K$3:$L$27,2,0))),"")</f>
        <v>5</v>
      </c>
      <c r="Z888" s="26" t="str">
        <f>IFERROR(VLOOKUP(Tabla1[[#This Row],[MEDICAMENTO]],TAB_REF!$B$3:$F$27,2,0), "")</f>
        <v xml:space="preserve">Morfina HCl </v>
      </c>
      <c r="AA888" s="26" t="str">
        <f>IFERROR(VLOOKUP(Tabla1[[#This Row],[MEDICAMENTO]],TAB_REF!$B$3:$F$27,3,0), "")</f>
        <v xml:space="preserve">10 mg/mL </v>
      </c>
      <c r="AB888" s="26" t="str">
        <f>IFERROR(VLOOKUP(Tabla1[[#This Row],[MEDICAMENTO]],TAB_REF!$B$3:$F$27,4,0), "")</f>
        <v>Solución Inyectable</v>
      </c>
      <c r="AC888" s="26" t="str">
        <f>IFERROR(VLOOKUP(Tabla1[[#This Row],[MEDICAMENTO]],TAB_REF!$B$3:$F$27,5,0), "")</f>
        <v>Caja x 10 unidades</v>
      </c>
      <c r="AD888" s="26" t="str">
        <f>IFERROR(VLOOKUP(Tabla1[[#This Row],[CANTIDAD UND COMERCIALES]],TAB_REF!$H$3:$I$1003,2,0)&amp;" ("&amp;Tabla1[[#This Row],[CANTIDAD UND COMERCIALES]]&amp;")"&amp;"_"&amp;Tabla1[[#This Row],[CANTIDAD]],"")</f>
        <v>Cinco (5)_Caja x 10 unidades</v>
      </c>
    </row>
    <row r="889" spans="2:30" x14ac:dyDescent="0.25">
      <c r="B889" s="10">
        <v>366</v>
      </c>
      <c r="C889" s="10" t="s">
        <v>3830</v>
      </c>
      <c r="D889" s="10" t="s">
        <v>2182</v>
      </c>
      <c r="E889" s="10" t="s">
        <v>3840</v>
      </c>
      <c r="F889" s="10" t="s">
        <v>3678</v>
      </c>
      <c r="G889" s="10" t="s">
        <v>3114</v>
      </c>
      <c r="H889" s="10" t="s">
        <v>3831</v>
      </c>
      <c r="I889" s="10" t="s">
        <v>2123</v>
      </c>
      <c r="J889" s="10" t="s">
        <v>1770</v>
      </c>
      <c r="K889" s="10" t="s">
        <v>3832</v>
      </c>
      <c r="L889" s="11">
        <v>202124101172822</v>
      </c>
      <c r="M889" s="20">
        <v>44378</v>
      </c>
      <c r="N889" s="20" t="str">
        <f>UPPER(TEXT(Tabla1[[#This Row],[FECHA RADICADO ENTRADA]],"MMM"))</f>
        <v>JUL</v>
      </c>
      <c r="O889" s="11">
        <v>202124111108341</v>
      </c>
      <c r="P889" s="20">
        <v>44390</v>
      </c>
      <c r="Q889" s="20" t="str">
        <f>UPPER(TEXT(Tabla1[[#This Row],[FECHA RADICADO ENTRADA]],"MMM"))</f>
        <v>JUL</v>
      </c>
      <c r="R889" s="26">
        <f>_xlfn.DAYS(M889,P889)</f>
        <v>-12</v>
      </c>
      <c r="S889" s="10" t="s">
        <v>2154</v>
      </c>
      <c r="U889" s="10" t="s">
        <v>3121</v>
      </c>
      <c r="V889" s="20">
        <v>44342</v>
      </c>
      <c r="W889" s="10" t="s">
        <v>63</v>
      </c>
      <c r="X889" s="10">
        <v>1200</v>
      </c>
      <c r="Y889" s="11">
        <f>IFERROR(INT(Tabla1[[#This Row],[CANTIDAD UND FARMACEUTICAS]]/(VLOOKUP(Tabla1[[#This Row],[MEDICAMENTO]],TAB_REF!$K$3:$L$27,2,0))),"")</f>
        <v>120</v>
      </c>
      <c r="Z889" s="26" t="str">
        <f>IFERROR(VLOOKUP(Tabla1[[#This Row],[MEDICAMENTO]],TAB_REF!$B$3:$F$27,2,0), "")</f>
        <v xml:space="preserve">Morfina HCl </v>
      </c>
      <c r="AA889" s="26" t="str">
        <f>IFERROR(VLOOKUP(Tabla1[[#This Row],[MEDICAMENTO]],TAB_REF!$B$3:$F$27,3,0), "")</f>
        <v xml:space="preserve">10 mg/mL </v>
      </c>
      <c r="AB889" s="26" t="str">
        <f>IFERROR(VLOOKUP(Tabla1[[#This Row],[MEDICAMENTO]],TAB_REF!$B$3:$F$27,4,0), "")</f>
        <v>Solución Inyectable</v>
      </c>
      <c r="AC889" s="26" t="str">
        <f>IFERROR(VLOOKUP(Tabla1[[#This Row],[MEDICAMENTO]],TAB_REF!$B$3:$F$27,5,0), "")</f>
        <v>Caja x 10 unidades</v>
      </c>
      <c r="AD889" s="26" t="str">
        <f>IFERROR(VLOOKUP(Tabla1[[#This Row],[CANTIDAD UND COMERCIALES]],TAB_REF!$H$3:$I$1003,2,0)&amp;" ("&amp;Tabla1[[#This Row],[CANTIDAD UND COMERCIALES]]&amp;")"&amp;"_"&amp;Tabla1[[#This Row],[CANTIDAD]],"")</f>
        <v>Ciento Veinte (120)_Caja x 10 unidades</v>
      </c>
    </row>
    <row r="890" spans="2:30" x14ac:dyDescent="0.25">
      <c r="B890" s="10">
        <v>365</v>
      </c>
      <c r="C890" s="10" t="s">
        <v>3825</v>
      </c>
      <c r="D890" s="10" t="s">
        <v>3076</v>
      </c>
      <c r="E890" s="10" t="s">
        <v>3826</v>
      </c>
      <c r="F890" s="10" t="s">
        <v>3827</v>
      </c>
      <c r="G890" s="10" t="s">
        <v>2790</v>
      </c>
      <c r="H890" s="10" t="s">
        <v>3828</v>
      </c>
      <c r="I890" s="10" t="s">
        <v>2123</v>
      </c>
      <c r="J890" s="10" t="s">
        <v>1770</v>
      </c>
      <c r="K890" s="10" t="s">
        <v>2792</v>
      </c>
      <c r="L890" s="11">
        <v>202124101170152</v>
      </c>
      <c r="M890" s="20">
        <v>44378</v>
      </c>
      <c r="N890" s="20" t="str">
        <f>UPPER(TEXT(Tabla1[[#This Row],[FECHA RADICADO ENTRADA]],"MMM"))</f>
        <v>JUL</v>
      </c>
      <c r="O890" s="11">
        <v>202124111108311</v>
      </c>
      <c r="P890" s="20">
        <v>44390</v>
      </c>
      <c r="Q890" s="20" t="s">
        <v>3839</v>
      </c>
      <c r="R890" s="26">
        <v>44378</v>
      </c>
      <c r="S890" s="10" t="s">
        <v>2145</v>
      </c>
      <c r="U890" s="10" t="s">
        <v>3829</v>
      </c>
      <c r="V890" s="20">
        <v>44114</v>
      </c>
      <c r="W890" s="10" t="s">
        <v>32</v>
      </c>
      <c r="X890" s="10">
        <v>700</v>
      </c>
      <c r="Y890" s="11">
        <v>23</v>
      </c>
      <c r="Z890" s="26" t="s">
        <v>2982</v>
      </c>
      <c r="AA890" s="26" t="s">
        <v>2988</v>
      </c>
      <c r="AB890" s="26" t="s">
        <v>2986</v>
      </c>
      <c r="AC890" s="26" t="s">
        <v>2987</v>
      </c>
      <c r="AD890" s="26" t="s">
        <v>3837</v>
      </c>
    </row>
    <row r="891" spans="2:30" x14ac:dyDescent="0.25">
      <c r="B891" s="10">
        <v>365</v>
      </c>
      <c r="C891" s="10" t="s">
        <v>3825</v>
      </c>
      <c r="D891" s="10" t="s">
        <v>3076</v>
      </c>
      <c r="E891" s="10" t="s">
        <v>3826</v>
      </c>
      <c r="F891" s="10" t="s">
        <v>3827</v>
      </c>
      <c r="G891" s="10" t="s">
        <v>2790</v>
      </c>
      <c r="H891" s="10" t="s">
        <v>3828</v>
      </c>
      <c r="I891" s="10" t="s">
        <v>2123</v>
      </c>
      <c r="J891" s="10" t="s">
        <v>1770</v>
      </c>
      <c r="K891" s="10" t="s">
        <v>2792</v>
      </c>
      <c r="L891" s="11">
        <v>202124101170152</v>
      </c>
      <c r="M891" s="20">
        <v>44378</v>
      </c>
      <c r="N891" s="20" t="str">
        <f>UPPER(TEXT(Tabla1[[#This Row],[FECHA RADICADO ENTRADA]],"MMM"))</f>
        <v>JUL</v>
      </c>
      <c r="O891" s="11">
        <v>202124111108311</v>
      </c>
      <c r="P891" s="20">
        <v>44390</v>
      </c>
      <c r="Q891" s="20" t="s">
        <v>3839</v>
      </c>
      <c r="R891" s="26">
        <v>44378</v>
      </c>
      <c r="S891" s="10" t="s">
        <v>2145</v>
      </c>
      <c r="U891" s="10" t="s">
        <v>3829</v>
      </c>
      <c r="V891" s="20">
        <v>44114</v>
      </c>
      <c r="W891" s="10" t="s">
        <v>36</v>
      </c>
      <c r="X891" s="10">
        <v>800</v>
      </c>
      <c r="Y891" s="11">
        <v>80</v>
      </c>
      <c r="Z891" s="26" t="s">
        <v>2990</v>
      </c>
      <c r="AA891" s="26" t="s">
        <v>2993</v>
      </c>
      <c r="AB891" s="26" t="s">
        <v>35</v>
      </c>
      <c r="AC891" s="26" t="s">
        <v>2992</v>
      </c>
      <c r="AD891" s="26" t="s">
        <v>3836</v>
      </c>
    </row>
    <row r="892" spans="2:30" x14ac:dyDescent="0.25">
      <c r="B892" s="10">
        <v>365</v>
      </c>
      <c r="C892" s="10" t="s">
        <v>3825</v>
      </c>
      <c r="D892" s="10" t="s">
        <v>3076</v>
      </c>
      <c r="E892" s="10" t="s">
        <v>3826</v>
      </c>
      <c r="F892" s="10" t="s">
        <v>3827</v>
      </c>
      <c r="G892" s="10" t="s">
        <v>2790</v>
      </c>
      <c r="H892" s="10" t="s">
        <v>3828</v>
      </c>
      <c r="I892" s="10" t="s">
        <v>2123</v>
      </c>
      <c r="J892" s="10" t="s">
        <v>1770</v>
      </c>
      <c r="K892" s="10" t="s">
        <v>2792</v>
      </c>
      <c r="L892" s="11">
        <v>202124101170152</v>
      </c>
      <c r="M892" s="20">
        <v>44378</v>
      </c>
      <c r="N892" s="20" t="str">
        <f>UPPER(TEXT(Tabla1[[#This Row],[FECHA RADICADO ENTRADA]],"MMM"))</f>
        <v>JUL</v>
      </c>
      <c r="O892" s="11">
        <v>202124111108311</v>
      </c>
      <c r="P892" s="20">
        <v>44390</v>
      </c>
      <c r="Q892" s="20" t="s">
        <v>3839</v>
      </c>
      <c r="R892" s="26">
        <v>44378</v>
      </c>
      <c r="S892" s="10" t="s">
        <v>2145</v>
      </c>
      <c r="U892" s="10" t="s">
        <v>3829</v>
      </c>
      <c r="V892" s="20">
        <v>44114</v>
      </c>
      <c r="W892" s="10" t="s">
        <v>34</v>
      </c>
      <c r="X892" s="10">
        <v>800</v>
      </c>
      <c r="Y892" s="11">
        <v>80</v>
      </c>
      <c r="Z892" s="26" t="s">
        <v>2990</v>
      </c>
      <c r="AA892" s="26" t="s">
        <v>2991</v>
      </c>
      <c r="AB892" s="26" t="s">
        <v>35</v>
      </c>
      <c r="AC892" s="26" t="s">
        <v>2992</v>
      </c>
      <c r="AD892" s="26" t="s">
        <v>3836</v>
      </c>
    </row>
    <row r="893" spans="2:30" x14ac:dyDescent="0.25">
      <c r="B893" s="10">
        <v>365</v>
      </c>
      <c r="C893" s="10" t="s">
        <v>3825</v>
      </c>
      <c r="D893" s="10" t="s">
        <v>3076</v>
      </c>
      <c r="E893" s="10" t="s">
        <v>3826</v>
      </c>
      <c r="F893" s="10" t="s">
        <v>3827</v>
      </c>
      <c r="G893" s="10" t="s">
        <v>2790</v>
      </c>
      <c r="H893" s="10" t="s">
        <v>3828</v>
      </c>
      <c r="I893" s="10" t="s">
        <v>2123</v>
      </c>
      <c r="J893" s="10" t="s">
        <v>1770</v>
      </c>
      <c r="K893" s="10" t="s">
        <v>2792</v>
      </c>
      <c r="L893" s="11">
        <v>202124101170152</v>
      </c>
      <c r="M893" s="20">
        <v>44378</v>
      </c>
      <c r="N893" s="20" t="str">
        <f>UPPER(TEXT(Tabla1[[#This Row],[FECHA RADICADO ENTRADA]],"MMM"))</f>
        <v>JUL</v>
      </c>
      <c r="O893" s="11">
        <v>202124111108311</v>
      </c>
      <c r="P893" s="20">
        <v>44390</v>
      </c>
      <c r="Q893" s="20" t="s">
        <v>3839</v>
      </c>
      <c r="R893" s="26">
        <v>44378</v>
      </c>
      <c r="S893" s="10" t="s">
        <v>2145</v>
      </c>
      <c r="U893" s="10" t="s">
        <v>3829</v>
      </c>
      <c r="V893" s="20">
        <v>44114</v>
      </c>
      <c r="W893" s="10" t="s">
        <v>28</v>
      </c>
      <c r="X893" s="10">
        <v>80</v>
      </c>
      <c r="Y893" s="11">
        <v>80</v>
      </c>
      <c r="Z893" s="26" t="s">
        <v>2982</v>
      </c>
      <c r="AA893" s="26" t="s">
        <v>2983</v>
      </c>
      <c r="AB893" s="26" t="s">
        <v>29</v>
      </c>
      <c r="AC893" s="26" t="s">
        <v>2984</v>
      </c>
      <c r="AD893" s="26" t="s">
        <v>3838</v>
      </c>
    </row>
    <row r="894" spans="2:30" x14ac:dyDescent="0.25">
      <c r="B894" s="10">
        <v>365</v>
      </c>
      <c r="C894" s="10" t="s">
        <v>3825</v>
      </c>
      <c r="D894" s="10" t="s">
        <v>3076</v>
      </c>
      <c r="E894" s="10" t="s">
        <v>3826</v>
      </c>
      <c r="F894" s="10" t="s">
        <v>3827</v>
      </c>
      <c r="G894" s="10" t="s">
        <v>2790</v>
      </c>
      <c r="H894" s="10" t="s">
        <v>3828</v>
      </c>
      <c r="I894" s="10" t="s">
        <v>2123</v>
      </c>
      <c r="J894" s="10" t="s">
        <v>1770</v>
      </c>
      <c r="K894" s="10" t="s">
        <v>2792</v>
      </c>
      <c r="L894" s="11">
        <v>202124101170152</v>
      </c>
      <c r="M894" s="20">
        <v>44378</v>
      </c>
      <c r="N894" s="20" t="str">
        <f>UPPER(TEXT(Tabla1[[#This Row],[FECHA RADICADO ENTRADA]],"MMM"))</f>
        <v>JUL</v>
      </c>
      <c r="O894" s="11">
        <v>202124111108311</v>
      </c>
      <c r="P894" s="20">
        <v>44390</v>
      </c>
      <c r="Q894" s="20" t="s">
        <v>3839</v>
      </c>
      <c r="R894" s="26">
        <v>44378</v>
      </c>
      <c r="S894" s="10" t="s">
        <v>2145</v>
      </c>
      <c r="U894" s="10" t="s">
        <v>3829</v>
      </c>
      <c r="V894" s="20">
        <v>44114</v>
      </c>
      <c r="W894" s="10" t="s">
        <v>41</v>
      </c>
      <c r="X894" s="10">
        <v>1200</v>
      </c>
      <c r="Y894" s="11">
        <v>120</v>
      </c>
      <c r="Z894" s="26" t="s">
        <v>42</v>
      </c>
      <c r="AA894" s="26" t="s">
        <v>43</v>
      </c>
      <c r="AB894" s="26" t="s">
        <v>35</v>
      </c>
      <c r="AC894" s="26" t="s">
        <v>2997</v>
      </c>
      <c r="AD894" s="26" t="s">
        <v>3833</v>
      </c>
    </row>
    <row r="895" spans="2:30" x14ac:dyDescent="0.25">
      <c r="B895" s="10">
        <v>365</v>
      </c>
      <c r="C895" s="10" t="s">
        <v>3825</v>
      </c>
      <c r="D895" s="10" t="s">
        <v>3076</v>
      </c>
      <c r="E895" s="10" t="s">
        <v>3826</v>
      </c>
      <c r="F895" s="10" t="s">
        <v>3827</v>
      </c>
      <c r="G895" s="10" t="s">
        <v>2790</v>
      </c>
      <c r="H895" s="10" t="s">
        <v>3828</v>
      </c>
      <c r="I895" s="10" t="s">
        <v>2123</v>
      </c>
      <c r="J895" s="10" t="s">
        <v>1770</v>
      </c>
      <c r="K895" s="10" t="s">
        <v>2792</v>
      </c>
      <c r="L895" s="11">
        <v>202124101170152</v>
      </c>
      <c r="M895" s="20">
        <v>44378</v>
      </c>
      <c r="N895" s="20" t="str">
        <f>UPPER(TEXT(Tabla1[[#This Row],[FECHA RADICADO ENTRADA]],"MMM"))</f>
        <v>JUL</v>
      </c>
      <c r="O895" s="11">
        <v>202124111108311</v>
      </c>
      <c r="P895" s="20">
        <v>44390</v>
      </c>
      <c r="Q895" s="20" t="s">
        <v>3839</v>
      </c>
      <c r="R895" s="26">
        <v>44378</v>
      </c>
      <c r="S895" s="10" t="s">
        <v>2145</v>
      </c>
      <c r="U895" s="10" t="s">
        <v>3829</v>
      </c>
      <c r="V895" s="20">
        <v>44114</v>
      </c>
      <c r="W895" s="10" t="s">
        <v>63</v>
      </c>
      <c r="X895" s="10">
        <v>6000</v>
      </c>
      <c r="Y895" s="11">
        <v>600</v>
      </c>
      <c r="Z895" s="26" t="s">
        <v>3008</v>
      </c>
      <c r="AA895" s="26" t="s">
        <v>3011</v>
      </c>
      <c r="AB895" s="26" t="s">
        <v>35</v>
      </c>
      <c r="AC895" s="26" t="s">
        <v>2992</v>
      </c>
      <c r="AD895" s="26" t="s">
        <v>3834</v>
      </c>
    </row>
    <row r="896" spans="2:30" x14ac:dyDescent="0.25">
      <c r="B896" s="10">
        <v>365</v>
      </c>
      <c r="C896" s="10" t="s">
        <v>3825</v>
      </c>
      <c r="D896" s="10" t="s">
        <v>3076</v>
      </c>
      <c r="E896" s="10" t="s">
        <v>3826</v>
      </c>
      <c r="F896" s="10" t="s">
        <v>3827</v>
      </c>
      <c r="G896" s="10" t="s">
        <v>2790</v>
      </c>
      <c r="H896" s="10" t="s">
        <v>3828</v>
      </c>
      <c r="I896" s="10" t="s">
        <v>2123</v>
      </c>
      <c r="J896" s="10" t="s">
        <v>1770</v>
      </c>
      <c r="K896" s="10" t="s">
        <v>2792</v>
      </c>
      <c r="L896" s="11">
        <v>202124101170152</v>
      </c>
      <c r="M896" s="20">
        <v>44378</v>
      </c>
      <c r="N896" s="20" t="str">
        <f>UPPER(TEXT(Tabla1[[#This Row],[FECHA RADICADO ENTRADA]],"MMM"))</f>
        <v>JUL</v>
      </c>
      <c r="O896" s="11">
        <v>202124111108311</v>
      </c>
      <c r="P896" s="20">
        <v>44390</v>
      </c>
      <c r="Q896" s="20" t="s">
        <v>3839</v>
      </c>
      <c r="R896" s="26">
        <v>44378</v>
      </c>
      <c r="S896" s="10" t="s">
        <v>2145</v>
      </c>
      <c r="U896" s="10" t="s">
        <v>3829</v>
      </c>
      <c r="V896" s="20">
        <v>44114</v>
      </c>
      <c r="W896" s="10" t="s">
        <v>60</v>
      </c>
      <c r="X896" s="10">
        <v>20</v>
      </c>
      <c r="Y896" s="11">
        <v>20</v>
      </c>
      <c r="Z896" s="26" t="s">
        <v>3008</v>
      </c>
      <c r="AA896" s="26" t="s">
        <v>3009</v>
      </c>
      <c r="AB896" s="26" t="s">
        <v>29</v>
      </c>
      <c r="AC896" s="26" t="s">
        <v>3010</v>
      </c>
      <c r="AD896" s="26" t="s">
        <v>3835</v>
      </c>
    </row>
    <row r="897" spans="2:30" x14ac:dyDescent="0.25">
      <c r="B897" s="10">
        <v>367</v>
      </c>
      <c r="C897" s="10" t="s">
        <v>3830</v>
      </c>
      <c r="D897" s="10" t="s">
        <v>2182</v>
      </c>
      <c r="E897" s="10" t="s">
        <v>3840</v>
      </c>
      <c r="F897" s="10" t="s">
        <v>3678</v>
      </c>
      <c r="G897" s="10" t="s">
        <v>3114</v>
      </c>
      <c r="H897" s="10" t="s">
        <v>3831</v>
      </c>
      <c r="I897" s="10" t="s">
        <v>2123</v>
      </c>
      <c r="J897" s="10" t="s">
        <v>1770</v>
      </c>
      <c r="K897" s="10" t="s">
        <v>3832</v>
      </c>
      <c r="L897" s="11">
        <v>202124101172862</v>
      </c>
      <c r="M897" s="20">
        <v>44378</v>
      </c>
      <c r="N897" s="20" t="str">
        <f>UPPER(TEXT(Tabla1[[#This Row],[FECHA RADICADO ENTRADA]],"MMM"))</f>
        <v>JUL</v>
      </c>
      <c r="O897" s="11"/>
      <c r="Q897" s="20" t="str">
        <f>UPPER(TEXT(Tabla1[[#This Row],[FECHA RADICADO ENTRADA]],"MMM"))</f>
        <v>JUL</v>
      </c>
      <c r="R897" s="26">
        <f>_xlfn.DAYS(M897,P897)</f>
        <v>44378</v>
      </c>
      <c r="S897" s="10" t="s">
        <v>2145</v>
      </c>
      <c r="T897" s="10" t="s">
        <v>3936</v>
      </c>
      <c r="U897" s="10" t="s">
        <v>3121</v>
      </c>
      <c r="V897" s="20">
        <v>44342</v>
      </c>
      <c r="W897" s="10" t="s">
        <v>63</v>
      </c>
      <c r="Y897" s="11">
        <f>IFERROR(INT(Tabla1[[#This Row],[CANTIDAD UND FARMACEUTICAS]]/(VLOOKUP(Tabla1[[#This Row],[MEDICAMENTO]],TAB_REF!$K$3:$L$27,2,0))),"")</f>
        <v>0</v>
      </c>
      <c r="Z897" s="10" t="str">
        <f>IFERROR(VLOOKUP(Tabla1[[#This Row],[MEDICAMENTO]],TAB_REF!$B$3:$F$27,2,0), "")</f>
        <v xml:space="preserve">Morfina HCl </v>
      </c>
      <c r="AA897" s="10" t="str">
        <f>IFERROR(VLOOKUP(Tabla1[[#This Row],[MEDICAMENTO]],TAB_REF!$B$3:$F$27,3,0), "")</f>
        <v xml:space="preserve">10 mg/mL </v>
      </c>
      <c r="AB897" s="10" t="str">
        <f>IFERROR(VLOOKUP(Tabla1[[#This Row],[MEDICAMENTO]],TAB_REF!$B$3:$F$27,4,0), "")</f>
        <v>Solución Inyectable</v>
      </c>
      <c r="AC897" s="10" t="str">
        <f>IFERROR(VLOOKUP(Tabla1[[#This Row],[MEDICAMENTO]],TAB_REF!$B$3:$F$27,5,0), "")</f>
        <v>Caja x 10 unidades</v>
      </c>
      <c r="AD897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898" spans="2:30" x14ac:dyDescent="0.25">
      <c r="B898" s="10">
        <v>368</v>
      </c>
      <c r="C898" s="10" t="s">
        <v>3841</v>
      </c>
      <c r="D898" s="10" t="s">
        <v>3842</v>
      </c>
      <c r="E898" s="10" t="s">
        <v>3843</v>
      </c>
      <c r="F898" s="10" t="s">
        <v>3844</v>
      </c>
      <c r="G898" t="s">
        <v>3845</v>
      </c>
      <c r="H898" s="10" t="s">
        <v>3846</v>
      </c>
      <c r="I898" s="10" t="s">
        <v>2116</v>
      </c>
      <c r="J898" s="10" t="s">
        <v>1550</v>
      </c>
      <c r="K898" s="10" t="s">
        <v>3847</v>
      </c>
      <c r="L898" s="11">
        <v>202124101173982</v>
      </c>
      <c r="M898" s="20">
        <v>44378</v>
      </c>
      <c r="N898" s="20" t="str">
        <f>UPPER(TEXT(Tabla1[[#This Row],[FECHA RADICADO ENTRADA]],"MMM"))</f>
        <v>JUL</v>
      </c>
      <c r="O898" s="11">
        <v>202124111108571</v>
      </c>
      <c r="P898" s="20">
        <v>44390</v>
      </c>
      <c r="Q898" s="20" t="str">
        <f>UPPER(TEXT(Tabla1[[#This Row],[FECHA RADICADO ENTRADA]],"MMM"))</f>
        <v>JUL</v>
      </c>
      <c r="R898" s="10">
        <f t="shared" ref="R898:R899" si="34">_xlfn.DAYS(M898,P898)</f>
        <v>-12</v>
      </c>
      <c r="S898" s="10" t="s">
        <v>2145</v>
      </c>
      <c r="V898" s="20"/>
      <c r="Y898" s="11" t="str">
        <f>IFERROR(INT(Tabla1[[#This Row],[CANTIDAD UND FARMACEUTICAS]]/(VLOOKUP(Tabla1[[#This Row],[MEDICAMENTO]],TAB_REF!$K$3:$L$27,2,0))),"")</f>
        <v/>
      </c>
      <c r="Z898" s="10" t="str">
        <f>IFERROR(VLOOKUP(Tabla1[[#This Row],[MEDICAMENTO]],TAB_REF!$B$3:$F$27,2,0), "")</f>
        <v/>
      </c>
      <c r="AA898" s="10" t="str">
        <f>IFERROR(VLOOKUP(Tabla1[[#This Row],[MEDICAMENTO]],TAB_REF!$B$3:$F$27,3,0), "")</f>
        <v/>
      </c>
      <c r="AB898" s="10" t="str">
        <f>IFERROR(VLOOKUP(Tabla1[[#This Row],[MEDICAMENTO]],TAB_REF!$B$3:$F$27,4,0), "")</f>
        <v/>
      </c>
      <c r="AC898" s="10" t="str">
        <f>IFERROR(VLOOKUP(Tabla1[[#This Row],[MEDICAMENTO]],TAB_REF!$B$3:$F$27,5,0), "")</f>
        <v/>
      </c>
      <c r="AD898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899" spans="2:30" x14ac:dyDescent="0.25">
      <c r="B899" s="10">
        <v>369</v>
      </c>
      <c r="C899" s="10" t="s">
        <v>2710</v>
      </c>
      <c r="D899" s="10" t="s">
        <v>3731</v>
      </c>
      <c r="E899" s="10" t="s">
        <v>3659</v>
      </c>
      <c r="F899" s="10" t="s">
        <v>3660</v>
      </c>
      <c r="G899" s="10" t="s">
        <v>2712</v>
      </c>
      <c r="H899" s="10" t="s">
        <v>3662</v>
      </c>
      <c r="I899" s="10" t="s">
        <v>2128</v>
      </c>
      <c r="J899" s="10" t="s">
        <v>1942</v>
      </c>
      <c r="K899" s="10" t="s">
        <v>3557</v>
      </c>
      <c r="L899" s="11">
        <v>202124101174452</v>
      </c>
      <c r="M899" s="20">
        <v>44378</v>
      </c>
      <c r="N899" s="20" t="str">
        <f>UPPER(TEXT(Tabla1[[#This Row],[FECHA RADICADO ENTRADA]],"MMM"))</f>
        <v>JUL</v>
      </c>
      <c r="O899" s="11">
        <v>202124111108651</v>
      </c>
      <c r="P899" s="20">
        <v>44390</v>
      </c>
      <c r="Q899" s="20" t="str">
        <f>UPPER(TEXT(Tabla1[[#This Row],[FECHA RADICADO ENTRADA]],"MMM"))</f>
        <v>JUL</v>
      </c>
      <c r="R899" s="10">
        <f t="shared" si="34"/>
        <v>-12</v>
      </c>
      <c r="S899" s="10" t="s">
        <v>2145</v>
      </c>
      <c r="U899" s="10" t="s">
        <v>2435</v>
      </c>
      <c r="V899" s="20">
        <v>43381</v>
      </c>
      <c r="W899" s="10" t="s">
        <v>64</v>
      </c>
      <c r="X899" s="10">
        <v>3000</v>
      </c>
      <c r="Y899" s="11">
        <f>IFERROR(INT(Tabla1[[#This Row],[CANTIDAD UND FARMACEUTICAS]]/(VLOOKUP(Tabla1[[#This Row],[MEDICAMENTO]],TAB_REF!$K$3:$L$27,2,0))),"")</f>
        <v>300</v>
      </c>
      <c r="Z899" s="10" t="str">
        <f>IFERROR(VLOOKUP(Tabla1[[#This Row],[MEDICAMENTO]],TAB_REF!$B$3:$F$27,2,0), "")</f>
        <v xml:space="preserve">Morfina HCl </v>
      </c>
      <c r="AA899" s="10" t="str">
        <f>IFERROR(VLOOKUP(Tabla1[[#This Row],[MEDICAMENTO]],TAB_REF!$B$3:$F$27,3,0), "")</f>
        <v xml:space="preserve">10 (50mg/5mL) </v>
      </c>
      <c r="AB899" s="10" t="str">
        <f>IFERROR(VLOOKUP(Tabla1[[#This Row],[MEDICAMENTO]],TAB_REF!$B$3:$F$27,4,0), "")</f>
        <v>Solución Inyectable</v>
      </c>
      <c r="AC899" s="10" t="str">
        <f>IFERROR(VLOOKUP(Tabla1[[#This Row],[MEDICAMENTO]],TAB_REF!$B$3:$F$27,5,0), "")</f>
        <v>Caja x 5 unidades</v>
      </c>
      <c r="AD899" s="10" t="str">
        <f>IFERROR(VLOOKUP(Tabla1[[#This Row],[CANTIDAD UND COMERCIALES]],TAB_REF!$H$3:$I$1003,2,0)&amp;" ("&amp;Tabla1[[#This Row],[CANTIDAD UND COMERCIALES]]&amp;")"&amp;"_"&amp;Tabla1[[#This Row],[CANTIDAD]],"")</f>
        <v>Trescientos (300)_Caja x 5 unidades</v>
      </c>
    </row>
    <row r="900" spans="2:30" x14ac:dyDescent="0.25">
      <c r="B900" s="10">
        <v>369</v>
      </c>
      <c r="C900" s="10" t="s">
        <v>2710</v>
      </c>
      <c r="D900" s="10" t="s">
        <v>3731</v>
      </c>
      <c r="E900" s="10" t="s">
        <v>3659</v>
      </c>
      <c r="F900" s="10" t="s">
        <v>3660</v>
      </c>
      <c r="G900" s="10" t="s">
        <v>2712</v>
      </c>
      <c r="H900" s="10" t="s">
        <v>3662</v>
      </c>
      <c r="I900" s="10" t="s">
        <v>2128</v>
      </c>
      <c r="J900" s="10" t="s">
        <v>1942</v>
      </c>
      <c r="K900" s="10" t="s">
        <v>3557</v>
      </c>
      <c r="L900" s="11">
        <v>202124101174452</v>
      </c>
      <c r="M900" s="20">
        <v>44378</v>
      </c>
      <c r="N900" s="20" t="str">
        <f>UPPER(TEXT(Tabla1[[#This Row],[FECHA RADICADO ENTRADA]],"MMM"))</f>
        <v>JUL</v>
      </c>
      <c r="O900" s="11">
        <v>202124111108651</v>
      </c>
      <c r="P900" s="20">
        <v>44390</v>
      </c>
      <c r="Q900" s="20" t="str">
        <f>UPPER(TEXT(Tabla1[[#This Row],[FECHA RADICADO ENTRADA]],"MMM"))</f>
        <v>JUL</v>
      </c>
      <c r="R900" s="10">
        <f t="shared" ref="R900:R917" si="35">_xlfn.DAYS(M900,P900)</f>
        <v>-12</v>
      </c>
      <c r="S900" s="10" t="s">
        <v>2145</v>
      </c>
      <c r="U900" s="10" t="s">
        <v>2435</v>
      </c>
      <c r="V900" s="20">
        <v>43381</v>
      </c>
      <c r="W900" s="10" t="s">
        <v>63</v>
      </c>
      <c r="X900" s="10">
        <v>3000</v>
      </c>
      <c r="Y900" s="11">
        <f>IFERROR(INT(Tabla1[[#This Row],[CANTIDAD UND FARMACEUTICAS]]/(VLOOKUP(Tabla1[[#This Row],[MEDICAMENTO]],TAB_REF!$K$3:$L$27,2,0))),"")</f>
        <v>300</v>
      </c>
      <c r="Z900" s="10" t="str">
        <f>IFERROR(VLOOKUP(Tabla1[[#This Row],[MEDICAMENTO]],TAB_REF!$B$3:$F$27,2,0), "")</f>
        <v xml:space="preserve">Morfina HCl </v>
      </c>
      <c r="AA900" s="10" t="str">
        <f>IFERROR(VLOOKUP(Tabla1[[#This Row],[MEDICAMENTO]],TAB_REF!$B$3:$F$27,3,0), "")</f>
        <v xml:space="preserve">10 mg/mL </v>
      </c>
      <c r="AB900" s="10" t="str">
        <f>IFERROR(VLOOKUP(Tabla1[[#This Row],[MEDICAMENTO]],TAB_REF!$B$3:$F$27,4,0), "")</f>
        <v>Solución Inyectable</v>
      </c>
      <c r="AC900" s="10" t="str">
        <f>IFERROR(VLOOKUP(Tabla1[[#This Row],[MEDICAMENTO]],TAB_REF!$B$3:$F$27,5,0), "")</f>
        <v>Caja x 10 unidades</v>
      </c>
      <c r="AD900" s="10" t="str">
        <f>IFERROR(VLOOKUP(Tabla1[[#This Row],[CANTIDAD UND COMERCIALES]],TAB_REF!$H$3:$I$1003,2,0)&amp;" ("&amp;Tabla1[[#This Row],[CANTIDAD UND COMERCIALES]]&amp;")"&amp;"_"&amp;Tabla1[[#This Row],[CANTIDAD]],"")</f>
        <v>Trescientos (300)_Caja x 10 unidades</v>
      </c>
    </row>
    <row r="901" spans="2:30" x14ac:dyDescent="0.25">
      <c r="B901" s="10">
        <v>369</v>
      </c>
      <c r="C901" s="10" t="s">
        <v>2710</v>
      </c>
      <c r="D901" s="10" t="s">
        <v>3731</v>
      </c>
      <c r="E901" s="10" t="s">
        <v>3659</v>
      </c>
      <c r="F901" s="10" t="s">
        <v>3660</v>
      </c>
      <c r="G901" s="10" t="s">
        <v>2712</v>
      </c>
      <c r="H901" s="10" t="s">
        <v>3662</v>
      </c>
      <c r="I901" s="10" t="s">
        <v>2128</v>
      </c>
      <c r="J901" s="10" t="s">
        <v>1942</v>
      </c>
      <c r="K901" s="10" t="s">
        <v>3557</v>
      </c>
      <c r="L901" s="11">
        <v>202124101174452</v>
      </c>
      <c r="M901" s="20">
        <v>44378</v>
      </c>
      <c r="N901" s="20" t="str">
        <f>UPPER(TEXT(Tabla1[[#This Row],[FECHA RADICADO ENTRADA]],"MMM"))</f>
        <v>JUL</v>
      </c>
      <c r="O901" s="11">
        <v>202124111108651</v>
      </c>
      <c r="P901" s="20">
        <v>44390</v>
      </c>
      <c r="Q901" s="20" t="str">
        <f>UPPER(TEXT(Tabla1[[#This Row],[FECHA RADICADO ENTRADA]],"MMM"))</f>
        <v>JUL</v>
      </c>
      <c r="R901" s="10">
        <f t="shared" si="35"/>
        <v>-12</v>
      </c>
      <c r="S901" s="10" t="s">
        <v>2145</v>
      </c>
      <c r="U901" s="10" t="s">
        <v>2435</v>
      </c>
      <c r="V901" s="20">
        <v>43381</v>
      </c>
      <c r="W901" s="10" t="s">
        <v>60</v>
      </c>
      <c r="X901" s="10">
        <v>20</v>
      </c>
      <c r="Y901" s="11">
        <f>IFERROR(INT(Tabla1[[#This Row],[CANTIDAD UND FARMACEUTICAS]]/(VLOOKUP(Tabla1[[#This Row],[MEDICAMENTO]],TAB_REF!$K$3:$L$27,2,0))),"")</f>
        <v>20</v>
      </c>
      <c r="Z901" s="10" t="str">
        <f>IFERROR(VLOOKUP(Tabla1[[#This Row],[MEDICAMENTO]],TAB_REF!$B$3:$F$27,2,0), "")</f>
        <v xml:space="preserve">Morfina HCl </v>
      </c>
      <c r="AA901" s="10" t="str">
        <f>IFERROR(VLOOKUP(Tabla1[[#This Row],[MEDICAMENTO]],TAB_REF!$B$3:$F$27,3,0), "")</f>
        <v xml:space="preserve">3%. </v>
      </c>
      <c r="AB901" s="10" t="str">
        <f>IFERROR(VLOOKUP(Tabla1[[#This Row],[MEDICAMENTO]],TAB_REF!$B$3:$F$27,4,0), "")</f>
        <v>Solución Oral</v>
      </c>
      <c r="AC901" s="10" t="str">
        <f>IFERROR(VLOOKUP(Tabla1[[#This Row],[MEDICAMENTO]],TAB_REF!$B$3:$F$27,5,0), "")</f>
        <v>Frasco x 30 mL</v>
      </c>
      <c r="AD901" s="10" t="str">
        <f>IFERROR(VLOOKUP(Tabla1[[#This Row],[CANTIDAD UND COMERCIALES]],TAB_REF!$H$3:$I$1003,2,0)&amp;" ("&amp;Tabla1[[#This Row],[CANTIDAD UND COMERCIALES]]&amp;")"&amp;"_"&amp;Tabla1[[#This Row],[CANTIDAD]],"")</f>
        <v>Veinte (20)_Frasco x 30 mL</v>
      </c>
    </row>
    <row r="902" spans="2:30" x14ac:dyDescent="0.25">
      <c r="B902" s="10">
        <v>369</v>
      </c>
      <c r="C902" s="10" t="s">
        <v>2710</v>
      </c>
      <c r="D902" s="10" t="s">
        <v>3731</v>
      </c>
      <c r="E902" s="10" t="s">
        <v>3659</v>
      </c>
      <c r="F902" s="10" t="s">
        <v>3660</v>
      </c>
      <c r="G902" s="10" t="s">
        <v>2712</v>
      </c>
      <c r="H902" s="10" t="s">
        <v>3662</v>
      </c>
      <c r="I902" s="10" t="s">
        <v>2128</v>
      </c>
      <c r="J902" s="10" t="s">
        <v>1942</v>
      </c>
      <c r="K902" s="10" t="s">
        <v>3557</v>
      </c>
      <c r="L902" s="11">
        <v>202124101174452</v>
      </c>
      <c r="M902" s="20">
        <v>44378</v>
      </c>
      <c r="N902" s="20" t="str">
        <f>UPPER(TEXT(Tabla1[[#This Row],[FECHA RADICADO ENTRADA]],"MMM"))</f>
        <v>JUL</v>
      </c>
      <c r="O902" s="11">
        <v>202124111108651</v>
      </c>
      <c r="P902" s="20">
        <v>44390</v>
      </c>
      <c r="Q902" s="20" t="str">
        <f>UPPER(TEXT(Tabla1[[#This Row],[FECHA RADICADO ENTRADA]],"MMM"))</f>
        <v>JUL</v>
      </c>
      <c r="R902" s="10">
        <f t="shared" si="35"/>
        <v>-12</v>
      </c>
      <c r="S902" s="10" t="s">
        <v>2145</v>
      </c>
      <c r="U902" s="10" t="s">
        <v>2435</v>
      </c>
      <c r="V902" s="20">
        <v>43381</v>
      </c>
      <c r="W902" s="10" t="s">
        <v>45</v>
      </c>
      <c r="X902" s="10">
        <v>4000</v>
      </c>
      <c r="Y902" s="11">
        <f>IFERROR(INT(Tabla1[[#This Row],[CANTIDAD UND FARMACEUTICAS]]/(VLOOKUP(Tabla1[[#This Row],[MEDICAMENTO]],TAB_REF!$K$3:$L$27,2,0))),"")</f>
        <v>133</v>
      </c>
      <c r="Z902" s="10" t="str">
        <f>IFERROR(VLOOKUP(Tabla1[[#This Row],[MEDICAMENTO]],TAB_REF!$B$3:$F$27,2,0), "")</f>
        <v xml:space="preserve">Metadona HCl </v>
      </c>
      <c r="AA902" s="10" t="str">
        <f>IFERROR(VLOOKUP(Tabla1[[#This Row],[MEDICAMENTO]],TAB_REF!$B$3:$F$27,3,0), "")</f>
        <v xml:space="preserve">10 mg </v>
      </c>
      <c r="AB902" s="10" t="str">
        <f>IFERROR(VLOOKUP(Tabla1[[#This Row],[MEDICAMENTO]],TAB_REF!$B$3:$F$27,4,0), "")</f>
        <v>Tabletas NACIONAL</v>
      </c>
      <c r="AC902" s="10" t="str">
        <f>IFERROR(VLOOKUP(Tabla1[[#This Row],[MEDICAMENTO]],TAB_REF!$B$3:$F$27,5,0), "")</f>
        <v>Caja x 30 unidades</v>
      </c>
      <c r="AD902" s="10" t="str">
        <f>IFERROR(VLOOKUP(Tabla1[[#This Row],[CANTIDAD UND COMERCIALES]],TAB_REF!$H$3:$I$1003,2,0)&amp;" ("&amp;Tabla1[[#This Row],[CANTIDAD UND COMERCIALES]]&amp;")"&amp;"_"&amp;Tabla1[[#This Row],[CANTIDAD]],"")</f>
        <v>Ciento Treinta Y Tres (133)_Caja x 30 unidades</v>
      </c>
    </row>
    <row r="903" spans="2:30" x14ac:dyDescent="0.25">
      <c r="B903" s="10">
        <v>370</v>
      </c>
      <c r="C903" s="10" t="s">
        <v>2149</v>
      </c>
      <c r="D903" s="10" t="s">
        <v>3495</v>
      </c>
      <c r="E903" s="10" t="s">
        <v>3718</v>
      </c>
      <c r="F903" s="10" t="s">
        <v>3719</v>
      </c>
      <c r="G903" s="10" t="s">
        <v>2193</v>
      </c>
      <c r="H903" s="10" t="s">
        <v>3762</v>
      </c>
      <c r="I903" s="10" t="s">
        <v>2116</v>
      </c>
      <c r="J903" s="10" t="s">
        <v>1550</v>
      </c>
      <c r="K903" s="10" t="s">
        <v>3763</v>
      </c>
      <c r="L903" s="11">
        <v>202124101175562</v>
      </c>
      <c r="M903" s="20">
        <v>44378</v>
      </c>
      <c r="N903" s="20" t="str">
        <f>UPPER(TEXT(Tabla1[[#This Row],[FECHA RADICADO ENTRADA]],"MMM"))</f>
        <v>JUL</v>
      </c>
      <c r="O903" s="11">
        <v>202124111108671</v>
      </c>
      <c r="P903" s="20">
        <v>44390</v>
      </c>
      <c r="Q903" s="20" t="str">
        <f>UPPER(TEXT(Tabla1[[#This Row],[FECHA RADICADO ENTRADA]],"MMM"))</f>
        <v>JUL</v>
      </c>
      <c r="R903" s="10">
        <f t="shared" si="35"/>
        <v>-12</v>
      </c>
      <c r="S903" s="10" t="s">
        <v>2145</v>
      </c>
      <c r="U903" s="10" t="s">
        <v>3764</v>
      </c>
      <c r="V903" s="20">
        <v>43829</v>
      </c>
      <c r="W903" s="10" t="s">
        <v>63</v>
      </c>
      <c r="X903" s="10">
        <v>1500</v>
      </c>
      <c r="Y903" s="11">
        <f>IFERROR(INT(Tabla1[[#This Row],[CANTIDAD UND FARMACEUTICAS]]/(VLOOKUP(Tabla1[[#This Row],[MEDICAMENTO]],TAB_REF!$K$3:$L$27,2,0))),"")</f>
        <v>150</v>
      </c>
      <c r="Z903" s="10" t="str">
        <f>IFERROR(VLOOKUP(Tabla1[[#This Row],[MEDICAMENTO]],TAB_REF!$B$3:$F$27,2,0), "")</f>
        <v xml:space="preserve">Morfina HCl </v>
      </c>
      <c r="AA903" s="10" t="str">
        <f>IFERROR(VLOOKUP(Tabla1[[#This Row],[MEDICAMENTO]],TAB_REF!$B$3:$F$27,3,0), "")</f>
        <v xml:space="preserve">10 mg/mL </v>
      </c>
      <c r="AB903" s="10" t="str">
        <f>IFERROR(VLOOKUP(Tabla1[[#This Row],[MEDICAMENTO]],TAB_REF!$B$3:$F$27,4,0), "")</f>
        <v>Solución Inyectable</v>
      </c>
      <c r="AC903" s="10" t="str">
        <f>IFERROR(VLOOKUP(Tabla1[[#This Row],[MEDICAMENTO]],TAB_REF!$B$3:$F$27,5,0), "")</f>
        <v>Caja x 10 unidades</v>
      </c>
      <c r="AD903" s="10" t="str">
        <f>IFERROR(VLOOKUP(Tabla1[[#This Row],[CANTIDAD UND COMERCIALES]],TAB_REF!$H$3:$I$1003,2,0)&amp;" ("&amp;Tabla1[[#This Row],[CANTIDAD UND COMERCIALES]]&amp;")"&amp;"_"&amp;Tabla1[[#This Row],[CANTIDAD]],"")</f>
        <v>Ciento Cincuenta (150)_Caja x 10 unidades</v>
      </c>
    </row>
    <row r="904" spans="2:30" x14ac:dyDescent="0.25">
      <c r="B904" s="10">
        <v>370</v>
      </c>
      <c r="C904" s="10" t="s">
        <v>2149</v>
      </c>
      <c r="D904" s="10" t="s">
        <v>3495</v>
      </c>
      <c r="E904" s="10" t="s">
        <v>3718</v>
      </c>
      <c r="F904" s="10" t="s">
        <v>3719</v>
      </c>
      <c r="G904" s="10" t="s">
        <v>2193</v>
      </c>
      <c r="H904" s="10" t="s">
        <v>3762</v>
      </c>
      <c r="I904" s="10" t="s">
        <v>2116</v>
      </c>
      <c r="J904" s="10" t="s">
        <v>1550</v>
      </c>
      <c r="K904" s="10" t="s">
        <v>3763</v>
      </c>
      <c r="L904" s="11">
        <v>202124101175562</v>
      </c>
      <c r="M904" s="20">
        <v>44378</v>
      </c>
      <c r="N904" s="20" t="str">
        <f>UPPER(TEXT(Tabla1[[#This Row],[FECHA RADICADO ENTRADA]],"MMM"))</f>
        <v>JUL</v>
      </c>
      <c r="O904" s="11">
        <v>202124111108671</v>
      </c>
      <c r="P904" s="20">
        <v>44390</v>
      </c>
      <c r="Q904" s="20" t="str">
        <f>UPPER(TEXT(Tabla1[[#This Row],[FECHA RADICADO ENTRADA]],"MMM"))</f>
        <v>JUL</v>
      </c>
      <c r="R904" s="10">
        <f t="shared" si="35"/>
        <v>-12</v>
      </c>
      <c r="S904" s="10" t="s">
        <v>2145</v>
      </c>
      <c r="U904" s="10" t="s">
        <v>3764</v>
      </c>
      <c r="V904" s="20">
        <v>43829</v>
      </c>
      <c r="W904" s="10" t="s">
        <v>38</v>
      </c>
      <c r="X904" s="10">
        <v>3000</v>
      </c>
      <c r="Y904" s="11">
        <f>IFERROR(INT(Tabla1[[#This Row],[CANTIDAD UND FARMACEUTICAS]]/(VLOOKUP(Tabla1[[#This Row],[MEDICAMENTO]],TAB_REF!$K$3:$L$27,2,0))),"")</f>
        <v>150</v>
      </c>
      <c r="Z904" s="26" t="str">
        <f>IFERROR(VLOOKUP(Tabla1[[#This Row],[MEDICAMENTO]],TAB_REF!$B$3:$F$27,2,0), "")</f>
        <v xml:space="preserve">Hidromorfona HCl </v>
      </c>
      <c r="AA904" s="26" t="str">
        <f>IFERROR(VLOOKUP(Tabla1[[#This Row],[MEDICAMENTO]],TAB_REF!$B$3:$F$27,3,0), "")</f>
        <v xml:space="preserve">2,5 mg </v>
      </c>
      <c r="AB904" s="26" t="str">
        <f>IFERROR(VLOOKUP(Tabla1[[#This Row],[MEDICAMENTO]],TAB_REF!$B$3:$F$27,4,0), "")</f>
        <v>Tabletas</v>
      </c>
      <c r="AC904" s="26" t="str">
        <f>IFERROR(VLOOKUP(Tabla1[[#This Row],[MEDICAMENTO]],TAB_REF!$B$3:$F$27,5,0), "")</f>
        <v>Caja x 20 unidades</v>
      </c>
      <c r="AD904" s="26" t="str">
        <f>IFERROR(VLOOKUP(Tabla1[[#This Row],[CANTIDAD UND COMERCIALES]],TAB_REF!$H$3:$I$1003,2,0)&amp;" ("&amp;Tabla1[[#This Row],[CANTIDAD UND COMERCIALES]]&amp;")"&amp;"_"&amp;Tabla1[[#This Row],[CANTIDAD]],"")</f>
        <v>Ciento Cincuenta (150)_Caja x 20 unidades</v>
      </c>
    </row>
    <row r="905" spans="2:30" x14ac:dyDescent="0.25">
      <c r="B905" s="10">
        <v>371</v>
      </c>
      <c r="C905" s="10" t="s">
        <v>2318</v>
      </c>
      <c r="D905" s="10" t="s">
        <v>2175</v>
      </c>
      <c r="E905" s="10" t="s">
        <v>2319</v>
      </c>
      <c r="F905" s="10" t="s">
        <v>2320</v>
      </c>
      <c r="G905" s="10" t="s">
        <v>2321</v>
      </c>
      <c r="H905" s="10" t="s">
        <v>2322</v>
      </c>
      <c r="I905" s="10" t="s">
        <v>2107</v>
      </c>
      <c r="J905" s="10" t="s">
        <v>1212</v>
      </c>
      <c r="K905" s="10" t="s">
        <v>3848</v>
      </c>
      <c r="L905" s="11">
        <v>202124101179562</v>
      </c>
      <c r="M905" s="20">
        <v>44379</v>
      </c>
      <c r="N905" s="20" t="str">
        <f>UPPER(TEXT(Tabla1[[#This Row],[FECHA RADICADO ENTRADA]],"MMM"))</f>
        <v>JUL</v>
      </c>
      <c r="O905" s="11">
        <v>202124111108721</v>
      </c>
      <c r="P905" s="20">
        <v>44390</v>
      </c>
      <c r="Q905" s="20" t="str">
        <f>UPPER(TEXT(Tabla1[[#This Row],[FECHA RADICADO ENTRADA]],"MMM"))</f>
        <v>JUL</v>
      </c>
      <c r="R905" s="10">
        <f t="shared" si="35"/>
        <v>-11</v>
      </c>
      <c r="S905" s="10" t="s">
        <v>2154</v>
      </c>
      <c r="U905" s="10" t="s">
        <v>2323</v>
      </c>
      <c r="V905" s="20">
        <v>44186</v>
      </c>
      <c r="W905" s="10" t="s">
        <v>60</v>
      </c>
      <c r="X905" s="10">
        <v>2</v>
      </c>
      <c r="Y905" s="11">
        <f>IFERROR(INT(Tabla1[[#This Row],[CANTIDAD UND FARMACEUTICAS]]/(VLOOKUP(Tabla1[[#This Row],[MEDICAMENTO]],TAB_REF!$K$3:$L$27,2,0))),"")</f>
        <v>2</v>
      </c>
      <c r="Z905" s="26" t="str">
        <f>IFERROR(VLOOKUP(Tabla1[[#This Row],[MEDICAMENTO]],TAB_REF!$B$3:$F$27,2,0), "")</f>
        <v xml:space="preserve">Morfina HCl </v>
      </c>
      <c r="AA905" s="26" t="str">
        <f>IFERROR(VLOOKUP(Tabla1[[#This Row],[MEDICAMENTO]],TAB_REF!$B$3:$F$27,3,0), "")</f>
        <v xml:space="preserve">3%. </v>
      </c>
      <c r="AB905" s="26" t="str">
        <f>IFERROR(VLOOKUP(Tabla1[[#This Row],[MEDICAMENTO]],TAB_REF!$B$3:$F$27,4,0), "")</f>
        <v>Solución Oral</v>
      </c>
      <c r="AC905" s="26" t="str">
        <f>IFERROR(VLOOKUP(Tabla1[[#This Row],[MEDICAMENTO]],TAB_REF!$B$3:$F$27,5,0), "")</f>
        <v>Frasco x 30 mL</v>
      </c>
      <c r="AD905" s="26" t="str">
        <f>IFERROR(VLOOKUP(Tabla1[[#This Row],[CANTIDAD UND COMERCIALES]],TAB_REF!$H$3:$I$1003,2,0)&amp;" ("&amp;Tabla1[[#This Row],[CANTIDAD UND COMERCIALES]]&amp;")"&amp;"_"&amp;Tabla1[[#This Row],[CANTIDAD]],"")</f>
        <v>Dos (2)_Frasco x 30 mL</v>
      </c>
    </row>
    <row r="906" spans="2:30" x14ac:dyDescent="0.25">
      <c r="B906" s="10">
        <v>372</v>
      </c>
      <c r="C906" s="10" t="s">
        <v>3182</v>
      </c>
      <c r="D906" s="10" t="s">
        <v>2312</v>
      </c>
      <c r="E906" s="10" t="s">
        <v>2313</v>
      </c>
      <c r="F906" s="10" t="s">
        <v>2314</v>
      </c>
      <c r="G906" s="10" t="s">
        <v>2315</v>
      </c>
      <c r="H906" s="10" t="s">
        <v>3849</v>
      </c>
      <c r="I906" s="10" t="s">
        <v>2122</v>
      </c>
      <c r="J906" s="10" t="s">
        <v>1742</v>
      </c>
      <c r="K906" s="10" t="s">
        <v>3850</v>
      </c>
      <c r="L906" s="11">
        <v>202124101199992</v>
      </c>
      <c r="M906" s="20">
        <v>44383</v>
      </c>
      <c r="N906" s="20" t="str">
        <f>UPPER(TEXT(Tabla1[[#This Row],[FECHA RADICADO ENTRADA]],"MMM"))</f>
        <v>JUL</v>
      </c>
      <c r="O906" s="11">
        <v>202124111108781</v>
      </c>
      <c r="P906" s="20">
        <v>44390</v>
      </c>
      <c r="Q906" s="20" t="str">
        <f>UPPER(TEXT(Tabla1[[#This Row],[FECHA RADICADO ENTRADA]],"MMM"))</f>
        <v>JUL</v>
      </c>
      <c r="R906" s="10">
        <f t="shared" si="35"/>
        <v>-7</v>
      </c>
      <c r="S906" s="10" t="s">
        <v>2154</v>
      </c>
      <c r="U906" s="10" t="s">
        <v>2317</v>
      </c>
      <c r="V906" s="20">
        <v>43081</v>
      </c>
      <c r="W906" s="10" t="s">
        <v>48</v>
      </c>
      <c r="X906" s="10">
        <v>1200</v>
      </c>
      <c r="Y906" s="11">
        <f>IFERROR(INT(Tabla1[[#This Row],[CANTIDAD UND FARMACEUTICAS]]/(VLOOKUP(Tabla1[[#This Row],[MEDICAMENTO]],TAB_REF!$K$3:$L$27,2,0))),"")</f>
        <v>40</v>
      </c>
      <c r="Z906" s="10" t="str">
        <f>IFERROR(VLOOKUP(Tabla1[[#This Row],[MEDICAMENTO]],TAB_REF!$B$3:$F$27,2,0), "")</f>
        <v xml:space="preserve">Metilfenidato HCl </v>
      </c>
      <c r="AA906" s="10" t="str">
        <f>IFERROR(VLOOKUP(Tabla1[[#This Row],[MEDICAMENTO]],TAB_REF!$B$3:$F$27,3,0), "")</f>
        <v xml:space="preserve">10 mg </v>
      </c>
      <c r="AB906" s="10" t="str">
        <f>IFERROR(VLOOKUP(Tabla1[[#This Row],[MEDICAMENTO]],TAB_REF!$B$3:$F$27,4,0), "")</f>
        <v>Comprimidos</v>
      </c>
      <c r="AC906" s="10" t="str">
        <f>IFERROR(VLOOKUP(Tabla1[[#This Row],[MEDICAMENTO]],TAB_REF!$B$3:$F$27,5,0), "")</f>
        <v>Caja x 30 unidades</v>
      </c>
      <c r="AD906" s="10" t="str">
        <f>IFERROR(VLOOKUP(Tabla1[[#This Row],[CANTIDAD UND COMERCIALES]],TAB_REF!$H$3:$I$1003,2,0)&amp;" ("&amp;Tabla1[[#This Row],[CANTIDAD UND COMERCIALES]]&amp;")"&amp;"_"&amp;Tabla1[[#This Row],[CANTIDAD]],"")</f>
        <v>Cuarenta (40)_Caja x 30 unidades</v>
      </c>
    </row>
    <row r="907" spans="2:30" x14ac:dyDescent="0.25">
      <c r="B907" s="10">
        <v>372</v>
      </c>
      <c r="C907" s="10" t="s">
        <v>3182</v>
      </c>
      <c r="D907" s="10" t="s">
        <v>2312</v>
      </c>
      <c r="E907" s="10" t="s">
        <v>2313</v>
      </c>
      <c r="F907" s="10" t="s">
        <v>2314</v>
      </c>
      <c r="G907" s="10" t="s">
        <v>2315</v>
      </c>
      <c r="H907" s="10" t="s">
        <v>3849</v>
      </c>
      <c r="I907" s="10" t="s">
        <v>2122</v>
      </c>
      <c r="J907" s="10" t="s">
        <v>1742</v>
      </c>
      <c r="K907" s="10" t="s">
        <v>3850</v>
      </c>
      <c r="L907" s="11">
        <v>202124101199992</v>
      </c>
      <c r="M907" s="20">
        <v>44383</v>
      </c>
      <c r="N907" s="20" t="str">
        <f>UPPER(TEXT(Tabla1[[#This Row],[FECHA RADICADO ENTRADA]],"MMM"))</f>
        <v>JUL</v>
      </c>
      <c r="O907" s="11">
        <v>202124111108781</v>
      </c>
      <c r="P907" s="20">
        <v>44390</v>
      </c>
      <c r="Q907" s="20" t="str">
        <f>UPPER(TEXT(Tabla1[[#This Row],[FECHA RADICADO ENTRADA]],"MMM"))</f>
        <v>JUL</v>
      </c>
      <c r="R907" s="10">
        <f t="shared" si="35"/>
        <v>-7</v>
      </c>
      <c r="S907" s="10" t="s">
        <v>2154</v>
      </c>
      <c r="U907" s="10" t="s">
        <v>2317</v>
      </c>
      <c r="V907" s="20">
        <v>43081</v>
      </c>
      <c r="W907" s="10" t="s">
        <v>38</v>
      </c>
      <c r="X907" s="10">
        <v>720</v>
      </c>
      <c r="Y907" s="11">
        <f>IFERROR(INT(Tabla1[[#This Row],[CANTIDAD UND FARMACEUTICAS]]/(VLOOKUP(Tabla1[[#This Row],[MEDICAMENTO]],TAB_REF!$K$3:$L$27,2,0))),"")</f>
        <v>36</v>
      </c>
      <c r="Z907" s="10" t="str">
        <f>IFERROR(VLOOKUP(Tabla1[[#This Row],[MEDICAMENTO]],TAB_REF!$B$3:$F$27,2,0), "")</f>
        <v xml:space="preserve">Hidromorfona HCl </v>
      </c>
      <c r="AA907" s="10" t="str">
        <f>IFERROR(VLOOKUP(Tabla1[[#This Row],[MEDICAMENTO]],TAB_REF!$B$3:$F$27,3,0), "")</f>
        <v xml:space="preserve">2,5 mg </v>
      </c>
      <c r="AB907" s="10" t="str">
        <f>IFERROR(VLOOKUP(Tabla1[[#This Row],[MEDICAMENTO]],TAB_REF!$B$3:$F$27,4,0), "")</f>
        <v>Tabletas</v>
      </c>
      <c r="AC907" s="10" t="str">
        <f>IFERROR(VLOOKUP(Tabla1[[#This Row],[MEDICAMENTO]],TAB_REF!$B$3:$F$27,5,0), "")</f>
        <v>Caja x 20 unidades</v>
      </c>
      <c r="AD907" s="10" t="str">
        <f>IFERROR(VLOOKUP(Tabla1[[#This Row],[CANTIDAD UND COMERCIALES]],TAB_REF!$H$3:$I$1003,2,0)&amp;" ("&amp;Tabla1[[#This Row],[CANTIDAD UND COMERCIALES]]&amp;")"&amp;"_"&amp;Tabla1[[#This Row],[CANTIDAD]],"")</f>
        <v>Treinta Y Seis (36)_Caja x 20 unidades</v>
      </c>
    </row>
    <row r="908" spans="2:30" x14ac:dyDescent="0.25">
      <c r="B908" s="10">
        <v>373</v>
      </c>
      <c r="C908" s="10" t="s">
        <v>2476</v>
      </c>
      <c r="D908" s="10" t="s">
        <v>2175</v>
      </c>
      <c r="E908" s="10" t="s">
        <v>3691</v>
      </c>
      <c r="F908" s="10" t="s">
        <v>3692</v>
      </c>
      <c r="G908" s="10" t="s">
        <v>2480</v>
      </c>
      <c r="H908" s="10" t="s">
        <v>3693</v>
      </c>
      <c r="I908" s="10" t="s">
        <v>2116</v>
      </c>
      <c r="J908" s="10" t="s">
        <v>1550</v>
      </c>
      <c r="K908" s="10" t="s">
        <v>3851</v>
      </c>
      <c r="L908" s="11">
        <v>202124101175612</v>
      </c>
      <c r="M908" s="20">
        <v>44384</v>
      </c>
      <c r="N908" s="20" t="str">
        <f>UPPER(TEXT(Tabla1[[#This Row],[FECHA RADICADO ENTRADA]],"MMM"))</f>
        <v>JUL</v>
      </c>
      <c r="O908" s="11">
        <v>202124111108701</v>
      </c>
      <c r="P908" s="20">
        <v>44390</v>
      </c>
      <c r="Q908" s="20" t="str">
        <f>UPPER(TEXT(Tabla1[[#This Row],[FECHA RADICADO ENTRADA]],"MMM"))</f>
        <v>JUL</v>
      </c>
      <c r="R908" s="10">
        <f t="shared" si="35"/>
        <v>-6</v>
      </c>
      <c r="T908" s="10" t="s">
        <v>3852</v>
      </c>
      <c r="V908" s="20"/>
      <c r="Y908" s="11" t="str">
        <f>IFERROR(INT(Tabla1[[#This Row],[CANTIDAD UND FARMACEUTICAS]]/(VLOOKUP(Tabla1[[#This Row],[MEDICAMENTO]],TAB_REF!$K$3:$L$27,2,0))),"")</f>
        <v/>
      </c>
      <c r="Z908" s="10" t="str">
        <f>IFERROR(VLOOKUP(Tabla1[[#This Row],[MEDICAMENTO]],TAB_REF!$B$3:$F$27,2,0), "")</f>
        <v/>
      </c>
      <c r="AA908" s="10" t="str">
        <f>IFERROR(VLOOKUP(Tabla1[[#This Row],[MEDICAMENTO]],TAB_REF!$B$3:$F$27,3,0), "")</f>
        <v/>
      </c>
      <c r="AB908" s="10" t="str">
        <f>IFERROR(VLOOKUP(Tabla1[[#This Row],[MEDICAMENTO]],TAB_REF!$B$3:$F$27,4,0), "")</f>
        <v/>
      </c>
      <c r="AC908" s="10" t="str">
        <f>IFERROR(VLOOKUP(Tabla1[[#This Row],[MEDICAMENTO]],TAB_REF!$B$3:$F$27,5,0), "")</f>
        <v/>
      </c>
      <c r="AD908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909" spans="2:30" x14ac:dyDescent="0.25">
      <c r="B909" s="10">
        <v>374</v>
      </c>
      <c r="C909" s="10" t="s">
        <v>2764</v>
      </c>
      <c r="D909" s="10" t="s">
        <v>2175</v>
      </c>
      <c r="E909" s="10" t="s">
        <v>2765</v>
      </c>
      <c r="F909" s="10" t="s">
        <v>2766</v>
      </c>
      <c r="G909" s="10" t="s">
        <v>2737</v>
      </c>
      <c r="H909" s="10" t="s">
        <v>2738</v>
      </c>
      <c r="I909" s="10" t="s">
        <v>2113</v>
      </c>
      <c r="J909" s="10" t="s">
        <v>1442</v>
      </c>
      <c r="K909" s="10" t="s">
        <v>3464</v>
      </c>
      <c r="L909" s="11">
        <v>202124101210142</v>
      </c>
      <c r="M909" s="20">
        <v>44384</v>
      </c>
      <c r="N909" s="20" t="str">
        <f>UPPER(TEXT(Tabla1[[#This Row],[FECHA RADICADO ENTRADA]],"MMM"))</f>
        <v>JUL</v>
      </c>
      <c r="O909" s="11">
        <v>202124111108791</v>
      </c>
      <c r="P909" s="20">
        <v>44390</v>
      </c>
      <c r="Q909" s="20" t="str">
        <f>UPPER(TEXT(Tabla1[[#This Row],[FECHA RADICADO ENTRADA]],"MMM"))</f>
        <v>JUL</v>
      </c>
      <c r="R909" s="10">
        <f t="shared" ref="R909:R915" si="36">_xlfn.DAYS(M909,P909)</f>
        <v>-6</v>
      </c>
      <c r="S909" s="10" t="s">
        <v>2154</v>
      </c>
      <c r="U909" s="10" t="s">
        <v>2767</v>
      </c>
      <c r="V909" s="20">
        <v>44223</v>
      </c>
      <c r="W909" s="10" t="s">
        <v>34</v>
      </c>
      <c r="X909" s="10">
        <v>100</v>
      </c>
      <c r="Y909" s="11">
        <f>IFERROR(INT(Tabla1[[#This Row],[CANTIDAD UND FARMACEUTICAS]]/(VLOOKUP(Tabla1[[#This Row],[MEDICAMENTO]],TAB_REF!$K$3:$L$27,2,0))),"")</f>
        <v>10</v>
      </c>
      <c r="Z909" s="10" t="str">
        <f>IFERROR(VLOOKUP(Tabla1[[#This Row],[MEDICAMENTO]],TAB_REF!$B$3:$F$27,2,0), "")</f>
        <v xml:space="preserve">Fenobarbital Sódico </v>
      </c>
      <c r="AA909" s="10" t="str">
        <f>IFERROR(VLOOKUP(Tabla1[[#This Row],[MEDICAMENTO]],TAB_REF!$B$3:$F$27,3,0), "")</f>
        <v xml:space="preserve">200 mg/Ml </v>
      </c>
      <c r="AB909" s="10" t="str">
        <f>IFERROR(VLOOKUP(Tabla1[[#This Row],[MEDICAMENTO]],TAB_REF!$B$3:$F$27,4,0), "")</f>
        <v>Solución Inyectable</v>
      </c>
      <c r="AC909" s="10" t="str">
        <f>IFERROR(VLOOKUP(Tabla1[[#This Row],[MEDICAMENTO]],TAB_REF!$B$3:$F$27,5,0), "")</f>
        <v>Caja x 10 unidades</v>
      </c>
      <c r="AD909" s="10" t="str">
        <f>IFERROR(VLOOKUP(Tabla1[[#This Row],[CANTIDAD UND COMERCIALES]],TAB_REF!$H$3:$I$1003,2,0)&amp;" ("&amp;Tabla1[[#This Row],[CANTIDAD UND COMERCIALES]]&amp;")"&amp;"_"&amp;Tabla1[[#This Row],[CANTIDAD]],"")</f>
        <v>Diez (10)_Caja x 10 unidades</v>
      </c>
    </row>
    <row r="910" spans="2:30" x14ac:dyDescent="0.25">
      <c r="B910" s="10">
        <v>374</v>
      </c>
      <c r="C910" s="10" t="s">
        <v>2764</v>
      </c>
      <c r="D910" s="10" t="s">
        <v>2175</v>
      </c>
      <c r="E910" s="10" t="s">
        <v>2765</v>
      </c>
      <c r="F910" s="10" t="s">
        <v>2766</v>
      </c>
      <c r="G910" s="10" t="s">
        <v>2737</v>
      </c>
      <c r="H910" s="10" t="s">
        <v>2738</v>
      </c>
      <c r="I910" s="10" t="s">
        <v>2113</v>
      </c>
      <c r="J910" s="10" t="s">
        <v>1442</v>
      </c>
      <c r="K910" s="10" t="s">
        <v>3464</v>
      </c>
      <c r="L910" s="11">
        <v>202124101210142</v>
      </c>
      <c r="M910" s="20">
        <v>44384</v>
      </c>
      <c r="N910" s="20" t="str">
        <f>UPPER(TEXT(Tabla1[[#This Row],[FECHA RADICADO ENTRADA]],"MMM"))</f>
        <v>JUL</v>
      </c>
      <c r="O910" s="11">
        <v>202124111108791</v>
      </c>
      <c r="P910" s="20">
        <v>44390</v>
      </c>
      <c r="Q910" s="20" t="str">
        <f>UPPER(TEXT(Tabla1[[#This Row],[FECHA RADICADO ENTRADA]],"MMM"))</f>
        <v>JUL</v>
      </c>
      <c r="R910" s="10">
        <f t="shared" si="36"/>
        <v>-6</v>
      </c>
      <c r="S910" s="10" t="s">
        <v>2154</v>
      </c>
      <c r="U910" s="10" t="s">
        <v>2767</v>
      </c>
      <c r="V910" s="20">
        <v>44223</v>
      </c>
      <c r="W910" s="10" t="s">
        <v>41</v>
      </c>
      <c r="X910" s="10">
        <v>300</v>
      </c>
      <c r="Y910" s="11">
        <f>IFERROR(INT(Tabla1[[#This Row],[CANTIDAD UND FARMACEUTICAS]]/(VLOOKUP(Tabla1[[#This Row],[MEDICAMENTO]],TAB_REF!$K$3:$L$27,2,0))),"")</f>
        <v>30</v>
      </c>
      <c r="Z910" s="10" t="str">
        <f>IFERROR(VLOOKUP(Tabla1[[#This Row],[MEDICAMENTO]],TAB_REF!$B$3:$F$27,2,0), "")</f>
        <v xml:space="preserve">Meperidina HCl </v>
      </c>
      <c r="AA910" s="10" t="str">
        <f>IFERROR(VLOOKUP(Tabla1[[#This Row],[MEDICAMENTO]],TAB_REF!$B$3:$F$27,3,0), "")</f>
        <v xml:space="preserve">100 mg/2mL </v>
      </c>
      <c r="AB910" s="10" t="str">
        <f>IFERROR(VLOOKUP(Tabla1[[#This Row],[MEDICAMENTO]],TAB_REF!$B$3:$F$27,4,0), "")</f>
        <v>Solución Inyectable</v>
      </c>
      <c r="AC910" s="10" t="str">
        <f>IFERROR(VLOOKUP(Tabla1[[#This Row],[MEDICAMENTO]],TAB_REF!$B$3:$F$27,5,0), "")</f>
        <v>Caja 10 ampollas</v>
      </c>
      <c r="AD910" s="10" t="str">
        <f>IFERROR(VLOOKUP(Tabla1[[#This Row],[CANTIDAD UND COMERCIALES]],TAB_REF!$H$3:$I$1003,2,0)&amp;" ("&amp;Tabla1[[#This Row],[CANTIDAD UND COMERCIALES]]&amp;")"&amp;"_"&amp;Tabla1[[#This Row],[CANTIDAD]],"")</f>
        <v>Treinta (30)_Caja 10 ampollas</v>
      </c>
    </row>
    <row r="911" spans="2:30" x14ac:dyDescent="0.25">
      <c r="B911" s="10">
        <v>374</v>
      </c>
      <c r="C911" s="10" t="s">
        <v>2764</v>
      </c>
      <c r="D911" s="10" t="s">
        <v>2175</v>
      </c>
      <c r="E911" s="10" t="s">
        <v>2765</v>
      </c>
      <c r="F911" s="10" t="s">
        <v>2766</v>
      </c>
      <c r="G911" s="10" t="s">
        <v>2737</v>
      </c>
      <c r="H911" s="10" t="s">
        <v>2738</v>
      </c>
      <c r="I911" s="10" t="s">
        <v>2113</v>
      </c>
      <c r="J911" s="10" t="s">
        <v>1442</v>
      </c>
      <c r="K911" s="10" t="s">
        <v>3464</v>
      </c>
      <c r="L911" s="11">
        <v>202124101210142</v>
      </c>
      <c r="M911" s="20">
        <v>44384</v>
      </c>
      <c r="N911" s="20" t="str">
        <f>UPPER(TEXT(Tabla1[[#This Row],[FECHA RADICADO ENTRADA]],"MMM"))</f>
        <v>JUL</v>
      </c>
      <c r="O911" s="11">
        <v>202124111108791</v>
      </c>
      <c r="P911" s="20">
        <v>44390</v>
      </c>
      <c r="Q911" s="20" t="str">
        <f>UPPER(TEXT(Tabla1[[#This Row],[FECHA RADICADO ENTRADA]],"MMM"))</f>
        <v>JUL</v>
      </c>
      <c r="R911" s="10">
        <f t="shared" si="36"/>
        <v>-6</v>
      </c>
      <c r="S911" s="10" t="s">
        <v>2154</v>
      </c>
      <c r="U911" s="10" t="s">
        <v>2767</v>
      </c>
      <c r="V911" s="20">
        <v>44223</v>
      </c>
      <c r="W911" s="10" t="s">
        <v>63</v>
      </c>
      <c r="X911" s="10">
        <v>2000</v>
      </c>
      <c r="Y911" s="11">
        <f>IFERROR(INT(Tabla1[[#This Row],[CANTIDAD UND FARMACEUTICAS]]/(VLOOKUP(Tabla1[[#This Row],[MEDICAMENTO]],TAB_REF!$K$3:$L$27,2,0))),"")</f>
        <v>200</v>
      </c>
      <c r="Z911" s="10" t="str">
        <f>IFERROR(VLOOKUP(Tabla1[[#This Row],[MEDICAMENTO]],TAB_REF!$B$3:$F$27,2,0), "")</f>
        <v xml:space="preserve">Morfina HCl </v>
      </c>
      <c r="AA911" s="10" t="str">
        <f>IFERROR(VLOOKUP(Tabla1[[#This Row],[MEDICAMENTO]],TAB_REF!$B$3:$F$27,3,0), "")</f>
        <v xml:space="preserve">10 mg/mL </v>
      </c>
      <c r="AB911" s="10" t="str">
        <f>IFERROR(VLOOKUP(Tabla1[[#This Row],[MEDICAMENTO]],TAB_REF!$B$3:$F$27,4,0), "")</f>
        <v>Solución Inyectable</v>
      </c>
      <c r="AC911" s="10" t="str">
        <f>IFERROR(VLOOKUP(Tabla1[[#This Row],[MEDICAMENTO]],TAB_REF!$B$3:$F$27,5,0), "")</f>
        <v>Caja x 10 unidades</v>
      </c>
      <c r="AD911" s="10" t="str">
        <f>IFERROR(VLOOKUP(Tabla1[[#This Row],[CANTIDAD UND COMERCIALES]],TAB_REF!$H$3:$I$1003,2,0)&amp;" ("&amp;Tabla1[[#This Row],[CANTIDAD UND COMERCIALES]]&amp;")"&amp;"_"&amp;Tabla1[[#This Row],[CANTIDAD]],"")</f>
        <v>Doscientos (200)_Caja x 10 unidades</v>
      </c>
    </row>
    <row r="912" spans="2:30" x14ac:dyDescent="0.25">
      <c r="B912" s="10">
        <v>374</v>
      </c>
      <c r="C912" s="10" t="s">
        <v>2764</v>
      </c>
      <c r="D912" s="10" t="s">
        <v>2175</v>
      </c>
      <c r="E912" s="10" t="s">
        <v>2765</v>
      </c>
      <c r="F912" s="10" t="s">
        <v>2766</v>
      </c>
      <c r="G912" s="10" t="s">
        <v>2737</v>
      </c>
      <c r="H912" s="10" t="s">
        <v>2738</v>
      </c>
      <c r="I912" s="10" t="s">
        <v>2113</v>
      </c>
      <c r="J912" s="10" t="s">
        <v>1442</v>
      </c>
      <c r="K912" s="10" t="s">
        <v>3464</v>
      </c>
      <c r="L912" s="11">
        <v>202124101210142</v>
      </c>
      <c r="M912" s="20">
        <v>44384</v>
      </c>
      <c r="N912" s="20" t="str">
        <f>UPPER(TEXT(Tabla1[[#This Row],[FECHA RADICADO ENTRADA]],"MMM"))</f>
        <v>JUL</v>
      </c>
      <c r="O912" s="11">
        <v>202124111108791</v>
      </c>
      <c r="P912" s="20">
        <v>44390</v>
      </c>
      <c r="Q912" s="20" t="str">
        <f>UPPER(TEXT(Tabla1[[#This Row],[FECHA RADICADO ENTRADA]],"MMM"))</f>
        <v>JUL</v>
      </c>
      <c r="R912" s="10">
        <f t="shared" si="36"/>
        <v>-6</v>
      </c>
      <c r="S912" s="10" t="s">
        <v>2154</v>
      </c>
      <c r="U912" s="10" t="s">
        <v>2767</v>
      </c>
      <c r="V912" s="20">
        <v>44223</v>
      </c>
      <c r="W912" s="10" t="s">
        <v>64</v>
      </c>
      <c r="X912" s="10">
        <v>4000</v>
      </c>
      <c r="Y912" s="11">
        <f>IFERROR(INT(Tabla1[[#This Row],[CANTIDAD UND FARMACEUTICAS]]/(VLOOKUP(Tabla1[[#This Row],[MEDICAMENTO]],TAB_REF!$K$3:$L$27,2,0))),"")</f>
        <v>400</v>
      </c>
      <c r="Z912" s="10" t="str">
        <f>IFERROR(VLOOKUP(Tabla1[[#This Row],[MEDICAMENTO]],TAB_REF!$B$3:$F$27,2,0), "")</f>
        <v xml:space="preserve">Morfina HCl </v>
      </c>
      <c r="AA912" s="10" t="str">
        <f>IFERROR(VLOOKUP(Tabla1[[#This Row],[MEDICAMENTO]],TAB_REF!$B$3:$F$27,3,0), "")</f>
        <v xml:space="preserve">10 (50mg/5mL) </v>
      </c>
      <c r="AB912" s="10" t="str">
        <f>IFERROR(VLOOKUP(Tabla1[[#This Row],[MEDICAMENTO]],TAB_REF!$B$3:$F$27,4,0), "")</f>
        <v>Solución Inyectable</v>
      </c>
      <c r="AC912" s="10" t="str">
        <f>IFERROR(VLOOKUP(Tabla1[[#This Row],[MEDICAMENTO]],TAB_REF!$B$3:$F$27,5,0), "")</f>
        <v>Caja x 5 unidades</v>
      </c>
      <c r="AD912" s="10" t="str">
        <f>IFERROR(VLOOKUP(Tabla1[[#This Row],[CANTIDAD UND COMERCIALES]],TAB_REF!$H$3:$I$1003,2,0)&amp;" ("&amp;Tabla1[[#This Row],[CANTIDAD UND COMERCIALES]]&amp;")"&amp;"_"&amp;Tabla1[[#This Row],[CANTIDAD]],"")</f>
        <v>Cuatrocientos (400)_Caja x 5 unidades</v>
      </c>
    </row>
    <row r="913" spans="1:30" x14ac:dyDescent="0.25">
      <c r="B913" s="10">
        <v>375</v>
      </c>
      <c r="C913" s="10" t="s">
        <v>3565</v>
      </c>
      <c r="D913" s="10" t="s">
        <v>2617</v>
      </c>
      <c r="E913" s="10" t="s">
        <v>3853</v>
      </c>
      <c r="F913" s="10" t="s">
        <v>3854</v>
      </c>
      <c r="G913" s="10" t="s">
        <v>3568</v>
      </c>
      <c r="H913" s="10" t="s">
        <v>3569</v>
      </c>
      <c r="I913" s="10" t="s">
        <v>2120</v>
      </c>
      <c r="J913" s="10" t="s">
        <v>1706</v>
      </c>
      <c r="K913" s="10" t="s">
        <v>3855</v>
      </c>
      <c r="L913" s="11">
        <v>202124101219912</v>
      </c>
      <c r="M913" s="20">
        <v>44385</v>
      </c>
      <c r="N913" s="20" t="str">
        <f>UPPER(TEXT(Tabla1[[#This Row],[FECHA RADICADO ENTRADA]],"MMM"))</f>
        <v>JUL</v>
      </c>
      <c r="O913" s="11">
        <v>202124111108801</v>
      </c>
      <c r="P913" s="20">
        <v>44390</v>
      </c>
      <c r="Q913" s="20" t="str">
        <f>UPPER(TEXT(Tabla1[[#This Row],[FECHA RADICADO ENTRADA]],"MMM"))</f>
        <v>JUL</v>
      </c>
      <c r="R913" s="10">
        <f t="shared" si="36"/>
        <v>-5</v>
      </c>
      <c r="S913" s="10" t="s">
        <v>2154</v>
      </c>
      <c r="U913" s="10" t="s">
        <v>3571</v>
      </c>
      <c r="V913" s="20">
        <v>42639</v>
      </c>
      <c r="W913" s="10" t="s">
        <v>41</v>
      </c>
      <c r="X913" s="10">
        <v>200</v>
      </c>
      <c r="Y913" s="11">
        <f>IFERROR(INT(Tabla1[[#This Row],[CANTIDAD UND FARMACEUTICAS]]/(VLOOKUP(Tabla1[[#This Row],[MEDICAMENTO]],TAB_REF!$K$3:$L$27,2,0))),"")</f>
        <v>20</v>
      </c>
      <c r="Z913" s="10" t="str">
        <f>IFERROR(VLOOKUP(Tabla1[[#This Row],[MEDICAMENTO]],TAB_REF!$B$3:$F$27,2,0), "")</f>
        <v xml:space="preserve">Meperidina HCl </v>
      </c>
      <c r="AA913" s="10" t="str">
        <f>IFERROR(VLOOKUP(Tabla1[[#This Row],[MEDICAMENTO]],TAB_REF!$B$3:$F$27,3,0), "")</f>
        <v xml:space="preserve">100 mg/2mL </v>
      </c>
      <c r="AB913" s="10" t="str">
        <f>IFERROR(VLOOKUP(Tabla1[[#This Row],[MEDICAMENTO]],TAB_REF!$B$3:$F$27,4,0), "")</f>
        <v>Solución Inyectable</v>
      </c>
      <c r="AC913" s="10" t="str">
        <f>IFERROR(VLOOKUP(Tabla1[[#This Row],[MEDICAMENTO]],TAB_REF!$B$3:$F$27,5,0), "")</f>
        <v>Caja 10 ampollas</v>
      </c>
      <c r="AD913" s="10" t="str">
        <f>IFERROR(VLOOKUP(Tabla1[[#This Row],[CANTIDAD UND COMERCIALES]],TAB_REF!$H$3:$I$1003,2,0)&amp;" ("&amp;Tabla1[[#This Row],[CANTIDAD UND COMERCIALES]]&amp;")"&amp;"_"&amp;Tabla1[[#This Row],[CANTIDAD]],"")</f>
        <v>Veinte (20)_Caja 10 ampollas</v>
      </c>
    </row>
    <row r="914" spans="1:30" x14ac:dyDescent="0.25">
      <c r="B914" s="10">
        <v>375</v>
      </c>
      <c r="C914" s="10" t="s">
        <v>3565</v>
      </c>
      <c r="D914" s="10" t="s">
        <v>2617</v>
      </c>
      <c r="E914" s="10" t="s">
        <v>3853</v>
      </c>
      <c r="F914" s="10" t="s">
        <v>3854</v>
      </c>
      <c r="G914" s="10" t="s">
        <v>3568</v>
      </c>
      <c r="H914" s="10" t="s">
        <v>3569</v>
      </c>
      <c r="I914" s="10" t="s">
        <v>2120</v>
      </c>
      <c r="J914" s="10" t="s">
        <v>1706</v>
      </c>
      <c r="K914" s="10" t="s">
        <v>3855</v>
      </c>
      <c r="L914" s="11">
        <v>202124101219912</v>
      </c>
      <c r="M914" s="20">
        <v>44385</v>
      </c>
      <c r="N914" s="20" t="str">
        <f>UPPER(TEXT(Tabla1[[#This Row],[FECHA RADICADO ENTRADA]],"MMM"))</f>
        <v>JUL</v>
      </c>
      <c r="O914" s="11">
        <v>202124111108801</v>
      </c>
      <c r="P914" s="20">
        <v>44390</v>
      </c>
      <c r="Q914" s="20" t="str">
        <f>UPPER(TEXT(Tabla1[[#This Row],[FECHA RADICADO ENTRADA]],"MMM"))</f>
        <v>JUL</v>
      </c>
      <c r="R914" s="10">
        <f t="shared" si="36"/>
        <v>-5</v>
      </c>
      <c r="S914" s="10" t="s">
        <v>2145</v>
      </c>
      <c r="U914" s="10" t="s">
        <v>3571</v>
      </c>
      <c r="V914" s="20">
        <v>42639</v>
      </c>
      <c r="W914" s="10" t="s">
        <v>63</v>
      </c>
      <c r="Y914" s="11">
        <f>IFERROR(INT(Tabla1[[#This Row],[CANTIDAD UND FARMACEUTICAS]]/(VLOOKUP(Tabla1[[#This Row],[MEDICAMENTO]],TAB_REF!$K$3:$L$27,2,0))),"")</f>
        <v>0</v>
      </c>
      <c r="Z914" s="10" t="str">
        <f>IFERROR(VLOOKUP(Tabla1[[#This Row],[MEDICAMENTO]],TAB_REF!$B$3:$F$27,2,0), "")</f>
        <v xml:space="preserve">Morfina HCl </v>
      </c>
      <c r="AA914" s="10" t="str">
        <f>IFERROR(VLOOKUP(Tabla1[[#This Row],[MEDICAMENTO]],TAB_REF!$B$3:$F$27,3,0), "")</f>
        <v xml:space="preserve">10 mg/mL </v>
      </c>
      <c r="AB914" s="10" t="str">
        <f>IFERROR(VLOOKUP(Tabla1[[#This Row],[MEDICAMENTO]],TAB_REF!$B$3:$F$27,4,0), "")</f>
        <v>Solución Inyectable</v>
      </c>
      <c r="AC914" s="10" t="str">
        <f>IFERROR(VLOOKUP(Tabla1[[#This Row],[MEDICAMENTO]],TAB_REF!$B$3:$F$27,5,0), "")</f>
        <v>Caja x 10 unidades</v>
      </c>
      <c r="AD914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915" spans="1:30" x14ac:dyDescent="0.25">
      <c r="B915" s="10">
        <v>375</v>
      </c>
      <c r="C915" s="10" t="s">
        <v>3565</v>
      </c>
      <c r="D915" s="10" t="s">
        <v>2617</v>
      </c>
      <c r="E915" s="10" t="s">
        <v>3853</v>
      </c>
      <c r="F915" s="10" t="s">
        <v>3854</v>
      </c>
      <c r="G915" s="10" t="s">
        <v>3568</v>
      </c>
      <c r="H915" s="10" t="s">
        <v>3569</v>
      </c>
      <c r="I915" s="10" t="s">
        <v>2120</v>
      </c>
      <c r="J915" s="10" t="s">
        <v>1706</v>
      </c>
      <c r="K915" s="10" t="s">
        <v>3855</v>
      </c>
      <c r="L915" s="11">
        <v>202124101219912</v>
      </c>
      <c r="M915" s="20">
        <v>44385</v>
      </c>
      <c r="N915" s="20" t="str">
        <f>UPPER(TEXT(Tabla1[[#This Row],[FECHA RADICADO ENTRADA]],"MMM"))</f>
        <v>JUL</v>
      </c>
      <c r="O915" s="11">
        <v>202124111108801</v>
      </c>
      <c r="P915" s="20">
        <v>44390</v>
      </c>
      <c r="Q915" s="20" t="str">
        <f>UPPER(TEXT(Tabla1[[#This Row],[FECHA RADICADO ENTRADA]],"MMM"))</f>
        <v>JUL</v>
      </c>
      <c r="R915" s="10">
        <f t="shared" si="36"/>
        <v>-5</v>
      </c>
      <c r="S915" s="10" t="s">
        <v>2145</v>
      </c>
      <c r="U915" s="10" t="s">
        <v>3571</v>
      </c>
      <c r="V915" s="20">
        <v>42639</v>
      </c>
      <c r="W915" s="10" t="s">
        <v>36</v>
      </c>
      <c r="Y915" s="11">
        <f>IFERROR(INT(Tabla1[[#This Row],[CANTIDAD UND FARMACEUTICAS]]/(VLOOKUP(Tabla1[[#This Row],[MEDICAMENTO]],TAB_REF!$K$3:$L$27,2,0))),"")</f>
        <v>0</v>
      </c>
      <c r="Z915" s="10" t="str">
        <f>IFERROR(VLOOKUP(Tabla1[[#This Row],[MEDICAMENTO]],TAB_REF!$B$3:$F$27,2,0), "")</f>
        <v xml:space="preserve">Fenobarbital Sódico </v>
      </c>
      <c r="AA915" s="10" t="str">
        <f>IFERROR(VLOOKUP(Tabla1[[#This Row],[MEDICAMENTO]],TAB_REF!$B$3:$F$27,3,0), "")</f>
        <v xml:space="preserve">40 mg/mL </v>
      </c>
      <c r="AB915" s="10" t="str">
        <f>IFERROR(VLOOKUP(Tabla1[[#This Row],[MEDICAMENTO]],TAB_REF!$B$3:$F$27,4,0), "")</f>
        <v>Solución Inyectable</v>
      </c>
      <c r="AC915" s="10" t="str">
        <f>IFERROR(VLOOKUP(Tabla1[[#This Row],[MEDICAMENTO]],TAB_REF!$B$3:$F$27,5,0), "")</f>
        <v>Caja x 10 unidades</v>
      </c>
      <c r="AD915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916" spans="1:30" x14ac:dyDescent="0.25">
      <c r="B916" s="10">
        <v>376</v>
      </c>
      <c r="C916" s="10" t="s">
        <v>3856</v>
      </c>
      <c r="D916" s="10" t="s">
        <v>3857</v>
      </c>
      <c r="E916" s="10" t="s">
        <v>3858</v>
      </c>
      <c r="F916" s="10" t="s">
        <v>3859</v>
      </c>
      <c r="G916" s="10" t="s">
        <v>3860</v>
      </c>
      <c r="H916" s="10" t="s">
        <v>3861</v>
      </c>
      <c r="I916" s="10" t="s">
        <v>2113</v>
      </c>
      <c r="J916" s="10" t="s">
        <v>1442</v>
      </c>
      <c r="K916" s="10" t="s">
        <v>3862</v>
      </c>
      <c r="L916" s="11">
        <v>202124101222762</v>
      </c>
      <c r="M916" s="20">
        <v>44386</v>
      </c>
      <c r="N916" s="20" t="str">
        <f>UPPER(TEXT(Tabla1[[#This Row],[FECHA RADICADO ENTRADA]],"MMM"))</f>
        <v>JUL</v>
      </c>
      <c r="O916" s="11">
        <v>202124111124421</v>
      </c>
      <c r="P916" s="20">
        <v>44390</v>
      </c>
      <c r="Q916" s="20" t="str">
        <f>UPPER(TEXT(Tabla1[[#This Row],[FECHA RADICADO ENTRADA]],"MMM"))</f>
        <v>JUL</v>
      </c>
      <c r="R916" s="10">
        <f t="shared" si="35"/>
        <v>-4</v>
      </c>
      <c r="S916" s="10" t="s">
        <v>2154</v>
      </c>
      <c r="U916" s="10" t="s">
        <v>3863</v>
      </c>
      <c r="V916" s="20">
        <v>44134</v>
      </c>
      <c r="W916" s="10" t="s">
        <v>63</v>
      </c>
      <c r="X916" s="10">
        <v>300</v>
      </c>
      <c r="Y916" s="11">
        <f>IFERROR(INT(Tabla1[[#This Row],[CANTIDAD UND FARMACEUTICAS]]/(VLOOKUP(Tabla1[[#This Row],[MEDICAMENTO]],TAB_REF!$K$3:$L$27,2,0))),"")</f>
        <v>30</v>
      </c>
      <c r="Z916" s="10" t="str">
        <f>IFERROR(VLOOKUP(Tabla1[[#This Row],[MEDICAMENTO]],TAB_REF!$B$3:$F$27,2,0), "")</f>
        <v xml:space="preserve">Morfina HCl </v>
      </c>
      <c r="AA916" s="10" t="str">
        <f>IFERROR(VLOOKUP(Tabla1[[#This Row],[MEDICAMENTO]],TAB_REF!$B$3:$F$27,3,0), "")</f>
        <v xml:space="preserve">10 mg/mL </v>
      </c>
      <c r="AB916" s="10" t="str">
        <f>IFERROR(VLOOKUP(Tabla1[[#This Row],[MEDICAMENTO]],TAB_REF!$B$3:$F$27,4,0), "")</f>
        <v>Solución Inyectable</v>
      </c>
      <c r="AC916" s="10" t="str">
        <f>IFERROR(VLOOKUP(Tabla1[[#This Row],[MEDICAMENTO]],TAB_REF!$B$3:$F$27,5,0), "")</f>
        <v>Caja x 10 unidades</v>
      </c>
      <c r="AD916" s="10" t="str">
        <f>IFERROR(VLOOKUP(Tabla1[[#This Row],[CANTIDAD UND COMERCIALES]],TAB_REF!$H$3:$I$1003,2,0)&amp;" ("&amp;Tabla1[[#This Row],[CANTIDAD UND COMERCIALES]]&amp;")"&amp;"_"&amp;Tabla1[[#This Row],[CANTIDAD]],"")</f>
        <v>Treinta (30)_Caja x 10 unidades</v>
      </c>
    </row>
    <row r="917" spans="1:30" x14ac:dyDescent="0.25">
      <c r="A917" s="10">
        <v>21</v>
      </c>
      <c r="B917" s="10">
        <v>377</v>
      </c>
      <c r="C917" t="s">
        <v>2340</v>
      </c>
      <c r="D917" s="10" t="s">
        <v>3864</v>
      </c>
      <c r="E917" s="10" t="s">
        <v>3865</v>
      </c>
      <c r="F917" s="10" t="s">
        <v>3866</v>
      </c>
      <c r="G917" s="10" t="s">
        <v>2343</v>
      </c>
      <c r="H917" s="10" t="s">
        <v>3867</v>
      </c>
      <c r="I917" s="10" t="s">
        <v>2129</v>
      </c>
      <c r="J917" s="10" t="s">
        <v>2011</v>
      </c>
      <c r="K917" s="10" t="s">
        <v>3868</v>
      </c>
      <c r="L917" s="11">
        <v>202124101225692</v>
      </c>
      <c r="M917" s="20">
        <v>44386</v>
      </c>
      <c r="N917" s="20" t="str">
        <f>UPPER(TEXT(Tabla1[[#This Row],[FECHA RADICADO ENTRADA]],"MMM"))</f>
        <v>JUL</v>
      </c>
      <c r="O917" s="11">
        <v>202124111116421</v>
      </c>
      <c r="P917" s="20">
        <v>44391</v>
      </c>
      <c r="Q917" s="20" t="str">
        <f>UPPER(TEXT(Tabla1[[#This Row],[FECHA RADICADO ENTRADA]],"MMM"))</f>
        <v>JUL</v>
      </c>
      <c r="R917" s="10">
        <f t="shared" si="35"/>
        <v>-5</v>
      </c>
      <c r="S917" s="10" t="s">
        <v>2145</v>
      </c>
      <c r="U917" s="10" t="s">
        <v>2346</v>
      </c>
      <c r="V917" s="20">
        <v>44112</v>
      </c>
      <c r="W917" s="10" t="s">
        <v>32</v>
      </c>
      <c r="Y917" s="11">
        <f>IFERROR(INT(Tabla1[[#This Row],[CANTIDAD UND FARMACEUTICAS]]/(VLOOKUP(Tabla1[[#This Row],[MEDICAMENTO]],TAB_REF!$K$3:$L$27,2,0))),"")</f>
        <v>0</v>
      </c>
      <c r="Z917" s="10" t="str">
        <f>IFERROR(VLOOKUP(Tabla1[[#This Row],[MEDICAMENTO]],TAB_REF!$B$3:$F$27,2,0), "")</f>
        <v xml:space="preserve">Fenobarbital </v>
      </c>
      <c r="AA917" s="10" t="str">
        <f>IFERROR(VLOOKUP(Tabla1[[#This Row],[MEDICAMENTO]],TAB_REF!$B$3:$F$27,3,0), "")</f>
        <v xml:space="preserve">100 mg </v>
      </c>
      <c r="AB917" s="10" t="str">
        <f>IFERROR(VLOOKUP(Tabla1[[#This Row],[MEDICAMENTO]],TAB_REF!$B$3:$F$27,4,0), "")</f>
        <v>Tabletas</v>
      </c>
      <c r="AC917" s="10" t="str">
        <f>IFERROR(VLOOKUP(Tabla1[[#This Row],[MEDICAMENTO]],TAB_REF!$B$3:$F$27,5,0), "")</f>
        <v>Caja x 30 unidades</v>
      </c>
      <c r="AD917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918" spans="1:30" x14ac:dyDescent="0.25">
      <c r="B918" s="10">
        <v>377</v>
      </c>
      <c r="C918" t="s">
        <v>2340</v>
      </c>
      <c r="D918" s="10" t="s">
        <v>3864</v>
      </c>
      <c r="E918" s="10" t="s">
        <v>3865</v>
      </c>
      <c r="F918" s="10" t="s">
        <v>3866</v>
      </c>
      <c r="G918" s="10" t="s">
        <v>2343</v>
      </c>
      <c r="H918" s="10" t="s">
        <v>3867</v>
      </c>
      <c r="I918" s="10" t="s">
        <v>2129</v>
      </c>
      <c r="J918" s="10" t="s">
        <v>2011</v>
      </c>
      <c r="K918" s="10" t="s">
        <v>3868</v>
      </c>
      <c r="L918" s="11">
        <v>202124101225692</v>
      </c>
      <c r="M918" s="20">
        <v>44386</v>
      </c>
      <c r="N918" s="20" t="str">
        <f>UPPER(TEXT(Tabla1[[#This Row],[FECHA RADICADO ENTRADA]],"MMM"))</f>
        <v>JUL</v>
      </c>
      <c r="O918" s="11">
        <v>202124111116421</v>
      </c>
      <c r="P918" s="20">
        <v>44391</v>
      </c>
      <c r="Q918" s="20" t="str">
        <f>UPPER(TEXT(Tabla1[[#This Row],[FECHA RADICADO ENTRADA]],"MMM"))</f>
        <v>JUL</v>
      </c>
      <c r="R918" s="10">
        <f t="shared" ref="R918:R919" si="37">_xlfn.DAYS(M918,P918)</f>
        <v>-5</v>
      </c>
      <c r="S918" s="10" t="s">
        <v>2154</v>
      </c>
      <c r="U918" s="10" t="s">
        <v>2346</v>
      </c>
      <c r="V918" s="20">
        <v>44112</v>
      </c>
      <c r="W918" s="10" t="s">
        <v>60</v>
      </c>
      <c r="X918" s="10">
        <v>30</v>
      </c>
      <c r="Y918" s="11">
        <f>IFERROR(INT(Tabla1[[#This Row],[CANTIDAD UND FARMACEUTICAS]]/(VLOOKUP(Tabla1[[#This Row],[MEDICAMENTO]],TAB_REF!$K$3:$L$27,2,0))),"")</f>
        <v>30</v>
      </c>
      <c r="Z918" s="10" t="str">
        <f>IFERROR(VLOOKUP(Tabla1[[#This Row],[MEDICAMENTO]],TAB_REF!$B$3:$F$27,2,0), "")</f>
        <v xml:space="preserve">Morfina HCl </v>
      </c>
      <c r="AA918" s="10" t="str">
        <f>IFERROR(VLOOKUP(Tabla1[[#This Row],[MEDICAMENTO]],TAB_REF!$B$3:$F$27,3,0), "")</f>
        <v xml:space="preserve">3%. </v>
      </c>
      <c r="AB918" s="10" t="str">
        <f>IFERROR(VLOOKUP(Tabla1[[#This Row],[MEDICAMENTO]],TAB_REF!$B$3:$F$27,4,0), "")</f>
        <v>Solución Oral</v>
      </c>
      <c r="AC918" s="10" t="str">
        <f>IFERROR(VLOOKUP(Tabla1[[#This Row],[MEDICAMENTO]],TAB_REF!$B$3:$F$27,5,0), "")</f>
        <v>Frasco x 30 mL</v>
      </c>
      <c r="AD918" s="10" t="str">
        <f>IFERROR(VLOOKUP(Tabla1[[#This Row],[CANTIDAD UND COMERCIALES]],TAB_REF!$H$3:$I$1003,2,0)&amp;" ("&amp;Tabla1[[#This Row],[CANTIDAD UND COMERCIALES]]&amp;")"&amp;"_"&amp;Tabla1[[#This Row],[CANTIDAD]],"")</f>
        <v>Treinta (30)_Frasco x 30 mL</v>
      </c>
    </row>
    <row r="919" spans="1:30" x14ac:dyDescent="0.25">
      <c r="B919" s="10">
        <v>377</v>
      </c>
      <c r="C919" t="s">
        <v>2340</v>
      </c>
      <c r="D919" s="10" t="s">
        <v>3864</v>
      </c>
      <c r="E919" s="10" t="s">
        <v>3865</v>
      </c>
      <c r="F919" s="10" t="s">
        <v>3866</v>
      </c>
      <c r="G919" s="10" t="s">
        <v>2343</v>
      </c>
      <c r="H919" s="10" t="s">
        <v>3867</v>
      </c>
      <c r="I919" s="10" t="s">
        <v>2129</v>
      </c>
      <c r="J919" s="10" t="s">
        <v>2011</v>
      </c>
      <c r="K919" s="10" t="s">
        <v>3868</v>
      </c>
      <c r="L919" s="11">
        <v>202124101225692</v>
      </c>
      <c r="M919" s="20">
        <v>44386</v>
      </c>
      <c r="N919" s="20" t="str">
        <f>UPPER(TEXT(Tabla1[[#This Row],[FECHA RADICADO ENTRADA]],"MMM"))</f>
        <v>JUL</v>
      </c>
      <c r="O919" s="11">
        <v>202124111116421</v>
      </c>
      <c r="P919" s="20">
        <v>44391</v>
      </c>
      <c r="Q919" s="20" t="str">
        <f>UPPER(TEXT(Tabla1[[#This Row],[FECHA RADICADO ENTRADA]],"MMM"))</f>
        <v>JUL</v>
      </c>
      <c r="R919" s="10">
        <f t="shared" si="37"/>
        <v>-5</v>
      </c>
      <c r="S919" s="10" t="s">
        <v>2145</v>
      </c>
      <c r="U919" s="10" t="s">
        <v>2346</v>
      </c>
      <c r="V919" s="20">
        <v>44112</v>
      </c>
      <c r="W919" s="10" t="s">
        <v>38</v>
      </c>
      <c r="Y919" s="11">
        <f>IFERROR(INT(Tabla1[[#This Row],[CANTIDAD UND FARMACEUTICAS]]/(VLOOKUP(Tabla1[[#This Row],[MEDICAMENTO]],TAB_REF!$K$3:$L$27,2,0))),"")</f>
        <v>0</v>
      </c>
      <c r="Z919" s="10" t="str">
        <f>IFERROR(VLOOKUP(Tabla1[[#This Row],[MEDICAMENTO]],TAB_REF!$B$3:$F$27,2,0), "")</f>
        <v xml:space="preserve">Hidromorfona HCl </v>
      </c>
      <c r="AA919" s="10" t="str">
        <f>IFERROR(VLOOKUP(Tabla1[[#This Row],[MEDICAMENTO]],TAB_REF!$B$3:$F$27,3,0), "")</f>
        <v xml:space="preserve">2,5 mg </v>
      </c>
      <c r="AB919" s="10" t="str">
        <f>IFERROR(VLOOKUP(Tabla1[[#This Row],[MEDICAMENTO]],TAB_REF!$B$3:$F$27,4,0), "")</f>
        <v>Tabletas</v>
      </c>
      <c r="AC919" s="10" t="str">
        <f>IFERROR(VLOOKUP(Tabla1[[#This Row],[MEDICAMENTO]],TAB_REF!$B$3:$F$27,5,0), "")</f>
        <v>Caja x 20 unidades</v>
      </c>
      <c r="AD919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920" spans="1:30" x14ac:dyDescent="0.25">
      <c r="B920" s="10">
        <v>378</v>
      </c>
      <c r="C920" s="10" t="s">
        <v>2850</v>
      </c>
      <c r="D920" s="10" t="s">
        <v>2175</v>
      </c>
      <c r="E920" s="10" t="s">
        <v>3869</v>
      </c>
      <c r="F920" s="10" t="s">
        <v>3870</v>
      </c>
      <c r="G920" s="10" t="s">
        <v>3871</v>
      </c>
      <c r="H920" s="10" t="s">
        <v>3872</v>
      </c>
      <c r="I920" s="10" t="s">
        <v>2110</v>
      </c>
      <c r="J920" s="10" t="s">
        <v>1235</v>
      </c>
      <c r="K920" s="10" t="s">
        <v>3873</v>
      </c>
      <c r="L920" s="11">
        <v>202124101229232</v>
      </c>
      <c r="M920" s="20">
        <v>44386</v>
      </c>
      <c r="N920" s="20" t="str">
        <f>UPPER(TEXT(Tabla1[[#This Row],[FECHA RADICADO ENTRADA]],"MMM"))</f>
        <v>JUL</v>
      </c>
      <c r="O920" s="11">
        <v>202124111116451</v>
      </c>
      <c r="P920" s="20">
        <v>44391</v>
      </c>
      <c r="Q920" s="20" t="str">
        <f>UPPER(TEXT(Tabla1[[#This Row],[FECHA RADICADO ENTRADA]],"MMM"))</f>
        <v>JUL</v>
      </c>
      <c r="R920" s="10">
        <f>_xlfn.DAYS(M920,P920)</f>
        <v>-5</v>
      </c>
      <c r="S920" s="10" t="s">
        <v>2154</v>
      </c>
      <c r="U920" s="10" t="s">
        <v>3874</v>
      </c>
      <c r="V920" s="20">
        <v>44235</v>
      </c>
      <c r="W920" s="10" t="s">
        <v>63</v>
      </c>
      <c r="X920" s="10">
        <v>600</v>
      </c>
      <c r="Y920" s="11">
        <f>IFERROR(INT(Tabla1[[#This Row],[CANTIDAD UND FARMACEUTICAS]]/(VLOOKUP(Tabla1[[#This Row],[MEDICAMENTO]],TAB_REF!$K$3:$L$27,2,0))),"")</f>
        <v>60</v>
      </c>
      <c r="Z920" s="10" t="str">
        <f>IFERROR(VLOOKUP(Tabla1[[#This Row],[MEDICAMENTO]],TAB_REF!$B$3:$F$27,2,0), "")</f>
        <v xml:space="preserve">Morfina HCl </v>
      </c>
      <c r="AA920" s="10" t="str">
        <f>IFERROR(VLOOKUP(Tabla1[[#This Row],[MEDICAMENTO]],TAB_REF!$B$3:$F$27,3,0), "")</f>
        <v xml:space="preserve">10 mg/mL </v>
      </c>
      <c r="AB920" s="10" t="str">
        <f>IFERROR(VLOOKUP(Tabla1[[#This Row],[MEDICAMENTO]],TAB_REF!$B$3:$F$27,4,0), "")</f>
        <v>Solución Inyectable</v>
      </c>
      <c r="AC920" s="10" t="str">
        <f>IFERROR(VLOOKUP(Tabla1[[#This Row],[MEDICAMENTO]],TAB_REF!$B$3:$F$27,5,0), "")</f>
        <v>Caja x 10 unidades</v>
      </c>
      <c r="AD920" s="10" t="str">
        <f>IFERROR(VLOOKUP(Tabla1[[#This Row],[CANTIDAD UND COMERCIALES]],TAB_REF!$H$3:$I$1003,2,0)&amp;" ("&amp;Tabla1[[#This Row],[CANTIDAD UND COMERCIALES]]&amp;")"&amp;"_"&amp;Tabla1[[#This Row],[CANTIDAD]],"")</f>
        <v>Sesenta (60)_Caja x 10 unidades</v>
      </c>
    </row>
    <row r="921" spans="1:30" x14ac:dyDescent="0.25">
      <c r="B921" s="10">
        <v>378</v>
      </c>
      <c r="C921" s="10" t="s">
        <v>2850</v>
      </c>
      <c r="D921" s="10" t="s">
        <v>2175</v>
      </c>
      <c r="E921" s="10" t="s">
        <v>3869</v>
      </c>
      <c r="F921" s="10" t="s">
        <v>3870</v>
      </c>
      <c r="G921" s="10" t="s">
        <v>3871</v>
      </c>
      <c r="H921" s="10" t="s">
        <v>3872</v>
      </c>
      <c r="I921" s="10" t="s">
        <v>2110</v>
      </c>
      <c r="J921" s="10" t="s">
        <v>1235</v>
      </c>
      <c r="K921" s="10" t="s">
        <v>3873</v>
      </c>
      <c r="L921" s="11">
        <v>202124101229232</v>
      </c>
      <c r="M921" s="20">
        <v>44386</v>
      </c>
      <c r="N921" s="20" t="str">
        <f>UPPER(TEXT(Tabla1[[#This Row],[FECHA RADICADO ENTRADA]],"MMM"))</f>
        <v>JUL</v>
      </c>
      <c r="O921" s="11">
        <v>202124111116451</v>
      </c>
      <c r="P921" s="20">
        <v>44391</v>
      </c>
      <c r="Q921" s="20" t="str">
        <f>UPPER(TEXT(Tabla1[[#This Row],[FECHA RADICADO ENTRADA]],"MMM"))</f>
        <v>JUL</v>
      </c>
      <c r="R921" s="10">
        <f>_xlfn.DAYS(M921,P921)</f>
        <v>-5</v>
      </c>
      <c r="S921" s="10" t="s">
        <v>2145</v>
      </c>
      <c r="U921" s="10" t="s">
        <v>3874</v>
      </c>
      <c r="V921" s="20">
        <v>44235</v>
      </c>
      <c r="W921" s="10" t="s">
        <v>36</v>
      </c>
      <c r="Y921" s="11">
        <f>IFERROR(INT(Tabla1[[#This Row],[CANTIDAD UND FARMACEUTICAS]]/(VLOOKUP(Tabla1[[#This Row],[MEDICAMENTO]],TAB_REF!$K$3:$L$27,2,0))),"")</f>
        <v>0</v>
      </c>
      <c r="Z921" s="10" t="str">
        <f>IFERROR(VLOOKUP(Tabla1[[#This Row],[MEDICAMENTO]],TAB_REF!$B$3:$F$27,2,0), "")</f>
        <v xml:space="preserve">Fenobarbital Sódico </v>
      </c>
      <c r="AA921" s="10" t="str">
        <f>IFERROR(VLOOKUP(Tabla1[[#This Row],[MEDICAMENTO]],TAB_REF!$B$3:$F$27,3,0), "")</f>
        <v xml:space="preserve">40 mg/mL </v>
      </c>
      <c r="AB921" s="10" t="str">
        <f>IFERROR(VLOOKUP(Tabla1[[#This Row],[MEDICAMENTO]],TAB_REF!$B$3:$F$27,4,0), "")</f>
        <v>Solución Inyectable</v>
      </c>
      <c r="AC921" s="10" t="str">
        <f>IFERROR(VLOOKUP(Tabla1[[#This Row],[MEDICAMENTO]],TAB_REF!$B$3:$F$27,5,0), "")</f>
        <v>Caja x 10 unidades</v>
      </c>
      <c r="AD921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922" spans="1:30" x14ac:dyDescent="0.25">
      <c r="B922" s="10">
        <v>379</v>
      </c>
      <c r="C922" s="10" t="s">
        <v>2428</v>
      </c>
      <c r="D922" s="10" t="s">
        <v>2162</v>
      </c>
      <c r="E922" s="10" t="s">
        <v>2429</v>
      </c>
      <c r="F922" s="10" t="s">
        <v>2430</v>
      </c>
      <c r="G922" s="10" t="s">
        <v>2431</v>
      </c>
      <c r="H922" s="10" t="s">
        <v>3882</v>
      </c>
      <c r="I922" s="10" t="s">
        <v>2128</v>
      </c>
      <c r="J922" s="10" t="s">
        <v>1968</v>
      </c>
      <c r="K922" s="10" t="s">
        <v>3384</v>
      </c>
      <c r="L922" s="11">
        <v>202124101229832</v>
      </c>
      <c r="M922" s="20">
        <v>44386</v>
      </c>
      <c r="N922" s="20" t="str">
        <f>UPPER(TEXT(Tabla1[[#This Row],[FECHA RADICADO ENTRADA]],"MMM"))</f>
        <v>JUL</v>
      </c>
      <c r="O922" s="11">
        <v>202124111116481</v>
      </c>
      <c r="P922" s="20">
        <v>44391</v>
      </c>
      <c r="Q922" s="20" t="str">
        <f>UPPER(TEXT(Tabla1[[#This Row],[FECHA RADICADO ENTRADA]],"MMM"))</f>
        <v>JUL</v>
      </c>
      <c r="R922" s="10">
        <f t="shared" ref="R922:R924" si="38">_xlfn.DAYS(M922,P922)</f>
        <v>-5</v>
      </c>
      <c r="S922" s="10" t="s">
        <v>2145</v>
      </c>
      <c r="U922" s="10" t="s">
        <v>2434</v>
      </c>
      <c r="V922" s="20">
        <v>43630</v>
      </c>
      <c r="W922" s="10" t="s">
        <v>63</v>
      </c>
      <c r="Y922" s="11">
        <f>IFERROR(INT(Tabla1[[#This Row],[CANTIDAD UND FARMACEUTICAS]]/(VLOOKUP(Tabla1[[#This Row],[MEDICAMENTO]],TAB_REF!$K$3:$L$27,2,0))),"")</f>
        <v>0</v>
      </c>
      <c r="Z922" s="10" t="str">
        <f>IFERROR(VLOOKUP(Tabla1[[#This Row],[MEDICAMENTO]],TAB_REF!$B$3:$F$27,2,0), "")</f>
        <v xml:space="preserve">Morfina HCl </v>
      </c>
      <c r="AA922" s="10" t="str">
        <f>IFERROR(VLOOKUP(Tabla1[[#This Row],[MEDICAMENTO]],TAB_REF!$B$3:$F$27,3,0), "")</f>
        <v xml:space="preserve">10 mg/mL </v>
      </c>
      <c r="AB922" s="10" t="str">
        <f>IFERROR(VLOOKUP(Tabla1[[#This Row],[MEDICAMENTO]],TAB_REF!$B$3:$F$27,4,0), "")</f>
        <v>Solución Inyectable</v>
      </c>
      <c r="AC922" s="10" t="str">
        <f>IFERROR(VLOOKUP(Tabla1[[#This Row],[MEDICAMENTO]],TAB_REF!$B$3:$F$27,5,0), "")</f>
        <v>Caja x 10 unidades</v>
      </c>
      <c r="AD922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923" spans="1:30" x14ac:dyDescent="0.25">
      <c r="B923" s="10">
        <v>379</v>
      </c>
      <c r="C923" s="10" t="s">
        <v>2428</v>
      </c>
      <c r="D923" s="10" t="s">
        <v>2162</v>
      </c>
      <c r="E923" s="10" t="s">
        <v>2429</v>
      </c>
      <c r="F923" s="10" t="s">
        <v>2430</v>
      </c>
      <c r="G923" s="10" t="s">
        <v>2431</v>
      </c>
      <c r="H923" s="10" t="s">
        <v>3882</v>
      </c>
      <c r="I923" s="10" t="s">
        <v>2128</v>
      </c>
      <c r="J923" s="10" t="s">
        <v>1968</v>
      </c>
      <c r="K923" s="10" t="s">
        <v>3384</v>
      </c>
      <c r="L923" s="11">
        <v>202124101229832</v>
      </c>
      <c r="M923" s="20">
        <v>44386</v>
      </c>
      <c r="N923" s="20" t="str">
        <f>UPPER(TEXT(Tabla1[[#This Row],[FECHA RADICADO ENTRADA]],"MMM"))</f>
        <v>JUL</v>
      </c>
      <c r="O923" s="11">
        <v>202124111116481</v>
      </c>
      <c r="P923" s="20">
        <v>44391</v>
      </c>
      <c r="Q923" s="20" t="str">
        <f>UPPER(TEXT(Tabla1[[#This Row],[FECHA RADICADO ENTRADA]],"MMM"))</f>
        <v>JUL</v>
      </c>
      <c r="R923" s="10">
        <f t="shared" ref="R923" si="39">_xlfn.DAYS(M923,P923)</f>
        <v>-5</v>
      </c>
      <c r="S923" s="10" t="s">
        <v>2154</v>
      </c>
      <c r="U923" s="10" t="s">
        <v>2434</v>
      </c>
      <c r="V923" s="20">
        <v>43630</v>
      </c>
      <c r="W923" s="10" t="s">
        <v>34</v>
      </c>
      <c r="X923" s="10">
        <v>500</v>
      </c>
      <c r="Y923" s="11">
        <f>IFERROR(INT(Tabla1[[#This Row],[CANTIDAD UND FARMACEUTICAS]]/(VLOOKUP(Tabla1[[#This Row],[MEDICAMENTO]],TAB_REF!$K$3:$L$27,2,0))),"")</f>
        <v>50</v>
      </c>
      <c r="Z923" s="10" t="str">
        <f>IFERROR(VLOOKUP(Tabla1[[#This Row],[MEDICAMENTO]],TAB_REF!$B$3:$F$27,2,0), "")</f>
        <v xml:space="preserve">Fenobarbital Sódico </v>
      </c>
      <c r="AA923" s="10" t="str">
        <f>IFERROR(VLOOKUP(Tabla1[[#This Row],[MEDICAMENTO]],TAB_REF!$B$3:$F$27,3,0), "")</f>
        <v xml:space="preserve">200 mg/Ml </v>
      </c>
      <c r="AB923" s="10" t="str">
        <f>IFERROR(VLOOKUP(Tabla1[[#This Row],[MEDICAMENTO]],TAB_REF!$B$3:$F$27,4,0), "")</f>
        <v>Solución Inyectable</v>
      </c>
      <c r="AC923" s="10" t="str">
        <f>IFERROR(VLOOKUP(Tabla1[[#This Row],[MEDICAMENTO]],TAB_REF!$B$3:$F$27,5,0), "")</f>
        <v>Caja x 10 unidades</v>
      </c>
      <c r="AD923" s="10" t="str">
        <f>IFERROR(VLOOKUP(Tabla1[[#This Row],[CANTIDAD UND COMERCIALES]],TAB_REF!$H$3:$I$1003,2,0)&amp;" ("&amp;Tabla1[[#This Row],[CANTIDAD UND COMERCIALES]]&amp;")"&amp;"_"&amp;Tabla1[[#This Row],[CANTIDAD]],"")</f>
        <v>Cincuenta (50)_Caja x 10 unidades</v>
      </c>
    </row>
    <row r="924" spans="1:30" x14ac:dyDescent="0.25">
      <c r="B924" s="10">
        <v>380</v>
      </c>
      <c r="C924" s="10" t="s">
        <v>2538</v>
      </c>
      <c r="D924" s="10" t="s">
        <v>2175</v>
      </c>
      <c r="E924" s="10" t="s">
        <v>2886</v>
      </c>
      <c r="F924" s="10" t="s">
        <v>3875</v>
      </c>
      <c r="G924" s="10" t="s">
        <v>2541</v>
      </c>
      <c r="H924" s="10" t="s">
        <v>3876</v>
      </c>
      <c r="I924" s="10" t="s">
        <v>2120</v>
      </c>
      <c r="J924" s="10" t="s">
        <v>1696</v>
      </c>
      <c r="K924" s="10" t="s">
        <v>3220</v>
      </c>
      <c r="L924" s="11">
        <v>202124101230342</v>
      </c>
      <c r="M924" s="20">
        <v>44386</v>
      </c>
      <c r="N924" s="20" t="str">
        <f>UPPER(TEXT(Tabla1[[#This Row],[FECHA RADICADO ENTRADA]],"MMM"))</f>
        <v>JUL</v>
      </c>
      <c r="O924" s="11">
        <v>202124111116541</v>
      </c>
      <c r="P924" s="20">
        <v>44391</v>
      </c>
      <c r="Q924" s="20" t="str">
        <f>UPPER(TEXT(Tabla1[[#This Row],[FECHA RADICADO ENTRADA]],"MMM"))</f>
        <v>JUL</v>
      </c>
      <c r="R924" s="10">
        <f t="shared" si="38"/>
        <v>-5</v>
      </c>
      <c r="S924" s="10" t="s">
        <v>2154</v>
      </c>
      <c r="U924" s="10" t="s">
        <v>3877</v>
      </c>
      <c r="V924" s="20">
        <v>42831</v>
      </c>
      <c r="W924" s="10" t="s">
        <v>41</v>
      </c>
      <c r="X924" s="10">
        <v>400</v>
      </c>
      <c r="Y924" s="11">
        <f>IFERROR(INT(Tabla1[[#This Row],[CANTIDAD UND FARMACEUTICAS]]/(VLOOKUP(Tabla1[[#This Row],[MEDICAMENTO]],TAB_REF!$K$3:$L$27,2,0))),"")</f>
        <v>40</v>
      </c>
      <c r="Z924" s="10" t="str">
        <f>IFERROR(VLOOKUP(Tabla1[[#This Row],[MEDICAMENTO]],TAB_REF!$B$3:$F$27,2,0), "")</f>
        <v xml:space="preserve">Meperidina HCl </v>
      </c>
      <c r="AA924" s="10" t="str">
        <f>IFERROR(VLOOKUP(Tabla1[[#This Row],[MEDICAMENTO]],TAB_REF!$B$3:$F$27,3,0), "")</f>
        <v xml:space="preserve">100 mg/2mL </v>
      </c>
      <c r="AB924" s="10" t="str">
        <f>IFERROR(VLOOKUP(Tabla1[[#This Row],[MEDICAMENTO]],TAB_REF!$B$3:$F$27,4,0), "")</f>
        <v>Solución Inyectable</v>
      </c>
      <c r="AC924" s="10" t="str">
        <f>IFERROR(VLOOKUP(Tabla1[[#This Row],[MEDICAMENTO]],TAB_REF!$B$3:$F$27,5,0), "")</f>
        <v>Caja 10 ampollas</v>
      </c>
      <c r="AD924" s="10" t="str">
        <f>IFERROR(VLOOKUP(Tabla1[[#This Row],[CANTIDAD UND COMERCIALES]],TAB_REF!$H$3:$I$1003,2,0)&amp;" ("&amp;Tabla1[[#This Row],[CANTIDAD UND COMERCIALES]]&amp;")"&amp;"_"&amp;Tabla1[[#This Row],[CANTIDAD]],"")</f>
        <v>Cuarenta (40)_Caja 10 ampollas</v>
      </c>
    </row>
    <row r="925" spans="1:30" x14ac:dyDescent="0.25">
      <c r="B925" s="10">
        <v>381</v>
      </c>
      <c r="C925" s="10" t="s">
        <v>3878</v>
      </c>
      <c r="D925" s="10" t="s">
        <v>2617</v>
      </c>
      <c r="E925" s="10" t="s">
        <v>3879</v>
      </c>
      <c r="F925" s="10" t="s">
        <v>3880</v>
      </c>
      <c r="G925" s="10" t="s">
        <v>3881</v>
      </c>
      <c r="H925" s="10" t="s">
        <v>3883</v>
      </c>
      <c r="I925" s="10" t="s">
        <v>2123</v>
      </c>
      <c r="J925" s="10" t="s">
        <v>1774</v>
      </c>
      <c r="K925" s="10" t="s">
        <v>3884</v>
      </c>
      <c r="L925" s="11">
        <v>202124101236442</v>
      </c>
      <c r="M925" s="20">
        <v>44389</v>
      </c>
      <c r="N925" s="20" t="str">
        <f>UPPER(TEXT(Tabla1[[#This Row],[FECHA RADICADO ENTRADA]],"MMM"))</f>
        <v>JUL</v>
      </c>
      <c r="O925" s="11">
        <v>202124111116561</v>
      </c>
      <c r="P925" s="20">
        <v>44391</v>
      </c>
      <c r="Q925" s="20" t="str">
        <f>UPPER(TEXT(Tabla1[[#This Row],[FECHA RADICADO ENTRADA]],"MMM"))</f>
        <v>JUL</v>
      </c>
      <c r="R925" s="10">
        <f t="shared" ref="R925:R931" si="40">_xlfn.DAYS(M925,P925)</f>
        <v>-2</v>
      </c>
      <c r="S925" s="10" t="s">
        <v>2154</v>
      </c>
      <c r="U925" s="10" t="s">
        <v>3885</v>
      </c>
      <c r="V925" s="20">
        <v>43844</v>
      </c>
      <c r="W925" s="10" t="s">
        <v>32</v>
      </c>
      <c r="X925" s="10">
        <v>240</v>
      </c>
      <c r="Y925" s="11">
        <f>IFERROR(INT(Tabla1[[#This Row],[CANTIDAD UND FARMACEUTICAS]]/(VLOOKUP(Tabla1[[#This Row],[MEDICAMENTO]],TAB_REF!$K$3:$L$27,2,0))),"")</f>
        <v>8</v>
      </c>
      <c r="Z925" s="10" t="str">
        <f>IFERROR(VLOOKUP(Tabla1[[#This Row],[MEDICAMENTO]],TAB_REF!$B$3:$F$27,2,0), "")</f>
        <v xml:space="preserve">Fenobarbital </v>
      </c>
      <c r="AA925" s="10" t="str">
        <f>IFERROR(VLOOKUP(Tabla1[[#This Row],[MEDICAMENTO]],TAB_REF!$B$3:$F$27,3,0), "")</f>
        <v xml:space="preserve">100 mg </v>
      </c>
      <c r="AB925" s="10" t="str">
        <f>IFERROR(VLOOKUP(Tabla1[[#This Row],[MEDICAMENTO]],TAB_REF!$B$3:$F$27,4,0), "")</f>
        <v>Tabletas</v>
      </c>
      <c r="AC925" s="10" t="str">
        <f>IFERROR(VLOOKUP(Tabla1[[#This Row],[MEDICAMENTO]],TAB_REF!$B$3:$F$27,5,0), "")</f>
        <v>Caja x 30 unidades</v>
      </c>
      <c r="AD925" s="10" t="str">
        <f>IFERROR(VLOOKUP(Tabla1[[#This Row],[CANTIDAD UND COMERCIALES]],TAB_REF!$H$3:$I$1003,2,0)&amp;" ("&amp;Tabla1[[#This Row],[CANTIDAD UND COMERCIALES]]&amp;")"&amp;"_"&amp;Tabla1[[#This Row],[CANTIDAD]],"")</f>
        <v>Ocho (8)_Caja x 30 unidades</v>
      </c>
    </row>
    <row r="926" spans="1:30" x14ac:dyDescent="0.25">
      <c r="B926" s="10">
        <v>381</v>
      </c>
      <c r="C926" s="10" t="s">
        <v>3878</v>
      </c>
      <c r="D926" s="10" t="s">
        <v>2617</v>
      </c>
      <c r="E926" s="10" t="s">
        <v>3879</v>
      </c>
      <c r="F926" s="10" t="s">
        <v>3880</v>
      </c>
      <c r="G926" s="10" t="s">
        <v>3881</v>
      </c>
      <c r="H926" s="10" t="s">
        <v>3883</v>
      </c>
      <c r="I926" s="10" t="s">
        <v>2123</v>
      </c>
      <c r="J926" s="10" t="s">
        <v>1774</v>
      </c>
      <c r="K926" s="10" t="s">
        <v>3884</v>
      </c>
      <c r="L926" s="11">
        <v>202124101236442</v>
      </c>
      <c r="M926" s="20">
        <v>44389</v>
      </c>
      <c r="N926" s="20" t="str">
        <f>UPPER(TEXT(Tabla1[[#This Row],[FECHA RADICADO ENTRADA]],"MMM"))</f>
        <v>JUL</v>
      </c>
      <c r="O926" s="11">
        <v>202124111116561</v>
      </c>
      <c r="P926" s="20">
        <v>44391</v>
      </c>
      <c r="Q926" s="20" t="str">
        <f>UPPER(TEXT(Tabla1[[#This Row],[FECHA RADICADO ENTRADA]],"MMM"))</f>
        <v>JUL</v>
      </c>
      <c r="R926" s="10">
        <f t="shared" si="40"/>
        <v>-2</v>
      </c>
      <c r="S926" s="10" t="s">
        <v>2154</v>
      </c>
      <c r="U926" s="10" t="s">
        <v>3885</v>
      </c>
      <c r="V926" s="20">
        <v>43844</v>
      </c>
      <c r="W926" s="10" t="s">
        <v>63</v>
      </c>
      <c r="X926" s="10">
        <v>50</v>
      </c>
      <c r="Y926" s="11">
        <f>IFERROR(INT(Tabla1[[#This Row],[CANTIDAD UND FARMACEUTICAS]]/(VLOOKUP(Tabla1[[#This Row],[MEDICAMENTO]],TAB_REF!$K$3:$L$27,2,0))),"")</f>
        <v>5</v>
      </c>
      <c r="Z926" s="10" t="str">
        <f>IFERROR(VLOOKUP(Tabla1[[#This Row],[MEDICAMENTO]],TAB_REF!$B$3:$F$27,2,0), "")</f>
        <v xml:space="preserve">Morfina HCl </v>
      </c>
      <c r="AA926" s="10" t="str">
        <f>IFERROR(VLOOKUP(Tabla1[[#This Row],[MEDICAMENTO]],TAB_REF!$B$3:$F$27,3,0), "")</f>
        <v xml:space="preserve">10 mg/mL </v>
      </c>
      <c r="AB926" s="10" t="str">
        <f>IFERROR(VLOOKUP(Tabla1[[#This Row],[MEDICAMENTO]],TAB_REF!$B$3:$F$27,4,0), "")</f>
        <v>Solución Inyectable</v>
      </c>
      <c r="AC926" s="10" t="str">
        <f>IFERROR(VLOOKUP(Tabla1[[#This Row],[MEDICAMENTO]],TAB_REF!$B$3:$F$27,5,0), "")</f>
        <v>Caja x 10 unidades</v>
      </c>
      <c r="AD926" s="10" t="str">
        <f>IFERROR(VLOOKUP(Tabla1[[#This Row],[CANTIDAD UND COMERCIALES]],TAB_REF!$H$3:$I$1003,2,0)&amp;" ("&amp;Tabla1[[#This Row],[CANTIDAD UND COMERCIALES]]&amp;")"&amp;"_"&amp;Tabla1[[#This Row],[CANTIDAD]],"")</f>
        <v>Cinco (5)_Caja x 10 unidades</v>
      </c>
    </row>
    <row r="927" spans="1:30" x14ac:dyDescent="0.25">
      <c r="B927" s="10">
        <v>381</v>
      </c>
      <c r="C927" s="10" t="s">
        <v>3878</v>
      </c>
      <c r="D927" s="10" t="s">
        <v>2617</v>
      </c>
      <c r="E927" s="10" t="s">
        <v>3879</v>
      </c>
      <c r="F927" s="10" t="s">
        <v>3880</v>
      </c>
      <c r="G927" s="10" t="s">
        <v>3881</v>
      </c>
      <c r="H927" s="10" t="s">
        <v>3883</v>
      </c>
      <c r="I927" s="10" t="s">
        <v>2123</v>
      </c>
      <c r="J927" s="10" t="s">
        <v>1774</v>
      </c>
      <c r="K927" s="10" t="s">
        <v>3884</v>
      </c>
      <c r="L927" s="11">
        <v>202124101236442</v>
      </c>
      <c r="M927" s="20">
        <v>44389</v>
      </c>
      <c r="N927" s="20" t="str">
        <f>UPPER(TEXT(Tabla1[[#This Row],[FECHA RADICADO ENTRADA]],"MMM"))</f>
        <v>JUL</v>
      </c>
      <c r="O927" s="11">
        <v>202124111116561</v>
      </c>
      <c r="P927" s="20">
        <v>44391</v>
      </c>
      <c r="Q927" s="20" t="str">
        <f>UPPER(TEXT(Tabla1[[#This Row],[FECHA RADICADO ENTRADA]],"MMM"))</f>
        <v>JUL</v>
      </c>
      <c r="R927" s="10">
        <f t="shared" si="40"/>
        <v>-2</v>
      </c>
      <c r="S927" s="10" t="s">
        <v>2154</v>
      </c>
      <c r="U927" s="10" t="s">
        <v>3885</v>
      </c>
      <c r="V927" s="20">
        <v>43844</v>
      </c>
      <c r="W927" s="10" t="s">
        <v>41</v>
      </c>
      <c r="X927" s="10">
        <v>50</v>
      </c>
      <c r="Y927" s="11">
        <f>IFERROR(INT(Tabla1[[#This Row],[CANTIDAD UND FARMACEUTICAS]]/(VLOOKUP(Tabla1[[#This Row],[MEDICAMENTO]],TAB_REF!$K$3:$L$27,2,0))),"")</f>
        <v>5</v>
      </c>
      <c r="Z927" s="10" t="str">
        <f>IFERROR(VLOOKUP(Tabla1[[#This Row],[MEDICAMENTO]],TAB_REF!$B$3:$F$27,2,0), "")</f>
        <v xml:space="preserve">Meperidina HCl </v>
      </c>
      <c r="AA927" s="10" t="str">
        <f>IFERROR(VLOOKUP(Tabla1[[#This Row],[MEDICAMENTO]],TAB_REF!$B$3:$F$27,3,0), "")</f>
        <v xml:space="preserve">100 mg/2mL </v>
      </c>
      <c r="AB927" s="10" t="str">
        <f>IFERROR(VLOOKUP(Tabla1[[#This Row],[MEDICAMENTO]],TAB_REF!$B$3:$F$27,4,0), "")</f>
        <v>Solución Inyectable</v>
      </c>
      <c r="AC927" s="10" t="str">
        <f>IFERROR(VLOOKUP(Tabla1[[#This Row],[MEDICAMENTO]],TAB_REF!$B$3:$F$27,5,0), "")</f>
        <v>Caja 10 ampollas</v>
      </c>
      <c r="AD927" s="10" t="str">
        <f>IFERROR(VLOOKUP(Tabla1[[#This Row],[CANTIDAD UND COMERCIALES]],TAB_REF!$H$3:$I$1003,2,0)&amp;" ("&amp;Tabla1[[#This Row],[CANTIDAD UND COMERCIALES]]&amp;")"&amp;"_"&amp;Tabla1[[#This Row],[CANTIDAD]],"")</f>
        <v>Cinco (5)_Caja 10 ampollas</v>
      </c>
    </row>
    <row r="928" spans="1:30" x14ac:dyDescent="0.25">
      <c r="B928" s="10">
        <v>382</v>
      </c>
      <c r="C928" s="10" t="s">
        <v>2318</v>
      </c>
      <c r="D928" s="10" t="s">
        <v>2175</v>
      </c>
      <c r="E928" s="10" t="s">
        <v>2319</v>
      </c>
      <c r="F928" s="10" t="s">
        <v>3886</v>
      </c>
      <c r="G928" s="10" t="s">
        <v>2321</v>
      </c>
      <c r="H928" s="10" t="s">
        <v>2322</v>
      </c>
      <c r="I928" s="10" t="s">
        <v>2107</v>
      </c>
      <c r="J928" s="10" t="s">
        <v>1212</v>
      </c>
      <c r="K928" s="10" t="s">
        <v>3887</v>
      </c>
      <c r="L928" s="11">
        <v>202124101237342</v>
      </c>
      <c r="M928" s="20">
        <v>44389</v>
      </c>
      <c r="N928" s="20" t="str">
        <f>UPPER(TEXT(Tabla1[[#This Row],[FECHA RADICADO ENTRADA]],"MMM"))</f>
        <v>JUL</v>
      </c>
      <c r="O928" s="11">
        <v>202124111116601</v>
      </c>
      <c r="P928" s="20">
        <v>44391</v>
      </c>
      <c r="Q928" s="20" t="str">
        <f>UPPER(TEXT(Tabla1[[#This Row],[FECHA RADICADO ENTRADA]],"MMM"))</f>
        <v>JUL</v>
      </c>
      <c r="R928" s="10">
        <f t="shared" si="40"/>
        <v>-2</v>
      </c>
      <c r="S928" s="10" t="s">
        <v>2154</v>
      </c>
      <c r="U928" s="10" t="s">
        <v>2323</v>
      </c>
      <c r="V928" s="20">
        <v>44186</v>
      </c>
      <c r="W928" s="10" t="s">
        <v>63</v>
      </c>
      <c r="X928" s="10">
        <v>60</v>
      </c>
      <c r="Y928" s="11">
        <f>IFERROR(INT(Tabla1[[#This Row],[CANTIDAD UND FARMACEUTICAS]]/(VLOOKUP(Tabla1[[#This Row],[MEDICAMENTO]],TAB_REF!$K$3:$L$27,2,0))),"")</f>
        <v>6</v>
      </c>
      <c r="Z928" s="10" t="str">
        <f>IFERROR(VLOOKUP(Tabla1[[#This Row],[MEDICAMENTO]],TAB_REF!$B$3:$F$27,2,0), "")</f>
        <v xml:space="preserve">Morfina HCl </v>
      </c>
      <c r="AA928" s="10" t="str">
        <f>IFERROR(VLOOKUP(Tabla1[[#This Row],[MEDICAMENTO]],TAB_REF!$B$3:$F$27,3,0), "")</f>
        <v xml:space="preserve">10 mg/mL </v>
      </c>
      <c r="AB928" s="10" t="str">
        <f>IFERROR(VLOOKUP(Tabla1[[#This Row],[MEDICAMENTO]],TAB_REF!$B$3:$F$27,4,0), "")</f>
        <v>Solución Inyectable</v>
      </c>
      <c r="AC928" s="10" t="str">
        <f>IFERROR(VLOOKUP(Tabla1[[#This Row],[MEDICAMENTO]],TAB_REF!$B$3:$F$27,5,0), "")</f>
        <v>Caja x 10 unidades</v>
      </c>
      <c r="AD928" s="10" t="str">
        <f>IFERROR(VLOOKUP(Tabla1[[#This Row],[CANTIDAD UND COMERCIALES]],TAB_REF!$H$3:$I$1003,2,0)&amp;" ("&amp;Tabla1[[#This Row],[CANTIDAD UND COMERCIALES]]&amp;")"&amp;"_"&amp;Tabla1[[#This Row],[CANTIDAD]],"")</f>
        <v>Seis (6)_Caja x 10 unidades</v>
      </c>
    </row>
    <row r="929" spans="2:30" x14ac:dyDescent="0.25">
      <c r="B929" s="10">
        <v>383</v>
      </c>
      <c r="C929" s="10" t="s">
        <v>3392</v>
      </c>
      <c r="D929" s="10" t="s">
        <v>3888</v>
      </c>
      <c r="E929" s="10" t="s">
        <v>3889</v>
      </c>
      <c r="F929" s="10" t="s">
        <v>3890</v>
      </c>
      <c r="G929" s="10" t="s">
        <v>3394</v>
      </c>
      <c r="H929" s="10" t="s">
        <v>3891</v>
      </c>
      <c r="I929" s="10" t="s">
        <v>2116</v>
      </c>
      <c r="J929" s="10" t="s">
        <v>1550</v>
      </c>
      <c r="K929" s="10" t="s">
        <v>3892</v>
      </c>
      <c r="L929" s="11">
        <v>202124101240602</v>
      </c>
      <c r="M929" s="20">
        <v>44389</v>
      </c>
      <c r="N929" s="20" t="str">
        <f>UPPER(TEXT(Tabla1[[#This Row],[FECHA RADICADO ENTRADA]],"MMM"))</f>
        <v>JUL</v>
      </c>
      <c r="O929" s="11">
        <v>202124111116631</v>
      </c>
      <c r="P929" s="20">
        <v>44391</v>
      </c>
      <c r="Q929" s="20" t="str">
        <f>UPPER(TEXT(Tabla1[[#This Row],[FECHA RADICADO ENTRADA]],"MMM"))</f>
        <v>JUL</v>
      </c>
      <c r="R929" s="10">
        <f t="shared" si="40"/>
        <v>-2</v>
      </c>
      <c r="S929" s="10" t="s">
        <v>2145</v>
      </c>
      <c r="U929" s="10" t="s">
        <v>3893</v>
      </c>
      <c r="V929" s="20">
        <v>43819</v>
      </c>
      <c r="W929" s="10" t="s">
        <v>60</v>
      </c>
      <c r="X929" s="10">
        <v>0</v>
      </c>
      <c r="Y929" s="11">
        <f>IFERROR(INT(Tabla1[[#This Row],[CANTIDAD UND FARMACEUTICAS]]/(VLOOKUP(Tabla1[[#This Row],[MEDICAMENTO]],TAB_REF!$K$3:$L$27,2,0))),"")</f>
        <v>0</v>
      </c>
      <c r="Z929" s="10" t="str">
        <f>IFERROR(VLOOKUP(Tabla1[[#This Row],[MEDICAMENTO]],TAB_REF!$B$3:$F$27,2,0), "")</f>
        <v xml:space="preserve">Morfina HCl </v>
      </c>
      <c r="AA929" s="10" t="str">
        <f>IFERROR(VLOOKUP(Tabla1[[#This Row],[MEDICAMENTO]],TAB_REF!$B$3:$F$27,3,0), "")</f>
        <v xml:space="preserve">3%. </v>
      </c>
      <c r="AB929" s="10" t="str">
        <f>IFERROR(VLOOKUP(Tabla1[[#This Row],[MEDICAMENTO]],TAB_REF!$B$3:$F$27,4,0), "")</f>
        <v>Solución Oral</v>
      </c>
      <c r="AC929" s="10" t="str">
        <f>IFERROR(VLOOKUP(Tabla1[[#This Row],[MEDICAMENTO]],TAB_REF!$B$3:$F$27,5,0), "")</f>
        <v>Frasco x 30 mL</v>
      </c>
      <c r="AD929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930" spans="2:30" x14ac:dyDescent="0.25">
      <c r="B930" s="10">
        <v>383</v>
      </c>
      <c r="C930" s="10" t="s">
        <v>3392</v>
      </c>
      <c r="D930" s="10" t="s">
        <v>3888</v>
      </c>
      <c r="E930" s="10" t="s">
        <v>3889</v>
      </c>
      <c r="F930" s="10" t="s">
        <v>3890</v>
      </c>
      <c r="G930" s="10" t="s">
        <v>3394</v>
      </c>
      <c r="H930" s="10" t="s">
        <v>3891</v>
      </c>
      <c r="I930" s="10" t="s">
        <v>2116</v>
      </c>
      <c r="J930" s="10" t="s">
        <v>1550</v>
      </c>
      <c r="K930" s="10" t="s">
        <v>3892</v>
      </c>
      <c r="L930" s="11">
        <v>202124101240602</v>
      </c>
      <c r="M930" s="20">
        <v>44389</v>
      </c>
      <c r="N930" s="20" t="str">
        <f>UPPER(TEXT(Tabla1[[#This Row],[FECHA RADICADO ENTRADA]],"MMM"))</f>
        <v>JUL</v>
      </c>
      <c r="O930" s="11">
        <v>202124111116631</v>
      </c>
      <c r="P930" s="20">
        <v>44391</v>
      </c>
      <c r="Q930" s="20" t="str">
        <f>UPPER(TEXT(Tabla1[[#This Row],[FECHA RADICADO ENTRADA]],"MMM"))</f>
        <v>JUL</v>
      </c>
      <c r="R930" s="10">
        <f t="shared" si="40"/>
        <v>-2</v>
      </c>
      <c r="S930" s="10" t="s">
        <v>2145</v>
      </c>
      <c r="U930" s="10" t="s">
        <v>3893</v>
      </c>
      <c r="V930" s="20">
        <v>43819</v>
      </c>
      <c r="W930" s="10" t="s">
        <v>48</v>
      </c>
      <c r="X930" s="10">
        <v>0</v>
      </c>
      <c r="Y930" s="11">
        <f>IFERROR(INT(Tabla1[[#This Row],[CANTIDAD UND FARMACEUTICAS]]/(VLOOKUP(Tabla1[[#This Row],[MEDICAMENTO]],TAB_REF!$K$3:$L$27,2,0))),"")</f>
        <v>0</v>
      </c>
      <c r="Z930" s="10" t="str">
        <f>IFERROR(VLOOKUP(Tabla1[[#This Row],[MEDICAMENTO]],TAB_REF!$B$3:$F$27,2,0), "")</f>
        <v xml:space="preserve">Metilfenidato HCl </v>
      </c>
      <c r="AA930" s="10" t="str">
        <f>IFERROR(VLOOKUP(Tabla1[[#This Row],[MEDICAMENTO]],TAB_REF!$B$3:$F$27,3,0), "")</f>
        <v xml:space="preserve">10 mg </v>
      </c>
      <c r="AB930" s="10" t="str">
        <f>IFERROR(VLOOKUP(Tabla1[[#This Row],[MEDICAMENTO]],TAB_REF!$B$3:$F$27,4,0), "")</f>
        <v>Comprimidos</v>
      </c>
      <c r="AC930" s="10" t="str">
        <f>IFERROR(VLOOKUP(Tabla1[[#This Row],[MEDICAMENTO]],TAB_REF!$B$3:$F$27,5,0), "")</f>
        <v>Caja x 30 unidades</v>
      </c>
      <c r="AD930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931" spans="2:30" x14ac:dyDescent="0.25">
      <c r="B931" s="10">
        <v>383</v>
      </c>
      <c r="C931" s="10" t="s">
        <v>3392</v>
      </c>
      <c r="D931" s="10" t="s">
        <v>3888</v>
      </c>
      <c r="E931" s="10" t="s">
        <v>3889</v>
      </c>
      <c r="F931" s="10" t="s">
        <v>3890</v>
      </c>
      <c r="G931" s="10" t="s">
        <v>3394</v>
      </c>
      <c r="H931" s="10" t="s">
        <v>3891</v>
      </c>
      <c r="I931" s="10" t="s">
        <v>2116</v>
      </c>
      <c r="J931" s="10" t="s">
        <v>1550</v>
      </c>
      <c r="K931" s="10" t="s">
        <v>3892</v>
      </c>
      <c r="L931" s="11">
        <v>202124101240602</v>
      </c>
      <c r="M931" s="20">
        <v>44389</v>
      </c>
      <c r="N931" s="20" t="str">
        <f>UPPER(TEXT(Tabla1[[#This Row],[FECHA RADICADO ENTRADA]],"MMM"))</f>
        <v>JUL</v>
      </c>
      <c r="O931" s="11">
        <v>202124111116631</v>
      </c>
      <c r="P931" s="20">
        <v>44391</v>
      </c>
      <c r="Q931" s="20" t="str">
        <f>UPPER(TEXT(Tabla1[[#This Row],[FECHA RADICADO ENTRADA]],"MMM"))</f>
        <v>JUL</v>
      </c>
      <c r="R931" s="10">
        <f t="shared" si="40"/>
        <v>-2</v>
      </c>
      <c r="S931" s="10" t="s">
        <v>2145</v>
      </c>
      <c r="U931" s="10" t="s">
        <v>3893</v>
      </c>
      <c r="V931" s="20">
        <v>43819</v>
      </c>
      <c r="W931" s="10" t="s">
        <v>38</v>
      </c>
      <c r="X931" s="10">
        <v>0</v>
      </c>
      <c r="Y931" s="11">
        <f>IFERROR(INT(Tabla1[[#This Row],[CANTIDAD UND FARMACEUTICAS]]/(VLOOKUP(Tabla1[[#This Row],[MEDICAMENTO]],TAB_REF!$K$3:$L$27,2,0))),"")</f>
        <v>0</v>
      </c>
      <c r="Z931" s="10" t="str">
        <f>IFERROR(VLOOKUP(Tabla1[[#This Row],[MEDICAMENTO]],TAB_REF!$B$3:$F$27,2,0), "")</f>
        <v xml:space="preserve">Hidromorfona HCl </v>
      </c>
      <c r="AA931" s="10" t="str">
        <f>IFERROR(VLOOKUP(Tabla1[[#This Row],[MEDICAMENTO]],TAB_REF!$B$3:$F$27,3,0), "")</f>
        <v xml:space="preserve">2,5 mg </v>
      </c>
      <c r="AB931" s="10" t="str">
        <f>IFERROR(VLOOKUP(Tabla1[[#This Row],[MEDICAMENTO]],TAB_REF!$B$3:$F$27,4,0), "")</f>
        <v>Tabletas</v>
      </c>
      <c r="AC931" s="10" t="str">
        <f>IFERROR(VLOOKUP(Tabla1[[#This Row],[MEDICAMENTO]],TAB_REF!$B$3:$F$27,5,0), "")</f>
        <v>Caja x 20 unidades</v>
      </c>
      <c r="AD931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932" spans="2:30" x14ac:dyDescent="0.25">
      <c r="B932" s="10">
        <v>384</v>
      </c>
      <c r="C932" s="10" t="s">
        <v>3798</v>
      </c>
      <c r="D932" s="10" t="s">
        <v>2182</v>
      </c>
      <c r="E932" s="10" t="s">
        <v>2445</v>
      </c>
      <c r="F932" s="10" t="s">
        <v>3799</v>
      </c>
      <c r="G932" s="10" t="s">
        <v>2447</v>
      </c>
      <c r="H932" s="10" t="s">
        <v>2448</v>
      </c>
      <c r="I932" s="10" t="s">
        <v>2129</v>
      </c>
      <c r="J932" s="10" t="s">
        <v>2011</v>
      </c>
      <c r="K932" s="10" t="s">
        <v>2449</v>
      </c>
      <c r="L932" s="11">
        <v>202124101241262</v>
      </c>
      <c r="M932" s="20">
        <v>44389</v>
      </c>
      <c r="N932" s="20" t="str">
        <f>UPPER(TEXT(Tabla1[[#This Row],[FECHA RADICADO ENTRADA]],"MMM"))</f>
        <v>JUL</v>
      </c>
      <c r="O932" s="11">
        <v>202124111116671</v>
      </c>
      <c r="P932" s="20">
        <v>44391</v>
      </c>
      <c r="Q932" s="20" t="str">
        <f>UPPER(TEXT(Tabla1[[#This Row],[FECHA RADICADO ENTRADA]],"MMM"))</f>
        <v>JUL</v>
      </c>
      <c r="R932" s="10">
        <f>_xlfn.DAYS(M932,P932)</f>
        <v>-2</v>
      </c>
      <c r="S932" s="10" t="s">
        <v>2145</v>
      </c>
      <c r="U932" s="10" t="s">
        <v>2450</v>
      </c>
      <c r="V932" s="20">
        <v>44186</v>
      </c>
      <c r="W932" s="10" t="s">
        <v>32</v>
      </c>
      <c r="Y932" s="11">
        <f>IFERROR(INT(Tabla1[[#This Row],[CANTIDAD UND FARMACEUTICAS]]/(VLOOKUP(Tabla1[[#This Row],[MEDICAMENTO]],TAB_REF!$K$3:$L$27,2,0))),"")</f>
        <v>0</v>
      </c>
      <c r="Z932" s="10" t="str">
        <f>IFERROR(VLOOKUP(Tabla1[[#This Row],[MEDICAMENTO]],TAB_REF!$B$3:$F$27,2,0), "")</f>
        <v xml:space="preserve">Fenobarbital </v>
      </c>
      <c r="AA932" s="10" t="str">
        <f>IFERROR(VLOOKUP(Tabla1[[#This Row],[MEDICAMENTO]],TAB_REF!$B$3:$F$27,3,0), "")</f>
        <v xml:space="preserve">100 mg </v>
      </c>
      <c r="AB932" s="10" t="str">
        <f>IFERROR(VLOOKUP(Tabla1[[#This Row],[MEDICAMENTO]],TAB_REF!$B$3:$F$27,4,0), "")</f>
        <v>Tabletas</v>
      </c>
      <c r="AC932" s="10" t="str">
        <f>IFERROR(VLOOKUP(Tabla1[[#This Row],[MEDICAMENTO]],TAB_REF!$B$3:$F$27,5,0), "")</f>
        <v>Caja x 30 unidades</v>
      </c>
      <c r="AD932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933" spans="2:30" x14ac:dyDescent="0.25">
      <c r="B933" s="10">
        <v>384</v>
      </c>
      <c r="C933" s="10" t="s">
        <v>3798</v>
      </c>
      <c r="D933" s="10" t="s">
        <v>2182</v>
      </c>
      <c r="E933" s="10" t="s">
        <v>2445</v>
      </c>
      <c r="F933" s="10" t="s">
        <v>3799</v>
      </c>
      <c r="G933" s="10" t="s">
        <v>2447</v>
      </c>
      <c r="H933" s="10" t="s">
        <v>2448</v>
      </c>
      <c r="I933" s="10" t="s">
        <v>2129</v>
      </c>
      <c r="J933" s="10" t="s">
        <v>2011</v>
      </c>
      <c r="K933" s="10" t="s">
        <v>2449</v>
      </c>
      <c r="L933" s="11">
        <v>202124101241262</v>
      </c>
      <c r="M933" s="20">
        <v>44389</v>
      </c>
      <c r="N933" s="20" t="str">
        <f>UPPER(TEXT(Tabla1[[#This Row],[FECHA RADICADO ENTRADA]],"MMM"))</f>
        <v>JUL</v>
      </c>
      <c r="O933" s="11">
        <v>202124111116671</v>
      </c>
      <c r="P933" s="20">
        <v>44391</v>
      </c>
      <c r="Q933" s="20" t="str">
        <f>UPPER(TEXT(Tabla1[[#This Row],[FECHA RADICADO ENTRADA]],"MMM"))</f>
        <v>JUL</v>
      </c>
      <c r="R933" s="10">
        <f t="shared" ref="R933:R935" si="41">_xlfn.DAYS(M933,P933)</f>
        <v>-2</v>
      </c>
      <c r="S933" s="10" t="s">
        <v>2145</v>
      </c>
      <c r="U933" s="10" t="s">
        <v>2450</v>
      </c>
      <c r="V933" s="20">
        <v>44186</v>
      </c>
      <c r="W933" s="10" t="s">
        <v>48</v>
      </c>
      <c r="Y933" s="11">
        <f>IFERROR(INT(Tabla1[[#This Row],[CANTIDAD UND FARMACEUTICAS]]/(VLOOKUP(Tabla1[[#This Row],[MEDICAMENTO]],TAB_REF!$K$3:$L$27,2,0))),"")</f>
        <v>0</v>
      </c>
      <c r="Z933" s="10" t="str">
        <f>IFERROR(VLOOKUP(Tabla1[[#This Row],[MEDICAMENTO]],TAB_REF!$B$3:$F$27,2,0), "")</f>
        <v xml:space="preserve">Metilfenidato HCl </v>
      </c>
      <c r="AA933" s="10" t="str">
        <f>IFERROR(VLOOKUP(Tabla1[[#This Row],[MEDICAMENTO]],TAB_REF!$B$3:$F$27,3,0), "")</f>
        <v xml:space="preserve">10 mg </v>
      </c>
      <c r="AB933" s="10" t="str">
        <f>IFERROR(VLOOKUP(Tabla1[[#This Row],[MEDICAMENTO]],TAB_REF!$B$3:$F$27,4,0), "")</f>
        <v>Comprimidos</v>
      </c>
      <c r="AC933" s="10" t="str">
        <f>IFERROR(VLOOKUP(Tabla1[[#This Row],[MEDICAMENTO]],TAB_REF!$B$3:$F$27,5,0), "")</f>
        <v>Caja x 30 unidades</v>
      </c>
      <c r="AD933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934" spans="2:30" x14ac:dyDescent="0.25">
      <c r="B934" s="10">
        <v>384</v>
      </c>
      <c r="C934" s="10" t="s">
        <v>3798</v>
      </c>
      <c r="D934" s="10" t="s">
        <v>2182</v>
      </c>
      <c r="E934" s="10" t="s">
        <v>2445</v>
      </c>
      <c r="F934" s="10" t="s">
        <v>3799</v>
      </c>
      <c r="G934" s="10" t="s">
        <v>2447</v>
      </c>
      <c r="H934" s="10" t="s">
        <v>2448</v>
      </c>
      <c r="I934" s="10" t="s">
        <v>2129</v>
      </c>
      <c r="J934" s="10" t="s">
        <v>2011</v>
      </c>
      <c r="K934" s="10" t="s">
        <v>2449</v>
      </c>
      <c r="L934" s="11">
        <v>202124101241262</v>
      </c>
      <c r="M934" s="20">
        <v>44389</v>
      </c>
      <c r="N934" s="20" t="str">
        <f>UPPER(TEXT(Tabla1[[#This Row],[FECHA RADICADO ENTRADA]],"MMM"))</f>
        <v>JUL</v>
      </c>
      <c r="O934" s="11">
        <v>202124111116671</v>
      </c>
      <c r="P934" s="20">
        <v>44391</v>
      </c>
      <c r="Q934" s="20" t="str">
        <f>UPPER(TEXT(Tabla1[[#This Row],[FECHA RADICADO ENTRADA]],"MMM"))</f>
        <v>JUL</v>
      </c>
      <c r="R934" s="10">
        <f t="shared" si="41"/>
        <v>-2</v>
      </c>
      <c r="S934" s="10" t="s">
        <v>2145</v>
      </c>
      <c r="U934" s="10" t="s">
        <v>2450</v>
      </c>
      <c r="V934" s="20">
        <v>44186</v>
      </c>
      <c r="W934" s="10" t="s">
        <v>60</v>
      </c>
      <c r="Y934" s="11">
        <f>IFERROR(INT(Tabla1[[#This Row],[CANTIDAD UND FARMACEUTICAS]]/(VLOOKUP(Tabla1[[#This Row],[MEDICAMENTO]],TAB_REF!$K$3:$L$27,2,0))),"")</f>
        <v>0</v>
      </c>
      <c r="Z934" s="10" t="str">
        <f>IFERROR(VLOOKUP(Tabla1[[#This Row],[MEDICAMENTO]],TAB_REF!$B$3:$F$27,2,0), "")</f>
        <v xml:space="preserve">Morfina HCl </v>
      </c>
      <c r="AA934" s="10" t="str">
        <f>IFERROR(VLOOKUP(Tabla1[[#This Row],[MEDICAMENTO]],TAB_REF!$B$3:$F$27,3,0), "")</f>
        <v xml:space="preserve">3%. </v>
      </c>
      <c r="AB934" s="10" t="str">
        <f>IFERROR(VLOOKUP(Tabla1[[#This Row],[MEDICAMENTO]],TAB_REF!$B$3:$F$27,4,0), "")</f>
        <v>Solución Oral</v>
      </c>
      <c r="AC934" s="10" t="str">
        <f>IFERROR(VLOOKUP(Tabla1[[#This Row],[MEDICAMENTO]],TAB_REF!$B$3:$F$27,5,0), "")</f>
        <v>Frasco x 30 mL</v>
      </c>
      <c r="AD934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935" spans="2:30" x14ac:dyDescent="0.25">
      <c r="B935" s="10">
        <v>384</v>
      </c>
      <c r="C935" s="10" t="s">
        <v>3798</v>
      </c>
      <c r="D935" s="10" t="s">
        <v>2182</v>
      </c>
      <c r="E935" s="10" t="s">
        <v>2445</v>
      </c>
      <c r="F935" s="10" t="s">
        <v>3799</v>
      </c>
      <c r="G935" s="10" t="s">
        <v>2447</v>
      </c>
      <c r="H935" s="10" t="s">
        <v>2448</v>
      </c>
      <c r="I935" s="10" t="s">
        <v>2129</v>
      </c>
      <c r="J935" s="10" t="s">
        <v>2011</v>
      </c>
      <c r="K935" s="10" t="s">
        <v>2449</v>
      </c>
      <c r="L935" s="11">
        <v>202124101241262</v>
      </c>
      <c r="M935" s="20">
        <v>44389</v>
      </c>
      <c r="N935" s="20" t="str">
        <f>UPPER(TEXT(Tabla1[[#This Row],[FECHA RADICADO ENTRADA]],"MMM"))</f>
        <v>JUL</v>
      </c>
      <c r="O935" s="11">
        <v>202124111116671</v>
      </c>
      <c r="P935" s="20">
        <v>44391</v>
      </c>
      <c r="Q935" s="20" t="str">
        <f>UPPER(TEXT(Tabla1[[#This Row],[FECHA RADICADO ENTRADA]],"MMM"))</f>
        <v>JUL</v>
      </c>
      <c r="R935" s="10">
        <f t="shared" si="41"/>
        <v>-2</v>
      </c>
      <c r="S935" s="10" t="s">
        <v>2145</v>
      </c>
      <c r="U935" s="10" t="s">
        <v>2450</v>
      </c>
      <c r="V935" s="20">
        <v>44186</v>
      </c>
      <c r="W935" s="10" t="s">
        <v>45</v>
      </c>
      <c r="Y935" s="11">
        <f>IFERROR(INT(Tabla1[[#This Row],[CANTIDAD UND FARMACEUTICAS]]/(VLOOKUP(Tabla1[[#This Row],[MEDICAMENTO]],TAB_REF!$K$3:$L$27,2,0))),"")</f>
        <v>0</v>
      </c>
      <c r="Z935" s="10" t="str">
        <f>IFERROR(VLOOKUP(Tabla1[[#This Row],[MEDICAMENTO]],TAB_REF!$B$3:$F$27,2,0), "")</f>
        <v xml:space="preserve">Metadona HCl </v>
      </c>
      <c r="AA935" s="10" t="str">
        <f>IFERROR(VLOOKUP(Tabla1[[#This Row],[MEDICAMENTO]],TAB_REF!$B$3:$F$27,3,0), "")</f>
        <v xml:space="preserve">10 mg </v>
      </c>
      <c r="AB935" s="10" t="str">
        <f>IFERROR(VLOOKUP(Tabla1[[#This Row],[MEDICAMENTO]],TAB_REF!$B$3:$F$27,4,0), "")</f>
        <v>Tabletas NACIONAL</v>
      </c>
      <c r="AC935" s="10" t="str">
        <f>IFERROR(VLOOKUP(Tabla1[[#This Row],[MEDICAMENTO]],TAB_REF!$B$3:$F$27,5,0), "")</f>
        <v>Caja x 30 unidades</v>
      </c>
      <c r="AD935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936" spans="2:30" x14ac:dyDescent="0.25">
      <c r="B936" s="10">
        <v>384</v>
      </c>
      <c r="C936" s="10" t="s">
        <v>3798</v>
      </c>
      <c r="D936" s="10" t="s">
        <v>2182</v>
      </c>
      <c r="E936" s="10" t="s">
        <v>2445</v>
      </c>
      <c r="F936" s="10" t="s">
        <v>3799</v>
      </c>
      <c r="G936" s="10" t="s">
        <v>2447</v>
      </c>
      <c r="H936" s="10" t="s">
        <v>2448</v>
      </c>
      <c r="I936" s="10" t="s">
        <v>2129</v>
      </c>
      <c r="J936" s="10" t="s">
        <v>2011</v>
      </c>
      <c r="K936" s="10" t="s">
        <v>2449</v>
      </c>
      <c r="L936" s="11">
        <v>202124101241262</v>
      </c>
      <c r="M936" s="20">
        <v>44389</v>
      </c>
      <c r="N936" s="20" t="str">
        <f>UPPER(TEXT(Tabla1[[#This Row],[FECHA RADICADO ENTRADA]],"MMM"))</f>
        <v>JUL</v>
      </c>
      <c r="O936" s="11">
        <v>202124111116671</v>
      </c>
      <c r="P936" s="20">
        <v>44391</v>
      </c>
      <c r="Q936" s="20" t="str">
        <f>UPPER(TEXT(Tabla1[[#This Row],[FECHA RADICADO ENTRADA]],"MMM"))</f>
        <v>JUL</v>
      </c>
      <c r="R936" s="10">
        <f>_xlfn.DAYS(M936,P936)</f>
        <v>-2</v>
      </c>
      <c r="S936" s="10" t="s">
        <v>2154</v>
      </c>
      <c r="U936" s="10" t="s">
        <v>2450</v>
      </c>
      <c r="V936" s="20">
        <v>44186</v>
      </c>
      <c r="W936" s="10" t="s">
        <v>63</v>
      </c>
      <c r="X936" s="10">
        <v>700</v>
      </c>
      <c r="Y936" s="11">
        <f>IFERROR(INT(Tabla1[[#This Row],[CANTIDAD UND FARMACEUTICAS]]/(VLOOKUP(Tabla1[[#This Row],[MEDICAMENTO]],TAB_REF!$K$3:$L$27,2,0))),"")</f>
        <v>70</v>
      </c>
      <c r="Z936" s="10" t="str">
        <f>IFERROR(VLOOKUP(Tabla1[[#This Row],[MEDICAMENTO]],TAB_REF!$B$3:$F$27,2,0), "")</f>
        <v xml:space="preserve">Morfina HCl </v>
      </c>
      <c r="AA936" s="10" t="str">
        <f>IFERROR(VLOOKUP(Tabla1[[#This Row],[MEDICAMENTO]],TAB_REF!$B$3:$F$27,3,0), "")</f>
        <v xml:space="preserve">10 mg/mL </v>
      </c>
      <c r="AB936" s="10" t="str">
        <f>IFERROR(VLOOKUP(Tabla1[[#This Row],[MEDICAMENTO]],TAB_REF!$B$3:$F$27,4,0), "")</f>
        <v>Solución Inyectable</v>
      </c>
      <c r="AC936" s="10" t="str">
        <f>IFERROR(VLOOKUP(Tabla1[[#This Row],[MEDICAMENTO]],TAB_REF!$B$3:$F$27,5,0), "")</f>
        <v>Caja x 10 unidades</v>
      </c>
      <c r="AD936" s="10" t="str">
        <f>IFERROR(VLOOKUP(Tabla1[[#This Row],[CANTIDAD UND COMERCIALES]],TAB_REF!$H$3:$I$1003,2,0)&amp;" ("&amp;Tabla1[[#This Row],[CANTIDAD UND COMERCIALES]]&amp;")"&amp;"_"&amp;Tabla1[[#This Row],[CANTIDAD]],"")</f>
        <v>Setenta (70)_Caja x 10 unidades</v>
      </c>
    </row>
    <row r="937" spans="2:30" x14ac:dyDescent="0.25">
      <c r="B937" s="10">
        <v>385</v>
      </c>
      <c r="C937" s="10" t="s">
        <v>3894</v>
      </c>
      <c r="D937" s="10" t="s">
        <v>3895</v>
      </c>
      <c r="E937" s="10" t="s">
        <v>3896</v>
      </c>
      <c r="F937" s="10" t="s">
        <v>3897</v>
      </c>
      <c r="G937" s="10" t="s">
        <v>3898</v>
      </c>
      <c r="H937" s="10" t="s">
        <v>3899</v>
      </c>
      <c r="I937" s="10" t="s">
        <v>2129</v>
      </c>
      <c r="J937" s="10" t="s">
        <v>2011</v>
      </c>
      <c r="K937" s="10" t="s">
        <v>3900</v>
      </c>
      <c r="L937" s="11">
        <v>202124101243712</v>
      </c>
      <c r="M937" s="20">
        <v>44389</v>
      </c>
      <c r="N937" s="20" t="str">
        <f>UPPER(TEXT(Tabla1[[#This Row],[FECHA RADICADO ENTRADA]],"MMM"))</f>
        <v>JUL</v>
      </c>
      <c r="O937" s="11">
        <v>202124111116701</v>
      </c>
      <c r="P937" s="20">
        <v>44391</v>
      </c>
      <c r="Q937" s="20" t="str">
        <f>UPPER(TEXT(Tabla1[[#This Row],[FECHA RADICADO ENTRADA]],"MMM"))</f>
        <v>JUL</v>
      </c>
      <c r="R937" s="10">
        <f>_xlfn.DAYS(M937,P937)</f>
        <v>-2</v>
      </c>
      <c r="S937" s="10" t="s">
        <v>2154</v>
      </c>
      <c r="U937" s="10" t="s">
        <v>3901</v>
      </c>
      <c r="V937" s="20">
        <v>43182</v>
      </c>
      <c r="W937" s="10" t="s">
        <v>63</v>
      </c>
      <c r="X937" s="10">
        <v>150</v>
      </c>
      <c r="Y937" s="11">
        <f>IFERROR(INT(Tabla1[[#This Row],[CANTIDAD UND FARMACEUTICAS]]/(VLOOKUP(Tabla1[[#This Row],[MEDICAMENTO]],TAB_REF!$K$3:$L$27,2,0))),"")</f>
        <v>15</v>
      </c>
      <c r="Z937" s="10" t="str">
        <f>IFERROR(VLOOKUP(Tabla1[[#This Row],[MEDICAMENTO]],TAB_REF!$B$3:$F$27,2,0), "")</f>
        <v xml:space="preserve">Morfina HCl </v>
      </c>
      <c r="AA937" s="10" t="str">
        <f>IFERROR(VLOOKUP(Tabla1[[#This Row],[MEDICAMENTO]],TAB_REF!$B$3:$F$27,3,0), "")</f>
        <v xml:space="preserve">10 mg/mL </v>
      </c>
      <c r="AB937" s="10" t="str">
        <f>IFERROR(VLOOKUP(Tabla1[[#This Row],[MEDICAMENTO]],TAB_REF!$B$3:$F$27,4,0), "")</f>
        <v>Solución Inyectable</v>
      </c>
      <c r="AC937" s="10" t="str">
        <f>IFERROR(VLOOKUP(Tabla1[[#This Row],[MEDICAMENTO]],TAB_REF!$B$3:$F$27,5,0), "")</f>
        <v>Caja x 10 unidades</v>
      </c>
      <c r="AD937" s="10" t="str">
        <f>IFERROR(VLOOKUP(Tabla1[[#This Row],[CANTIDAD UND COMERCIALES]],TAB_REF!$H$3:$I$1003,2,0)&amp;" ("&amp;Tabla1[[#This Row],[CANTIDAD UND COMERCIALES]]&amp;")"&amp;"_"&amp;Tabla1[[#This Row],[CANTIDAD]],"")</f>
        <v>Quince (15)_Caja x 10 unidades</v>
      </c>
    </row>
    <row r="938" spans="2:30" x14ac:dyDescent="0.25">
      <c r="B938" s="10">
        <v>386</v>
      </c>
      <c r="C938" s="10" t="s">
        <v>3117</v>
      </c>
      <c r="D938" s="10" t="s">
        <v>2312</v>
      </c>
      <c r="E938" s="10" t="s">
        <v>3118</v>
      </c>
      <c r="F938" s="10" t="s">
        <v>3678</v>
      </c>
      <c r="G938" s="10" t="s">
        <v>3114</v>
      </c>
      <c r="H938" s="10" t="s">
        <v>3679</v>
      </c>
      <c r="I938" s="10" t="s">
        <v>2123</v>
      </c>
      <c r="J938" s="10" t="s">
        <v>1770</v>
      </c>
      <c r="K938" s="10" t="s">
        <v>2947</v>
      </c>
      <c r="L938" s="11">
        <v>202124101245102</v>
      </c>
      <c r="M938" s="20">
        <v>44390</v>
      </c>
      <c r="N938" s="20" t="str">
        <f>UPPER(TEXT(Tabla1[[#This Row],[FECHA RADICADO ENTRADA]],"MMM"))</f>
        <v>JUL</v>
      </c>
      <c r="O938" s="11">
        <v>202124111116731</v>
      </c>
      <c r="P938" s="20">
        <v>44391</v>
      </c>
      <c r="Q938" s="20" t="str">
        <f>UPPER(TEXT(Tabla1[[#This Row],[FECHA RADICADO ENTRADA]],"MMM"))</f>
        <v>JUL</v>
      </c>
      <c r="R938" s="10">
        <f>_xlfn.DAYS(M938,P938)</f>
        <v>-1</v>
      </c>
      <c r="S938" s="10" t="s">
        <v>2154</v>
      </c>
      <c r="U938" s="10" t="s">
        <v>3121</v>
      </c>
      <c r="V938" s="20">
        <v>44281</v>
      </c>
      <c r="W938" s="10" t="s">
        <v>63</v>
      </c>
      <c r="X938" s="10">
        <v>1800</v>
      </c>
      <c r="Y938" s="11">
        <f>IFERROR(INT(Tabla1[[#This Row],[CANTIDAD UND FARMACEUTICAS]]/(VLOOKUP(Tabla1[[#This Row],[MEDICAMENTO]],TAB_REF!$K$3:$L$27,2,0))),"")</f>
        <v>180</v>
      </c>
      <c r="Z938" s="10" t="str">
        <f>IFERROR(VLOOKUP(Tabla1[[#This Row],[MEDICAMENTO]],TAB_REF!$B$3:$F$27,2,0), "")</f>
        <v xml:space="preserve">Morfina HCl </v>
      </c>
      <c r="AA938" s="10" t="str">
        <f>IFERROR(VLOOKUP(Tabla1[[#This Row],[MEDICAMENTO]],TAB_REF!$B$3:$F$27,3,0), "")</f>
        <v xml:space="preserve">10 mg/mL </v>
      </c>
      <c r="AB938" s="10" t="str">
        <f>IFERROR(VLOOKUP(Tabla1[[#This Row],[MEDICAMENTO]],TAB_REF!$B$3:$F$27,4,0), "")</f>
        <v>Solución Inyectable</v>
      </c>
      <c r="AC938" s="10" t="str">
        <f>IFERROR(VLOOKUP(Tabla1[[#This Row],[MEDICAMENTO]],TAB_REF!$B$3:$F$27,5,0), "")</f>
        <v>Caja x 10 unidades</v>
      </c>
      <c r="AD938" s="10" t="str">
        <f>IFERROR(VLOOKUP(Tabla1[[#This Row],[CANTIDAD UND COMERCIALES]],TAB_REF!$H$3:$I$1003,2,0)&amp;" ("&amp;Tabla1[[#This Row],[CANTIDAD UND COMERCIALES]]&amp;")"&amp;"_"&amp;Tabla1[[#This Row],[CANTIDAD]],"")</f>
        <v>Ciento Ochenta (180)_Caja x 10 unidades</v>
      </c>
    </row>
    <row r="939" spans="2:30" x14ac:dyDescent="0.25">
      <c r="B939" s="10">
        <v>386</v>
      </c>
      <c r="C939" s="10" t="s">
        <v>3117</v>
      </c>
      <c r="D939" s="10" t="s">
        <v>2312</v>
      </c>
      <c r="E939" s="10" t="s">
        <v>3118</v>
      </c>
      <c r="F939" s="10" t="s">
        <v>3678</v>
      </c>
      <c r="G939" s="10" t="s">
        <v>3114</v>
      </c>
      <c r="H939" s="10" t="s">
        <v>3679</v>
      </c>
      <c r="I939" s="10" t="s">
        <v>2123</v>
      </c>
      <c r="J939" s="10" t="s">
        <v>1770</v>
      </c>
      <c r="K939" s="10" t="s">
        <v>2947</v>
      </c>
      <c r="L939" s="11">
        <v>202124101245102</v>
      </c>
      <c r="M939" s="20">
        <v>44390</v>
      </c>
      <c r="N939" s="20" t="str">
        <f>UPPER(TEXT(Tabla1[[#This Row],[FECHA RADICADO ENTRADA]],"MMM"))</f>
        <v>JUL</v>
      </c>
      <c r="O939" s="11">
        <v>202124111116731</v>
      </c>
      <c r="P939" s="20">
        <v>44391</v>
      </c>
      <c r="Q939" s="20" t="str">
        <f>UPPER(TEXT(Tabla1[[#This Row],[FECHA RADICADO ENTRADA]],"MMM"))</f>
        <v>JUL</v>
      </c>
      <c r="R939" s="10">
        <f t="shared" ref="R939:R942" si="42">_xlfn.DAYS(M939,P939)</f>
        <v>-1</v>
      </c>
      <c r="S939" s="10" t="s">
        <v>2154</v>
      </c>
      <c r="U939" s="10" t="s">
        <v>3121</v>
      </c>
      <c r="V939" s="20">
        <v>44281</v>
      </c>
      <c r="W939" s="10" t="s">
        <v>60</v>
      </c>
      <c r="X939" s="10">
        <v>10</v>
      </c>
      <c r="Y939" s="11">
        <f>IFERROR(INT(Tabla1[[#This Row],[CANTIDAD UND FARMACEUTICAS]]/(VLOOKUP(Tabla1[[#This Row],[MEDICAMENTO]],TAB_REF!$K$3:$L$27,2,0))),"")</f>
        <v>10</v>
      </c>
      <c r="Z939" s="10" t="str">
        <f>IFERROR(VLOOKUP(Tabla1[[#This Row],[MEDICAMENTO]],TAB_REF!$B$3:$F$27,2,0), "")</f>
        <v xml:space="preserve">Morfina HCl </v>
      </c>
      <c r="AA939" s="10" t="str">
        <f>IFERROR(VLOOKUP(Tabla1[[#This Row],[MEDICAMENTO]],TAB_REF!$B$3:$F$27,3,0), "")</f>
        <v xml:space="preserve">3%. </v>
      </c>
      <c r="AB939" s="10" t="str">
        <f>IFERROR(VLOOKUP(Tabla1[[#This Row],[MEDICAMENTO]],TAB_REF!$B$3:$F$27,4,0), "")</f>
        <v>Solución Oral</v>
      </c>
      <c r="AC939" s="10" t="str">
        <f>IFERROR(VLOOKUP(Tabla1[[#This Row],[MEDICAMENTO]],TAB_REF!$B$3:$F$27,5,0), "")</f>
        <v>Frasco x 30 mL</v>
      </c>
      <c r="AD939" s="10" t="str">
        <f>IFERROR(VLOOKUP(Tabla1[[#This Row],[CANTIDAD UND COMERCIALES]],TAB_REF!$H$3:$I$1003,2,0)&amp;" ("&amp;Tabla1[[#This Row],[CANTIDAD UND COMERCIALES]]&amp;")"&amp;"_"&amp;Tabla1[[#This Row],[CANTIDAD]],"")</f>
        <v>Diez (10)_Frasco x 30 mL</v>
      </c>
    </row>
    <row r="940" spans="2:30" x14ac:dyDescent="0.25">
      <c r="B940" s="10">
        <v>386</v>
      </c>
      <c r="C940" s="10" t="s">
        <v>3117</v>
      </c>
      <c r="D940" s="10" t="s">
        <v>2312</v>
      </c>
      <c r="E940" s="10" t="s">
        <v>3118</v>
      </c>
      <c r="F940" s="10" t="s">
        <v>3678</v>
      </c>
      <c r="G940" s="10" t="s">
        <v>3114</v>
      </c>
      <c r="H940" s="10" t="s">
        <v>3679</v>
      </c>
      <c r="I940" s="10" t="s">
        <v>2123</v>
      </c>
      <c r="J940" s="10" t="s">
        <v>1770</v>
      </c>
      <c r="K940" s="10" t="s">
        <v>2947</v>
      </c>
      <c r="L940" s="11">
        <v>202124101245102</v>
      </c>
      <c r="M940" s="20">
        <v>44390</v>
      </c>
      <c r="N940" s="20" t="str">
        <f>UPPER(TEXT(Tabla1[[#This Row],[FECHA RADICADO ENTRADA]],"MMM"))</f>
        <v>JUL</v>
      </c>
      <c r="O940" s="11">
        <v>202124111116731</v>
      </c>
      <c r="P940" s="20">
        <v>44391</v>
      </c>
      <c r="Q940" s="20" t="str">
        <f>UPPER(TEXT(Tabla1[[#This Row],[FECHA RADICADO ENTRADA]],"MMM"))</f>
        <v>JUL</v>
      </c>
      <c r="R940" s="10">
        <f t="shared" si="42"/>
        <v>-1</v>
      </c>
      <c r="S940" s="10" t="s">
        <v>2154</v>
      </c>
      <c r="U940" s="10" t="s">
        <v>3121</v>
      </c>
      <c r="V940" s="20">
        <v>44281</v>
      </c>
      <c r="W940" s="10" t="s">
        <v>28</v>
      </c>
      <c r="X940" s="10">
        <v>15</v>
      </c>
      <c r="Y940" s="11">
        <f>IFERROR(INT(Tabla1[[#This Row],[CANTIDAD UND FARMACEUTICAS]]/(VLOOKUP(Tabla1[[#This Row],[MEDICAMENTO]],TAB_REF!$K$3:$L$27,2,0))),"")</f>
        <v>15</v>
      </c>
      <c r="Z940" s="10" t="str">
        <f>IFERROR(VLOOKUP(Tabla1[[#This Row],[MEDICAMENTO]],TAB_REF!$B$3:$F$27,2,0), "")</f>
        <v xml:space="preserve">Fenobarbital </v>
      </c>
      <c r="AA940" s="10" t="str">
        <f>IFERROR(VLOOKUP(Tabla1[[#This Row],[MEDICAMENTO]],TAB_REF!$B$3:$F$27,3,0), "")</f>
        <v xml:space="preserve">0,4%. </v>
      </c>
      <c r="AB940" s="10" t="str">
        <f>IFERROR(VLOOKUP(Tabla1[[#This Row],[MEDICAMENTO]],TAB_REF!$B$3:$F$27,4,0), "")</f>
        <v>Solución Oral</v>
      </c>
      <c r="AC940" s="10" t="str">
        <f>IFERROR(VLOOKUP(Tabla1[[#This Row],[MEDICAMENTO]],TAB_REF!$B$3:$F$27,5,0), "")</f>
        <v>Frasco x 120 mL</v>
      </c>
      <c r="AD940" s="10" t="str">
        <f>IFERROR(VLOOKUP(Tabla1[[#This Row],[CANTIDAD UND COMERCIALES]],TAB_REF!$H$3:$I$1003,2,0)&amp;" ("&amp;Tabla1[[#This Row],[CANTIDAD UND COMERCIALES]]&amp;")"&amp;"_"&amp;Tabla1[[#This Row],[CANTIDAD]],"")</f>
        <v>Quince (15)_Frasco x 120 mL</v>
      </c>
    </row>
    <row r="941" spans="2:30" x14ac:dyDescent="0.25">
      <c r="B941" s="10">
        <v>386</v>
      </c>
      <c r="C941" s="10" t="s">
        <v>3117</v>
      </c>
      <c r="D941" s="10" t="s">
        <v>2312</v>
      </c>
      <c r="E941" s="10" t="s">
        <v>3118</v>
      </c>
      <c r="F941" s="10" t="s">
        <v>3678</v>
      </c>
      <c r="G941" s="10" t="s">
        <v>3114</v>
      </c>
      <c r="H941" s="10" t="s">
        <v>3679</v>
      </c>
      <c r="I941" s="10" t="s">
        <v>2123</v>
      </c>
      <c r="J941" s="10" t="s">
        <v>1770</v>
      </c>
      <c r="K941" s="10" t="s">
        <v>2947</v>
      </c>
      <c r="L941" s="11">
        <v>202124101245102</v>
      </c>
      <c r="M941" s="20">
        <v>44390</v>
      </c>
      <c r="N941" s="20" t="str">
        <f>UPPER(TEXT(Tabla1[[#This Row],[FECHA RADICADO ENTRADA]],"MMM"))</f>
        <v>JUL</v>
      </c>
      <c r="O941" s="11">
        <v>202124111116731</v>
      </c>
      <c r="P941" s="20">
        <v>44391</v>
      </c>
      <c r="Q941" s="20" t="str">
        <f>UPPER(TEXT(Tabla1[[#This Row],[FECHA RADICADO ENTRADA]],"MMM"))</f>
        <v>JUL</v>
      </c>
      <c r="R941" s="10">
        <f t="shared" si="42"/>
        <v>-1</v>
      </c>
      <c r="S941" s="10" t="s">
        <v>2154</v>
      </c>
      <c r="U941" s="10" t="s">
        <v>3121</v>
      </c>
      <c r="V941" s="20">
        <v>44281</v>
      </c>
      <c r="W941" s="10" t="s">
        <v>33</v>
      </c>
      <c r="X941" s="10">
        <v>700</v>
      </c>
      <c r="Y941" s="11">
        <f>IFERROR(INT(Tabla1[[#This Row],[CANTIDAD UND FARMACEUTICAS]]/(VLOOKUP(Tabla1[[#This Row],[MEDICAMENTO]],TAB_REF!$K$3:$L$27,2,0))),"")</f>
        <v>23</v>
      </c>
      <c r="Z941" s="10" t="str">
        <f>IFERROR(VLOOKUP(Tabla1[[#This Row],[MEDICAMENTO]],TAB_REF!$B$3:$F$27,2,0), "")</f>
        <v xml:space="preserve">Fenobarbital </v>
      </c>
      <c r="AA941" s="10" t="str">
        <f>IFERROR(VLOOKUP(Tabla1[[#This Row],[MEDICAMENTO]],TAB_REF!$B$3:$F$27,3,0), "")</f>
        <v xml:space="preserve">50 mg </v>
      </c>
      <c r="AB941" s="10" t="str">
        <f>IFERROR(VLOOKUP(Tabla1[[#This Row],[MEDICAMENTO]],TAB_REF!$B$3:$F$27,4,0), "")</f>
        <v>Tabletas</v>
      </c>
      <c r="AC941" s="10" t="str">
        <f>IFERROR(VLOOKUP(Tabla1[[#This Row],[MEDICAMENTO]],TAB_REF!$B$3:$F$27,5,0), "")</f>
        <v>Caja x 30 unidades</v>
      </c>
      <c r="AD941" s="10" t="str">
        <f>IFERROR(VLOOKUP(Tabla1[[#This Row],[CANTIDAD UND COMERCIALES]],TAB_REF!$H$3:$I$1003,2,0)&amp;" ("&amp;Tabla1[[#This Row],[CANTIDAD UND COMERCIALES]]&amp;")"&amp;"_"&amp;Tabla1[[#This Row],[CANTIDAD]],"")</f>
        <v>Veintitres (23)_Caja x 30 unidades</v>
      </c>
    </row>
    <row r="942" spans="2:30" x14ac:dyDescent="0.25">
      <c r="B942" s="10">
        <v>386</v>
      </c>
      <c r="C942" s="10" t="s">
        <v>3117</v>
      </c>
      <c r="D942" s="10" t="s">
        <v>2312</v>
      </c>
      <c r="E942" s="10" t="s">
        <v>3118</v>
      </c>
      <c r="F942" s="10" t="s">
        <v>3678</v>
      </c>
      <c r="G942" s="10" t="s">
        <v>3114</v>
      </c>
      <c r="H942" s="10" t="s">
        <v>3679</v>
      </c>
      <c r="I942" s="10" t="s">
        <v>2123</v>
      </c>
      <c r="J942" s="10" t="s">
        <v>1770</v>
      </c>
      <c r="K942" s="10" t="s">
        <v>2947</v>
      </c>
      <c r="L942" s="11">
        <v>202124101245102</v>
      </c>
      <c r="M942" s="20">
        <v>44390</v>
      </c>
      <c r="N942" s="20" t="str">
        <f>UPPER(TEXT(Tabla1[[#This Row],[FECHA RADICADO ENTRADA]],"MMM"))</f>
        <v>JUL</v>
      </c>
      <c r="O942" s="11">
        <v>202124111116731</v>
      </c>
      <c r="P942" s="20">
        <v>44391</v>
      </c>
      <c r="Q942" s="20" t="str">
        <f>UPPER(TEXT(Tabla1[[#This Row],[FECHA RADICADO ENTRADA]],"MMM"))</f>
        <v>JUL</v>
      </c>
      <c r="R942" s="10">
        <f t="shared" si="42"/>
        <v>-1</v>
      </c>
      <c r="S942" s="10" t="s">
        <v>2154</v>
      </c>
      <c r="U942" s="10" t="s">
        <v>3121</v>
      </c>
      <c r="V942" s="20">
        <v>44281</v>
      </c>
      <c r="W942" s="10" t="s">
        <v>32</v>
      </c>
      <c r="X942" s="10">
        <v>800</v>
      </c>
      <c r="Y942" s="11">
        <f>IFERROR(INT(Tabla1[[#This Row],[CANTIDAD UND FARMACEUTICAS]]/(VLOOKUP(Tabla1[[#This Row],[MEDICAMENTO]],TAB_REF!$K$3:$L$27,2,0))),"")</f>
        <v>26</v>
      </c>
      <c r="Z942" s="10" t="str">
        <f>IFERROR(VLOOKUP(Tabla1[[#This Row],[MEDICAMENTO]],TAB_REF!$B$3:$F$27,2,0), "")</f>
        <v xml:space="preserve">Fenobarbital </v>
      </c>
      <c r="AA942" s="10" t="str">
        <f>IFERROR(VLOOKUP(Tabla1[[#This Row],[MEDICAMENTO]],TAB_REF!$B$3:$F$27,3,0), "")</f>
        <v xml:space="preserve">100 mg </v>
      </c>
      <c r="AB942" s="10" t="str">
        <f>IFERROR(VLOOKUP(Tabla1[[#This Row],[MEDICAMENTO]],TAB_REF!$B$3:$F$27,4,0), "")</f>
        <v>Tabletas</v>
      </c>
      <c r="AC942" s="10" t="str">
        <f>IFERROR(VLOOKUP(Tabla1[[#This Row],[MEDICAMENTO]],TAB_REF!$B$3:$F$27,5,0), "")</f>
        <v>Caja x 30 unidades</v>
      </c>
      <c r="AD942" s="10" t="str">
        <f>IFERROR(VLOOKUP(Tabla1[[#This Row],[CANTIDAD UND COMERCIALES]],TAB_REF!$H$3:$I$1003,2,0)&amp;" ("&amp;Tabla1[[#This Row],[CANTIDAD UND COMERCIALES]]&amp;")"&amp;"_"&amp;Tabla1[[#This Row],[CANTIDAD]],"")</f>
        <v>Veintiseis (26)_Caja x 30 unidades</v>
      </c>
    </row>
    <row r="943" spans="2:30" x14ac:dyDescent="0.25">
      <c r="B943" s="10">
        <v>387</v>
      </c>
      <c r="C943" s="10" t="s">
        <v>3902</v>
      </c>
      <c r="D943" s="10" t="s">
        <v>3199</v>
      </c>
      <c r="E943" s="10" t="s">
        <v>3903</v>
      </c>
      <c r="F943" s="10" t="s">
        <v>3682</v>
      </c>
      <c r="G943" s="10" t="s">
        <v>3555</v>
      </c>
      <c r="H943" s="10" t="s">
        <v>3904</v>
      </c>
      <c r="I943" s="10" t="s">
        <v>2122</v>
      </c>
      <c r="J943" s="10" t="s">
        <v>1742</v>
      </c>
      <c r="K943" s="10" t="s">
        <v>3557</v>
      </c>
      <c r="L943" s="11">
        <v>202124101245532</v>
      </c>
      <c r="M943" s="20">
        <v>44390</v>
      </c>
      <c r="N943" s="20" t="str">
        <f>UPPER(TEXT(Tabla1[[#This Row],[FECHA RADICADO ENTRADA]],"MMM"))</f>
        <v>JUL</v>
      </c>
      <c r="O943" s="11">
        <v>202124111116751</v>
      </c>
      <c r="P943" s="20">
        <v>44391</v>
      </c>
      <c r="Q943" s="20" t="str">
        <f>UPPER(TEXT(Tabla1[[#This Row],[FECHA RADICADO ENTRADA]],"MMM"))</f>
        <v>JUL</v>
      </c>
      <c r="R943" s="10">
        <f>_xlfn.DAYS(M943,P943)</f>
        <v>-1</v>
      </c>
      <c r="S943" s="10" t="s">
        <v>2154</v>
      </c>
      <c r="U943" s="10" t="s">
        <v>3905</v>
      </c>
      <c r="V943" s="20">
        <v>44306</v>
      </c>
      <c r="W943" s="10" t="s">
        <v>63</v>
      </c>
      <c r="X943" s="10">
        <v>300</v>
      </c>
      <c r="Y943" s="11">
        <f>IFERROR(INT(Tabla1[[#This Row],[CANTIDAD UND FARMACEUTICAS]]/(VLOOKUP(Tabla1[[#This Row],[MEDICAMENTO]],TAB_REF!$K$3:$L$27,2,0))),"")</f>
        <v>30</v>
      </c>
      <c r="Z943" s="10" t="str">
        <f>IFERROR(VLOOKUP(Tabla1[[#This Row],[MEDICAMENTO]],TAB_REF!$B$3:$F$27,2,0), "")</f>
        <v xml:space="preserve">Morfina HCl </v>
      </c>
      <c r="AA943" s="10" t="str">
        <f>IFERROR(VLOOKUP(Tabla1[[#This Row],[MEDICAMENTO]],TAB_REF!$B$3:$F$27,3,0), "")</f>
        <v xml:space="preserve">10 mg/mL </v>
      </c>
      <c r="AB943" s="10" t="str">
        <f>IFERROR(VLOOKUP(Tabla1[[#This Row],[MEDICAMENTO]],TAB_REF!$B$3:$F$27,4,0), "")</f>
        <v>Solución Inyectable</v>
      </c>
      <c r="AC943" s="10" t="str">
        <f>IFERROR(VLOOKUP(Tabla1[[#This Row],[MEDICAMENTO]],TAB_REF!$B$3:$F$27,5,0), "")</f>
        <v>Caja x 10 unidades</v>
      </c>
      <c r="AD943" s="10" t="str">
        <f>IFERROR(VLOOKUP(Tabla1[[#This Row],[CANTIDAD UND COMERCIALES]],TAB_REF!$H$3:$I$1003,2,0)&amp;" ("&amp;Tabla1[[#This Row],[CANTIDAD UND COMERCIALES]]&amp;")"&amp;"_"&amp;Tabla1[[#This Row],[CANTIDAD]],"")</f>
        <v>Treinta (30)_Caja x 10 unidades</v>
      </c>
    </row>
    <row r="944" spans="2:30" x14ac:dyDescent="0.25">
      <c r="B944" s="10">
        <v>387</v>
      </c>
      <c r="C944" s="10" t="s">
        <v>3902</v>
      </c>
      <c r="D944" s="10" t="s">
        <v>3199</v>
      </c>
      <c r="E944" s="10" t="s">
        <v>3903</v>
      </c>
      <c r="F944" s="10" t="s">
        <v>3682</v>
      </c>
      <c r="G944" s="10" t="s">
        <v>3555</v>
      </c>
      <c r="H944" s="10" t="s">
        <v>3904</v>
      </c>
      <c r="I944" s="10" t="s">
        <v>2122</v>
      </c>
      <c r="J944" s="10" t="s">
        <v>1742</v>
      </c>
      <c r="K944" s="10" t="s">
        <v>3557</v>
      </c>
      <c r="L944" s="11">
        <v>202124101245532</v>
      </c>
      <c r="M944" s="20">
        <v>44390</v>
      </c>
      <c r="N944" s="20" t="str">
        <f>UPPER(TEXT(Tabla1[[#This Row],[FECHA RADICADO ENTRADA]],"MMM"))</f>
        <v>JUL</v>
      </c>
      <c r="O944" s="11">
        <v>202124111116751</v>
      </c>
      <c r="P944" s="20">
        <v>44391</v>
      </c>
      <c r="Q944" s="20" t="str">
        <f>UPPER(TEXT(Tabla1[[#This Row],[FECHA RADICADO ENTRADA]],"MMM"))</f>
        <v>JUL</v>
      </c>
      <c r="R944" s="10">
        <f t="shared" ref="R944:R945" si="43">_xlfn.DAYS(M944,P944)</f>
        <v>-1</v>
      </c>
      <c r="S944" s="10" t="s">
        <v>2154</v>
      </c>
      <c r="U944" s="10" t="s">
        <v>3905</v>
      </c>
      <c r="V944" s="20">
        <v>44306</v>
      </c>
      <c r="W944" s="10" t="s">
        <v>34</v>
      </c>
      <c r="X944" s="10">
        <v>100</v>
      </c>
      <c r="Y944" s="11">
        <f>IFERROR(INT(Tabla1[[#This Row],[CANTIDAD UND FARMACEUTICAS]]/(VLOOKUP(Tabla1[[#This Row],[MEDICAMENTO]],TAB_REF!$K$3:$L$27,2,0))),"")</f>
        <v>10</v>
      </c>
      <c r="Z944" s="10" t="str">
        <f>IFERROR(VLOOKUP(Tabla1[[#This Row],[MEDICAMENTO]],TAB_REF!$B$3:$F$27,2,0), "")</f>
        <v xml:space="preserve">Fenobarbital Sódico </v>
      </c>
      <c r="AA944" s="10" t="str">
        <f>IFERROR(VLOOKUP(Tabla1[[#This Row],[MEDICAMENTO]],TAB_REF!$B$3:$F$27,3,0), "")</f>
        <v xml:space="preserve">200 mg/Ml </v>
      </c>
      <c r="AB944" s="10" t="str">
        <f>IFERROR(VLOOKUP(Tabla1[[#This Row],[MEDICAMENTO]],TAB_REF!$B$3:$F$27,4,0), "")</f>
        <v>Solución Inyectable</v>
      </c>
      <c r="AC944" s="10" t="str">
        <f>IFERROR(VLOOKUP(Tabla1[[#This Row],[MEDICAMENTO]],TAB_REF!$B$3:$F$27,5,0), "")</f>
        <v>Caja x 10 unidades</v>
      </c>
      <c r="AD944" s="10" t="str">
        <f>IFERROR(VLOOKUP(Tabla1[[#This Row],[CANTIDAD UND COMERCIALES]],TAB_REF!$H$3:$I$1003,2,0)&amp;" ("&amp;Tabla1[[#This Row],[CANTIDAD UND COMERCIALES]]&amp;")"&amp;"_"&amp;Tabla1[[#This Row],[CANTIDAD]],"")</f>
        <v>Diez (10)_Caja x 10 unidades</v>
      </c>
    </row>
    <row r="945" spans="2:30" x14ac:dyDescent="0.25">
      <c r="B945" s="10">
        <v>387</v>
      </c>
      <c r="C945" s="10" t="s">
        <v>3902</v>
      </c>
      <c r="D945" s="10" t="s">
        <v>3199</v>
      </c>
      <c r="E945" s="10" t="s">
        <v>3903</v>
      </c>
      <c r="F945" s="10" t="s">
        <v>3682</v>
      </c>
      <c r="G945" s="10" t="s">
        <v>3555</v>
      </c>
      <c r="H945" s="10" t="s">
        <v>3904</v>
      </c>
      <c r="I945" s="10" t="s">
        <v>2122</v>
      </c>
      <c r="J945" s="10" t="s">
        <v>1742</v>
      </c>
      <c r="K945" s="10" t="s">
        <v>3557</v>
      </c>
      <c r="L945" s="11">
        <v>202124101245532</v>
      </c>
      <c r="M945" s="20">
        <v>44390</v>
      </c>
      <c r="N945" s="20" t="str">
        <f>UPPER(TEXT(Tabla1[[#This Row],[FECHA RADICADO ENTRADA]],"MMM"))</f>
        <v>JUL</v>
      </c>
      <c r="O945" s="11">
        <v>202124111116751</v>
      </c>
      <c r="P945" s="20">
        <v>44391</v>
      </c>
      <c r="Q945" s="20" t="str">
        <f>UPPER(TEXT(Tabla1[[#This Row],[FECHA RADICADO ENTRADA]],"MMM"))</f>
        <v>JUL</v>
      </c>
      <c r="R945" s="10">
        <f t="shared" si="43"/>
        <v>-1</v>
      </c>
      <c r="S945" s="10" t="s">
        <v>2154</v>
      </c>
      <c r="U945" s="10" t="s">
        <v>3905</v>
      </c>
      <c r="V945" s="20">
        <v>44306</v>
      </c>
      <c r="W945" s="10" t="s">
        <v>36</v>
      </c>
      <c r="X945" s="10">
        <v>50</v>
      </c>
      <c r="Y945" s="11">
        <f>IFERROR(INT(Tabla1[[#This Row],[CANTIDAD UND FARMACEUTICAS]]/(VLOOKUP(Tabla1[[#This Row],[MEDICAMENTO]],TAB_REF!$K$3:$L$27,2,0))),"")</f>
        <v>5</v>
      </c>
      <c r="Z945" s="10" t="str">
        <f>IFERROR(VLOOKUP(Tabla1[[#This Row],[MEDICAMENTO]],TAB_REF!$B$3:$F$27,2,0), "")</f>
        <v xml:space="preserve">Fenobarbital Sódico </v>
      </c>
      <c r="AA945" s="10" t="str">
        <f>IFERROR(VLOOKUP(Tabla1[[#This Row],[MEDICAMENTO]],TAB_REF!$B$3:$F$27,3,0), "")</f>
        <v xml:space="preserve">40 mg/mL </v>
      </c>
      <c r="AB945" s="10" t="str">
        <f>IFERROR(VLOOKUP(Tabla1[[#This Row],[MEDICAMENTO]],TAB_REF!$B$3:$F$27,4,0), "")</f>
        <v>Solución Inyectable</v>
      </c>
      <c r="AC945" s="10" t="str">
        <f>IFERROR(VLOOKUP(Tabla1[[#This Row],[MEDICAMENTO]],TAB_REF!$B$3:$F$27,5,0), "")</f>
        <v>Caja x 10 unidades</v>
      </c>
      <c r="AD945" s="10" t="str">
        <f>IFERROR(VLOOKUP(Tabla1[[#This Row],[CANTIDAD UND COMERCIALES]],TAB_REF!$H$3:$I$1003,2,0)&amp;" ("&amp;Tabla1[[#This Row],[CANTIDAD UND COMERCIALES]]&amp;")"&amp;"_"&amp;Tabla1[[#This Row],[CANTIDAD]],"")</f>
        <v>Cinco (5)_Caja x 10 unidades</v>
      </c>
    </row>
    <row r="946" spans="2:30" x14ac:dyDescent="0.25">
      <c r="B946" s="10">
        <v>388</v>
      </c>
      <c r="C946" s="10" t="s">
        <v>3798</v>
      </c>
      <c r="D946" s="10" t="s">
        <v>2182</v>
      </c>
      <c r="E946" s="10" t="s">
        <v>2445</v>
      </c>
      <c r="F946" s="10" t="s">
        <v>3799</v>
      </c>
      <c r="G946" s="10" t="s">
        <v>2447</v>
      </c>
      <c r="H946" s="10" t="s">
        <v>2448</v>
      </c>
      <c r="I946" s="10" t="s">
        <v>2129</v>
      </c>
      <c r="J946" s="10" t="s">
        <v>2011</v>
      </c>
      <c r="K946" s="10" t="s">
        <v>2449</v>
      </c>
      <c r="L946" s="11">
        <v>202124101248152</v>
      </c>
      <c r="M946" s="20">
        <v>44389</v>
      </c>
      <c r="N946" s="20" t="str">
        <f>UPPER(TEXT(Tabla1[[#This Row],[FECHA RADICADO ENTRADA]],"MMM"))</f>
        <v>JUL</v>
      </c>
      <c r="O946" s="11"/>
      <c r="Q946" s="20" t="str">
        <f>UPPER(TEXT(Tabla1[[#This Row],[FECHA RADICADO ENTRADA]],"MMM"))</f>
        <v>JUL</v>
      </c>
      <c r="R946" s="10">
        <f>_xlfn.DAYS(M946,P946)</f>
        <v>44389</v>
      </c>
      <c r="S946" s="10" t="s">
        <v>2154</v>
      </c>
      <c r="T946" s="10" t="s">
        <v>3906</v>
      </c>
      <c r="U946" s="10" t="s">
        <v>2450</v>
      </c>
      <c r="V946" s="20">
        <v>44186</v>
      </c>
      <c r="Y946" s="11" t="str">
        <f>IFERROR(INT(Tabla1[[#This Row],[CANTIDAD UND FARMACEUTICAS]]/(VLOOKUP(Tabla1[[#This Row],[MEDICAMENTO]],TAB_REF!$K$3:$L$27,2,0))),"")</f>
        <v/>
      </c>
      <c r="Z946" s="10" t="str">
        <f>IFERROR(VLOOKUP(Tabla1[[#This Row],[MEDICAMENTO]],TAB_REF!$B$3:$F$27,2,0), "")</f>
        <v/>
      </c>
      <c r="AA946" s="10" t="str">
        <f>IFERROR(VLOOKUP(Tabla1[[#This Row],[MEDICAMENTO]],TAB_REF!$B$3:$F$27,3,0), "")</f>
        <v/>
      </c>
      <c r="AB946" s="10" t="str">
        <f>IFERROR(VLOOKUP(Tabla1[[#This Row],[MEDICAMENTO]],TAB_REF!$B$3:$F$27,4,0), "")</f>
        <v/>
      </c>
      <c r="AC946" s="10" t="str">
        <f>IFERROR(VLOOKUP(Tabla1[[#This Row],[MEDICAMENTO]],TAB_REF!$B$3:$F$27,5,0), "")</f>
        <v/>
      </c>
      <c r="AD946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947" spans="2:30" x14ac:dyDescent="0.25">
      <c r="B947" s="10">
        <v>389</v>
      </c>
      <c r="C947" s="10" t="s">
        <v>2333</v>
      </c>
      <c r="D947" s="10" t="s">
        <v>2162</v>
      </c>
      <c r="E947" s="10" t="s">
        <v>2334</v>
      </c>
      <c r="F947" s="10" t="s">
        <v>3907</v>
      </c>
      <c r="G947" s="10" t="s">
        <v>2336</v>
      </c>
      <c r="H947" s="10" t="s">
        <v>3908</v>
      </c>
      <c r="I947" s="10" t="s">
        <v>2116</v>
      </c>
      <c r="J947" s="10" t="s">
        <v>1550</v>
      </c>
      <c r="K947" s="10" t="s">
        <v>3909</v>
      </c>
      <c r="L947" s="11">
        <v>202124101255762</v>
      </c>
      <c r="M947" s="20">
        <v>44391</v>
      </c>
      <c r="N947" s="20" t="str">
        <f>UPPER(TEXT(Tabla1[[#This Row],[FECHA RADICADO ENTRADA]],"MMM"))</f>
        <v>JUL</v>
      </c>
      <c r="O947" s="11">
        <v>202124111135821</v>
      </c>
      <c r="P947" s="20">
        <v>44396</v>
      </c>
      <c r="Q947" s="20" t="str">
        <f>UPPER(TEXT(Tabla1[[#This Row],[FECHA RADICADO ENTRADA]],"MMM"))</f>
        <v>JUL</v>
      </c>
      <c r="R947" s="10">
        <f>_xlfn.DAYS(M947,P947)</f>
        <v>-5</v>
      </c>
      <c r="S947" s="10" t="s">
        <v>2145</v>
      </c>
      <c r="U947" s="10" t="s">
        <v>2339</v>
      </c>
      <c r="V947" s="20">
        <v>43962</v>
      </c>
      <c r="W947" s="10" t="s">
        <v>60</v>
      </c>
      <c r="X947" s="10">
        <v>20</v>
      </c>
      <c r="Y947" s="11">
        <f>IFERROR(INT(Tabla1[[#This Row],[CANTIDAD UND FARMACEUTICAS]]/(VLOOKUP(Tabla1[[#This Row],[MEDICAMENTO]],TAB_REF!$K$3:$L$27,2,0))),"")</f>
        <v>20</v>
      </c>
      <c r="Z947" s="10" t="str">
        <f>IFERROR(VLOOKUP(Tabla1[[#This Row],[MEDICAMENTO]],TAB_REF!$B$3:$F$27,2,0), "")</f>
        <v xml:space="preserve">Morfina HCl </v>
      </c>
      <c r="AA947" s="10" t="str">
        <f>IFERROR(VLOOKUP(Tabla1[[#This Row],[MEDICAMENTO]],TAB_REF!$B$3:$F$27,3,0), "")</f>
        <v xml:space="preserve">3%. </v>
      </c>
      <c r="AB947" s="10" t="str">
        <f>IFERROR(VLOOKUP(Tabla1[[#This Row],[MEDICAMENTO]],TAB_REF!$B$3:$F$27,4,0), "")</f>
        <v>Solución Oral</v>
      </c>
      <c r="AC947" s="10" t="str">
        <f>IFERROR(VLOOKUP(Tabla1[[#This Row],[MEDICAMENTO]],TAB_REF!$B$3:$F$27,5,0), "")</f>
        <v>Frasco x 30 mL</v>
      </c>
      <c r="AD947" s="10" t="str">
        <f>IFERROR(VLOOKUP(Tabla1[[#This Row],[CANTIDAD UND COMERCIALES]],TAB_REF!$H$3:$I$1003,2,0)&amp;" ("&amp;Tabla1[[#This Row],[CANTIDAD UND COMERCIALES]]&amp;")"&amp;"_"&amp;Tabla1[[#This Row],[CANTIDAD]],"")</f>
        <v>Veinte (20)_Frasco x 30 mL</v>
      </c>
    </row>
    <row r="948" spans="2:30" x14ac:dyDescent="0.25">
      <c r="B948" s="10">
        <v>389</v>
      </c>
      <c r="C948" s="10" t="s">
        <v>2333</v>
      </c>
      <c r="D948" s="10" t="s">
        <v>2162</v>
      </c>
      <c r="E948" s="10" t="s">
        <v>2334</v>
      </c>
      <c r="F948" s="10" t="s">
        <v>3907</v>
      </c>
      <c r="G948" s="10" t="s">
        <v>2336</v>
      </c>
      <c r="H948" s="10" t="s">
        <v>3908</v>
      </c>
      <c r="I948" s="10" t="s">
        <v>2116</v>
      </c>
      <c r="J948" s="10" t="s">
        <v>1550</v>
      </c>
      <c r="K948" s="10" t="s">
        <v>3909</v>
      </c>
      <c r="L948" s="11">
        <v>202124101255762</v>
      </c>
      <c r="M948" s="20">
        <v>44391</v>
      </c>
      <c r="N948" s="20" t="str">
        <f>UPPER(TEXT(Tabla1[[#This Row],[FECHA RADICADO ENTRADA]],"MMM"))</f>
        <v>JUL</v>
      </c>
      <c r="O948" s="11">
        <v>202124111135821</v>
      </c>
      <c r="P948" s="20">
        <v>44396</v>
      </c>
      <c r="Q948" s="20" t="str">
        <f>UPPER(TEXT(Tabla1[[#This Row],[FECHA RADICADO ENTRADA]],"MMM"))</f>
        <v>JUL</v>
      </c>
      <c r="R948" s="10">
        <f t="shared" ref="R948:R951" si="44">_xlfn.DAYS(M948,P948)</f>
        <v>-5</v>
      </c>
      <c r="S948" s="10" t="s">
        <v>2145</v>
      </c>
      <c r="U948" s="10" t="s">
        <v>2339</v>
      </c>
      <c r="V948" s="20">
        <v>43962</v>
      </c>
      <c r="W948" s="10" t="s">
        <v>48</v>
      </c>
      <c r="X948" s="10">
        <v>900</v>
      </c>
      <c r="Y948" s="11">
        <f>IFERROR(INT(Tabla1[[#This Row],[CANTIDAD UND FARMACEUTICAS]]/(VLOOKUP(Tabla1[[#This Row],[MEDICAMENTO]],TAB_REF!$K$3:$L$27,2,0))),"")</f>
        <v>30</v>
      </c>
      <c r="Z948" s="10" t="str">
        <f>IFERROR(VLOOKUP(Tabla1[[#This Row],[MEDICAMENTO]],TAB_REF!$B$3:$F$27,2,0), "")</f>
        <v xml:space="preserve">Metilfenidato HCl </v>
      </c>
      <c r="AA948" s="10" t="str">
        <f>IFERROR(VLOOKUP(Tabla1[[#This Row],[MEDICAMENTO]],TAB_REF!$B$3:$F$27,3,0), "")</f>
        <v xml:space="preserve">10 mg </v>
      </c>
      <c r="AB948" s="10" t="str">
        <f>IFERROR(VLOOKUP(Tabla1[[#This Row],[MEDICAMENTO]],TAB_REF!$B$3:$F$27,4,0), "")</f>
        <v>Comprimidos</v>
      </c>
      <c r="AC948" s="10" t="str">
        <f>IFERROR(VLOOKUP(Tabla1[[#This Row],[MEDICAMENTO]],TAB_REF!$B$3:$F$27,5,0), "")</f>
        <v>Caja x 30 unidades</v>
      </c>
      <c r="AD948" s="10" t="str">
        <f>IFERROR(VLOOKUP(Tabla1[[#This Row],[CANTIDAD UND COMERCIALES]],TAB_REF!$H$3:$I$1003,2,0)&amp;" ("&amp;Tabla1[[#This Row],[CANTIDAD UND COMERCIALES]]&amp;")"&amp;"_"&amp;Tabla1[[#This Row],[CANTIDAD]],"")</f>
        <v>Treinta (30)_Caja x 30 unidades</v>
      </c>
    </row>
    <row r="949" spans="2:30" x14ac:dyDescent="0.25">
      <c r="B949" s="10">
        <v>389</v>
      </c>
      <c r="C949" s="10" t="s">
        <v>2333</v>
      </c>
      <c r="D949" s="10" t="s">
        <v>2162</v>
      </c>
      <c r="E949" s="10" t="s">
        <v>2334</v>
      </c>
      <c r="F949" s="10" t="s">
        <v>3907</v>
      </c>
      <c r="G949" s="10" t="s">
        <v>2336</v>
      </c>
      <c r="H949" s="10" t="s">
        <v>3908</v>
      </c>
      <c r="I949" s="10" t="s">
        <v>2116</v>
      </c>
      <c r="J949" s="10" t="s">
        <v>1550</v>
      </c>
      <c r="K949" s="10" t="s">
        <v>3909</v>
      </c>
      <c r="L949" s="11">
        <v>202124101255762</v>
      </c>
      <c r="M949" s="20">
        <v>44391</v>
      </c>
      <c r="N949" s="20" t="str">
        <f>UPPER(TEXT(Tabla1[[#This Row],[FECHA RADICADO ENTRADA]],"MMM"))</f>
        <v>JUL</v>
      </c>
      <c r="O949" s="11">
        <v>202124111135821</v>
      </c>
      <c r="P949" s="20">
        <v>44396</v>
      </c>
      <c r="Q949" s="20" t="str">
        <f>UPPER(TEXT(Tabla1[[#This Row],[FECHA RADICADO ENTRADA]],"MMM"))</f>
        <v>JUL</v>
      </c>
      <c r="R949" s="10">
        <f t="shared" si="44"/>
        <v>-5</v>
      </c>
      <c r="S949" s="10" t="s">
        <v>2145</v>
      </c>
      <c r="U949" s="10" t="s">
        <v>2339</v>
      </c>
      <c r="V949" s="20">
        <v>43962</v>
      </c>
      <c r="W949" s="10" t="s">
        <v>37</v>
      </c>
      <c r="X949" s="10">
        <v>10</v>
      </c>
      <c r="Y949" s="11">
        <f>IFERROR(INT(Tabla1[[#This Row],[CANTIDAD UND FARMACEUTICAS]]/(VLOOKUP(Tabla1[[#This Row],[MEDICAMENTO]],TAB_REF!$K$3:$L$27,2,0))),"")</f>
        <v>1</v>
      </c>
      <c r="Z949" s="10" t="str">
        <f>IFERROR(VLOOKUP(Tabla1[[#This Row],[MEDICAMENTO]],TAB_REF!$B$3:$F$27,2,0), "")</f>
        <v xml:space="preserve">Hidromorfona HCl </v>
      </c>
      <c r="AA949" s="10" t="str">
        <f>IFERROR(VLOOKUP(Tabla1[[#This Row],[MEDICAMENTO]],TAB_REF!$B$3:$F$27,3,0), "")</f>
        <v xml:space="preserve">2 mg/mL </v>
      </c>
      <c r="AB949" s="10" t="str">
        <f>IFERROR(VLOOKUP(Tabla1[[#This Row],[MEDICAMENTO]],TAB_REF!$B$3:$F$27,4,0), "")</f>
        <v>Solución Inyectable</v>
      </c>
      <c r="AC949" s="10" t="str">
        <f>IFERROR(VLOOKUP(Tabla1[[#This Row],[MEDICAMENTO]],TAB_REF!$B$3:$F$27,5,0), "")</f>
        <v>Caja x 10 unidades</v>
      </c>
      <c r="AD949" s="10" t="str">
        <f>IFERROR(VLOOKUP(Tabla1[[#This Row],[CANTIDAD UND COMERCIALES]],TAB_REF!$H$3:$I$1003,2,0)&amp;" ("&amp;Tabla1[[#This Row],[CANTIDAD UND COMERCIALES]]&amp;")"&amp;"_"&amp;Tabla1[[#This Row],[CANTIDAD]],"")</f>
        <v>Uno (1)_Caja x 10 unidades</v>
      </c>
    </row>
    <row r="950" spans="2:30" x14ac:dyDescent="0.25">
      <c r="B950" s="10">
        <v>389</v>
      </c>
      <c r="C950" s="10" t="s">
        <v>2333</v>
      </c>
      <c r="D950" s="10" t="s">
        <v>2162</v>
      </c>
      <c r="E950" s="10" t="s">
        <v>2334</v>
      </c>
      <c r="F950" s="10" t="s">
        <v>3907</v>
      </c>
      <c r="G950" s="10" t="s">
        <v>2336</v>
      </c>
      <c r="H950" s="10" t="s">
        <v>3908</v>
      </c>
      <c r="I950" s="10" t="s">
        <v>2116</v>
      </c>
      <c r="J950" s="10" t="s">
        <v>1550</v>
      </c>
      <c r="K950" s="10" t="s">
        <v>3909</v>
      </c>
      <c r="L950" s="11">
        <v>202124101255762</v>
      </c>
      <c r="M950" s="20">
        <v>44391</v>
      </c>
      <c r="N950" s="20" t="str">
        <f>UPPER(TEXT(Tabla1[[#This Row],[FECHA RADICADO ENTRADA]],"MMM"))</f>
        <v>JUL</v>
      </c>
      <c r="O950" s="11">
        <v>202124111135821</v>
      </c>
      <c r="P950" s="20">
        <v>44396</v>
      </c>
      <c r="Q950" s="20" t="str">
        <f>UPPER(TEXT(Tabla1[[#This Row],[FECHA RADICADO ENTRADA]],"MMM"))</f>
        <v>JUL</v>
      </c>
      <c r="R950" s="10">
        <f t="shared" si="44"/>
        <v>-5</v>
      </c>
      <c r="S950" s="10" t="s">
        <v>2145</v>
      </c>
      <c r="U950" s="10" t="s">
        <v>2339</v>
      </c>
      <c r="V950" s="20">
        <v>43962</v>
      </c>
      <c r="W950" s="10" t="s">
        <v>63</v>
      </c>
      <c r="X950" s="10">
        <v>200</v>
      </c>
      <c r="Y950" s="11">
        <f>IFERROR(INT(Tabla1[[#This Row],[CANTIDAD UND FARMACEUTICAS]]/(VLOOKUP(Tabla1[[#This Row],[MEDICAMENTO]],TAB_REF!$K$3:$L$27,2,0))),"")</f>
        <v>20</v>
      </c>
      <c r="Z950" s="10" t="str">
        <f>IFERROR(VLOOKUP(Tabla1[[#This Row],[MEDICAMENTO]],TAB_REF!$B$3:$F$27,2,0), "")</f>
        <v xml:space="preserve">Morfina HCl </v>
      </c>
      <c r="AA950" s="10" t="str">
        <f>IFERROR(VLOOKUP(Tabla1[[#This Row],[MEDICAMENTO]],TAB_REF!$B$3:$F$27,3,0), "")</f>
        <v xml:space="preserve">10 mg/mL </v>
      </c>
      <c r="AB950" s="10" t="str">
        <f>IFERROR(VLOOKUP(Tabla1[[#This Row],[MEDICAMENTO]],TAB_REF!$B$3:$F$27,4,0), "")</f>
        <v>Solución Inyectable</v>
      </c>
      <c r="AC950" s="10" t="str">
        <f>IFERROR(VLOOKUP(Tabla1[[#This Row],[MEDICAMENTO]],TAB_REF!$B$3:$F$27,5,0), "")</f>
        <v>Caja x 10 unidades</v>
      </c>
      <c r="AD950" s="10" t="str">
        <f>IFERROR(VLOOKUP(Tabla1[[#This Row],[CANTIDAD UND COMERCIALES]],TAB_REF!$H$3:$I$1003,2,0)&amp;" ("&amp;Tabla1[[#This Row],[CANTIDAD UND COMERCIALES]]&amp;")"&amp;"_"&amp;Tabla1[[#This Row],[CANTIDAD]],"")</f>
        <v>Veinte (20)_Caja x 10 unidades</v>
      </c>
    </row>
    <row r="951" spans="2:30" x14ac:dyDescent="0.25">
      <c r="B951" s="10">
        <v>390</v>
      </c>
      <c r="C951" s="10" t="s">
        <v>3031</v>
      </c>
      <c r="D951" s="10" t="s">
        <v>2175</v>
      </c>
      <c r="E951" s="10" t="s">
        <v>3032</v>
      </c>
      <c r="F951" s="10" t="s">
        <v>3910</v>
      </c>
      <c r="G951" s="10" t="s">
        <v>3034</v>
      </c>
      <c r="H951" s="10" t="s">
        <v>3035</v>
      </c>
      <c r="I951" s="10" t="s">
        <v>2123</v>
      </c>
      <c r="J951" s="10" t="s">
        <v>1132</v>
      </c>
      <c r="K951" s="10" t="s">
        <v>3911</v>
      </c>
      <c r="L951" s="11">
        <v>202124101255902</v>
      </c>
      <c r="M951" s="20">
        <v>44391</v>
      </c>
      <c r="N951" s="20" t="str">
        <f>UPPER(TEXT(Tabla1[[#This Row],[FECHA RADICADO ENTRADA]],"MMM"))</f>
        <v>JUL</v>
      </c>
      <c r="O951" s="11">
        <v>202124111135901</v>
      </c>
      <c r="P951" s="20">
        <v>44396</v>
      </c>
      <c r="Q951" s="20" t="str">
        <f>UPPER(TEXT(Tabla1[[#This Row],[FECHA RADICADO ENTRADA]],"MMM"))</f>
        <v>JUL</v>
      </c>
      <c r="R951" s="10">
        <f t="shared" si="44"/>
        <v>-5</v>
      </c>
      <c r="S951" s="10" t="s">
        <v>2154</v>
      </c>
      <c r="U951" s="10" t="s">
        <v>3912</v>
      </c>
      <c r="V951" s="20">
        <v>42649</v>
      </c>
      <c r="W951" s="10" t="s">
        <v>36</v>
      </c>
      <c r="X951" s="10">
        <v>150</v>
      </c>
      <c r="Y951" s="11">
        <f>IFERROR(INT(Tabla1[[#This Row],[CANTIDAD UND FARMACEUTICAS]]/(VLOOKUP(Tabla1[[#This Row],[MEDICAMENTO]],TAB_REF!$K$3:$L$27,2,0))),"")</f>
        <v>15</v>
      </c>
      <c r="Z951" s="10" t="str">
        <f>IFERROR(VLOOKUP(Tabla1[[#This Row],[MEDICAMENTO]],TAB_REF!$B$3:$F$27,2,0), "")</f>
        <v xml:space="preserve">Fenobarbital Sódico </v>
      </c>
      <c r="AA951" s="10" t="str">
        <f>IFERROR(VLOOKUP(Tabla1[[#This Row],[MEDICAMENTO]],TAB_REF!$B$3:$F$27,3,0), "")</f>
        <v xml:space="preserve">40 mg/mL </v>
      </c>
      <c r="AB951" s="10" t="str">
        <f>IFERROR(VLOOKUP(Tabla1[[#This Row],[MEDICAMENTO]],TAB_REF!$B$3:$F$27,4,0), "")</f>
        <v>Solución Inyectable</v>
      </c>
      <c r="AC951" s="10" t="str">
        <f>IFERROR(VLOOKUP(Tabla1[[#This Row],[MEDICAMENTO]],TAB_REF!$B$3:$F$27,5,0), "")</f>
        <v>Caja x 10 unidades</v>
      </c>
      <c r="AD951" s="10" t="str">
        <f>IFERROR(VLOOKUP(Tabla1[[#This Row],[CANTIDAD UND COMERCIALES]],TAB_REF!$H$3:$I$1003,2,0)&amp;" ("&amp;Tabla1[[#This Row],[CANTIDAD UND COMERCIALES]]&amp;")"&amp;"_"&amp;Tabla1[[#This Row],[CANTIDAD]],"")</f>
        <v>Quince (15)_Caja x 10 unidades</v>
      </c>
    </row>
    <row r="952" spans="2:30" x14ac:dyDescent="0.25">
      <c r="B952" s="10">
        <v>390</v>
      </c>
      <c r="C952" s="10" t="s">
        <v>3031</v>
      </c>
      <c r="D952" s="10" t="s">
        <v>2175</v>
      </c>
      <c r="E952" s="10" t="s">
        <v>3032</v>
      </c>
      <c r="F952" s="10" t="s">
        <v>3910</v>
      </c>
      <c r="G952" s="10" t="s">
        <v>3034</v>
      </c>
      <c r="H952" s="10" t="s">
        <v>3035</v>
      </c>
      <c r="I952" s="10" t="s">
        <v>2123</v>
      </c>
      <c r="J952" s="10" t="s">
        <v>1132</v>
      </c>
      <c r="K952" s="10" t="s">
        <v>3911</v>
      </c>
      <c r="L952" s="11">
        <v>202124101255902</v>
      </c>
      <c r="M952" s="20">
        <v>44391</v>
      </c>
      <c r="N952" s="20" t="str">
        <f>UPPER(TEXT(Tabla1[[#This Row],[FECHA RADICADO ENTRADA]],"MMM"))</f>
        <v>JUL</v>
      </c>
      <c r="O952" s="11">
        <v>202124111135901</v>
      </c>
      <c r="P952" s="20">
        <v>44396</v>
      </c>
      <c r="Q952" s="20" t="str">
        <f>UPPER(TEXT(Tabla1[[#This Row],[FECHA RADICADO ENTRADA]],"MMM"))</f>
        <v>JUL</v>
      </c>
      <c r="R952" s="10">
        <f t="shared" ref="R952:R954" si="45">_xlfn.DAYS(M952,P952)</f>
        <v>-5</v>
      </c>
      <c r="S952" s="10" t="s">
        <v>2154</v>
      </c>
      <c r="U952" s="10" t="s">
        <v>3912</v>
      </c>
      <c r="V952" s="20">
        <v>42649</v>
      </c>
      <c r="W952" s="10" t="s">
        <v>32</v>
      </c>
      <c r="X952" s="10">
        <v>600</v>
      </c>
      <c r="Y952" s="11">
        <f>IFERROR(INT(Tabla1[[#This Row],[CANTIDAD UND FARMACEUTICAS]]/(VLOOKUP(Tabla1[[#This Row],[MEDICAMENTO]],TAB_REF!$K$3:$L$27,2,0))),"")</f>
        <v>20</v>
      </c>
      <c r="Z952" s="10" t="str">
        <f>IFERROR(VLOOKUP(Tabla1[[#This Row],[MEDICAMENTO]],TAB_REF!$B$3:$F$27,2,0), "")</f>
        <v xml:space="preserve">Fenobarbital </v>
      </c>
      <c r="AA952" s="10" t="str">
        <f>IFERROR(VLOOKUP(Tabla1[[#This Row],[MEDICAMENTO]],TAB_REF!$B$3:$F$27,3,0), "")</f>
        <v xml:space="preserve">100 mg </v>
      </c>
      <c r="AB952" s="10" t="str">
        <f>IFERROR(VLOOKUP(Tabla1[[#This Row],[MEDICAMENTO]],TAB_REF!$B$3:$F$27,4,0), "")</f>
        <v>Tabletas</v>
      </c>
      <c r="AC952" s="10" t="str">
        <f>IFERROR(VLOOKUP(Tabla1[[#This Row],[MEDICAMENTO]],TAB_REF!$B$3:$F$27,5,0), "")</f>
        <v>Caja x 30 unidades</v>
      </c>
      <c r="AD952" s="10" t="str">
        <f>IFERROR(VLOOKUP(Tabla1[[#This Row],[CANTIDAD UND COMERCIALES]],TAB_REF!$H$3:$I$1003,2,0)&amp;" ("&amp;Tabla1[[#This Row],[CANTIDAD UND COMERCIALES]]&amp;")"&amp;"_"&amp;Tabla1[[#This Row],[CANTIDAD]],"")</f>
        <v>Veinte (20)_Caja x 30 unidades</v>
      </c>
    </row>
    <row r="953" spans="2:30" x14ac:dyDescent="0.25">
      <c r="B953" s="10">
        <v>390</v>
      </c>
      <c r="C953" s="10" t="s">
        <v>3031</v>
      </c>
      <c r="D953" s="10" t="s">
        <v>2175</v>
      </c>
      <c r="E953" s="10" t="s">
        <v>3032</v>
      </c>
      <c r="F953" s="10" t="s">
        <v>3910</v>
      </c>
      <c r="G953" s="10" t="s">
        <v>3034</v>
      </c>
      <c r="H953" s="10" t="s">
        <v>3035</v>
      </c>
      <c r="I953" s="10" t="s">
        <v>2123</v>
      </c>
      <c r="J953" s="10" t="s">
        <v>1132</v>
      </c>
      <c r="K953" s="10" t="s">
        <v>3911</v>
      </c>
      <c r="L953" s="11">
        <v>202124101255902</v>
      </c>
      <c r="M953" s="20">
        <v>44391</v>
      </c>
      <c r="N953" s="20" t="str">
        <f>UPPER(TEXT(Tabla1[[#This Row],[FECHA RADICADO ENTRADA]],"MMM"))</f>
        <v>JUL</v>
      </c>
      <c r="O953" s="11">
        <v>202124111135901</v>
      </c>
      <c r="P953" s="20">
        <v>44396</v>
      </c>
      <c r="Q953" s="20" t="str">
        <f>UPPER(TEXT(Tabla1[[#This Row],[FECHA RADICADO ENTRADA]],"MMM"))</f>
        <v>JUL</v>
      </c>
      <c r="R953" s="10">
        <f t="shared" si="45"/>
        <v>-5</v>
      </c>
      <c r="S953" s="10" t="s">
        <v>2154</v>
      </c>
      <c r="U953" s="10" t="s">
        <v>3912</v>
      </c>
      <c r="V953" s="20">
        <v>42649</v>
      </c>
      <c r="W953" s="10" t="s">
        <v>63</v>
      </c>
      <c r="X953" s="10">
        <v>400</v>
      </c>
      <c r="Y953" s="11">
        <f>IFERROR(INT(Tabla1[[#This Row],[CANTIDAD UND FARMACEUTICAS]]/(VLOOKUP(Tabla1[[#This Row],[MEDICAMENTO]],TAB_REF!$K$3:$L$27,2,0))),"")</f>
        <v>40</v>
      </c>
      <c r="Z953" s="10" t="str">
        <f>IFERROR(VLOOKUP(Tabla1[[#This Row],[MEDICAMENTO]],TAB_REF!$B$3:$F$27,2,0), "")</f>
        <v xml:space="preserve">Morfina HCl </v>
      </c>
      <c r="AA953" s="10" t="str">
        <f>IFERROR(VLOOKUP(Tabla1[[#This Row],[MEDICAMENTO]],TAB_REF!$B$3:$F$27,3,0), "")</f>
        <v xml:space="preserve">10 mg/mL </v>
      </c>
      <c r="AB953" s="10" t="str">
        <f>IFERROR(VLOOKUP(Tabla1[[#This Row],[MEDICAMENTO]],TAB_REF!$B$3:$F$27,4,0), "")</f>
        <v>Solución Inyectable</v>
      </c>
      <c r="AC953" s="10" t="str">
        <f>IFERROR(VLOOKUP(Tabla1[[#This Row],[MEDICAMENTO]],TAB_REF!$B$3:$F$27,5,0), "")</f>
        <v>Caja x 10 unidades</v>
      </c>
      <c r="AD953" s="10" t="str">
        <f>IFERROR(VLOOKUP(Tabla1[[#This Row],[CANTIDAD UND COMERCIALES]],TAB_REF!$H$3:$I$1003,2,0)&amp;" ("&amp;Tabla1[[#This Row],[CANTIDAD UND COMERCIALES]]&amp;")"&amp;"_"&amp;Tabla1[[#This Row],[CANTIDAD]],"")</f>
        <v>Cuarenta (40)_Caja x 10 unidades</v>
      </c>
    </row>
    <row r="954" spans="2:30" x14ac:dyDescent="0.25">
      <c r="B954" s="10">
        <v>390</v>
      </c>
      <c r="C954" s="10" t="s">
        <v>3031</v>
      </c>
      <c r="D954" s="10" t="s">
        <v>2175</v>
      </c>
      <c r="E954" s="10" t="s">
        <v>3032</v>
      </c>
      <c r="F954" s="10" t="s">
        <v>3910</v>
      </c>
      <c r="G954" s="10" t="s">
        <v>3034</v>
      </c>
      <c r="H954" s="10" t="s">
        <v>3035</v>
      </c>
      <c r="I954" s="10" t="s">
        <v>2123</v>
      </c>
      <c r="J954" s="10" t="s">
        <v>1132</v>
      </c>
      <c r="K954" s="10" t="s">
        <v>3911</v>
      </c>
      <c r="L954" s="11">
        <v>202124101255902</v>
      </c>
      <c r="M954" s="20">
        <v>44391</v>
      </c>
      <c r="N954" s="20" t="str">
        <f>UPPER(TEXT(Tabla1[[#This Row],[FECHA RADICADO ENTRADA]],"MMM"))</f>
        <v>JUL</v>
      </c>
      <c r="O954" s="11">
        <v>202124111135901</v>
      </c>
      <c r="P954" s="20">
        <v>44396</v>
      </c>
      <c r="Q954" s="20" t="str">
        <f>UPPER(TEXT(Tabla1[[#This Row],[FECHA RADICADO ENTRADA]],"MMM"))</f>
        <v>JUL</v>
      </c>
      <c r="R954" s="10">
        <f t="shared" si="45"/>
        <v>-5</v>
      </c>
      <c r="S954" s="10" t="s">
        <v>2154</v>
      </c>
      <c r="U954" s="10" t="s">
        <v>3912</v>
      </c>
      <c r="V954" s="20">
        <v>42649</v>
      </c>
      <c r="W954" s="10" t="s">
        <v>41</v>
      </c>
      <c r="X954" s="10">
        <v>100</v>
      </c>
      <c r="Y954" s="11">
        <f>IFERROR(INT(Tabla1[[#This Row],[CANTIDAD UND FARMACEUTICAS]]/(VLOOKUP(Tabla1[[#This Row],[MEDICAMENTO]],TAB_REF!$K$3:$L$27,2,0))),"")</f>
        <v>10</v>
      </c>
      <c r="Z954" s="10" t="str">
        <f>IFERROR(VLOOKUP(Tabla1[[#This Row],[MEDICAMENTO]],TAB_REF!$B$3:$F$27,2,0), "")</f>
        <v xml:space="preserve">Meperidina HCl </v>
      </c>
      <c r="AA954" s="10" t="str">
        <f>IFERROR(VLOOKUP(Tabla1[[#This Row],[MEDICAMENTO]],TAB_REF!$B$3:$F$27,3,0), "")</f>
        <v xml:space="preserve">100 mg/2mL </v>
      </c>
      <c r="AB954" s="10" t="str">
        <f>IFERROR(VLOOKUP(Tabla1[[#This Row],[MEDICAMENTO]],TAB_REF!$B$3:$F$27,4,0), "")</f>
        <v>Solución Inyectable</v>
      </c>
      <c r="AC954" s="10" t="str">
        <f>IFERROR(VLOOKUP(Tabla1[[#This Row],[MEDICAMENTO]],TAB_REF!$B$3:$F$27,5,0), "")</f>
        <v>Caja 10 ampollas</v>
      </c>
      <c r="AD954" s="10" t="str">
        <f>IFERROR(VLOOKUP(Tabla1[[#This Row],[CANTIDAD UND COMERCIALES]],TAB_REF!$H$3:$I$1003,2,0)&amp;" ("&amp;Tabla1[[#This Row],[CANTIDAD UND COMERCIALES]]&amp;")"&amp;"_"&amp;Tabla1[[#This Row],[CANTIDAD]],"")</f>
        <v>Diez (10)_Caja 10 ampollas</v>
      </c>
    </row>
    <row r="955" spans="2:30" x14ac:dyDescent="0.25">
      <c r="B955" s="10">
        <v>391</v>
      </c>
      <c r="C955" s="10" t="s">
        <v>3913</v>
      </c>
      <c r="D955" s="10" t="s">
        <v>2175</v>
      </c>
      <c r="E955" s="10" t="s">
        <v>3914</v>
      </c>
      <c r="F955" s="10" t="s">
        <v>3915</v>
      </c>
      <c r="G955" s="10" t="s">
        <v>3916</v>
      </c>
      <c r="H955" s="10" t="s">
        <v>3917</v>
      </c>
      <c r="I955" s="10" t="s">
        <v>2107</v>
      </c>
      <c r="J955" s="10" t="s">
        <v>1212</v>
      </c>
      <c r="K955" s="10" t="s">
        <v>3918</v>
      </c>
      <c r="L955" s="11">
        <v>202124101261132</v>
      </c>
      <c r="M955" s="20">
        <v>44391</v>
      </c>
      <c r="N955" s="20" t="str">
        <f>UPPER(TEXT(Tabla1[[#This Row],[FECHA RADICADO ENTRADA]],"MMM"))</f>
        <v>JUL</v>
      </c>
      <c r="O955" s="11">
        <v>202124111117161</v>
      </c>
      <c r="P955" s="20">
        <v>44391</v>
      </c>
      <c r="Q955" s="20" t="str">
        <f>UPPER(TEXT(Tabla1[[#This Row],[FECHA RADICADO ENTRADA]],"MMM"))</f>
        <v>JUL</v>
      </c>
      <c r="R955" s="10">
        <f t="shared" ref="R955:R972" si="46">_xlfn.DAYS(M955,P955)</f>
        <v>0</v>
      </c>
      <c r="S955" s="10" t="s">
        <v>2154</v>
      </c>
      <c r="U955" s="10" t="s">
        <v>3919</v>
      </c>
      <c r="V955" s="20">
        <v>43098</v>
      </c>
      <c r="W955" s="10" t="s">
        <v>63</v>
      </c>
      <c r="X955" s="10">
        <v>2000</v>
      </c>
      <c r="Y955" s="11">
        <f>IFERROR(INT(Tabla1[[#This Row],[CANTIDAD UND FARMACEUTICAS]]/(VLOOKUP(Tabla1[[#This Row],[MEDICAMENTO]],TAB_REF!$K$3:$L$27,2,0))),"")</f>
        <v>200</v>
      </c>
      <c r="Z955" s="10" t="str">
        <f>IFERROR(VLOOKUP(Tabla1[[#This Row],[MEDICAMENTO]],TAB_REF!$B$3:$F$27,2,0), "")</f>
        <v xml:space="preserve">Morfina HCl </v>
      </c>
      <c r="AA955" s="10" t="str">
        <f>IFERROR(VLOOKUP(Tabla1[[#This Row],[MEDICAMENTO]],TAB_REF!$B$3:$F$27,3,0), "")</f>
        <v xml:space="preserve">10 mg/mL </v>
      </c>
      <c r="AB955" s="10" t="str">
        <f>IFERROR(VLOOKUP(Tabla1[[#This Row],[MEDICAMENTO]],TAB_REF!$B$3:$F$27,4,0), "")</f>
        <v>Solución Inyectable</v>
      </c>
      <c r="AC955" s="10" t="str">
        <f>IFERROR(VLOOKUP(Tabla1[[#This Row],[MEDICAMENTO]],TAB_REF!$B$3:$F$27,5,0), "")</f>
        <v>Caja x 10 unidades</v>
      </c>
      <c r="AD955" s="10" t="str">
        <f>IFERROR(VLOOKUP(Tabla1[[#This Row],[CANTIDAD UND COMERCIALES]],TAB_REF!$H$3:$I$1003,2,0)&amp;" ("&amp;Tabla1[[#This Row],[CANTIDAD UND COMERCIALES]]&amp;")"&amp;"_"&amp;Tabla1[[#This Row],[CANTIDAD]],"")</f>
        <v>Doscientos (200)_Caja x 10 unidades</v>
      </c>
    </row>
    <row r="956" spans="2:30" x14ac:dyDescent="0.25">
      <c r="B956" s="10">
        <v>391</v>
      </c>
      <c r="C956" s="10" t="s">
        <v>3913</v>
      </c>
      <c r="D956" s="10" t="s">
        <v>2175</v>
      </c>
      <c r="E956" s="10" t="s">
        <v>3914</v>
      </c>
      <c r="F956" s="10" t="s">
        <v>3915</v>
      </c>
      <c r="G956" s="10" t="s">
        <v>3916</v>
      </c>
      <c r="H956" s="10" t="s">
        <v>3917</v>
      </c>
      <c r="I956" s="10" t="s">
        <v>2107</v>
      </c>
      <c r="J956" s="10" t="s">
        <v>1212</v>
      </c>
      <c r="K956" s="10" t="s">
        <v>3918</v>
      </c>
      <c r="L956" s="11">
        <v>202124101261132</v>
      </c>
      <c r="M956" s="20">
        <v>44391</v>
      </c>
      <c r="N956" s="20" t="str">
        <f>UPPER(TEXT(Tabla1[[#This Row],[FECHA RADICADO ENTRADA]],"MMM"))</f>
        <v>JUL</v>
      </c>
      <c r="O956" s="11">
        <v>202124111117161</v>
      </c>
      <c r="P956" s="20">
        <v>44391</v>
      </c>
      <c r="Q956" s="20" t="str">
        <f>UPPER(TEXT(Tabla1[[#This Row],[FECHA RADICADO ENTRADA]],"MMM"))</f>
        <v>JUL</v>
      </c>
      <c r="R956" s="10">
        <f t="shared" ref="R956" si="47">_xlfn.DAYS(M956,P956)</f>
        <v>0</v>
      </c>
      <c r="S956" s="10" t="s">
        <v>2154</v>
      </c>
      <c r="U956" s="10" t="s">
        <v>3919</v>
      </c>
      <c r="V956" s="20">
        <v>43098</v>
      </c>
      <c r="W956" s="10" t="s">
        <v>60</v>
      </c>
      <c r="X956" s="10">
        <v>10</v>
      </c>
      <c r="Y956" s="11">
        <f>IFERROR(INT(Tabla1[[#This Row],[CANTIDAD UND FARMACEUTICAS]]/(VLOOKUP(Tabla1[[#This Row],[MEDICAMENTO]],TAB_REF!$K$3:$L$27,2,0))),"")</f>
        <v>10</v>
      </c>
      <c r="Z956" s="10" t="str">
        <f>IFERROR(VLOOKUP(Tabla1[[#This Row],[MEDICAMENTO]],TAB_REF!$B$3:$F$27,2,0), "")</f>
        <v xml:space="preserve">Morfina HCl </v>
      </c>
      <c r="AA956" s="10" t="str">
        <f>IFERROR(VLOOKUP(Tabla1[[#This Row],[MEDICAMENTO]],TAB_REF!$B$3:$F$27,3,0), "")</f>
        <v xml:space="preserve">3%. </v>
      </c>
      <c r="AB956" s="10" t="str">
        <f>IFERROR(VLOOKUP(Tabla1[[#This Row],[MEDICAMENTO]],TAB_REF!$B$3:$F$27,4,0), "")</f>
        <v>Solución Oral</v>
      </c>
      <c r="AC956" s="10" t="str">
        <f>IFERROR(VLOOKUP(Tabla1[[#This Row],[MEDICAMENTO]],TAB_REF!$B$3:$F$27,5,0), "")</f>
        <v>Frasco x 30 mL</v>
      </c>
      <c r="AD956" s="10" t="str">
        <f>IFERROR(VLOOKUP(Tabla1[[#This Row],[CANTIDAD UND COMERCIALES]],TAB_REF!$H$3:$I$1003,2,0)&amp;" ("&amp;Tabla1[[#This Row],[CANTIDAD UND COMERCIALES]]&amp;")"&amp;"_"&amp;Tabla1[[#This Row],[CANTIDAD]],"")</f>
        <v>Diez (10)_Frasco x 30 mL</v>
      </c>
    </row>
    <row r="957" spans="2:30" x14ac:dyDescent="0.25">
      <c r="B957" s="10">
        <v>392</v>
      </c>
      <c r="C957" s="10" t="s">
        <v>3800</v>
      </c>
      <c r="D957" s="10" t="s">
        <v>2182</v>
      </c>
      <c r="E957" s="10" t="s">
        <v>3801</v>
      </c>
      <c r="F957" s="10" t="s">
        <v>3723</v>
      </c>
      <c r="G957" s="10" t="s">
        <v>3061</v>
      </c>
      <c r="H957" s="10" t="s">
        <v>3920</v>
      </c>
      <c r="I957" s="10" t="s">
        <v>1068</v>
      </c>
      <c r="J957" s="10" t="s">
        <v>1068</v>
      </c>
      <c r="K957" s="10" t="s">
        <v>3921</v>
      </c>
      <c r="L957" s="11">
        <v>202124101256642</v>
      </c>
      <c r="M957" s="20">
        <v>44391</v>
      </c>
      <c r="N957" s="20" t="str">
        <f>UPPER(TEXT(Tabla1[[#This Row],[FECHA RADICADO ENTRADA]],"MMM"))</f>
        <v>JUL</v>
      </c>
      <c r="O957" s="11">
        <v>202124111136331</v>
      </c>
      <c r="P957" s="20">
        <v>44396</v>
      </c>
      <c r="Q957" s="20" t="str">
        <f>UPPER(TEXT(Tabla1[[#This Row],[FECHA RADICADO ENTRADA]],"MMM"))</f>
        <v>JUL</v>
      </c>
      <c r="R957" s="10">
        <f t="shared" si="46"/>
        <v>-5</v>
      </c>
      <c r="T957" s="10" t="s">
        <v>3942</v>
      </c>
      <c r="U957" s="10" t="s">
        <v>2911</v>
      </c>
      <c r="V957" s="20">
        <v>44211</v>
      </c>
      <c r="W957" s="10" t="s">
        <v>38</v>
      </c>
      <c r="X957" s="10">
        <v>600</v>
      </c>
      <c r="Y957" s="11">
        <f>IFERROR(INT(Tabla1[[#This Row],[CANTIDAD UND FARMACEUTICAS]]/(VLOOKUP(Tabla1[[#This Row],[MEDICAMENTO]],TAB_REF!$K$3:$L$27,2,0))),"")</f>
        <v>30</v>
      </c>
      <c r="Z957" s="10" t="str">
        <f>IFERROR(VLOOKUP(Tabla1[[#This Row],[MEDICAMENTO]],TAB_REF!$B$3:$F$27,2,0), "")</f>
        <v xml:space="preserve">Hidromorfona HCl </v>
      </c>
      <c r="AA957" s="10" t="str">
        <f>IFERROR(VLOOKUP(Tabla1[[#This Row],[MEDICAMENTO]],TAB_REF!$B$3:$F$27,3,0), "")</f>
        <v xml:space="preserve">2,5 mg </v>
      </c>
      <c r="AB957" s="10" t="str">
        <f>IFERROR(VLOOKUP(Tabla1[[#This Row],[MEDICAMENTO]],TAB_REF!$B$3:$F$27,4,0), "")</f>
        <v>Tabletas</v>
      </c>
      <c r="AC957" s="10" t="str">
        <f>IFERROR(VLOOKUP(Tabla1[[#This Row],[MEDICAMENTO]],TAB_REF!$B$3:$F$27,5,0), "")</f>
        <v>Caja x 20 unidades</v>
      </c>
      <c r="AD957" s="10" t="str">
        <f>IFERROR(VLOOKUP(Tabla1[[#This Row],[CANTIDAD UND COMERCIALES]],TAB_REF!$H$3:$I$1003,2,0)&amp;" ("&amp;Tabla1[[#This Row],[CANTIDAD UND COMERCIALES]]&amp;")"&amp;"_"&amp;Tabla1[[#This Row],[CANTIDAD]],"")</f>
        <v>Treinta (30)_Caja x 20 unidades</v>
      </c>
    </row>
    <row r="958" spans="2:30" x14ac:dyDescent="0.25">
      <c r="B958" s="10">
        <v>392</v>
      </c>
      <c r="C958" s="10" t="s">
        <v>3800</v>
      </c>
      <c r="D958" s="10" t="s">
        <v>2182</v>
      </c>
      <c r="E958" s="10" t="s">
        <v>3801</v>
      </c>
      <c r="F958" s="10" t="s">
        <v>3723</v>
      </c>
      <c r="G958" s="10" t="s">
        <v>3061</v>
      </c>
      <c r="H958" s="10" t="s">
        <v>3920</v>
      </c>
      <c r="I958" s="10" t="s">
        <v>1068</v>
      </c>
      <c r="J958" s="10" t="s">
        <v>1068</v>
      </c>
      <c r="K958" s="10" t="s">
        <v>3921</v>
      </c>
      <c r="L958" s="11">
        <v>202124101256642</v>
      </c>
      <c r="M958" s="20">
        <v>44391</v>
      </c>
      <c r="N958" s="20" t="str">
        <f>UPPER(TEXT(Tabla1[[#This Row],[FECHA RADICADO ENTRADA]],"MMM"))</f>
        <v>JUL</v>
      </c>
      <c r="O958" s="11">
        <v>202124111136331</v>
      </c>
      <c r="P958" s="20">
        <v>44396</v>
      </c>
      <c r="Q958" s="20" t="str">
        <f>UPPER(TEXT(Tabla1[[#This Row],[FECHA RADICADO ENTRADA]],"MMM"))</f>
        <v>JUL</v>
      </c>
      <c r="R958" s="10">
        <f t="shared" ref="R958" si="48">_xlfn.DAYS(M958,P958)</f>
        <v>-5</v>
      </c>
      <c r="T958" s="10" t="s">
        <v>3942</v>
      </c>
      <c r="U958" s="10" t="s">
        <v>2911</v>
      </c>
      <c r="V958" s="20">
        <v>44211</v>
      </c>
      <c r="W958" s="10" t="s">
        <v>32</v>
      </c>
      <c r="X958" s="10">
        <v>120</v>
      </c>
      <c r="Y958" s="11">
        <f>IFERROR(INT(Tabla1[[#This Row],[CANTIDAD UND FARMACEUTICAS]]/(VLOOKUP(Tabla1[[#This Row],[MEDICAMENTO]],TAB_REF!$K$3:$L$27,2,0))),"")</f>
        <v>4</v>
      </c>
      <c r="Z958" s="10" t="str">
        <f>IFERROR(VLOOKUP(Tabla1[[#This Row],[MEDICAMENTO]],TAB_REF!$B$3:$F$27,2,0), "")</f>
        <v xml:space="preserve">Fenobarbital </v>
      </c>
      <c r="AA958" s="10" t="str">
        <f>IFERROR(VLOOKUP(Tabla1[[#This Row],[MEDICAMENTO]],TAB_REF!$B$3:$F$27,3,0), "")</f>
        <v xml:space="preserve">100 mg </v>
      </c>
      <c r="AB958" s="10" t="str">
        <f>IFERROR(VLOOKUP(Tabla1[[#This Row],[MEDICAMENTO]],TAB_REF!$B$3:$F$27,4,0), "")</f>
        <v>Tabletas</v>
      </c>
      <c r="AC958" s="10" t="str">
        <f>IFERROR(VLOOKUP(Tabla1[[#This Row],[MEDICAMENTO]],TAB_REF!$B$3:$F$27,5,0), "")</f>
        <v>Caja x 30 unidades</v>
      </c>
      <c r="AD958" s="10" t="str">
        <f>IFERROR(VLOOKUP(Tabla1[[#This Row],[CANTIDAD UND COMERCIALES]],TAB_REF!$H$3:$I$1003,2,0)&amp;" ("&amp;Tabla1[[#This Row],[CANTIDAD UND COMERCIALES]]&amp;")"&amp;"_"&amp;Tabla1[[#This Row],[CANTIDAD]],"")</f>
        <v>Cuatro (4)_Caja x 30 unidades</v>
      </c>
    </row>
    <row r="959" spans="2:30" x14ac:dyDescent="0.25">
      <c r="B959" s="10">
        <v>393</v>
      </c>
      <c r="C959" s="10" t="s">
        <v>2710</v>
      </c>
      <c r="D959" s="10" t="s">
        <v>3731</v>
      </c>
      <c r="E959" s="10" t="s">
        <v>3659</v>
      </c>
      <c r="F959" s="10" t="s">
        <v>3660</v>
      </c>
      <c r="G959" s="10" t="s">
        <v>2712</v>
      </c>
      <c r="H959" s="10" t="s">
        <v>3662</v>
      </c>
      <c r="I959" s="10" t="s">
        <v>2128</v>
      </c>
      <c r="J959" s="10" t="s">
        <v>1942</v>
      </c>
      <c r="K959" s="10" t="s">
        <v>3557</v>
      </c>
      <c r="L959" s="11">
        <v>202124101260482</v>
      </c>
      <c r="M959" s="20">
        <v>44391</v>
      </c>
      <c r="N959" s="20" t="str">
        <f>UPPER(TEXT(Tabla1[[#This Row],[FECHA RADICADO ENTRADA]],"MMM"))</f>
        <v>JUL</v>
      </c>
      <c r="O959" s="11">
        <v>202124111136421</v>
      </c>
      <c r="P959" s="20">
        <v>44396</v>
      </c>
      <c r="Q959" s="20" t="str">
        <f>UPPER(TEXT(Tabla1[[#This Row],[FECHA RADICADO ENTRADA]],"MMM"))</f>
        <v>JUL</v>
      </c>
      <c r="R959" s="10">
        <f t="shared" si="46"/>
        <v>-5</v>
      </c>
      <c r="S959" s="10" t="s">
        <v>2145</v>
      </c>
      <c r="V959" s="20"/>
      <c r="Y959" s="11" t="str">
        <f>IFERROR(INT(Tabla1[[#This Row],[CANTIDAD UND FARMACEUTICAS]]/(VLOOKUP(Tabla1[[#This Row],[MEDICAMENTO]],TAB_REF!$K$3:$L$27,2,0))),"")</f>
        <v/>
      </c>
      <c r="Z959" s="10" t="str">
        <f>IFERROR(VLOOKUP(Tabla1[[#This Row],[MEDICAMENTO]],TAB_REF!$B$3:$F$27,2,0), "")</f>
        <v/>
      </c>
      <c r="AA959" s="10" t="str">
        <f>IFERROR(VLOOKUP(Tabla1[[#This Row],[MEDICAMENTO]],TAB_REF!$B$3:$F$27,3,0), "")</f>
        <v/>
      </c>
      <c r="AB959" s="10" t="str">
        <f>IFERROR(VLOOKUP(Tabla1[[#This Row],[MEDICAMENTO]],TAB_REF!$B$3:$F$27,4,0), "")</f>
        <v/>
      </c>
      <c r="AC959" s="10" t="str">
        <f>IFERROR(VLOOKUP(Tabla1[[#This Row],[MEDICAMENTO]],TAB_REF!$B$3:$F$27,5,0), "")</f>
        <v/>
      </c>
      <c r="AD959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960" spans="2:30" x14ac:dyDescent="0.25">
      <c r="B960" s="10">
        <v>394</v>
      </c>
      <c r="C960" s="10" t="s">
        <v>2428</v>
      </c>
      <c r="D960" s="10" t="s">
        <v>2162</v>
      </c>
      <c r="E960" s="10" t="s">
        <v>2429</v>
      </c>
      <c r="F960" s="10" t="s">
        <v>3751</v>
      </c>
      <c r="G960" s="10" t="s">
        <v>2431</v>
      </c>
      <c r="H960" s="10" t="s">
        <v>3882</v>
      </c>
      <c r="I960" s="10" t="s">
        <v>2128</v>
      </c>
      <c r="J960" s="10" t="s">
        <v>1968</v>
      </c>
      <c r="K960" s="10" t="s">
        <v>3384</v>
      </c>
      <c r="L960" s="11">
        <v>202124101262812</v>
      </c>
      <c r="M960" s="20">
        <v>44391</v>
      </c>
      <c r="N960" s="20" t="str">
        <f>UPPER(TEXT(Tabla1[[#This Row],[FECHA RADICADO ENTRADA]],"MMM"))</f>
        <v>JUL</v>
      </c>
      <c r="O960" s="11"/>
      <c r="Q960" s="20" t="str">
        <f>UPPER(TEXT(Tabla1[[#This Row],[FECHA RADICADO ENTRADA]],"MMM"))</f>
        <v>JUL</v>
      </c>
      <c r="R960" s="10">
        <f t="shared" si="46"/>
        <v>44391</v>
      </c>
      <c r="S960" s="10" t="s">
        <v>2154</v>
      </c>
      <c r="T960" s="10" t="s">
        <v>3943</v>
      </c>
      <c r="U960" s="10" t="s">
        <v>2434</v>
      </c>
      <c r="V960" s="20">
        <v>43630</v>
      </c>
      <c r="W960" s="10" t="s">
        <v>63</v>
      </c>
      <c r="X960" s="10">
        <v>2000</v>
      </c>
      <c r="Y960" s="11">
        <f>IFERROR(INT(Tabla1[[#This Row],[CANTIDAD UND FARMACEUTICAS]]/(VLOOKUP(Tabla1[[#This Row],[MEDICAMENTO]],TAB_REF!$K$3:$L$27,2,0))),"")</f>
        <v>200</v>
      </c>
      <c r="Z960" s="10" t="str">
        <f>IFERROR(VLOOKUP(Tabla1[[#This Row],[MEDICAMENTO]],TAB_REF!$B$3:$F$27,2,0), "")</f>
        <v xml:space="preserve">Morfina HCl </v>
      </c>
      <c r="AA960" s="10" t="str">
        <f>IFERROR(VLOOKUP(Tabla1[[#This Row],[MEDICAMENTO]],TAB_REF!$B$3:$F$27,3,0), "")</f>
        <v xml:space="preserve">10 mg/mL </v>
      </c>
      <c r="AB960" s="10" t="str">
        <f>IFERROR(VLOOKUP(Tabla1[[#This Row],[MEDICAMENTO]],TAB_REF!$B$3:$F$27,4,0), "")</f>
        <v>Solución Inyectable</v>
      </c>
      <c r="AC960" s="10" t="str">
        <f>IFERROR(VLOOKUP(Tabla1[[#This Row],[MEDICAMENTO]],TAB_REF!$B$3:$F$27,5,0), "")</f>
        <v>Caja x 10 unidades</v>
      </c>
      <c r="AD960" s="10" t="str">
        <f>IFERROR(VLOOKUP(Tabla1[[#This Row],[CANTIDAD UND COMERCIALES]],TAB_REF!$H$3:$I$1003,2,0)&amp;" ("&amp;Tabla1[[#This Row],[CANTIDAD UND COMERCIALES]]&amp;")"&amp;"_"&amp;Tabla1[[#This Row],[CANTIDAD]],"")</f>
        <v>Doscientos (200)_Caja x 10 unidades</v>
      </c>
    </row>
    <row r="961" spans="2:30" x14ac:dyDescent="0.25">
      <c r="B961" s="10">
        <v>394</v>
      </c>
      <c r="C961" s="10" t="s">
        <v>2428</v>
      </c>
      <c r="D961" s="10" t="s">
        <v>2162</v>
      </c>
      <c r="E961" s="10" t="s">
        <v>2429</v>
      </c>
      <c r="F961" s="10" t="s">
        <v>3751</v>
      </c>
      <c r="G961" s="10" t="s">
        <v>2431</v>
      </c>
      <c r="H961" s="10" t="s">
        <v>3882</v>
      </c>
      <c r="I961" s="10" t="s">
        <v>2128</v>
      </c>
      <c r="J961" s="10" t="s">
        <v>1968</v>
      </c>
      <c r="K961" s="10" t="s">
        <v>3384</v>
      </c>
      <c r="L961" s="11">
        <v>202124101262812</v>
      </c>
      <c r="M961" s="20">
        <v>44391</v>
      </c>
      <c r="N961" s="20" t="str">
        <f>UPPER(TEXT(Tabla1[[#This Row],[FECHA RADICADO ENTRADA]],"MMM"))</f>
        <v>JUL</v>
      </c>
      <c r="O961" s="11"/>
      <c r="Q961" s="20" t="str">
        <f>UPPER(TEXT(Tabla1[[#This Row],[FECHA RADICADO ENTRADA]],"MMM"))</f>
        <v>JUL</v>
      </c>
      <c r="R961" s="10">
        <f t="shared" ref="R961" si="49">_xlfn.DAYS(M961,P961)</f>
        <v>44391</v>
      </c>
      <c r="S961" s="10" t="s">
        <v>2154</v>
      </c>
      <c r="T961" s="10" t="s">
        <v>3943</v>
      </c>
      <c r="U961" s="10" t="s">
        <v>2434</v>
      </c>
      <c r="V961" s="20">
        <v>43630</v>
      </c>
      <c r="W961" s="10" t="s">
        <v>34</v>
      </c>
      <c r="X961" s="10">
        <v>500</v>
      </c>
      <c r="Y961" s="11">
        <f>IFERROR(INT(Tabla1[[#This Row],[CANTIDAD UND FARMACEUTICAS]]/(VLOOKUP(Tabla1[[#This Row],[MEDICAMENTO]],TAB_REF!$K$3:$L$27,2,0))),"")</f>
        <v>50</v>
      </c>
      <c r="Z961" s="10" t="str">
        <f>IFERROR(VLOOKUP(Tabla1[[#This Row],[MEDICAMENTO]],TAB_REF!$B$3:$F$27,2,0), "")</f>
        <v xml:space="preserve">Fenobarbital Sódico </v>
      </c>
      <c r="AA961" s="10" t="str">
        <f>IFERROR(VLOOKUP(Tabla1[[#This Row],[MEDICAMENTO]],TAB_REF!$B$3:$F$27,3,0), "")</f>
        <v xml:space="preserve">200 mg/Ml </v>
      </c>
      <c r="AB961" s="10" t="str">
        <f>IFERROR(VLOOKUP(Tabla1[[#This Row],[MEDICAMENTO]],TAB_REF!$B$3:$F$27,4,0), "")</f>
        <v>Solución Inyectable</v>
      </c>
      <c r="AC961" s="10" t="str">
        <f>IFERROR(VLOOKUP(Tabla1[[#This Row],[MEDICAMENTO]],TAB_REF!$B$3:$F$27,5,0), "")</f>
        <v>Caja x 10 unidades</v>
      </c>
      <c r="AD961" s="10" t="str">
        <f>IFERROR(VLOOKUP(Tabla1[[#This Row],[CANTIDAD UND COMERCIALES]],TAB_REF!$H$3:$I$1003,2,0)&amp;" ("&amp;Tabla1[[#This Row],[CANTIDAD UND COMERCIALES]]&amp;")"&amp;"_"&amp;Tabla1[[#This Row],[CANTIDAD]],"")</f>
        <v>Cincuenta (50)_Caja x 10 unidades</v>
      </c>
    </row>
    <row r="962" spans="2:30" x14ac:dyDescent="0.25">
      <c r="B962" s="10">
        <v>395</v>
      </c>
      <c r="C962" s="10" t="s">
        <v>2149</v>
      </c>
      <c r="D962" s="10" t="s">
        <v>3495</v>
      </c>
      <c r="E962" s="10" t="s">
        <v>2150</v>
      </c>
      <c r="F962" s="10" t="s">
        <v>3922</v>
      </c>
      <c r="G962" s="10" t="s">
        <v>2152</v>
      </c>
      <c r="H962" s="10" t="s">
        <v>3923</v>
      </c>
      <c r="I962" s="10" t="s">
        <v>2116</v>
      </c>
      <c r="J962" s="10" t="s">
        <v>1550</v>
      </c>
      <c r="K962" s="10" t="s">
        <v>3924</v>
      </c>
      <c r="L962" s="11">
        <v>202124101263262</v>
      </c>
      <c r="M962" s="20">
        <v>44391</v>
      </c>
      <c r="N962" s="20" t="str">
        <f>UPPER(TEXT(Tabla1[[#This Row],[FECHA RADICADO ENTRADA]],"MMM"))</f>
        <v>JUL</v>
      </c>
      <c r="O962" s="11">
        <v>202124111135961</v>
      </c>
      <c r="P962" s="20">
        <v>44396</v>
      </c>
      <c r="Q962" s="20" t="str">
        <f>UPPER(TEXT(Tabla1[[#This Row],[FECHA RADICADO ENTRADA]],"MMM"))</f>
        <v>JUL</v>
      </c>
      <c r="R962" s="10">
        <f t="shared" si="46"/>
        <v>-5</v>
      </c>
      <c r="S962" s="10" t="s">
        <v>2154</v>
      </c>
      <c r="U962" s="10" t="s">
        <v>2153</v>
      </c>
      <c r="V962" s="20">
        <v>43829</v>
      </c>
      <c r="W962" s="10" t="s">
        <v>63</v>
      </c>
      <c r="X962" s="10">
        <v>500</v>
      </c>
      <c r="Y962" s="11">
        <f>IFERROR(INT(Tabla1[[#This Row],[CANTIDAD UND FARMACEUTICAS]]/(VLOOKUP(Tabla1[[#This Row],[MEDICAMENTO]],TAB_REF!$K$3:$L$27,2,0))),"")</f>
        <v>50</v>
      </c>
      <c r="Z962" s="10" t="str">
        <f>IFERROR(VLOOKUP(Tabla1[[#This Row],[MEDICAMENTO]],TAB_REF!$B$3:$F$27,2,0), "")</f>
        <v xml:space="preserve">Morfina HCl </v>
      </c>
      <c r="AA962" s="10" t="str">
        <f>IFERROR(VLOOKUP(Tabla1[[#This Row],[MEDICAMENTO]],TAB_REF!$B$3:$F$27,3,0), "")</f>
        <v xml:space="preserve">10 mg/mL </v>
      </c>
      <c r="AB962" s="10" t="str">
        <f>IFERROR(VLOOKUP(Tabla1[[#This Row],[MEDICAMENTO]],TAB_REF!$B$3:$F$27,4,0), "")</f>
        <v>Solución Inyectable</v>
      </c>
      <c r="AC962" s="10" t="str">
        <f>IFERROR(VLOOKUP(Tabla1[[#This Row],[MEDICAMENTO]],TAB_REF!$B$3:$F$27,5,0), "")</f>
        <v>Caja x 10 unidades</v>
      </c>
      <c r="AD962" s="10" t="str">
        <f>IFERROR(VLOOKUP(Tabla1[[#This Row],[CANTIDAD UND COMERCIALES]],TAB_REF!$H$3:$I$1003,2,0)&amp;" ("&amp;Tabla1[[#This Row],[CANTIDAD UND COMERCIALES]]&amp;")"&amp;"_"&amp;Tabla1[[#This Row],[CANTIDAD]],"")</f>
        <v>Cincuenta (50)_Caja x 10 unidades</v>
      </c>
    </row>
    <row r="963" spans="2:30" x14ac:dyDescent="0.25">
      <c r="B963" s="10">
        <v>395</v>
      </c>
      <c r="C963" s="10" t="s">
        <v>2149</v>
      </c>
      <c r="D963" s="10" t="s">
        <v>3495</v>
      </c>
      <c r="E963" s="10" t="s">
        <v>2150</v>
      </c>
      <c r="F963" s="10" t="s">
        <v>3922</v>
      </c>
      <c r="G963" s="10" t="s">
        <v>2152</v>
      </c>
      <c r="H963" s="10" t="s">
        <v>3923</v>
      </c>
      <c r="I963" s="10" t="s">
        <v>2116</v>
      </c>
      <c r="J963" s="10" t="s">
        <v>1550</v>
      </c>
      <c r="K963" s="10" t="s">
        <v>3924</v>
      </c>
      <c r="L963" s="11">
        <v>202124101263262</v>
      </c>
      <c r="M963" s="20">
        <v>44391</v>
      </c>
      <c r="N963" s="20" t="str">
        <f>UPPER(TEXT(Tabla1[[#This Row],[FECHA RADICADO ENTRADA]],"MMM"))</f>
        <v>JUL</v>
      </c>
      <c r="O963" s="11">
        <v>202124111135961</v>
      </c>
      <c r="P963" s="20">
        <v>44396</v>
      </c>
      <c r="Q963" s="20" t="str">
        <f>UPPER(TEXT(Tabla1[[#This Row],[FECHA RADICADO ENTRADA]],"MMM"))</f>
        <v>JUL</v>
      </c>
      <c r="R963" s="10">
        <f t="shared" ref="R963" si="50">_xlfn.DAYS(M963,P963)</f>
        <v>-5</v>
      </c>
      <c r="S963" s="10" t="s">
        <v>2154</v>
      </c>
      <c r="U963" s="10" t="s">
        <v>2153</v>
      </c>
      <c r="V963" s="20">
        <v>43829</v>
      </c>
      <c r="W963" s="10" t="s">
        <v>60</v>
      </c>
      <c r="X963" s="10">
        <v>50</v>
      </c>
      <c r="Y963" s="11">
        <f>IFERROR(INT(Tabla1[[#This Row],[CANTIDAD UND FARMACEUTICAS]]/(VLOOKUP(Tabla1[[#This Row],[MEDICAMENTO]],TAB_REF!$K$3:$L$27,2,0))),"")</f>
        <v>50</v>
      </c>
      <c r="Z963" s="10" t="str">
        <f>IFERROR(VLOOKUP(Tabla1[[#This Row],[MEDICAMENTO]],TAB_REF!$B$3:$F$27,2,0), "")</f>
        <v xml:space="preserve">Morfina HCl </v>
      </c>
      <c r="AA963" s="10" t="str">
        <f>IFERROR(VLOOKUP(Tabla1[[#This Row],[MEDICAMENTO]],TAB_REF!$B$3:$F$27,3,0), "")</f>
        <v xml:space="preserve">3%. </v>
      </c>
      <c r="AB963" s="10" t="str">
        <f>IFERROR(VLOOKUP(Tabla1[[#This Row],[MEDICAMENTO]],TAB_REF!$B$3:$F$27,4,0), "")</f>
        <v>Solución Oral</v>
      </c>
      <c r="AC963" s="10" t="str">
        <f>IFERROR(VLOOKUP(Tabla1[[#This Row],[MEDICAMENTO]],TAB_REF!$B$3:$F$27,5,0), "")</f>
        <v>Frasco x 30 mL</v>
      </c>
      <c r="AD963" s="10" t="str">
        <f>IFERROR(VLOOKUP(Tabla1[[#This Row],[CANTIDAD UND COMERCIALES]],TAB_REF!$H$3:$I$1003,2,0)&amp;" ("&amp;Tabla1[[#This Row],[CANTIDAD UND COMERCIALES]]&amp;")"&amp;"_"&amp;Tabla1[[#This Row],[CANTIDAD]],"")</f>
        <v>Cincuenta (50)_Frasco x 30 mL</v>
      </c>
    </row>
    <row r="964" spans="2:30" x14ac:dyDescent="0.25">
      <c r="B964" s="10">
        <v>396</v>
      </c>
      <c r="C964" s="10" t="s">
        <v>3543</v>
      </c>
      <c r="D964" s="10" t="s">
        <v>2312</v>
      </c>
      <c r="E964" s="10" t="s">
        <v>3925</v>
      </c>
      <c r="F964" s="10" t="s">
        <v>3660</v>
      </c>
      <c r="G964" s="10" t="s">
        <v>3544</v>
      </c>
      <c r="H964" s="10" t="s">
        <v>3742</v>
      </c>
      <c r="I964" s="10" t="s">
        <v>2128</v>
      </c>
      <c r="J964" s="10" t="s">
        <v>1968</v>
      </c>
      <c r="K964" s="10" t="s">
        <v>3926</v>
      </c>
      <c r="L964" s="11">
        <v>202124101265242</v>
      </c>
      <c r="M964" s="20">
        <v>44392</v>
      </c>
      <c r="N964" s="20" t="str">
        <f>UPPER(TEXT(Tabla1[[#This Row],[FECHA RADICADO ENTRADA]],"MMM"))</f>
        <v>JUL</v>
      </c>
      <c r="O964" s="11">
        <v>202124101265242</v>
      </c>
      <c r="P964" s="20">
        <v>44396</v>
      </c>
      <c r="Q964" s="20" t="str">
        <f>UPPER(TEXT(Tabla1[[#This Row],[FECHA RADICADO ENTRADA]],"MMM"))</f>
        <v>JUL</v>
      </c>
      <c r="R964" s="10">
        <f t="shared" si="46"/>
        <v>-4</v>
      </c>
      <c r="S964" s="10" t="s">
        <v>2145</v>
      </c>
      <c r="T964" s="10" t="s">
        <v>3743</v>
      </c>
      <c r="U964" s="10" t="s">
        <v>3594</v>
      </c>
      <c r="V964" s="20">
        <v>42516</v>
      </c>
      <c r="Y964" s="11" t="str">
        <f>IFERROR(INT(Tabla1[[#This Row],[CANTIDAD UND FARMACEUTICAS]]/(VLOOKUP(Tabla1[[#This Row],[MEDICAMENTO]],TAB_REF!$K$3:$L$27,2,0))),"")</f>
        <v/>
      </c>
      <c r="Z964" s="10" t="str">
        <f>IFERROR(VLOOKUP(Tabla1[[#This Row],[MEDICAMENTO]],TAB_REF!$B$3:$F$27,2,0), "")</f>
        <v/>
      </c>
      <c r="AA964" s="10" t="str">
        <f>IFERROR(VLOOKUP(Tabla1[[#This Row],[MEDICAMENTO]],TAB_REF!$B$3:$F$27,3,0), "")</f>
        <v/>
      </c>
      <c r="AB964" s="10" t="str">
        <f>IFERROR(VLOOKUP(Tabla1[[#This Row],[MEDICAMENTO]],TAB_REF!$B$3:$F$27,4,0), "")</f>
        <v/>
      </c>
      <c r="AC964" s="10" t="str">
        <f>IFERROR(VLOOKUP(Tabla1[[#This Row],[MEDICAMENTO]],TAB_REF!$B$3:$F$27,5,0), "")</f>
        <v/>
      </c>
      <c r="AD964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965" spans="2:30" x14ac:dyDescent="0.25">
      <c r="B965" s="10">
        <v>397</v>
      </c>
      <c r="C965" s="10" t="s">
        <v>3469</v>
      </c>
      <c r="D965" s="10" t="s">
        <v>3927</v>
      </c>
      <c r="E965" s="10" t="s">
        <v>3471</v>
      </c>
      <c r="F965" s="10" t="s">
        <v>3666</v>
      </c>
      <c r="G965" s="10" t="s">
        <v>3928</v>
      </c>
      <c r="H965" s="10" t="s">
        <v>3474</v>
      </c>
      <c r="I965" s="10" t="s">
        <v>2128</v>
      </c>
      <c r="J965" s="10" t="s">
        <v>1942</v>
      </c>
      <c r="K965" s="10" t="s">
        <v>3475</v>
      </c>
      <c r="L965" s="11">
        <v>202124101266132</v>
      </c>
      <c r="M965" s="20">
        <v>44392</v>
      </c>
      <c r="N965" s="20" t="str">
        <f>UPPER(TEXT(Tabla1[[#This Row],[FECHA RADICADO ENTRADA]],"MMM"))</f>
        <v>JUL</v>
      </c>
      <c r="O965" s="11">
        <v>202124111136101</v>
      </c>
      <c r="P965" s="20">
        <v>44396</v>
      </c>
      <c r="Q965" s="20" t="str">
        <f>UPPER(TEXT(Tabla1[[#This Row],[FECHA RADICADO ENTRADA]],"MMM"))</f>
        <v>JUL</v>
      </c>
      <c r="R965" s="10">
        <f t="shared" si="46"/>
        <v>-4</v>
      </c>
      <c r="S965" s="10" t="s">
        <v>2154</v>
      </c>
      <c r="U965" s="10" t="s">
        <v>3476</v>
      </c>
      <c r="V965" s="20">
        <v>43490</v>
      </c>
      <c r="W965" s="10" t="s">
        <v>45</v>
      </c>
      <c r="X965" s="10">
        <v>3000</v>
      </c>
      <c r="Y965" s="11">
        <f>IFERROR(INT(Tabla1[[#This Row],[CANTIDAD UND FARMACEUTICAS]]/(VLOOKUP(Tabla1[[#This Row],[MEDICAMENTO]],TAB_REF!$K$3:$L$27,2,0))),"")</f>
        <v>100</v>
      </c>
      <c r="Z965" s="10" t="str">
        <f>IFERROR(VLOOKUP(Tabla1[[#This Row],[MEDICAMENTO]],TAB_REF!$B$3:$F$27,2,0), "")</f>
        <v xml:space="preserve">Metadona HCl </v>
      </c>
      <c r="AA965" s="10" t="str">
        <f>IFERROR(VLOOKUP(Tabla1[[#This Row],[MEDICAMENTO]],TAB_REF!$B$3:$F$27,3,0), "")</f>
        <v xml:space="preserve">10 mg </v>
      </c>
      <c r="AB965" s="10" t="str">
        <f>IFERROR(VLOOKUP(Tabla1[[#This Row],[MEDICAMENTO]],TAB_REF!$B$3:$F$27,4,0), "")</f>
        <v>Tabletas NACIONAL</v>
      </c>
      <c r="AC965" s="10" t="str">
        <f>IFERROR(VLOOKUP(Tabla1[[#This Row],[MEDICAMENTO]],TAB_REF!$B$3:$F$27,5,0), "")</f>
        <v>Caja x 30 unidades</v>
      </c>
      <c r="AD965" s="10" t="str">
        <f>IFERROR(VLOOKUP(Tabla1[[#This Row],[CANTIDAD UND COMERCIALES]],TAB_REF!$H$3:$I$1003,2,0)&amp;" ("&amp;Tabla1[[#This Row],[CANTIDAD UND COMERCIALES]]&amp;")"&amp;"_"&amp;Tabla1[[#This Row],[CANTIDAD]],"")</f>
        <v>Cien (100)_Caja x 30 unidades</v>
      </c>
    </row>
    <row r="966" spans="2:30" x14ac:dyDescent="0.25">
      <c r="B966" s="10">
        <v>398</v>
      </c>
      <c r="C966" s="10" t="s">
        <v>2797</v>
      </c>
      <c r="D966" s="10" t="s">
        <v>2798</v>
      </c>
      <c r="E966" s="10" t="s">
        <v>2799</v>
      </c>
      <c r="F966" s="10" t="s">
        <v>3929</v>
      </c>
      <c r="G966" s="10" t="s">
        <v>2800</v>
      </c>
      <c r="H966" s="10" t="s">
        <v>2801</v>
      </c>
      <c r="I966" s="10" t="s">
        <v>2116</v>
      </c>
      <c r="J966" s="10" t="s">
        <v>1550</v>
      </c>
      <c r="K966" s="10" t="s">
        <v>3355</v>
      </c>
      <c r="L966" s="11">
        <v>202124101267632</v>
      </c>
      <c r="M966" s="20">
        <v>44392</v>
      </c>
      <c r="N966" s="20" t="str">
        <f>UPPER(TEXT(Tabla1[[#This Row],[FECHA RADICADO ENTRADA]],"MMM"))</f>
        <v>JUL</v>
      </c>
      <c r="O966" s="11">
        <v>202124111136111</v>
      </c>
      <c r="P966" s="20">
        <v>44396</v>
      </c>
      <c r="Q966" s="20" t="str">
        <f>UPPER(TEXT(Tabla1[[#This Row],[FECHA RADICADO ENTRADA]],"MMM"))</f>
        <v>JUL</v>
      </c>
      <c r="R966" s="10">
        <f t="shared" si="46"/>
        <v>-4</v>
      </c>
      <c r="S966" s="10" t="s">
        <v>2145</v>
      </c>
      <c r="U966" s="10" t="s">
        <v>2803</v>
      </c>
      <c r="V966" s="20">
        <v>44075</v>
      </c>
      <c r="W966" s="10" t="s">
        <v>60</v>
      </c>
      <c r="X966" s="10">
        <v>15</v>
      </c>
      <c r="Y966" s="11">
        <f>IFERROR(INT(Tabla1[[#This Row],[CANTIDAD UND FARMACEUTICAS]]/(VLOOKUP(Tabla1[[#This Row],[MEDICAMENTO]],TAB_REF!$K$3:$L$27,2,0))),"")</f>
        <v>15</v>
      </c>
      <c r="Z966" s="10" t="str">
        <f>IFERROR(VLOOKUP(Tabla1[[#This Row],[MEDICAMENTO]],TAB_REF!$B$3:$F$27,2,0), "")</f>
        <v xml:space="preserve">Morfina HCl </v>
      </c>
      <c r="AA966" s="10" t="str">
        <f>IFERROR(VLOOKUP(Tabla1[[#This Row],[MEDICAMENTO]],TAB_REF!$B$3:$F$27,3,0), "")</f>
        <v xml:space="preserve">3%. </v>
      </c>
      <c r="AB966" s="10" t="str">
        <f>IFERROR(VLOOKUP(Tabla1[[#This Row],[MEDICAMENTO]],TAB_REF!$B$3:$F$27,4,0), "")</f>
        <v>Solución Oral</v>
      </c>
      <c r="AC966" s="10" t="str">
        <f>IFERROR(VLOOKUP(Tabla1[[#This Row],[MEDICAMENTO]],TAB_REF!$B$3:$F$27,5,0), "")</f>
        <v>Frasco x 30 mL</v>
      </c>
      <c r="AD966" s="10" t="str">
        <f>IFERROR(VLOOKUP(Tabla1[[#This Row],[CANTIDAD UND COMERCIALES]],TAB_REF!$H$3:$I$1003,2,0)&amp;" ("&amp;Tabla1[[#This Row],[CANTIDAD UND COMERCIALES]]&amp;")"&amp;"_"&amp;Tabla1[[#This Row],[CANTIDAD]],"")</f>
        <v>Quince (15)_Frasco x 30 mL</v>
      </c>
    </row>
    <row r="967" spans="2:30" x14ac:dyDescent="0.25">
      <c r="B967" s="10">
        <v>398</v>
      </c>
      <c r="C967" s="10" t="s">
        <v>2797</v>
      </c>
      <c r="D967" s="10" t="s">
        <v>2798</v>
      </c>
      <c r="E967" s="10" t="s">
        <v>2799</v>
      </c>
      <c r="F967" s="10" t="s">
        <v>3929</v>
      </c>
      <c r="G967" s="10" t="s">
        <v>2800</v>
      </c>
      <c r="H967" s="10" t="s">
        <v>2801</v>
      </c>
      <c r="I967" s="10" t="s">
        <v>2116</v>
      </c>
      <c r="J967" s="10" t="s">
        <v>1550</v>
      </c>
      <c r="K967" s="10" t="s">
        <v>3355</v>
      </c>
      <c r="L967" s="11">
        <v>202124101267632</v>
      </c>
      <c r="M967" s="20">
        <v>44392</v>
      </c>
      <c r="N967" s="20" t="str">
        <f>UPPER(TEXT(Tabla1[[#This Row],[FECHA RADICADO ENTRADA]],"MMM"))</f>
        <v>JUL</v>
      </c>
      <c r="O967" s="11">
        <v>202124111136111</v>
      </c>
      <c r="P967" s="20">
        <v>44396</v>
      </c>
      <c r="Q967" s="20" t="str">
        <f>UPPER(TEXT(Tabla1[[#This Row],[FECHA RADICADO ENTRADA]],"MMM"))</f>
        <v>JUL</v>
      </c>
      <c r="R967" s="10">
        <f t="shared" ref="R967:R968" si="51">_xlfn.DAYS(M967,P967)</f>
        <v>-4</v>
      </c>
      <c r="S967" s="10" t="s">
        <v>2145</v>
      </c>
      <c r="U967" s="10" t="s">
        <v>2803</v>
      </c>
      <c r="V967" s="20">
        <v>44075</v>
      </c>
      <c r="W967" s="10" t="s">
        <v>28</v>
      </c>
      <c r="X967" s="10">
        <v>10</v>
      </c>
      <c r="Y967" s="11">
        <f>IFERROR(INT(Tabla1[[#This Row],[CANTIDAD UND FARMACEUTICAS]]/(VLOOKUP(Tabla1[[#This Row],[MEDICAMENTO]],TAB_REF!$K$3:$L$27,2,0))),"")</f>
        <v>10</v>
      </c>
      <c r="Z967" s="10" t="str">
        <f>IFERROR(VLOOKUP(Tabla1[[#This Row],[MEDICAMENTO]],TAB_REF!$B$3:$F$27,2,0), "")</f>
        <v xml:space="preserve">Fenobarbital </v>
      </c>
      <c r="AA967" s="10" t="str">
        <f>IFERROR(VLOOKUP(Tabla1[[#This Row],[MEDICAMENTO]],TAB_REF!$B$3:$F$27,3,0), "")</f>
        <v xml:space="preserve">0,4%. </v>
      </c>
      <c r="AB967" s="10" t="str">
        <f>IFERROR(VLOOKUP(Tabla1[[#This Row],[MEDICAMENTO]],TAB_REF!$B$3:$F$27,4,0), "")</f>
        <v>Solución Oral</v>
      </c>
      <c r="AC967" s="10" t="str">
        <f>IFERROR(VLOOKUP(Tabla1[[#This Row],[MEDICAMENTO]],TAB_REF!$B$3:$F$27,5,0), "")</f>
        <v>Frasco x 120 mL</v>
      </c>
      <c r="AD967" s="10" t="str">
        <f>IFERROR(VLOOKUP(Tabla1[[#This Row],[CANTIDAD UND COMERCIALES]],TAB_REF!$H$3:$I$1003,2,0)&amp;" ("&amp;Tabla1[[#This Row],[CANTIDAD UND COMERCIALES]]&amp;")"&amp;"_"&amp;Tabla1[[#This Row],[CANTIDAD]],"")</f>
        <v>Diez (10)_Frasco x 120 mL</v>
      </c>
    </row>
    <row r="968" spans="2:30" x14ac:dyDescent="0.25">
      <c r="B968" s="10">
        <v>398</v>
      </c>
      <c r="C968" s="10" t="s">
        <v>2797</v>
      </c>
      <c r="D968" s="10" t="s">
        <v>2798</v>
      </c>
      <c r="E968" s="10" t="s">
        <v>2799</v>
      </c>
      <c r="F968" s="10" t="s">
        <v>3929</v>
      </c>
      <c r="G968" s="10" t="s">
        <v>2800</v>
      </c>
      <c r="H968" s="10" t="s">
        <v>2801</v>
      </c>
      <c r="I968" s="10" t="s">
        <v>2116</v>
      </c>
      <c r="J968" s="10" t="s">
        <v>1550</v>
      </c>
      <c r="K968" s="10" t="s">
        <v>3355</v>
      </c>
      <c r="L968" s="11">
        <v>202124101267632</v>
      </c>
      <c r="M968" s="20">
        <v>44392</v>
      </c>
      <c r="N968" s="20" t="str">
        <f>UPPER(TEXT(Tabla1[[#This Row],[FECHA RADICADO ENTRADA]],"MMM"))</f>
        <v>JUL</v>
      </c>
      <c r="O968" s="11">
        <v>202124111136111</v>
      </c>
      <c r="P968" s="20">
        <v>44396</v>
      </c>
      <c r="Q968" s="20" t="str">
        <f>UPPER(TEXT(Tabla1[[#This Row],[FECHA RADICADO ENTRADA]],"MMM"))</f>
        <v>JUL</v>
      </c>
      <c r="R968" s="10">
        <f t="shared" si="51"/>
        <v>-4</v>
      </c>
      <c r="S968" s="10" t="s">
        <v>2145</v>
      </c>
      <c r="U968" s="10" t="s">
        <v>2803</v>
      </c>
      <c r="V968" s="20">
        <v>44075</v>
      </c>
      <c r="W968" s="10" t="s">
        <v>47</v>
      </c>
      <c r="X968" s="10">
        <v>60</v>
      </c>
      <c r="Y968" s="11">
        <f>IFERROR(INT(Tabla1[[#This Row],[CANTIDAD UND FARMACEUTICAS]]/(VLOOKUP(Tabla1[[#This Row],[MEDICAMENTO]],TAB_REF!$K$3:$L$27,2,0))),"")</f>
        <v>2</v>
      </c>
      <c r="Z968" s="10" t="str">
        <f>IFERROR(VLOOKUP(Tabla1[[#This Row],[MEDICAMENTO]],TAB_REF!$B$3:$F$27,2,0), "")</f>
        <v xml:space="preserve">Metadona HCl </v>
      </c>
      <c r="AA968" s="10" t="str">
        <f>IFERROR(VLOOKUP(Tabla1[[#This Row],[MEDICAMENTO]],TAB_REF!$B$3:$F$27,3,0), "")</f>
        <v xml:space="preserve">40 mg </v>
      </c>
      <c r="AB968" s="10" t="str">
        <f>IFERROR(VLOOKUP(Tabla1[[#This Row],[MEDICAMENTO]],TAB_REF!$B$3:$F$27,4,0), "")</f>
        <v>Tabletas NACIONAL</v>
      </c>
      <c r="AC968" s="10" t="str">
        <f>IFERROR(VLOOKUP(Tabla1[[#This Row],[MEDICAMENTO]],TAB_REF!$B$3:$F$27,5,0), "")</f>
        <v>Caja x 30 unidades</v>
      </c>
      <c r="AD968" s="10" t="str">
        <f>IFERROR(VLOOKUP(Tabla1[[#This Row],[CANTIDAD UND COMERCIALES]],TAB_REF!$H$3:$I$1003,2,0)&amp;" ("&amp;Tabla1[[#This Row],[CANTIDAD UND COMERCIALES]]&amp;")"&amp;"_"&amp;Tabla1[[#This Row],[CANTIDAD]],"")</f>
        <v>Dos (2)_Caja x 30 unidades</v>
      </c>
    </row>
    <row r="969" spans="2:30" x14ac:dyDescent="0.25">
      <c r="B969" s="10">
        <v>399</v>
      </c>
      <c r="C969" s="10" t="s">
        <v>3930</v>
      </c>
      <c r="D969" s="10" t="s">
        <v>2182</v>
      </c>
      <c r="E969" s="10" t="s">
        <v>3931</v>
      </c>
      <c r="F969" s="10" t="s">
        <v>3932</v>
      </c>
      <c r="G969" s="10" t="s">
        <v>3933</v>
      </c>
      <c r="H969" s="10" t="s">
        <v>3934</v>
      </c>
      <c r="I969" s="10" t="s">
        <v>2123</v>
      </c>
      <c r="J969" s="10" t="s">
        <v>1788</v>
      </c>
      <c r="K969" s="10" t="s">
        <v>3073</v>
      </c>
      <c r="L969" s="11">
        <v>202124101275072</v>
      </c>
      <c r="M969" s="20">
        <v>44393</v>
      </c>
      <c r="N969" s="20" t="str">
        <f>UPPER(TEXT(Tabla1[[#This Row],[FECHA RADICADO ENTRADA]],"MMM"))</f>
        <v>JUL</v>
      </c>
      <c r="O969" s="11">
        <v>202124111136181</v>
      </c>
      <c r="P969" s="20">
        <v>44396</v>
      </c>
      <c r="Q969" s="20" t="str">
        <f>UPPER(TEXT(Tabla1[[#This Row],[FECHA RADICADO ENTRADA]],"MMM"))</f>
        <v>JUL</v>
      </c>
      <c r="R969" s="10">
        <f t="shared" si="46"/>
        <v>-3</v>
      </c>
      <c r="S969" s="10" t="s">
        <v>2154</v>
      </c>
      <c r="U969" s="10" t="s">
        <v>3935</v>
      </c>
      <c r="V969" s="20">
        <v>43994</v>
      </c>
      <c r="W969" s="10" t="s">
        <v>41</v>
      </c>
      <c r="X969" s="10">
        <v>140</v>
      </c>
      <c r="Y969" s="11">
        <f>IFERROR(INT(Tabla1[[#This Row],[CANTIDAD UND FARMACEUTICAS]]/(VLOOKUP(Tabla1[[#This Row],[MEDICAMENTO]],TAB_REF!$K$3:$L$27,2,0))),"")</f>
        <v>14</v>
      </c>
      <c r="Z969" s="10" t="str">
        <f>IFERROR(VLOOKUP(Tabla1[[#This Row],[MEDICAMENTO]],TAB_REF!$B$3:$F$27,2,0), "")</f>
        <v xml:space="preserve">Meperidina HCl </v>
      </c>
      <c r="AA969" s="10" t="str">
        <f>IFERROR(VLOOKUP(Tabla1[[#This Row],[MEDICAMENTO]],TAB_REF!$B$3:$F$27,3,0), "")</f>
        <v xml:space="preserve">100 mg/2mL </v>
      </c>
      <c r="AB969" s="10" t="str">
        <f>IFERROR(VLOOKUP(Tabla1[[#This Row],[MEDICAMENTO]],TAB_REF!$B$3:$F$27,4,0), "")</f>
        <v>Solución Inyectable</v>
      </c>
      <c r="AC969" s="10" t="str">
        <f>IFERROR(VLOOKUP(Tabla1[[#This Row],[MEDICAMENTO]],TAB_REF!$B$3:$F$27,5,0), "")</f>
        <v>Caja 10 ampollas</v>
      </c>
      <c r="AD969" s="10" t="str">
        <f>IFERROR(VLOOKUP(Tabla1[[#This Row],[CANTIDAD UND COMERCIALES]],TAB_REF!$H$3:$I$1003,2,0)&amp;" ("&amp;Tabla1[[#This Row],[CANTIDAD UND COMERCIALES]]&amp;")"&amp;"_"&amp;Tabla1[[#This Row],[CANTIDAD]],"")</f>
        <v>Catorce (14)_Caja 10 ampollas</v>
      </c>
    </row>
    <row r="970" spans="2:30" x14ac:dyDescent="0.25">
      <c r="B970" s="10">
        <v>399</v>
      </c>
      <c r="C970" s="10" t="s">
        <v>3930</v>
      </c>
      <c r="D970" s="10" t="s">
        <v>2182</v>
      </c>
      <c r="E970" s="10" t="s">
        <v>3931</v>
      </c>
      <c r="F970" s="10" t="s">
        <v>3932</v>
      </c>
      <c r="G970" s="10" t="s">
        <v>3933</v>
      </c>
      <c r="H970" s="10" t="s">
        <v>3934</v>
      </c>
      <c r="I970" s="10" t="s">
        <v>2123</v>
      </c>
      <c r="J970" s="10" t="s">
        <v>1788</v>
      </c>
      <c r="K970" s="10" t="s">
        <v>3073</v>
      </c>
      <c r="L970" s="11">
        <v>202124101275072</v>
      </c>
      <c r="M970" s="20">
        <v>44393</v>
      </c>
      <c r="N970" s="20" t="str">
        <f>UPPER(TEXT(Tabla1[[#This Row],[FECHA RADICADO ENTRADA]],"MMM"))</f>
        <v>JUL</v>
      </c>
      <c r="O970" s="11">
        <v>202124111136181</v>
      </c>
      <c r="P970" s="20">
        <v>44396</v>
      </c>
      <c r="Q970" s="20" t="str">
        <f>UPPER(TEXT(Tabla1[[#This Row],[FECHA RADICADO ENTRADA]],"MMM"))</f>
        <v>JUL</v>
      </c>
      <c r="R970" s="10">
        <f t="shared" ref="R970" si="52">_xlfn.DAYS(M970,P970)</f>
        <v>-3</v>
      </c>
      <c r="S970" s="10" t="s">
        <v>2154</v>
      </c>
      <c r="U970" s="10" t="s">
        <v>3935</v>
      </c>
      <c r="V970" s="20">
        <v>43994</v>
      </c>
      <c r="W970" s="10" t="s">
        <v>63</v>
      </c>
      <c r="X970" s="10">
        <v>140</v>
      </c>
      <c r="Y970" s="11">
        <f>IFERROR(INT(Tabla1[[#This Row],[CANTIDAD UND FARMACEUTICAS]]/(VLOOKUP(Tabla1[[#This Row],[MEDICAMENTO]],TAB_REF!$K$3:$L$27,2,0))),"")</f>
        <v>14</v>
      </c>
      <c r="Z970" s="10" t="str">
        <f>IFERROR(VLOOKUP(Tabla1[[#This Row],[MEDICAMENTO]],TAB_REF!$B$3:$F$27,2,0), "")</f>
        <v xml:space="preserve">Morfina HCl </v>
      </c>
      <c r="AA970" s="10" t="str">
        <f>IFERROR(VLOOKUP(Tabla1[[#This Row],[MEDICAMENTO]],TAB_REF!$B$3:$F$27,3,0), "")</f>
        <v xml:space="preserve">10 mg/mL </v>
      </c>
      <c r="AB970" s="10" t="str">
        <f>IFERROR(VLOOKUP(Tabla1[[#This Row],[MEDICAMENTO]],TAB_REF!$B$3:$F$27,4,0), "")</f>
        <v>Solución Inyectable</v>
      </c>
      <c r="AC970" s="10" t="str">
        <f>IFERROR(VLOOKUP(Tabla1[[#This Row],[MEDICAMENTO]],TAB_REF!$B$3:$F$27,5,0), "")</f>
        <v>Caja x 10 unidades</v>
      </c>
      <c r="AD970" s="10" t="str">
        <f>IFERROR(VLOOKUP(Tabla1[[#This Row],[CANTIDAD UND COMERCIALES]],TAB_REF!$H$3:$I$1003,2,0)&amp;" ("&amp;Tabla1[[#This Row],[CANTIDAD UND COMERCIALES]]&amp;")"&amp;"_"&amp;Tabla1[[#This Row],[CANTIDAD]],"")</f>
        <v>Catorce (14)_Caja x 10 unidades</v>
      </c>
    </row>
    <row r="971" spans="2:30" x14ac:dyDescent="0.25">
      <c r="B971" s="10">
        <v>400</v>
      </c>
      <c r="C971" s="10" t="s">
        <v>3937</v>
      </c>
      <c r="D971" s="10" t="s">
        <v>2312</v>
      </c>
      <c r="E971" s="10" t="s">
        <v>2715</v>
      </c>
      <c r="F971" s="10" t="s">
        <v>2761</v>
      </c>
      <c r="G971" s="10" t="s">
        <v>3938</v>
      </c>
      <c r="H971" s="10" t="s">
        <v>2718</v>
      </c>
      <c r="I971" s="10" t="s">
        <v>2128</v>
      </c>
      <c r="J971" s="10" t="s">
        <v>1918</v>
      </c>
      <c r="K971" s="10" t="s">
        <v>2715</v>
      </c>
      <c r="L971" s="11">
        <v>202124101278252</v>
      </c>
      <c r="M971" s="20">
        <v>44393</v>
      </c>
      <c r="N971" s="20" t="str">
        <f>UPPER(TEXT(Tabla1[[#This Row],[FECHA RADICADO ENTRADA]],"MMM"))</f>
        <v>JUL</v>
      </c>
      <c r="O971" s="11">
        <v>202124111144591</v>
      </c>
      <c r="P971" s="20">
        <v>44398</v>
      </c>
      <c r="Q971" s="20" t="str">
        <f>UPPER(TEXT(Tabla1[[#This Row],[FECHA RADICADO ENTRADA]],"MMM"))</f>
        <v>JUL</v>
      </c>
      <c r="R971" s="10">
        <f t="shared" si="46"/>
        <v>-5</v>
      </c>
      <c r="S971" s="10" t="s">
        <v>2154</v>
      </c>
      <c r="U971" s="10" t="s">
        <v>2720</v>
      </c>
      <c r="V971" s="20">
        <v>43581</v>
      </c>
      <c r="W971" s="10" t="s">
        <v>63</v>
      </c>
      <c r="X971" s="10">
        <v>4200</v>
      </c>
      <c r="Y971" s="11">
        <f>IFERROR(INT(Tabla1[[#This Row],[CANTIDAD UND FARMACEUTICAS]]/(VLOOKUP(Tabla1[[#This Row],[MEDICAMENTO]],TAB_REF!$K$3:$L$27,2,0))),"")</f>
        <v>420</v>
      </c>
      <c r="Z971" s="10" t="str">
        <f>IFERROR(VLOOKUP(Tabla1[[#This Row],[MEDICAMENTO]],TAB_REF!$B$3:$F$27,2,0), "")</f>
        <v xml:space="preserve">Morfina HCl </v>
      </c>
      <c r="AA971" s="10" t="str">
        <f>IFERROR(VLOOKUP(Tabla1[[#This Row],[MEDICAMENTO]],TAB_REF!$B$3:$F$27,3,0), "")</f>
        <v xml:space="preserve">10 mg/mL </v>
      </c>
      <c r="AB971" s="10" t="str">
        <f>IFERROR(VLOOKUP(Tabla1[[#This Row],[MEDICAMENTO]],TAB_REF!$B$3:$F$27,4,0), "")</f>
        <v>Solución Inyectable</v>
      </c>
      <c r="AC971" s="10" t="str">
        <f>IFERROR(VLOOKUP(Tabla1[[#This Row],[MEDICAMENTO]],TAB_REF!$B$3:$F$27,5,0), "")</f>
        <v>Caja x 10 unidades</v>
      </c>
      <c r="AD971" s="10" t="str">
        <f>IFERROR(VLOOKUP(Tabla1[[#This Row],[CANTIDAD UND COMERCIALES]],TAB_REF!$H$3:$I$1003,2,0)&amp;" ("&amp;Tabla1[[#This Row],[CANTIDAD UND COMERCIALES]]&amp;")"&amp;"_"&amp;Tabla1[[#This Row],[CANTIDAD]],"")</f>
        <v>Cuatrocientos Veinte (420)_Caja x 10 unidades</v>
      </c>
    </row>
    <row r="972" spans="2:30" x14ac:dyDescent="0.25">
      <c r="B972" s="10">
        <v>401</v>
      </c>
      <c r="C972" s="10" t="s">
        <v>2748</v>
      </c>
      <c r="D972" s="10" t="s">
        <v>2175</v>
      </c>
      <c r="E972" s="10" t="s">
        <v>2749</v>
      </c>
      <c r="F972" s="10" t="s">
        <v>2751</v>
      </c>
      <c r="G972" s="10" t="s">
        <v>3939</v>
      </c>
      <c r="H972" s="10" t="s">
        <v>3940</v>
      </c>
      <c r="I972" s="10" t="s">
        <v>2113</v>
      </c>
      <c r="J972" s="10" t="s">
        <v>1442</v>
      </c>
      <c r="K972" s="10" t="s">
        <v>3941</v>
      </c>
      <c r="L972" s="11">
        <v>202124101284262</v>
      </c>
      <c r="M972" s="20">
        <v>44396</v>
      </c>
      <c r="N972" s="20" t="str">
        <f>UPPER(TEXT(Tabla1[[#This Row],[FECHA RADICADO ENTRADA]],"MMM"))</f>
        <v>JUL</v>
      </c>
      <c r="O972" s="11">
        <v>202124111144821</v>
      </c>
      <c r="P972" s="20">
        <v>44398</v>
      </c>
      <c r="Q972" s="20" t="str">
        <f>UPPER(TEXT(Tabla1[[#This Row],[FECHA RADICADO ENTRADA]],"MMM"))</f>
        <v>JUL</v>
      </c>
      <c r="R972" s="10">
        <f t="shared" si="46"/>
        <v>-2</v>
      </c>
      <c r="S972" s="10" t="s">
        <v>2154</v>
      </c>
      <c r="U972" s="10" t="s">
        <v>2753</v>
      </c>
      <c r="V972" s="20">
        <v>44223</v>
      </c>
      <c r="W972" s="10" t="s">
        <v>38</v>
      </c>
      <c r="X972" s="10">
        <v>250</v>
      </c>
      <c r="Y972" s="11">
        <f>IFERROR(INT(Tabla1[[#This Row],[CANTIDAD UND FARMACEUTICAS]]/(VLOOKUP(Tabla1[[#This Row],[MEDICAMENTO]],TAB_REF!$K$3:$L$27,2,0))),"")</f>
        <v>12</v>
      </c>
      <c r="Z972" s="10" t="str">
        <f>IFERROR(VLOOKUP(Tabla1[[#This Row],[MEDICAMENTO]],TAB_REF!$B$3:$F$27,2,0), "")</f>
        <v xml:space="preserve">Hidromorfona HCl </v>
      </c>
      <c r="AA972" s="10" t="str">
        <f>IFERROR(VLOOKUP(Tabla1[[#This Row],[MEDICAMENTO]],TAB_REF!$B$3:$F$27,3,0), "")</f>
        <v xml:space="preserve">2,5 mg </v>
      </c>
      <c r="AB972" s="10" t="str">
        <f>IFERROR(VLOOKUP(Tabla1[[#This Row],[MEDICAMENTO]],TAB_REF!$B$3:$F$27,4,0), "")</f>
        <v>Tabletas</v>
      </c>
      <c r="AC972" s="10" t="str">
        <f>IFERROR(VLOOKUP(Tabla1[[#This Row],[MEDICAMENTO]],TAB_REF!$B$3:$F$27,5,0), "")</f>
        <v>Caja x 20 unidades</v>
      </c>
      <c r="AD972" s="10" t="str">
        <f>IFERROR(VLOOKUP(Tabla1[[#This Row],[CANTIDAD UND COMERCIALES]],TAB_REF!$H$3:$I$1003,2,0)&amp;" ("&amp;Tabla1[[#This Row],[CANTIDAD UND COMERCIALES]]&amp;")"&amp;"_"&amp;Tabla1[[#This Row],[CANTIDAD]],"")</f>
        <v>Doce (12)_Caja x 20 unidades</v>
      </c>
    </row>
    <row r="973" spans="2:30" x14ac:dyDescent="0.25">
      <c r="B973" s="10">
        <v>401</v>
      </c>
      <c r="C973" s="10" t="s">
        <v>2748</v>
      </c>
      <c r="D973" s="10" t="s">
        <v>2175</v>
      </c>
      <c r="E973" s="10" t="s">
        <v>2749</v>
      </c>
      <c r="F973" s="10" t="s">
        <v>2751</v>
      </c>
      <c r="G973" s="10" t="s">
        <v>3939</v>
      </c>
      <c r="H973" s="10" t="s">
        <v>3940</v>
      </c>
      <c r="I973" s="10" t="s">
        <v>2113</v>
      </c>
      <c r="J973" s="10" t="s">
        <v>1442</v>
      </c>
      <c r="K973" s="10" t="s">
        <v>3941</v>
      </c>
      <c r="L973" s="11">
        <v>202124101284262</v>
      </c>
      <c r="M973" s="20">
        <v>44396</v>
      </c>
      <c r="N973" s="20" t="str">
        <f>UPPER(TEXT(Tabla1[[#This Row],[FECHA RADICADO ENTRADA]],"MMM"))</f>
        <v>JUL</v>
      </c>
      <c r="O973" s="11">
        <v>202124111144821</v>
      </c>
      <c r="P973" s="20">
        <v>44398</v>
      </c>
      <c r="Q973" s="20" t="str">
        <f>UPPER(TEXT(Tabla1[[#This Row],[FECHA RADICADO ENTRADA]],"MMM"))</f>
        <v>JUL</v>
      </c>
      <c r="R973" s="10">
        <f t="shared" ref="R973:R975" si="53">_xlfn.DAYS(M973,P973)</f>
        <v>-2</v>
      </c>
      <c r="S973" s="10" t="s">
        <v>2154</v>
      </c>
      <c r="U973" s="10" t="s">
        <v>2753</v>
      </c>
      <c r="V973" s="20">
        <v>44223</v>
      </c>
      <c r="W973" s="10" t="s">
        <v>63</v>
      </c>
      <c r="X973" s="10">
        <v>200</v>
      </c>
      <c r="Y973" s="11">
        <f>IFERROR(INT(Tabla1[[#This Row],[CANTIDAD UND FARMACEUTICAS]]/(VLOOKUP(Tabla1[[#This Row],[MEDICAMENTO]],TAB_REF!$K$3:$L$27,2,0))),"")</f>
        <v>20</v>
      </c>
      <c r="Z973" s="10" t="str">
        <f>IFERROR(VLOOKUP(Tabla1[[#This Row],[MEDICAMENTO]],TAB_REF!$B$3:$F$27,2,0), "")</f>
        <v xml:space="preserve">Morfina HCl </v>
      </c>
      <c r="AA973" s="10" t="str">
        <f>IFERROR(VLOOKUP(Tabla1[[#This Row],[MEDICAMENTO]],TAB_REF!$B$3:$F$27,3,0), "")</f>
        <v xml:space="preserve">10 mg/mL </v>
      </c>
      <c r="AB973" s="10" t="str">
        <f>IFERROR(VLOOKUP(Tabla1[[#This Row],[MEDICAMENTO]],TAB_REF!$B$3:$F$27,4,0), "")</f>
        <v>Solución Inyectable</v>
      </c>
      <c r="AC973" s="10" t="str">
        <f>IFERROR(VLOOKUP(Tabla1[[#This Row],[MEDICAMENTO]],TAB_REF!$B$3:$F$27,5,0), "")</f>
        <v>Caja x 10 unidades</v>
      </c>
      <c r="AD973" s="10" t="str">
        <f>IFERROR(VLOOKUP(Tabla1[[#This Row],[CANTIDAD UND COMERCIALES]],TAB_REF!$H$3:$I$1003,2,0)&amp;" ("&amp;Tabla1[[#This Row],[CANTIDAD UND COMERCIALES]]&amp;")"&amp;"_"&amp;Tabla1[[#This Row],[CANTIDAD]],"")</f>
        <v>Veinte (20)_Caja x 10 unidades</v>
      </c>
    </row>
    <row r="974" spans="2:30" x14ac:dyDescent="0.25">
      <c r="B974" s="10">
        <v>401</v>
      </c>
      <c r="C974" s="10" t="s">
        <v>2748</v>
      </c>
      <c r="D974" s="10" t="s">
        <v>2175</v>
      </c>
      <c r="E974" s="10" t="s">
        <v>2749</v>
      </c>
      <c r="F974" s="10" t="s">
        <v>2751</v>
      </c>
      <c r="G974" s="10" t="s">
        <v>3939</v>
      </c>
      <c r="H974" s="10" t="s">
        <v>3940</v>
      </c>
      <c r="I974" s="10" t="s">
        <v>2113</v>
      </c>
      <c r="J974" s="10" t="s">
        <v>1442</v>
      </c>
      <c r="K974" s="10" t="s">
        <v>3941</v>
      </c>
      <c r="L974" s="11">
        <v>202124101284262</v>
      </c>
      <c r="M974" s="20">
        <v>44396</v>
      </c>
      <c r="N974" s="20" t="str">
        <f>UPPER(TEXT(Tabla1[[#This Row],[FECHA RADICADO ENTRADA]],"MMM"))</f>
        <v>JUL</v>
      </c>
      <c r="O974" s="11">
        <v>202124111144821</v>
      </c>
      <c r="P974" s="20">
        <v>44398</v>
      </c>
      <c r="Q974" s="20" t="str">
        <f>UPPER(TEXT(Tabla1[[#This Row],[FECHA RADICADO ENTRADA]],"MMM"))</f>
        <v>JUL</v>
      </c>
      <c r="R974" s="10">
        <f t="shared" si="53"/>
        <v>-2</v>
      </c>
      <c r="S974" s="10" t="s">
        <v>2154</v>
      </c>
      <c r="U974" s="10" t="s">
        <v>2753</v>
      </c>
      <c r="V974" s="20">
        <v>44223</v>
      </c>
      <c r="W974" s="10" t="s">
        <v>32</v>
      </c>
      <c r="X974" s="10">
        <v>300</v>
      </c>
      <c r="Y974" s="11">
        <f>IFERROR(INT(Tabla1[[#This Row],[CANTIDAD UND FARMACEUTICAS]]/(VLOOKUP(Tabla1[[#This Row],[MEDICAMENTO]],TAB_REF!$K$3:$L$27,2,0))),"")</f>
        <v>10</v>
      </c>
      <c r="Z974" s="10" t="str">
        <f>IFERROR(VLOOKUP(Tabla1[[#This Row],[MEDICAMENTO]],TAB_REF!$B$3:$F$27,2,0), "")</f>
        <v xml:space="preserve">Fenobarbital </v>
      </c>
      <c r="AA974" s="10" t="str">
        <f>IFERROR(VLOOKUP(Tabla1[[#This Row],[MEDICAMENTO]],TAB_REF!$B$3:$F$27,3,0), "")</f>
        <v xml:space="preserve">100 mg </v>
      </c>
      <c r="AB974" s="10" t="str">
        <f>IFERROR(VLOOKUP(Tabla1[[#This Row],[MEDICAMENTO]],TAB_REF!$B$3:$F$27,4,0), "")</f>
        <v>Tabletas</v>
      </c>
      <c r="AC974" s="10" t="str">
        <f>IFERROR(VLOOKUP(Tabla1[[#This Row],[MEDICAMENTO]],TAB_REF!$B$3:$F$27,5,0), "")</f>
        <v>Caja x 30 unidades</v>
      </c>
      <c r="AD974" s="10" t="str">
        <f>IFERROR(VLOOKUP(Tabla1[[#This Row],[CANTIDAD UND COMERCIALES]],TAB_REF!$H$3:$I$1003,2,0)&amp;" ("&amp;Tabla1[[#This Row],[CANTIDAD UND COMERCIALES]]&amp;")"&amp;"_"&amp;Tabla1[[#This Row],[CANTIDAD]],"")</f>
        <v>Diez (10)_Caja x 30 unidades</v>
      </c>
    </row>
    <row r="975" spans="2:30" x14ac:dyDescent="0.25">
      <c r="B975" s="10">
        <v>401</v>
      </c>
      <c r="C975" s="10" t="s">
        <v>2748</v>
      </c>
      <c r="D975" s="10" t="s">
        <v>2175</v>
      </c>
      <c r="E975" s="10" t="s">
        <v>2749</v>
      </c>
      <c r="F975" s="10" t="s">
        <v>2751</v>
      </c>
      <c r="G975" s="10" t="s">
        <v>3939</v>
      </c>
      <c r="H975" s="10" t="s">
        <v>3940</v>
      </c>
      <c r="I975" s="10" t="s">
        <v>2113</v>
      </c>
      <c r="J975" s="10" t="s">
        <v>1442</v>
      </c>
      <c r="K975" s="10" t="s">
        <v>3941</v>
      </c>
      <c r="L975" s="11">
        <v>202124101284262</v>
      </c>
      <c r="M975" s="20">
        <v>44396</v>
      </c>
      <c r="N975" s="20" t="str">
        <f>UPPER(TEXT(Tabla1[[#This Row],[FECHA RADICADO ENTRADA]],"MMM"))</f>
        <v>JUL</v>
      </c>
      <c r="O975" s="11">
        <v>202124111144821</v>
      </c>
      <c r="P975" s="20">
        <v>44398</v>
      </c>
      <c r="Q975" s="20" t="str">
        <f>UPPER(TEXT(Tabla1[[#This Row],[FECHA RADICADO ENTRADA]],"MMM"))</f>
        <v>JUL</v>
      </c>
      <c r="R975" s="10">
        <f t="shared" si="53"/>
        <v>-2</v>
      </c>
      <c r="S975" s="10" t="s">
        <v>2154</v>
      </c>
      <c r="U975" s="10" t="s">
        <v>2753</v>
      </c>
      <c r="V975" s="20">
        <v>44223</v>
      </c>
      <c r="W975" s="10" t="s">
        <v>60</v>
      </c>
      <c r="X975" s="10">
        <v>10</v>
      </c>
      <c r="Y975" s="11">
        <f>IFERROR(INT(Tabla1[[#This Row],[CANTIDAD UND FARMACEUTICAS]]/(VLOOKUP(Tabla1[[#This Row],[MEDICAMENTO]],TAB_REF!$K$3:$L$27,2,0))),"")</f>
        <v>10</v>
      </c>
      <c r="Z975" s="10" t="str">
        <f>IFERROR(VLOOKUP(Tabla1[[#This Row],[MEDICAMENTO]],TAB_REF!$B$3:$F$27,2,0), "")</f>
        <v xml:space="preserve">Morfina HCl </v>
      </c>
      <c r="AA975" s="10" t="str">
        <f>IFERROR(VLOOKUP(Tabla1[[#This Row],[MEDICAMENTO]],TAB_REF!$B$3:$F$27,3,0), "")</f>
        <v xml:space="preserve">3%. </v>
      </c>
      <c r="AB975" s="10" t="str">
        <f>IFERROR(VLOOKUP(Tabla1[[#This Row],[MEDICAMENTO]],TAB_REF!$B$3:$F$27,4,0), "")</f>
        <v>Solución Oral</v>
      </c>
      <c r="AC975" s="10" t="str">
        <f>IFERROR(VLOOKUP(Tabla1[[#This Row],[MEDICAMENTO]],TAB_REF!$B$3:$F$27,5,0), "")</f>
        <v>Frasco x 30 mL</v>
      </c>
      <c r="AD975" s="10" t="str">
        <f>IFERROR(VLOOKUP(Tabla1[[#This Row],[CANTIDAD UND COMERCIALES]],TAB_REF!$H$3:$I$1003,2,0)&amp;" ("&amp;Tabla1[[#This Row],[CANTIDAD UND COMERCIALES]]&amp;")"&amp;"_"&amp;Tabla1[[#This Row],[CANTIDAD]],"")</f>
        <v>Diez (10)_Frasco x 30 mL</v>
      </c>
    </row>
    <row r="976" spans="2:30" x14ac:dyDescent="0.25">
      <c r="B976" s="10">
        <v>402</v>
      </c>
      <c r="C976" s="10" t="s">
        <v>3075</v>
      </c>
      <c r="D976" s="10" t="s">
        <v>3076</v>
      </c>
      <c r="E976" s="10" t="s">
        <v>2856</v>
      </c>
      <c r="F976" s="10" t="s">
        <v>3767</v>
      </c>
      <c r="G976" s="10" t="s">
        <v>3944</v>
      </c>
      <c r="H976" s="10" t="s">
        <v>2569</v>
      </c>
      <c r="I976" s="10" t="s">
        <v>2110</v>
      </c>
      <c r="J976" s="10" t="s">
        <v>1235</v>
      </c>
      <c r="K976" s="10" t="s">
        <v>3945</v>
      </c>
      <c r="L976" s="11">
        <v>202124101293262</v>
      </c>
      <c r="M976" s="20">
        <v>44396</v>
      </c>
      <c r="N976" s="20" t="str">
        <f>UPPER(TEXT(Tabla1[[#This Row],[FECHA RADICADO ENTRADA]],"MMM"))</f>
        <v>JUL</v>
      </c>
      <c r="O976" s="11"/>
      <c r="Q976" s="20" t="str">
        <f>UPPER(TEXT(Tabla1[[#This Row],[FECHA RADICADO ENTRADA]],"MMM"))</f>
        <v>JUL</v>
      </c>
      <c r="R976" s="10">
        <f t="shared" ref="R976:R986" si="54">_xlfn.DAYS(M976,P976)</f>
        <v>44396</v>
      </c>
      <c r="S976" s="10" t="s">
        <v>2154</v>
      </c>
      <c r="U976" s="10" t="s">
        <v>2570</v>
      </c>
      <c r="V976" s="20">
        <v>44095</v>
      </c>
      <c r="W976" s="10" t="s">
        <v>63</v>
      </c>
      <c r="X976" s="10">
        <v>100</v>
      </c>
      <c r="Y976" s="11">
        <f>IFERROR(INT(Tabla1[[#This Row],[CANTIDAD UND FARMACEUTICAS]]/(VLOOKUP(Tabla1[[#This Row],[MEDICAMENTO]],TAB_REF!$K$3:$L$27,2,0))),"")</f>
        <v>10</v>
      </c>
      <c r="Z976" s="10" t="str">
        <f>IFERROR(VLOOKUP(Tabla1[[#This Row],[MEDICAMENTO]],TAB_REF!$B$3:$F$27,2,0), "")</f>
        <v xml:space="preserve">Morfina HCl </v>
      </c>
      <c r="AA976" s="10" t="str">
        <f>IFERROR(VLOOKUP(Tabla1[[#This Row],[MEDICAMENTO]],TAB_REF!$B$3:$F$27,3,0), "")</f>
        <v xml:space="preserve">10 mg/mL </v>
      </c>
      <c r="AB976" s="10" t="str">
        <f>IFERROR(VLOOKUP(Tabla1[[#This Row],[MEDICAMENTO]],TAB_REF!$B$3:$F$27,4,0), "")</f>
        <v>Solución Inyectable</v>
      </c>
      <c r="AC976" s="10" t="str">
        <f>IFERROR(VLOOKUP(Tabla1[[#This Row],[MEDICAMENTO]],TAB_REF!$B$3:$F$27,5,0), "")</f>
        <v>Caja x 10 unidades</v>
      </c>
      <c r="AD976" s="10" t="str">
        <f>IFERROR(VLOOKUP(Tabla1[[#This Row],[CANTIDAD UND COMERCIALES]],TAB_REF!$H$3:$I$1003,2,0)&amp;" ("&amp;Tabla1[[#This Row],[CANTIDAD UND COMERCIALES]]&amp;")"&amp;"_"&amp;Tabla1[[#This Row],[CANTIDAD]],"")</f>
        <v>Diez (10)_Caja x 10 unidades</v>
      </c>
    </row>
    <row r="977" spans="2:30" x14ac:dyDescent="0.25">
      <c r="B977" s="10">
        <v>402</v>
      </c>
      <c r="C977" s="10" t="s">
        <v>3075</v>
      </c>
      <c r="D977" s="10" t="s">
        <v>3076</v>
      </c>
      <c r="E977" s="10" t="s">
        <v>2856</v>
      </c>
      <c r="F977" s="10" t="s">
        <v>3767</v>
      </c>
      <c r="G977" s="10" t="s">
        <v>3944</v>
      </c>
      <c r="H977" s="10" t="s">
        <v>2569</v>
      </c>
      <c r="I977" s="10" t="s">
        <v>2110</v>
      </c>
      <c r="J977" s="10" t="s">
        <v>1235</v>
      </c>
      <c r="K977" s="10" t="s">
        <v>3945</v>
      </c>
      <c r="L977" s="11">
        <v>202124101293262</v>
      </c>
      <c r="M977" s="20">
        <v>44396</v>
      </c>
      <c r="N977" s="20" t="str">
        <f>UPPER(TEXT(Tabla1[[#This Row],[FECHA RADICADO ENTRADA]],"MMM"))</f>
        <v>JUL</v>
      </c>
      <c r="O977" s="11"/>
      <c r="Q977" s="20" t="str">
        <f>UPPER(TEXT(Tabla1[[#This Row],[FECHA RADICADO ENTRADA]],"MMM"))</f>
        <v>JUL</v>
      </c>
      <c r="R977" s="10">
        <f t="shared" si="54"/>
        <v>44396</v>
      </c>
      <c r="S977" s="10" t="s">
        <v>2145</v>
      </c>
      <c r="U977" s="10" t="s">
        <v>2570</v>
      </c>
      <c r="V977" s="20">
        <v>44095</v>
      </c>
      <c r="W977" s="10" t="s">
        <v>41</v>
      </c>
      <c r="X977" s="10">
        <v>0</v>
      </c>
      <c r="Y977" s="11">
        <f>IFERROR(INT(Tabla1[[#This Row],[CANTIDAD UND FARMACEUTICAS]]/(VLOOKUP(Tabla1[[#This Row],[MEDICAMENTO]],TAB_REF!$K$3:$L$27,2,0))),"")</f>
        <v>0</v>
      </c>
      <c r="Z977" s="10" t="str">
        <f>IFERROR(VLOOKUP(Tabla1[[#This Row],[MEDICAMENTO]],TAB_REF!$B$3:$F$27,2,0), "")</f>
        <v xml:space="preserve">Meperidina HCl </v>
      </c>
      <c r="AA977" s="10" t="str">
        <f>IFERROR(VLOOKUP(Tabla1[[#This Row],[MEDICAMENTO]],TAB_REF!$B$3:$F$27,3,0), "")</f>
        <v xml:space="preserve">100 mg/2mL </v>
      </c>
      <c r="AB977" s="10" t="str">
        <f>IFERROR(VLOOKUP(Tabla1[[#This Row],[MEDICAMENTO]],TAB_REF!$B$3:$F$27,4,0), "")</f>
        <v>Solución Inyectable</v>
      </c>
      <c r="AC977" s="10" t="str">
        <f>IFERROR(VLOOKUP(Tabla1[[#This Row],[MEDICAMENTO]],TAB_REF!$B$3:$F$27,5,0), "")</f>
        <v>Caja 10 ampollas</v>
      </c>
      <c r="AD977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978" spans="2:30" x14ac:dyDescent="0.25">
      <c r="B978" s="10">
        <v>403</v>
      </c>
      <c r="C978" s="10" t="s">
        <v>3946</v>
      </c>
      <c r="D978" s="10" t="s">
        <v>3947</v>
      </c>
      <c r="E978" s="10" t="s">
        <v>3948</v>
      </c>
      <c r="F978" s="10" t="s">
        <v>3949</v>
      </c>
      <c r="G978" s="10" t="s">
        <v>3950</v>
      </c>
      <c r="H978" s="10" t="s">
        <v>3951</v>
      </c>
      <c r="I978" s="10" t="s">
        <v>2122</v>
      </c>
      <c r="J978" s="10" t="s">
        <v>1748</v>
      </c>
      <c r="K978" s="10" t="s">
        <v>3952</v>
      </c>
      <c r="L978" s="11">
        <v>202124101297012</v>
      </c>
      <c r="M978" s="20">
        <v>44398</v>
      </c>
      <c r="N978" s="20" t="str">
        <f>UPPER(TEXT(Tabla1[[#This Row],[FECHA RADICADO ENTRADA]],"MMM"))</f>
        <v>JUL</v>
      </c>
      <c r="O978" s="11"/>
      <c r="Q978" s="20" t="str">
        <f>UPPER(TEXT(Tabla1[[#This Row],[FECHA RADICADO ENTRADA]],"MMM"))</f>
        <v>JUL</v>
      </c>
      <c r="R978" s="10">
        <f t="shared" si="54"/>
        <v>44398</v>
      </c>
      <c r="S978" s="10" t="s">
        <v>2154</v>
      </c>
      <c r="U978" s="10" t="s">
        <v>3953</v>
      </c>
      <c r="V978" s="20">
        <v>44110</v>
      </c>
      <c r="W978" s="10" t="s">
        <v>36</v>
      </c>
      <c r="X978" s="10">
        <v>60</v>
      </c>
      <c r="Y978" s="11">
        <f>IFERROR(INT(Tabla1[[#This Row],[CANTIDAD UND FARMACEUTICAS]]/(VLOOKUP(Tabla1[[#This Row],[MEDICAMENTO]],TAB_REF!$K$3:$L$27,2,0))),"")</f>
        <v>6</v>
      </c>
      <c r="Z978" s="10" t="str">
        <f>IFERROR(VLOOKUP(Tabla1[[#This Row],[MEDICAMENTO]],TAB_REF!$B$3:$F$27,2,0), "")</f>
        <v xml:space="preserve">Fenobarbital Sódico </v>
      </c>
      <c r="AA978" s="10" t="str">
        <f>IFERROR(VLOOKUP(Tabla1[[#This Row],[MEDICAMENTO]],TAB_REF!$B$3:$F$27,3,0), "")</f>
        <v xml:space="preserve">40 mg/mL </v>
      </c>
      <c r="AB978" s="10" t="str">
        <f>IFERROR(VLOOKUP(Tabla1[[#This Row],[MEDICAMENTO]],TAB_REF!$B$3:$F$27,4,0), "")</f>
        <v>Solución Inyectable</v>
      </c>
      <c r="AC978" s="10" t="str">
        <f>IFERROR(VLOOKUP(Tabla1[[#This Row],[MEDICAMENTO]],TAB_REF!$B$3:$F$27,5,0), "")</f>
        <v>Caja x 10 unidades</v>
      </c>
      <c r="AD978" s="10" t="str">
        <f>IFERROR(VLOOKUP(Tabla1[[#This Row],[CANTIDAD UND COMERCIALES]],TAB_REF!$H$3:$I$1003,2,0)&amp;" ("&amp;Tabla1[[#This Row],[CANTIDAD UND COMERCIALES]]&amp;")"&amp;"_"&amp;Tabla1[[#This Row],[CANTIDAD]],"")</f>
        <v>Seis (6)_Caja x 10 unidades</v>
      </c>
    </row>
    <row r="979" spans="2:30" x14ac:dyDescent="0.25">
      <c r="B979" s="10">
        <v>403</v>
      </c>
      <c r="C979" s="10" t="s">
        <v>3946</v>
      </c>
      <c r="D979" s="10" t="s">
        <v>3947</v>
      </c>
      <c r="E979" s="10" t="s">
        <v>3948</v>
      </c>
      <c r="F979" s="10" t="s">
        <v>3949</v>
      </c>
      <c r="G979" s="10" t="s">
        <v>3950</v>
      </c>
      <c r="H979" s="10" t="s">
        <v>3951</v>
      </c>
      <c r="I979" s="10" t="s">
        <v>2122</v>
      </c>
      <c r="J979" s="10" t="s">
        <v>1748</v>
      </c>
      <c r="K979" s="10" t="s">
        <v>3952</v>
      </c>
      <c r="L979" s="11">
        <v>202124101297012</v>
      </c>
      <c r="M979" s="20">
        <v>44398</v>
      </c>
      <c r="N979" s="20" t="str">
        <f>UPPER(TEXT(Tabla1[[#This Row],[FECHA RADICADO ENTRADA]],"MMM"))</f>
        <v>JUL</v>
      </c>
      <c r="O979" s="11"/>
      <c r="Q979" s="20" t="str">
        <f>UPPER(TEXT(Tabla1[[#This Row],[FECHA RADICADO ENTRADA]],"MMM"))</f>
        <v>JUL</v>
      </c>
      <c r="R979" s="10">
        <f t="shared" si="54"/>
        <v>44398</v>
      </c>
      <c r="S979" s="10" t="s">
        <v>2154</v>
      </c>
      <c r="U979" s="10" t="s">
        <v>3953</v>
      </c>
      <c r="V979" s="20">
        <v>44110</v>
      </c>
      <c r="W979" s="10" t="s">
        <v>34</v>
      </c>
      <c r="X979" s="10">
        <v>150</v>
      </c>
      <c r="Y979" s="11">
        <f>IFERROR(INT(Tabla1[[#This Row],[CANTIDAD UND FARMACEUTICAS]]/(VLOOKUP(Tabla1[[#This Row],[MEDICAMENTO]],TAB_REF!$K$3:$L$27,2,0))),"")</f>
        <v>15</v>
      </c>
      <c r="Z979" s="10" t="str">
        <f>IFERROR(VLOOKUP(Tabla1[[#This Row],[MEDICAMENTO]],TAB_REF!$B$3:$F$27,2,0), "")</f>
        <v xml:space="preserve">Fenobarbital Sódico </v>
      </c>
      <c r="AA979" s="10" t="str">
        <f>IFERROR(VLOOKUP(Tabla1[[#This Row],[MEDICAMENTO]],TAB_REF!$B$3:$F$27,3,0), "")</f>
        <v xml:space="preserve">200 mg/Ml </v>
      </c>
      <c r="AB979" s="10" t="str">
        <f>IFERROR(VLOOKUP(Tabla1[[#This Row],[MEDICAMENTO]],TAB_REF!$B$3:$F$27,4,0), "")</f>
        <v>Solución Inyectable</v>
      </c>
      <c r="AC979" s="10" t="str">
        <f>IFERROR(VLOOKUP(Tabla1[[#This Row],[MEDICAMENTO]],TAB_REF!$B$3:$F$27,5,0), "")</f>
        <v>Caja x 10 unidades</v>
      </c>
      <c r="AD979" s="10" t="str">
        <f>IFERROR(VLOOKUP(Tabla1[[#This Row],[CANTIDAD UND COMERCIALES]],TAB_REF!$H$3:$I$1003,2,0)&amp;" ("&amp;Tabla1[[#This Row],[CANTIDAD UND COMERCIALES]]&amp;")"&amp;"_"&amp;Tabla1[[#This Row],[CANTIDAD]],"")</f>
        <v>Quince (15)_Caja x 10 unidades</v>
      </c>
    </row>
    <row r="980" spans="2:30" x14ac:dyDescent="0.25">
      <c r="B980" s="10">
        <v>403</v>
      </c>
      <c r="C980" s="10" t="s">
        <v>3946</v>
      </c>
      <c r="D980" s="10" t="s">
        <v>3947</v>
      </c>
      <c r="E980" s="10" t="s">
        <v>3948</v>
      </c>
      <c r="F980" s="10" t="s">
        <v>3949</v>
      </c>
      <c r="G980" s="10" t="s">
        <v>3950</v>
      </c>
      <c r="H980" s="10" t="s">
        <v>3951</v>
      </c>
      <c r="I980" s="10" t="s">
        <v>2122</v>
      </c>
      <c r="J980" s="10" t="s">
        <v>1748</v>
      </c>
      <c r="K980" s="10" t="s">
        <v>3952</v>
      </c>
      <c r="L980" s="11">
        <v>202124101297012</v>
      </c>
      <c r="M980" s="20">
        <v>44398</v>
      </c>
      <c r="N980" s="20" t="str">
        <f>UPPER(TEXT(Tabla1[[#This Row],[FECHA RADICADO ENTRADA]],"MMM"))</f>
        <v>JUL</v>
      </c>
      <c r="O980" s="11"/>
      <c r="Q980" s="20" t="str">
        <f>UPPER(TEXT(Tabla1[[#This Row],[FECHA RADICADO ENTRADA]],"MMM"))</f>
        <v>JUL</v>
      </c>
      <c r="R980" s="10">
        <f t="shared" si="54"/>
        <v>44398</v>
      </c>
      <c r="S980" s="10" t="s">
        <v>2154</v>
      </c>
      <c r="U980" s="10" t="s">
        <v>3953</v>
      </c>
      <c r="V980" s="20">
        <v>44110</v>
      </c>
      <c r="W980" s="10" t="s">
        <v>63</v>
      </c>
      <c r="X980" s="10">
        <v>200</v>
      </c>
      <c r="Y980" s="11">
        <f>IFERROR(INT(Tabla1[[#This Row],[CANTIDAD UND FARMACEUTICAS]]/(VLOOKUP(Tabla1[[#This Row],[MEDICAMENTO]],TAB_REF!$K$3:$L$27,2,0))),"")</f>
        <v>20</v>
      </c>
      <c r="Z980" s="10" t="str">
        <f>IFERROR(VLOOKUP(Tabla1[[#This Row],[MEDICAMENTO]],TAB_REF!$B$3:$F$27,2,0), "")</f>
        <v xml:space="preserve">Morfina HCl </v>
      </c>
      <c r="AA980" s="10" t="str">
        <f>IFERROR(VLOOKUP(Tabla1[[#This Row],[MEDICAMENTO]],TAB_REF!$B$3:$F$27,3,0), "")</f>
        <v xml:space="preserve">10 mg/mL </v>
      </c>
      <c r="AB980" s="10" t="str">
        <f>IFERROR(VLOOKUP(Tabla1[[#This Row],[MEDICAMENTO]],TAB_REF!$B$3:$F$27,4,0), "")</f>
        <v>Solución Inyectable</v>
      </c>
      <c r="AC980" s="10" t="str">
        <f>IFERROR(VLOOKUP(Tabla1[[#This Row],[MEDICAMENTO]],TAB_REF!$B$3:$F$27,5,0), "")</f>
        <v>Caja x 10 unidades</v>
      </c>
      <c r="AD980" s="10" t="str">
        <f>IFERROR(VLOOKUP(Tabla1[[#This Row],[CANTIDAD UND COMERCIALES]],TAB_REF!$H$3:$I$1003,2,0)&amp;" ("&amp;Tabla1[[#This Row],[CANTIDAD UND COMERCIALES]]&amp;")"&amp;"_"&amp;Tabla1[[#This Row],[CANTIDAD]],"")</f>
        <v>Veinte (20)_Caja x 10 unidades</v>
      </c>
    </row>
    <row r="981" spans="2:30" x14ac:dyDescent="0.25">
      <c r="B981" s="10">
        <v>403</v>
      </c>
      <c r="C981" s="10" t="s">
        <v>3946</v>
      </c>
      <c r="D981" s="10" t="s">
        <v>3947</v>
      </c>
      <c r="E981" s="10" t="s">
        <v>3948</v>
      </c>
      <c r="F981" s="10" t="s">
        <v>3949</v>
      </c>
      <c r="G981" s="10" t="s">
        <v>3950</v>
      </c>
      <c r="H981" s="10" t="s">
        <v>3951</v>
      </c>
      <c r="I981" s="10" t="s">
        <v>2122</v>
      </c>
      <c r="J981" s="10" t="s">
        <v>1748</v>
      </c>
      <c r="K981" s="10" t="s">
        <v>3952</v>
      </c>
      <c r="L981" s="11">
        <v>202124101297012</v>
      </c>
      <c r="M981" s="20">
        <v>44398</v>
      </c>
      <c r="N981" s="20" t="str">
        <f>UPPER(TEXT(Tabla1[[#This Row],[FECHA RADICADO ENTRADA]],"MMM"))</f>
        <v>JUL</v>
      </c>
      <c r="O981" s="11"/>
      <c r="Q981" s="20" t="str">
        <f>UPPER(TEXT(Tabla1[[#This Row],[FECHA RADICADO ENTRADA]],"MMM"))</f>
        <v>JUL</v>
      </c>
      <c r="R981" s="10">
        <f t="shared" si="54"/>
        <v>44398</v>
      </c>
      <c r="S981" s="10" t="s">
        <v>2154</v>
      </c>
      <c r="U981" s="10" t="s">
        <v>3953</v>
      </c>
      <c r="V981" s="20">
        <v>44110</v>
      </c>
      <c r="W981" s="10" t="s">
        <v>41</v>
      </c>
      <c r="X981" s="10">
        <v>300</v>
      </c>
      <c r="Y981" s="11">
        <f>IFERROR(INT(Tabla1[[#This Row],[CANTIDAD UND FARMACEUTICAS]]/(VLOOKUP(Tabla1[[#This Row],[MEDICAMENTO]],TAB_REF!$K$3:$L$27,2,0))),"")</f>
        <v>30</v>
      </c>
      <c r="Z981" s="10" t="str">
        <f>IFERROR(VLOOKUP(Tabla1[[#This Row],[MEDICAMENTO]],TAB_REF!$B$3:$F$27,2,0), "")</f>
        <v xml:space="preserve">Meperidina HCl </v>
      </c>
      <c r="AA981" s="10" t="str">
        <f>IFERROR(VLOOKUP(Tabla1[[#This Row],[MEDICAMENTO]],TAB_REF!$B$3:$F$27,3,0), "")</f>
        <v xml:space="preserve">100 mg/2mL </v>
      </c>
      <c r="AB981" s="10" t="str">
        <f>IFERROR(VLOOKUP(Tabla1[[#This Row],[MEDICAMENTO]],TAB_REF!$B$3:$F$27,4,0), "")</f>
        <v>Solución Inyectable</v>
      </c>
      <c r="AC981" s="10" t="str">
        <f>IFERROR(VLOOKUP(Tabla1[[#This Row],[MEDICAMENTO]],TAB_REF!$B$3:$F$27,5,0), "")</f>
        <v>Caja 10 ampollas</v>
      </c>
      <c r="AD981" s="10" t="str">
        <f>IFERROR(VLOOKUP(Tabla1[[#This Row],[CANTIDAD UND COMERCIALES]],TAB_REF!$H$3:$I$1003,2,0)&amp;" ("&amp;Tabla1[[#This Row],[CANTIDAD UND COMERCIALES]]&amp;")"&amp;"_"&amp;Tabla1[[#This Row],[CANTIDAD]],"")</f>
        <v>Treinta (30)_Caja 10 ampollas</v>
      </c>
    </row>
    <row r="982" spans="2:30" x14ac:dyDescent="0.25">
      <c r="B982" s="10">
        <v>404</v>
      </c>
      <c r="C982" s="10" t="s">
        <v>3543</v>
      </c>
      <c r="D982" s="10" t="s">
        <v>3731</v>
      </c>
      <c r="E982" s="10" t="s">
        <v>2416</v>
      </c>
      <c r="F982" s="10" t="s">
        <v>3741</v>
      </c>
      <c r="G982" s="10" t="s">
        <v>3544</v>
      </c>
      <c r="H982" s="10" t="s">
        <v>3742</v>
      </c>
      <c r="I982" s="10" t="s">
        <v>2128</v>
      </c>
      <c r="J982" s="10" t="s">
        <v>1942</v>
      </c>
      <c r="K982" s="10" t="s">
        <v>2976</v>
      </c>
      <c r="L982" s="11">
        <v>202124101302412</v>
      </c>
      <c r="M982" s="20">
        <v>44398</v>
      </c>
      <c r="N982" s="20" t="str">
        <f>UPPER(TEXT(Tabla1[[#This Row],[FECHA RADICADO ENTRADA]],"MMM"))</f>
        <v>JUL</v>
      </c>
      <c r="O982" s="11"/>
      <c r="Q982" s="20" t="str">
        <f>UPPER(TEXT(Tabla1[[#This Row],[FECHA RADICADO ENTRADA]],"MMM"))</f>
        <v>JUL</v>
      </c>
      <c r="R982" s="10">
        <f t="shared" si="54"/>
        <v>44398</v>
      </c>
      <c r="S982" s="10" t="s">
        <v>2154</v>
      </c>
      <c r="U982" s="10" t="s">
        <v>3954</v>
      </c>
      <c r="V982" s="20">
        <v>44378</v>
      </c>
      <c r="W982" s="10" t="s">
        <v>37</v>
      </c>
      <c r="X982" s="10">
        <v>500</v>
      </c>
      <c r="Y982" s="11">
        <f>IFERROR(INT(Tabla1[[#This Row],[CANTIDAD UND FARMACEUTICAS]]/(VLOOKUP(Tabla1[[#This Row],[MEDICAMENTO]],TAB_REF!$K$3:$L$27,2,0))),"")</f>
        <v>50</v>
      </c>
      <c r="Z982" s="10" t="str">
        <f>IFERROR(VLOOKUP(Tabla1[[#This Row],[MEDICAMENTO]],TAB_REF!$B$3:$F$27,2,0), "")</f>
        <v xml:space="preserve">Hidromorfona HCl </v>
      </c>
      <c r="AA982" s="10" t="str">
        <f>IFERROR(VLOOKUP(Tabla1[[#This Row],[MEDICAMENTO]],TAB_REF!$B$3:$F$27,3,0), "")</f>
        <v xml:space="preserve">2 mg/mL </v>
      </c>
      <c r="AB982" s="10" t="str">
        <f>IFERROR(VLOOKUP(Tabla1[[#This Row],[MEDICAMENTO]],TAB_REF!$B$3:$F$27,4,0), "")</f>
        <v>Solución Inyectable</v>
      </c>
      <c r="AC982" s="10" t="str">
        <f>IFERROR(VLOOKUP(Tabla1[[#This Row],[MEDICAMENTO]],TAB_REF!$B$3:$F$27,5,0), "")</f>
        <v>Caja x 10 unidades</v>
      </c>
      <c r="AD982" s="10" t="str">
        <f>IFERROR(VLOOKUP(Tabla1[[#This Row],[CANTIDAD UND COMERCIALES]],TAB_REF!$H$3:$I$1003,2,0)&amp;" ("&amp;Tabla1[[#This Row],[CANTIDAD UND COMERCIALES]]&amp;")"&amp;"_"&amp;Tabla1[[#This Row],[CANTIDAD]],"")</f>
        <v>Cincuenta (50)_Caja x 10 unidades</v>
      </c>
    </row>
    <row r="983" spans="2:30" x14ac:dyDescent="0.25">
      <c r="B983" s="10">
        <v>404</v>
      </c>
      <c r="C983" s="10" t="s">
        <v>3543</v>
      </c>
      <c r="D983" s="10" t="s">
        <v>3731</v>
      </c>
      <c r="E983" s="10" t="s">
        <v>2416</v>
      </c>
      <c r="F983" s="10" t="s">
        <v>3741</v>
      </c>
      <c r="G983" s="10" t="s">
        <v>3544</v>
      </c>
      <c r="H983" s="10" t="s">
        <v>3742</v>
      </c>
      <c r="I983" s="10" t="s">
        <v>2128</v>
      </c>
      <c r="J983" s="10" t="s">
        <v>1942</v>
      </c>
      <c r="K983" s="10" t="s">
        <v>2976</v>
      </c>
      <c r="L983" s="11">
        <v>202124101302412</v>
      </c>
      <c r="M983" s="20">
        <v>44398</v>
      </c>
      <c r="N983" s="20" t="str">
        <f>UPPER(TEXT(Tabla1[[#This Row],[FECHA RADICADO ENTRADA]],"MMM"))</f>
        <v>JUL</v>
      </c>
      <c r="O983" s="11"/>
      <c r="Q983" s="20" t="str">
        <f>UPPER(TEXT(Tabla1[[#This Row],[FECHA RADICADO ENTRADA]],"MMM"))</f>
        <v>JUL</v>
      </c>
      <c r="R983" s="10">
        <f t="shared" ref="R983:R985" si="55">_xlfn.DAYS(M983,P983)</f>
        <v>44398</v>
      </c>
      <c r="S983" s="10" t="s">
        <v>2154</v>
      </c>
      <c r="U983" s="10" t="s">
        <v>3954</v>
      </c>
      <c r="V983" s="20">
        <v>44378</v>
      </c>
      <c r="W983" s="10" t="s">
        <v>44</v>
      </c>
      <c r="X983" s="10">
        <v>1000</v>
      </c>
      <c r="Y983" s="11">
        <f>IFERROR(INT(Tabla1[[#This Row],[CANTIDAD UND FARMACEUTICAS]]/(VLOOKUP(Tabla1[[#This Row],[MEDICAMENTO]],TAB_REF!$K$3:$L$27,2,0))),"")</f>
        <v>50</v>
      </c>
      <c r="Z983" s="10" t="str">
        <f>IFERROR(VLOOKUP(Tabla1[[#This Row],[MEDICAMENTO]],TAB_REF!$B$3:$F$27,2,0), "")</f>
        <v xml:space="preserve">Metadona HCl </v>
      </c>
      <c r="AA983" s="10" t="str">
        <f>IFERROR(VLOOKUP(Tabla1[[#This Row],[MEDICAMENTO]],TAB_REF!$B$3:$F$27,3,0), "")</f>
        <v xml:space="preserve">10 mg </v>
      </c>
      <c r="AB983" s="10" t="str">
        <f>IFERROR(VLOOKUP(Tabla1[[#This Row],[MEDICAMENTO]],TAB_REF!$B$3:$F$27,4,0), "")</f>
        <v>Tabletas IMPORTADA</v>
      </c>
      <c r="AC983" s="10" t="str">
        <f>IFERROR(VLOOKUP(Tabla1[[#This Row],[MEDICAMENTO]],TAB_REF!$B$3:$F$27,5,0), "")</f>
        <v>Frasco x 20 unidades</v>
      </c>
      <c r="AD983" s="10" t="str">
        <f>IFERROR(VLOOKUP(Tabla1[[#This Row],[CANTIDAD UND COMERCIALES]],TAB_REF!$H$3:$I$1003,2,0)&amp;" ("&amp;Tabla1[[#This Row],[CANTIDAD UND COMERCIALES]]&amp;")"&amp;"_"&amp;Tabla1[[#This Row],[CANTIDAD]],"")</f>
        <v>Cincuenta (50)_Frasco x 20 unidades</v>
      </c>
    </row>
    <row r="984" spans="2:30" x14ac:dyDescent="0.25">
      <c r="B984" s="10">
        <v>404</v>
      </c>
      <c r="C984" s="10" t="s">
        <v>3543</v>
      </c>
      <c r="D984" s="10" t="s">
        <v>3731</v>
      </c>
      <c r="E984" s="10" t="s">
        <v>2416</v>
      </c>
      <c r="F984" s="10" t="s">
        <v>3741</v>
      </c>
      <c r="G984" s="10" t="s">
        <v>3544</v>
      </c>
      <c r="H984" s="10" t="s">
        <v>3742</v>
      </c>
      <c r="I984" s="10" t="s">
        <v>2128</v>
      </c>
      <c r="J984" s="10" t="s">
        <v>1942</v>
      </c>
      <c r="K984" s="10" t="s">
        <v>2976</v>
      </c>
      <c r="L984" s="11">
        <v>202124101302412</v>
      </c>
      <c r="M984" s="20">
        <v>44398</v>
      </c>
      <c r="N984" s="20" t="str">
        <f>UPPER(TEXT(Tabla1[[#This Row],[FECHA RADICADO ENTRADA]],"MMM"))</f>
        <v>JUL</v>
      </c>
      <c r="O984" s="11"/>
      <c r="Q984" s="20" t="str">
        <f>UPPER(TEXT(Tabla1[[#This Row],[FECHA RADICADO ENTRADA]],"MMM"))</f>
        <v>JUL</v>
      </c>
      <c r="R984" s="10">
        <f t="shared" si="55"/>
        <v>44398</v>
      </c>
      <c r="S984" s="10" t="s">
        <v>2154</v>
      </c>
      <c r="U984" s="10" t="s">
        <v>3954</v>
      </c>
      <c r="V984" s="20">
        <v>44378</v>
      </c>
      <c r="W984" s="10" t="s">
        <v>64</v>
      </c>
      <c r="X984" s="10">
        <v>600</v>
      </c>
      <c r="Y984" s="11">
        <f>IFERROR(INT(Tabla1[[#This Row],[CANTIDAD UND FARMACEUTICAS]]/(VLOOKUP(Tabla1[[#This Row],[MEDICAMENTO]],TAB_REF!$K$3:$L$27,2,0))),"")</f>
        <v>60</v>
      </c>
      <c r="Z984" s="10" t="str">
        <f>IFERROR(VLOOKUP(Tabla1[[#This Row],[MEDICAMENTO]],TAB_REF!$B$3:$F$27,2,0), "")</f>
        <v xml:space="preserve">Morfina HCl </v>
      </c>
      <c r="AA984" s="10" t="str">
        <f>IFERROR(VLOOKUP(Tabla1[[#This Row],[MEDICAMENTO]],TAB_REF!$B$3:$F$27,3,0), "")</f>
        <v xml:space="preserve">10 (50mg/5mL) </v>
      </c>
      <c r="AB984" s="10" t="str">
        <f>IFERROR(VLOOKUP(Tabla1[[#This Row],[MEDICAMENTO]],TAB_REF!$B$3:$F$27,4,0), "")</f>
        <v>Solución Inyectable</v>
      </c>
      <c r="AC984" s="10" t="str">
        <f>IFERROR(VLOOKUP(Tabla1[[#This Row],[MEDICAMENTO]],TAB_REF!$B$3:$F$27,5,0), "")</f>
        <v>Caja x 5 unidades</v>
      </c>
      <c r="AD984" s="10" t="str">
        <f>IFERROR(VLOOKUP(Tabla1[[#This Row],[CANTIDAD UND COMERCIALES]],TAB_REF!$H$3:$I$1003,2,0)&amp;" ("&amp;Tabla1[[#This Row],[CANTIDAD UND COMERCIALES]]&amp;")"&amp;"_"&amp;Tabla1[[#This Row],[CANTIDAD]],"")</f>
        <v>Sesenta (60)_Caja x 5 unidades</v>
      </c>
    </row>
    <row r="985" spans="2:30" x14ac:dyDescent="0.25">
      <c r="B985" s="10">
        <v>404</v>
      </c>
      <c r="C985" s="10" t="s">
        <v>3543</v>
      </c>
      <c r="D985" s="10" t="s">
        <v>3731</v>
      </c>
      <c r="E985" s="10" t="s">
        <v>2416</v>
      </c>
      <c r="F985" s="10" t="s">
        <v>3741</v>
      </c>
      <c r="G985" s="10" t="s">
        <v>3544</v>
      </c>
      <c r="H985" s="10" t="s">
        <v>3742</v>
      </c>
      <c r="I985" s="10" t="s">
        <v>2128</v>
      </c>
      <c r="J985" s="10" t="s">
        <v>1942</v>
      </c>
      <c r="K985" s="10" t="s">
        <v>2976</v>
      </c>
      <c r="L985" s="11">
        <v>202124101302412</v>
      </c>
      <c r="M985" s="20">
        <v>44398</v>
      </c>
      <c r="N985" s="20" t="str">
        <f>UPPER(TEXT(Tabla1[[#This Row],[FECHA RADICADO ENTRADA]],"MMM"))</f>
        <v>JUL</v>
      </c>
      <c r="O985" s="11"/>
      <c r="Q985" s="20" t="str">
        <f>UPPER(TEXT(Tabla1[[#This Row],[FECHA RADICADO ENTRADA]],"MMM"))</f>
        <v>JUL</v>
      </c>
      <c r="R985" s="10">
        <f t="shared" si="55"/>
        <v>44398</v>
      </c>
      <c r="S985" s="10" t="s">
        <v>2154</v>
      </c>
      <c r="U985" s="10" t="s">
        <v>3954</v>
      </c>
      <c r="V985" s="20">
        <v>44378</v>
      </c>
      <c r="W985" s="10" t="s">
        <v>60</v>
      </c>
      <c r="X985" s="10">
        <v>400</v>
      </c>
      <c r="Y985" s="11">
        <f>IFERROR(INT(Tabla1[[#This Row],[CANTIDAD UND FARMACEUTICAS]]/(VLOOKUP(Tabla1[[#This Row],[MEDICAMENTO]],TAB_REF!$K$3:$L$27,2,0))),"")</f>
        <v>400</v>
      </c>
      <c r="Z985" s="10" t="str">
        <f>IFERROR(VLOOKUP(Tabla1[[#This Row],[MEDICAMENTO]],TAB_REF!$B$3:$F$27,2,0), "")</f>
        <v xml:space="preserve">Morfina HCl </v>
      </c>
      <c r="AA985" s="10" t="str">
        <f>IFERROR(VLOOKUP(Tabla1[[#This Row],[MEDICAMENTO]],TAB_REF!$B$3:$F$27,3,0), "")</f>
        <v xml:space="preserve">3%. </v>
      </c>
      <c r="AB985" s="10" t="str">
        <f>IFERROR(VLOOKUP(Tabla1[[#This Row],[MEDICAMENTO]],TAB_REF!$B$3:$F$27,4,0), "")</f>
        <v>Solución Oral</v>
      </c>
      <c r="AC985" s="10" t="str">
        <f>IFERROR(VLOOKUP(Tabla1[[#This Row],[MEDICAMENTO]],TAB_REF!$B$3:$F$27,5,0), "")</f>
        <v>Frasco x 30 mL</v>
      </c>
      <c r="AD985" s="10" t="str">
        <f>IFERROR(VLOOKUP(Tabla1[[#This Row],[CANTIDAD UND COMERCIALES]],TAB_REF!$H$3:$I$1003,2,0)&amp;" ("&amp;Tabla1[[#This Row],[CANTIDAD UND COMERCIALES]]&amp;")"&amp;"_"&amp;Tabla1[[#This Row],[CANTIDAD]],"")</f>
        <v>Cuatrocientos (400)_Frasco x 30 mL</v>
      </c>
    </row>
    <row r="986" spans="2:30" x14ac:dyDescent="0.25">
      <c r="B986" s="10">
        <v>405</v>
      </c>
      <c r="C986" s="10" t="s">
        <v>2470</v>
      </c>
      <c r="D986" s="10" t="s">
        <v>3955</v>
      </c>
      <c r="E986" s="10" t="s">
        <v>3956</v>
      </c>
      <c r="F986" s="10" t="s">
        <v>3789</v>
      </c>
      <c r="G986" s="10" t="s">
        <v>3957</v>
      </c>
      <c r="H986" s="10" t="s">
        <v>3958</v>
      </c>
      <c r="I986" s="10" t="s">
        <v>2128</v>
      </c>
      <c r="J986" s="10" t="s">
        <v>1942</v>
      </c>
      <c r="K986" s="10" t="s">
        <v>2101</v>
      </c>
      <c r="L986" s="11">
        <v>202124101305352</v>
      </c>
      <c r="M986" s="20">
        <v>44398</v>
      </c>
      <c r="N986" s="20" t="str">
        <f>UPPER(TEXT(Tabla1[[#This Row],[FECHA RADICADO ENTRADA]],"MMM"))</f>
        <v>JUL</v>
      </c>
      <c r="O986" s="11"/>
      <c r="Q986" s="20" t="str">
        <f>UPPER(TEXT(Tabla1[[#This Row],[FECHA RADICADO ENTRADA]],"MMM"))</f>
        <v>JUL</v>
      </c>
      <c r="R986" s="10">
        <f t="shared" si="54"/>
        <v>44398</v>
      </c>
      <c r="S986" s="10" t="s">
        <v>2154</v>
      </c>
      <c r="U986" s="10" t="s">
        <v>2468</v>
      </c>
      <c r="V986" s="20">
        <v>43030</v>
      </c>
      <c r="W986" s="10" t="s">
        <v>34</v>
      </c>
      <c r="X986" s="10">
        <v>20</v>
      </c>
      <c r="Y986" s="11">
        <f>IFERROR(INT(Tabla1[[#This Row],[CANTIDAD UND FARMACEUTICAS]]/(VLOOKUP(Tabla1[[#This Row],[MEDICAMENTO]],TAB_REF!$K$3:$L$27,2,0))),"")</f>
        <v>2</v>
      </c>
      <c r="Z986" s="10" t="str">
        <f>IFERROR(VLOOKUP(Tabla1[[#This Row],[MEDICAMENTO]],TAB_REF!$B$3:$F$27,2,0), "")</f>
        <v xml:space="preserve">Fenobarbital Sódico </v>
      </c>
      <c r="AA986" s="10" t="str">
        <f>IFERROR(VLOOKUP(Tabla1[[#This Row],[MEDICAMENTO]],TAB_REF!$B$3:$F$27,3,0), "")</f>
        <v xml:space="preserve">200 mg/Ml </v>
      </c>
      <c r="AB986" s="10" t="str">
        <f>IFERROR(VLOOKUP(Tabla1[[#This Row],[MEDICAMENTO]],TAB_REF!$B$3:$F$27,4,0), "")</f>
        <v>Solución Inyectable</v>
      </c>
      <c r="AC986" s="10" t="str">
        <f>IFERROR(VLOOKUP(Tabla1[[#This Row],[MEDICAMENTO]],TAB_REF!$B$3:$F$27,5,0), "")</f>
        <v>Caja x 10 unidades</v>
      </c>
      <c r="AD986" s="10" t="str">
        <f>IFERROR(VLOOKUP(Tabla1[[#This Row],[CANTIDAD UND COMERCIALES]],TAB_REF!$H$3:$I$1003,2,0)&amp;" ("&amp;Tabla1[[#This Row],[CANTIDAD UND COMERCIALES]]&amp;")"&amp;"_"&amp;Tabla1[[#This Row],[CANTIDAD]],"")</f>
        <v>Dos (2)_Caja x 10 unidades</v>
      </c>
    </row>
    <row r="987" spans="2:30" x14ac:dyDescent="0.25">
      <c r="B987" s="10">
        <v>405</v>
      </c>
      <c r="C987" s="10" t="s">
        <v>2470</v>
      </c>
      <c r="D987" s="10" t="s">
        <v>3955</v>
      </c>
      <c r="E987" s="10" t="s">
        <v>3956</v>
      </c>
      <c r="F987" s="10" t="s">
        <v>3789</v>
      </c>
      <c r="G987" s="10" t="s">
        <v>3957</v>
      </c>
      <c r="H987" s="10" t="s">
        <v>3958</v>
      </c>
      <c r="I987" s="10" t="s">
        <v>2128</v>
      </c>
      <c r="J987" s="10" t="s">
        <v>1942</v>
      </c>
      <c r="K987" s="10" t="s">
        <v>2101</v>
      </c>
      <c r="L987" s="11">
        <v>202124101305352</v>
      </c>
      <c r="M987" s="20">
        <v>44398</v>
      </c>
      <c r="N987" s="20" t="str">
        <f>UPPER(TEXT(Tabla1[[#This Row],[FECHA RADICADO ENTRADA]],"MMM"))</f>
        <v>JUL</v>
      </c>
      <c r="O987" s="11"/>
      <c r="Q987" s="20" t="str">
        <f>UPPER(TEXT(Tabla1[[#This Row],[FECHA RADICADO ENTRADA]],"MMM"))</f>
        <v>JUL</v>
      </c>
      <c r="R987" s="10">
        <f t="shared" ref="R987:R998" si="56">_xlfn.DAYS(M987,P987)</f>
        <v>44398</v>
      </c>
      <c r="S987" s="10" t="s">
        <v>2154</v>
      </c>
      <c r="U987" s="10" t="s">
        <v>2468</v>
      </c>
      <c r="V987" s="20">
        <v>43030</v>
      </c>
      <c r="W987" s="10" t="s">
        <v>37</v>
      </c>
      <c r="X987" s="10">
        <v>500</v>
      </c>
      <c r="Y987" s="11">
        <f>IFERROR(INT(Tabla1[[#This Row],[CANTIDAD UND FARMACEUTICAS]]/(VLOOKUP(Tabla1[[#This Row],[MEDICAMENTO]],TAB_REF!$K$3:$L$27,2,0))),"")</f>
        <v>50</v>
      </c>
      <c r="Z987" s="10" t="str">
        <f>IFERROR(VLOOKUP(Tabla1[[#This Row],[MEDICAMENTO]],TAB_REF!$B$3:$F$27,2,0), "")</f>
        <v xml:space="preserve">Hidromorfona HCl </v>
      </c>
      <c r="AA987" s="10" t="str">
        <f>IFERROR(VLOOKUP(Tabla1[[#This Row],[MEDICAMENTO]],TAB_REF!$B$3:$F$27,3,0), "")</f>
        <v xml:space="preserve">2 mg/mL </v>
      </c>
      <c r="AB987" s="10" t="str">
        <f>IFERROR(VLOOKUP(Tabla1[[#This Row],[MEDICAMENTO]],TAB_REF!$B$3:$F$27,4,0), "")</f>
        <v>Solución Inyectable</v>
      </c>
      <c r="AC987" s="10" t="str">
        <f>IFERROR(VLOOKUP(Tabla1[[#This Row],[MEDICAMENTO]],TAB_REF!$B$3:$F$27,5,0), "")</f>
        <v>Caja x 10 unidades</v>
      </c>
      <c r="AD987" s="10" t="str">
        <f>IFERROR(VLOOKUP(Tabla1[[#This Row],[CANTIDAD UND COMERCIALES]],TAB_REF!$H$3:$I$1003,2,0)&amp;" ("&amp;Tabla1[[#This Row],[CANTIDAD UND COMERCIALES]]&amp;")"&amp;"_"&amp;Tabla1[[#This Row],[CANTIDAD]],"")</f>
        <v>Cincuenta (50)_Caja x 10 unidades</v>
      </c>
    </row>
    <row r="988" spans="2:30" x14ac:dyDescent="0.25">
      <c r="B988" s="10">
        <v>405</v>
      </c>
      <c r="C988" s="10" t="s">
        <v>2470</v>
      </c>
      <c r="D988" s="10" t="s">
        <v>3955</v>
      </c>
      <c r="E988" s="10" t="s">
        <v>3956</v>
      </c>
      <c r="F988" s="10" t="s">
        <v>3789</v>
      </c>
      <c r="G988" s="10" t="s">
        <v>3957</v>
      </c>
      <c r="H988" s="10" t="s">
        <v>3958</v>
      </c>
      <c r="I988" s="10" t="s">
        <v>2128</v>
      </c>
      <c r="J988" s="10" t="s">
        <v>1942</v>
      </c>
      <c r="K988" s="10" t="s">
        <v>2101</v>
      </c>
      <c r="L988" s="11">
        <v>202124101305352</v>
      </c>
      <c r="M988" s="20">
        <v>44398</v>
      </c>
      <c r="N988" s="20" t="str">
        <f>UPPER(TEXT(Tabla1[[#This Row],[FECHA RADICADO ENTRADA]],"MMM"))</f>
        <v>JUL</v>
      </c>
      <c r="O988" s="11"/>
      <c r="Q988" s="20" t="str">
        <f>UPPER(TEXT(Tabla1[[#This Row],[FECHA RADICADO ENTRADA]],"MMM"))</f>
        <v>JUL</v>
      </c>
      <c r="R988" s="10">
        <f t="shared" si="56"/>
        <v>44398</v>
      </c>
      <c r="S988" s="10" t="s">
        <v>2154</v>
      </c>
      <c r="U988" s="10" t="s">
        <v>2468</v>
      </c>
      <c r="V988" s="20">
        <v>43030</v>
      </c>
      <c r="W988" s="10" t="s">
        <v>45</v>
      </c>
      <c r="X988" s="10">
        <v>1800</v>
      </c>
      <c r="Y988" s="11">
        <f>IFERROR(INT(Tabla1[[#This Row],[CANTIDAD UND FARMACEUTICAS]]/(VLOOKUP(Tabla1[[#This Row],[MEDICAMENTO]],TAB_REF!$K$3:$L$27,2,0))),"")</f>
        <v>60</v>
      </c>
      <c r="Z988" s="10" t="str">
        <f>IFERROR(VLOOKUP(Tabla1[[#This Row],[MEDICAMENTO]],TAB_REF!$B$3:$F$27,2,0), "")</f>
        <v xml:space="preserve">Metadona HCl </v>
      </c>
      <c r="AA988" s="10" t="str">
        <f>IFERROR(VLOOKUP(Tabla1[[#This Row],[MEDICAMENTO]],TAB_REF!$B$3:$F$27,3,0), "")</f>
        <v xml:space="preserve">10 mg </v>
      </c>
      <c r="AB988" s="10" t="str">
        <f>IFERROR(VLOOKUP(Tabla1[[#This Row],[MEDICAMENTO]],TAB_REF!$B$3:$F$27,4,0), "")</f>
        <v>Tabletas NACIONAL</v>
      </c>
      <c r="AC988" s="10" t="str">
        <f>IFERROR(VLOOKUP(Tabla1[[#This Row],[MEDICAMENTO]],TAB_REF!$B$3:$F$27,5,0), "")</f>
        <v>Caja x 30 unidades</v>
      </c>
      <c r="AD988" s="10" t="str">
        <f>IFERROR(VLOOKUP(Tabla1[[#This Row],[CANTIDAD UND COMERCIALES]],TAB_REF!$H$3:$I$1003,2,0)&amp;" ("&amp;Tabla1[[#This Row],[CANTIDAD UND COMERCIALES]]&amp;")"&amp;"_"&amp;Tabla1[[#This Row],[CANTIDAD]],"")</f>
        <v>Sesenta (60)_Caja x 30 unidades</v>
      </c>
    </row>
    <row r="989" spans="2:30" x14ac:dyDescent="0.25">
      <c r="B989" s="10">
        <v>405</v>
      </c>
      <c r="C989" s="10" t="s">
        <v>2470</v>
      </c>
      <c r="D989" s="10" t="s">
        <v>3955</v>
      </c>
      <c r="E989" s="10" t="s">
        <v>3956</v>
      </c>
      <c r="F989" s="10" t="s">
        <v>3789</v>
      </c>
      <c r="G989" s="10" t="s">
        <v>3957</v>
      </c>
      <c r="H989" s="10" t="s">
        <v>3958</v>
      </c>
      <c r="I989" s="10" t="s">
        <v>2128</v>
      </c>
      <c r="J989" s="10" t="s">
        <v>1942</v>
      </c>
      <c r="K989" s="10" t="s">
        <v>2101</v>
      </c>
      <c r="L989" s="11">
        <v>202124101305352</v>
      </c>
      <c r="M989" s="20">
        <v>44398</v>
      </c>
      <c r="N989" s="20" t="str">
        <f>UPPER(TEXT(Tabla1[[#This Row],[FECHA RADICADO ENTRADA]],"MMM"))</f>
        <v>JUL</v>
      </c>
      <c r="O989" s="11"/>
      <c r="Q989" s="20" t="str">
        <f>UPPER(TEXT(Tabla1[[#This Row],[FECHA RADICADO ENTRADA]],"MMM"))</f>
        <v>JUL</v>
      </c>
      <c r="R989" s="10">
        <f t="shared" si="56"/>
        <v>44398</v>
      </c>
      <c r="S989" s="10" t="s">
        <v>2154</v>
      </c>
      <c r="U989" s="10" t="s">
        <v>2468</v>
      </c>
      <c r="V989" s="20">
        <v>43030</v>
      </c>
      <c r="W989" s="10" t="s">
        <v>64</v>
      </c>
      <c r="X989" s="10">
        <v>600</v>
      </c>
      <c r="Y989" s="11">
        <f>IFERROR(INT(Tabla1[[#This Row],[CANTIDAD UND FARMACEUTICAS]]/(VLOOKUP(Tabla1[[#This Row],[MEDICAMENTO]],TAB_REF!$K$3:$L$27,2,0))),"")</f>
        <v>60</v>
      </c>
      <c r="Z989" s="10" t="str">
        <f>IFERROR(VLOOKUP(Tabla1[[#This Row],[MEDICAMENTO]],TAB_REF!$B$3:$F$27,2,0), "")</f>
        <v xml:space="preserve">Morfina HCl </v>
      </c>
      <c r="AA989" s="10" t="str">
        <f>IFERROR(VLOOKUP(Tabla1[[#This Row],[MEDICAMENTO]],TAB_REF!$B$3:$F$27,3,0), "")</f>
        <v xml:space="preserve">10 (50mg/5mL) </v>
      </c>
      <c r="AB989" s="10" t="str">
        <f>IFERROR(VLOOKUP(Tabla1[[#This Row],[MEDICAMENTO]],TAB_REF!$B$3:$F$27,4,0), "")</f>
        <v>Solución Inyectable</v>
      </c>
      <c r="AC989" s="10" t="str">
        <f>IFERROR(VLOOKUP(Tabla1[[#This Row],[MEDICAMENTO]],TAB_REF!$B$3:$F$27,5,0), "")</f>
        <v>Caja x 5 unidades</v>
      </c>
      <c r="AD989" s="10" t="str">
        <f>IFERROR(VLOOKUP(Tabla1[[#This Row],[CANTIDAD UND COMERCIALES]],TAB_REF!$H$3:$I$1003,2,0)&amp;" ("&amp;Tabla1[[#This Row],[CANTIDAD UND COMERCIALES]]&amp;")"&amp;"_"&amp;Tabla1[[#This Row],[CANTIDAD]],"")</f>
        <v>Sesenta (60)_Caja x 5 unidades</v>
      </c>
    </row>
    <row r="990" spans="2:30" x14ac:dyDescent="0.25">
      <c r="B990" s="10">
        <v>405</v>
      </c>
      <c r="C990" s="10" t="s">
        <v>2470</v>
      </c>
      <c r="D990" s="10" t="s">
        <v>3955</v>
      </c>
      <c r="E990" s="10" t="s">
        <v>3956</v>
      </c>
      <c r="F990" s="10" t="s">
        <v>3789</v>
      </c>
      <c r="G990" s="10" t="s">
        <v>3957</v>
      </c>
      <c r="H990" s="10" t="s">
        <v>3958</v>
      </c>
      <c r="I990" s="10" t="s">
        <v>2128</v>
      </c>
      <c r="J990" s="10" t="s">
        <v>1942</v>
      </c>
      <c r="K990" s="10" t="s">
        <v>2101</v>
      </c>
      <c r="L990" s="11">
        <v>202124101305352</v>
      </c>
      <c r="M990" s="20">
        <v>44398</v>
      </c>
      <c r="N990" s="20" t="str">
        <f>UPPER(TEXT(Tabla1[[#This Row],[FECHA RADICADO ENTRADA]],"MMM"))</f>
        <v>JUL</v>
      </c>
      <c r="O990" s="11"/>
      <c r="Q990" s="20" t="str">
        <f>UPPER(TEXT(Tabla1[[#This Row],[FECHA RADICADO ENTRADA]],"MMM"))</f>
        <v>JUL</v>
      </c>
      <c r="R990" s="10">
        <f t="shared" si="56"/>
        <v>44398</v>
      </c>
      <c r="S990" s="10" t="s">
        <v>2154</v>
      </c>
      <c r="U990" s="10" t="s">
        <v>2468</v>
      </c>
      <c r="V990" s="20">
        <v>43030</v>
      </c>
      <c r="W990" s="10" t="s">
        <v>60</v>
      </c>
      <c r="X990" s="10">
        <v>15</v>
      </c>
      <c r="Y990" s="11">
        <f>IFERROR(INT(Tabla1[[#This Row],[CANTIDAD UND FARMACEUTICAS]]/(VLOOKUP(Tabla1[[#This Row],[MEDICAMENTO]],TAB_REF!$K$3:$L$27,2,0))),"")</f>
        <v>15</v>
      </c>
      <c r="Z990" s="10" t="str">
        <f>IFERROR(VLOOKUP(Tabla1[[#This Row],[MEDICAMENTO]],TAB_REF!$B$3:$F$27,2,0), "")</f>
        <v xml:space="preserve">Morfina HCl </v>
      </c>
      <c r="AA990" s="10" t="str">
        <f>IFERROR(VLOOKUP(Tabla1[[#This Row],[MEDICAMENTO]],TAB_REF!$B$3:$F$27,3,0), "")</f>
        <v xml:space="preserve">3%. </v>
      </c>
      <c r="AB990" s="10" t="str">
        <f>IFERROR(VLOOKUP(Tabla1[[#This Row],[MEDICAMENTO]],TAB_REF!$B$3:$F$27,4,0), "")</f>
        <v>Solución Oral</v>
      </c>
      <c r="AC990" s="10" t="str">
        <f>IFERROR(VLOOKUP(Tabla1[[#This Row],[MEDICAMENTO]],TAB_REF!$B$3:$F$27,5,0), "")</f>
        <v>Frasco x 30 mL</v>
      </c>
      <c r="AD990" s="10" t="str">
        <f>IFERROR(VLOOKUP(Tabla1[[#This Row],[CANTIDAD UND COMERCIALES]],TAB_REF!$H$3:$I$1003,2,0)&amp;" ("&amp;Tabla1[[#This Row],[CANTIDAD UND COMERCIALES]]&amp;")"&amp;"_"&amp;Tabla1[[#This Row],[CANTIDAD]],"")</f>
        <v>Quince (15)_Frasco x 30 mL</v>
      </c>
    </row>
    <row r="991" spans="2:30" x14ac:dyDescent="0.25">
      <c r="B991" s="10">
        <v>406</v>
      </c>
      <c r="C991" s="10" t="s">
        <v>3959</v>
      </c>
      <c r="D991" s="10" t="s">
        <v>3960</v>
      </c>
      <c r="E991" s="10" t="s">
        <v>3961</v>
      </c>
      <c r="F991" s="10" t="s">
        <v>3962</v>
      </c>
      <c r="G991" s="10" t="s">
        <v>3963</v>
      </c>
      <c r="H991" s="10" t="s">
        <v>3964</v>
      </c>
      <c r="I991" s="10" t="s">
        <v>2122</v>
      </c>
      <c r="J991" s="10" t="s">
        <v>1742</v>
      </c>
      <c r="K991" s="10" t="s">
        <v>2391</v>
      </c>
      <c r="L991" s="11">
        <v>202124101310072</v>
      </c>
      <c r="M991" s="20">
        <v>44399</v>
      </c>
      <c r="N991" s="20" t="str">
        <f>UPPER(TEXT(Tabla1[[#This Row],[FECHA RADICADO ENTRADA]],"MMM"))</f>
        <v>JUL</v>
      </c>
      <c r="O991" s="11"/>
      <c r="Q991" s="20" t="str">
        <f>UPPER(TEXT(Tabla1[[#This Row],[FECHA RADICADO ENTRADA]],"MMM"))</f>
        <v>JUL</v>
      </c>
      <c r="R991" s="10">
        <f t="shared" si="56"/>
        <v>44399</v>
      </c>
      <c r="S991" s="10" t="s">
        <v>2145</v>
      </c>
      <c r="U991" s="10" t="s">
        <v>3965</v>
      </c>
      <c r="V991" s="20">
        <v>43745</v>
      </c>
      <c r="W991" s="10" t="s">
        <v>63</v>
      </c>
      <c r="X991" s="10">
        <v>500</v>
      </c>
      <c r="Y991" s="11">
        <f>IFERROR(INT(Tabla1[[#This Row],[CANTIDAD UND FARMACEUTICAS]]/(VLOOKUP(Tabla1[[#This Row],[MEDICAMENTO]],TAB_REF!$K$3:$L$27,2,0))),"")</f>
        <v>50</v>
      </c>
      <c r="Z991" s="10" t="str">
        <f>IFERROR(VLOOKUP(Tabla1[[#This Row],[MEDICAMENTO]],TAB_REF!$B$3:$F$27,2,0), "")</f>
        <v xml:space="preserve">Morfina HCl </v>
      </c>
      <c r="AA991" s="10" t="str">
        <f>IFERROR(VLOOKUP(Tabla1[[#This Row],[MEDICAMENTO]],TAB_REF!$B$3:$F$27,3,0), "")</f>
        <v xml:space="preserve">10 mg/mL </v>
      </c>
      <c r="AB991" s="10" t="str">
        <f>IFERROR(VLOOKUP(Tabla1[[#This Row],[MEDICAMENTO]],TAB_REF!$B$3:$F$27,4,0), "")</f>
        <v>Solución Inyectable</v>
      </c>
      <c r="AC991" s="10" t="str">
        <f>IFERROR(VLOOKUP(Tabla1[[#This Row],[MEDICAMENTO]],TAB_REF!$B$3:$F$27,5,0), "")</f>
        <v>Caja x 10 unidades</v>
      </c>
      <c r="AD991" s="10" t="str">
        <f>IFERROR(VLOOKUP(Tabla1[[#This Row],[CANTIDAD UND COMERCIALES]],TAB_REF!$H$3:$I$1003,2,0)&amp;" ("&amp;Tabla1[[#This Row],[CANTIDAD UND COMERCIALES]]&amp;")"&amp;"_"&amp;Tabla1[[#This Row],[CANTIDAD]],"")</f>
        <v>Cincuenta (50)_Caja x 10 unidades</v>
      </c>
    </row>
    <row r="992" spans="2:30" x14ac:dyDescent="0.25">
      <c r="B992" s="10">
        <v>407</v>
      </c>
      <c r="C992" s="10" t="s">
        <v>3133</v>
      </c>
      <c r="D992" s="10" t="s">
        <v>3134</v>
      </c>
      <c r="E992" s="10" t="s">
        <v>3967</v>
      </c>
      <c r="F992" s="10" t="s">
        <v>3780</v>
      </c>
      <c r="G992" s="10" t="s">
        <v>3968</v>
      </c>
      <c r="H992" s="10" t="s">
        <v>3781</v>
      </c>
      <c r="I992" s="10" t="s">
        <v>2129</v>
      </c>
      <c r="J992" s="10" t="s">
        <v>2011</v>
      </c>
      <c r="K992" s="10" t="s">
        <v>3969</v>
      </c>
      <c r="L992" s="11">
        <v>202124101308442</v>
      </c>
      <c r="M992" s="20">
        <v>44399</v>
      </c>
      <c r="N992" s="20" t="str">
        <f>UPPER(TEXT(Tabla1[[#This Row],[FECHA RADICADO ENTRADA]],"MMM"))</f>
        <v>JUL</v>
      </c>
      <c r="O992" s="11"/>
      <c r="Q992" s="20" t="str">
        <f>UPPER(TEXT(Tabla1[[#This Row],[FECHA RADICADO ENTRADA]],"MMM"))</f>
        <v>JUL</v>
      </c>
      <c r="R992" s="10">
        <f t="shared" si="56"/>
        <v>44399</v>
      </c>
      <c r="S992" s="10" t="s">
        <v>2154</v>
      </c>
      <c r="U992" s="10" t="s">
        <v>3140</v>
      </c>
      <c r="V992" s="20">
        <v>43392</v>
      </c>
      <c r="W992" s="10" t="s">
        <v>63</v>
      </c>
      <c r="X992" s="10">
        <v>1000</v>
      </c>
      <c r="Y992" s="11">
        <f>IFERROR(INT(Tabla1[[#This Row],[CANTIDAD UND FARMACEUTICAS]]/(VLOOKUP(Tabla1[[#This Row],[MEDICAMENTO]],TAB_REF!$K$3:$L$27,2,0))),"")</f>
        <v>100</v>
      </c>
      <c r="Z992" s="10" t="str">
        <f>IFERROR(VLOOKUP(Tabla1[[#This Row],[MEDICAMENTO]],TAB_REF!$B$3:$F$27,2,0), "")</f>
        <v xml:space="preserve">Morfina HCl </v>
      </c>
      <c r="AA992" s="10" t="str">
        <f>IFERROR(VLOOKUP(Tabla1[[#This Row],[MEDICAMENTO]],TAB_REF!$B$3:$F$27,3,0), "")</f>
        <v xml:space="preserve">10 mg/mL </v>
      </c>
      <c r="AB992" s="10" t="str">
        <f>IFERROR(VLOOKUP(Tabla1[[#This Row],[MEDICAMENTO]],TAB_REF!$B$3:$F$27,4,0), "")</f>
        <v>Solución Inyectable</v>
      </c>
      <c r="AC992" s="10" t="str">
        <f>IFERROR(VLOOKUP(Tabla1[[#This Row],[MEDICAMENTO]],TAB_REF!$B$3:$F$27,5,0), "")</f>
        <v>Caja x 10 unidades</v>
      </c>
      <c r="AD992" s="10" t="str">
        <f>IFERROR(VLOOKUP(Tabla1[[#This Row],[CANTIDAD UND COMERCIALES]],TAB_REF!$H$3:$I$1003,2,0)&amp;" ("&amp;Tabla1[[#This Row],[CANTIDAD UND COMERCIALES]]&amp;")"&amp;"_"&amp;Tabla1[[#This Row],[CANTIDAD]],"")</f>
        <v>Cien (100)_Caja x 10 unidades</v>
      </c>
    </row>
    <row r="993" spans="2:30" x14ac:dyDescent="0.25">
      <c r="B993" s="10">
        <v>407</v>
      </c>
      <c r="C993" s="10" t="s">
        <v>3133</v>
      </c>
      <c r="D993" s="10" t="s">
        <v>3134</v>
      </c>
      <c r="E993" s="10" t="s">
        <v>3967</v>
      </c>
      <c r="F993" s="10" t="s">
        <v>3780</v>
      </c>
      <c r="G993" s="10" t="s">
        <v>3968</v>
      </c>
      <c r="H993" s="10" t="s">
        <v>3781</v>
      </c>
      <c r="I993" s="10" t="s">
        <v>2129</v>
      </c>
      <c r="J993" s="10" t="s">
        <v>2011</v>
      </c>
      <c r="K993" s="10" t="s">
        <v>3969</v>
      </c>
      <c r="L993" s="11">
        <v>202124101308442</v>
      </c>
      <c r="M993" s="20">
        <v>44399</v>
      </c>
      <c r="N993" s="20" t="str">
        <f>UPPER(TEXT(Tabla1[[#This Row],[FECHA RADICADO ENTRADA]],"MMM"))</f>
        <v>JUL</v>
      </c>
      <c r="O993" s="11"/>
      <c r="Q993" s="20" t="str">
        <f>UPPER(TEXT(Tabla1[[#This Row],[FECHA RADICADO ENTRADA]],"MMM"))</f>
        <v>JUL</v>
      </c>
      <c r="R993" s="10">
        <f t="shared" ref="R993:R994" si="57">_xlfn.DAYS(M993,P993)</f>
        <v>44399</v>
      </c>
      <c r="S993" s="10" t="s">
        <v>2154</v>
      </c>
      <c r="U993" s="10" t="s">
        <v>3140</v>
      </c>
      <c r="V993" s="20">
        <v>43392</v>
      </c>
      <c r="W993" s="10" t="s">
        <v>37</v>
      </c>
      <c r="X993" s="10">
        <v>1000</v>
      </c>
      <c r="Y993" s="11">
        <f>IFERROR(INT(Tabla1[[#This Row],[CANTIDAD UND FARMACEUTICAS]]/(VLOOKUP(Tabla1[[#This Row],[MEDICAMENTO]],TAB_REF!$K$3:$L$27,2,0))),"")</f>
        <v>100</v>
      </c>
      <c r="Z993" s="10" t="str">
        <f>IFERROR(VLOOKUP(Tabla1[[#This Row],[MEDICAMENTO]],TAB_REF!$B$3:$F$27,2,0), "")</f>
        <v xml:space="preserve">Hidromorfona HCl </v>
      </c>
      <c r="AA993" s="10" t="str">
        <f>IFERROR(VLOOKUP(Tabla1[[#This Row],[MEDICAMENTO]],TAB_REF!$B$3:$F$27,3,0), "")</f>
        <v xml:space="preserve">2 mg/mL </v>
      </c>
      <c r="AB993" s="10" t="str">
        <f>IFERROR(VLOOKUP(Tabla1[[#This Row],[MEDICAMENTO]],TAB_REF!$B$3:$F$27,4,0), "")</f>
        <v>Solución Inyectable</v>
      </c>
      <c r="AC993" s="10" t="str">
        <f>IFERROR(VLOOKUP(Tabla1[[#This Row],[MEDICAMENTO]],TAB_REF!$B$3:$F$27,5,0), "")</f>
        <v>Caja x 10 unidades</v>
      </c>
      <c r="AD993" s="10" t="str">
        <f>IFERROR(VLOOKUP(Tabla1[[#This Row],[CANTIDAD UND COMERCIALES]],TAB_REF!$H$3:$I$1003,2,0)&amp;" ("&amp;Tabla1[[#This Row],[CANTIDAD UND COMERCIALES]]&amp;")"&amp;"_"&amp;Tabla1[[#This Row],[CANTIDAD]],"")</f>
        <v>Cien (100)_Caja x 10 unidades</v>
      </c>
    </row>
    <row r="994" spans="2:30" x14ac:dyDescent="0.25">
      <c r="B994" s="10">
        <v>407</v>
      </c>
      <c r="C994" s="10" t="s">
        <v>3133</v>
      </c>
      <c r="D994" s="10" t="s">
        <v>3134</v>
      </c>
      <c r="E994" s="10" t="s">
        <v>3967</v>
      </c>
      <c r="F994" s="10" t="s">
        <v>3780</v>
      </c>
      <c r="G994" s="10" t="s">
        <v>3968</v>
      </c>
      <c r="H994" s="10" t="s">
        <v>3781</v>
      </c>
      <c r="I994" s="10" t="s">
        <v>2129</v>
      </c>
      <c r="J994" s="10" t="s">
        <v>2011</v>
      </c>
      <c r="K994" s="10" t="s">
        <v>3969</v>
      </c>
      <c r="L994" s="11">
        <v>202124101308442</v>
      </c>
      <c r="M994" s="20">
        <v>44399</v>
      </c>
      <c r="N994" s="20" t="str">
        <f>UPPER(TEXT(Tabla1[[#This Row],[FECHA RADICADO ENTRADA]],"MMM"))</f>
        <v>JUL</v>
      </c>
      <c r="O994" s="11"/>
      <c r="Q994" s="20" t="str">
        <f>UPPER(TEXT(Tabla1[[#This Row],[FECHA RADICADO ENTRADA]],"MMM"))</f>
        <v>JUL</v>
      </c>
      <c r="R994" s="10">
        <f t="shared" si="57"/>
        <v>44399</v>
      </c>
      <c r="S994" s="10" t="s">
        <v>2154</v>
      </c>
      <c r="U994" s="10" t="s">
        <v>3140</v>
      </c>
      <c r="V994" s="20">
        <v>43392</v>
      </c>
      <c r="W994" s="10" t="s">
        <v>34</v>
      </c>
      <c r="X994" s="10">
        <v>0</v>
      </c>
      <c r="Y994" s="11">
        <f>IFERROR(INT(Tabla1[[#This Row],[CANTIDAD UND FARMACEUTICAS]]/(VLOOKUP(Tabla1[[#This Row],[MEDICAMENTO]],TAB_REF!$K$3:$L$27,2,0))),"")</f>
        <v>0</v>
      </c>
      <c r="Z994" s="10" t="str">
        <f>IFERROR(VLOOKUP(Tabla1[[#This Row],[MEDICAMENTO]],TAB_REF!$B$3:$F$27,2,0), "")</f>
        <v xml:space="preserve">Fenobarbital Sódico </v>
      </c>
      <c r="AA994" s="10" t="str">
        <f>IFERROR(VLOOKUP(Tabla1[[#This Row],[MEDICAMENTO]],TAB_REF!$B$3:$F$27,3,0), "")</f>
        <v xml:space="preserve">200 mg/Ml </v>
      </c>
      <c r="AB994" s="10" t="str">
        <f>IFERROR(VLOOKUP(Tabla1[[#This Row],[MEDICAMENTO]],TAB_REF!$B$3:$F$27,4,0), "")</f>
        <v>Solución Inyectable</v>
      </c>
      <c r="AC994" s="10" t="str">
        <f>IFERROR(VLOOKUP(Tabla1[[#This Row],[MEDICAMENTO]],TAB_REF!$B$3:$F$27,5,0), "")</f>
        <v>Caja x 10 unidades</v>
      </c>
      <c r="AD994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995" spans="2:30" x14ac:dyDescent="0.25">
      <c r="B995" s="10">
        <v>408</v>
      </c>
      <c r="C995" s="10" t="s">
        <v>2710</v>
      </c>
      <c r="D995" s="10" t="s">
        <v>3731</v>
      </c>
      <c r="E995" s="10" t="s">
        <v>2416</v>
      </c>
      <c r="F995" s="10" t="s">
        <v>3660</v>
      </c>
      <c r="G995" s="10" t="s">
        <v>2712</v>
      </c>
      <c r="H995" s="10" t="s">
        <v>3970</v>
      </c>
      <c r="I995" s="10" t="s">
        <v>2128</v>
      </c>
      <c r="J995" s="10" t="s">
        <v>1942</v>
      </c>
      <c r="K995" s="10" t="s">
        <v>3971</v>
      </c>
      <c r="L995" s="11">
        <v>202124101312482</v>
      </c>
      <c r="M995" s="20">
        <v>44399</v>
      </c>
      <c r="N995" s="20" t="str">
        <f>UPPER(TEXT(Tabla1[[#This Row],[FECHA RADICADO ENTRADA]],"MMM"))</f>
        <v>JUL</v>
      </c>
      <c r="O995" s="11"/>
      <c r="Q995" s="20" t="str">
        <f>UPPER(TEXT(Tabla1[[#This Row],[FECHA RADICADO ENTRADA]],"MMM"))</f>
        <v>JUL</v>
      </c>
      <c r="R995" s="10">
        <f t="shared" si="56"/>
        <v>44399</v>
      </c>
      <c r="S995" s="10" t="s">
        <v>2154</v>
      </c>
      <c r="U995" s="10" t="s">
        <v>2435</v>
      </c>
      <c r="V995" s="20">
        <v>43381</v>
      </c>
      <c r="W995" s="10" t="s">
        <v>64</v>
      </c>
      <c r="X995" s="10">
        <v>3000</v>
      </c>
      <c r="Y995" s="11">
        <f>IFERROR(INT(Tabla1[[#This Row],[CANTIDAD UND FARMACEUTICAS]]/(VLOOKUP(Tabla1[[#This Row],[MEDICAMENTO]],TAB_REF!$K$3:$L$27,2,0))),"")</f>
        <v>300</v>
      </c>
      <c r="Z995" s="10" t="str">
        <f>IFERROR(VLOOKUP(Tabla1[[#This Row],[MEDICAMENTO]],TAB_REF!$B$3:$F$27,2,0), "")</f>
        <v xml:space="preserve">Morfina HCl </v>
      </c>
      <c r="AA995" s="10" t="str">
        <f>IFERROR(VLOOKUP(Tabla1[[#This Row],[MEDICAMENTO]],TAB_REF!$B$3:$F$27,3,0), "")</f>
        <v xml:space="preserve">10 (50mg/5mL) </v>
      </c>
      <c r="AB995" s="10" t="str">
        <f>IFERROR(VLOOKUP(Tabla1[[#This Row],[MEDICAMENTO]],TAB_REF!$B$3:$F$27,4,0), "")</f>
        <v>Solución Inyectable</v>
      </c>
      <c r="AC995" s="10" t="str">
        <f>IFERROR(VLOOKUP(Tabla1[[#This Row],[MEDICAMENTO]],TAB_REF!$B$3:$F$27,5,0), "")</f>
        <v>Caja x 5 unidades</v>
      </c>
      <c r="AD995" s="10" t="str">
        <f>IFERROR(VLOOKUP(Tabla1[[#This Row],[CANTIDAD UND COMERCIALES]],TAB_REF!$H$3:$I$1003,2,0)&amp;" ("&amp;Tabla1[[#This Row],[CANTIDAD UND COMERCIALES]]&amp;")"&amp;"_"&amp;Tabla1[[#This Row],[CANTIDAD]],"")</f>
        <v>Trescientos (300)_Caja x 5 unidades</v>
      </c>
    </row>
    <row r="996" spans="2:30" x14ac:dyDescent="0.25">
      <c r="B996" s="10">
        <v>408</v>
      </c>
      <c r="C996" s="10" t="s">
        <v>2710</v>
      </c>
      <c r="D996" s="10" t="s">
        <v>3731</v>
      </c>
      <c r="E996" s="10" t="s">
        <v>2416</v>
      </c>
      <c r="F996" s="10" t="s">
        <v>3660</v>
      </c>
      <c r="G996" s="10" t="s">
        <v>2712</v>
      </c>
      <c r="H996" s="10" t="s">
        <v>3970</v>
      </c>
      <c r="I996" s="10" t="s">
        <v>2128</v>
      </c>
      <c r="J996" s="10" t="s">
        <v>1942</v>
      </c>
      <c r="K996" s="10" t="s">
        <v>3971</v>
      </c>
      <c r="L996" s="11">
        <v>202124101312482</v>
      </c>
      <c r="M996" s="20">
        <v>44399</v>
      </c>
      <c r="N996" s="20" t="str">
        <f>UPPER(TEXT(Tabla1[[#This Row],[FECHA RADICADO ENTRADA]],"MMM"))</f>
        <v>JUL</v>
      </c>
      <c r="O996" s="11"/>
      <c r="Q996" s="20" t="str">
        <f>UPPER(TEXT(Tabla1[[#This Row],[FECHA RADICADO ENTRADA]],"MMM"))</f>
        <v>JUL</v>
      </c>
      <c r="R996" s="10">
        <f t="shared" ref="R996:R997" si="58">_xlfn.DAYS(M996,P996)</f>
        <v>44399</v>
      </c>
      <c r="S996" s="10" t="s">
        <v>2154</v>
      </c>
      <c r="U996" s="10" t="s">
        <v>2435</v>
      </c>
      <c r="V996" s="20">
        <v>43381</v>
      </c>
      <c r="W996" s="10" t="s">
        <v>63</v>
      </c>
      <c r="X996" s="10">
        <v>3000</v>
      </c>
      <c r="Y996" s="11">
        <f>IFERROR(INT(Tabla1[[#This Row],[CANTIDAD UND FARMACEUTICAS]]/(VLOOKUP(Tabla1[[#This Row],[MEDICAMENTO]],TAB_REF!$K$3:$L$27,2,0))),"")</f>
        <v>300</v>
      </c>
      <c r="Z996" s="10" t="str">
        <f>IFERROR(VLOOKUP(Tabla1[[#This Row],[MEDICAMENTO]],TAB_REF!$B$3:$F$27,2,0), "")</f>
        <v xml:space="preserve">Morfina HCl </v>
      </c>
      <c r="AA996" s="10" t="str">
        <f>IFERROR(VLOOKUP(Tabla1[[#This Row],[MEDICAMENTO]],TAB_REF!$B$3:$F$27,3,0), "")</f>
        <v xml:space="preserve">10 mg/mL </v>
      </c>
      <c r="AB996" s="10" t="str">
        <f>IFERROR(VLOOKUP(Tabla1[[#This Row],[MEDICAMENTO]],TAB_REF!$B$3:$F$27,4,0), "")</f>
        <v>Solución Inyectable</v>
      </c>
      <c r="AC996" s="10" t="str">
        <f>IFERROR(VLOOKUP(Tabla1[[#This Row],[MEDICAMENTO]],TAB_REF!$B$3:$F$27,5,0), "")</f>
        <v>Caja x 10 unidades</v>
      </c>
      <c r="AD996" s="10" t="str">
        <f>IFERROR(VLOOKUP(Tabla1[[#This Row],[CANTIDAD UND COMERCIALES]],TAB_REF!$H$3:$I$1003,2,0)&amp;" ("&amp;Tabla1[[#This Row],[CANTIDAD UND COMERCIALES]]&amp;")"&amp;"_"&amp;Tabla1[[#This Row],[CANTIDAD]],"")</f>
        <v>Trescientos (300)_Caja x 10 unidades</v>
      </c>
    </row>
    <row r="997" spans="2:30" x14ac:dyDescent="0.25">
      <c r="B997" s="10">
        <v>408</v>
      </c>
      <c r="C997" s="10" t="s">
        <v>2710</v>
      </c>
      <c r="D997" s="10" t="s">
        <v>3731</v>
      </c>
      <c r="E997" s="10" t="s">
        <v>2416</v>
      </c>
      <c r="F997" s="10" t="s">
        <v>3660</v>
      </c>
      <c r="G997" s="10" t="s">
        <v>2712</v>
      </c>
      <c r="H997" s="10" t="s">
        <v>3970</v>
      </c>
      <c r="I997" s="10" t="s">
        <v>2128</v>
      </c>
      <c r="J997" s="10" t="s">
        <v>1942</v>
      </c>
      <c r="K997" s="10" t="s">
        <v>3971</v>
      </c>
      <c r="L997" s="11">
        <v>202124101312482</v>
      </c>
      <c r="M997" s="20">
        <v>44399</v>
      </c>
      <c r="N997" s="20" t="str">
        <f>UPPER(TEXT(Tabla1[[#This Row],[FECHA RADICADO ENTRADA]],"MMM"))</f>
        <v>JUL</v>
      </c>
      <c r="O997" s="11"/>
      <c r="Q997" s="20" t="str">
        <f>UPPER(TEXT(Tabla1[[#This Row],[FECHA RADICADO ENTRADA]],"MMM"))</f>
        <v>JUL</v>
      </c>
      <c r="R997" s="10">
        <f t="shared" si="58"/>
        <v>44399</v>
      </c>
      <c r="S997" s="10" t="s">
        <v>2154</v>
      </c>
      <c r="U997" s="10" t="s">
        <v>2435</v>
      </c>
      <c r="V997" s="20">
        <v>43381</v>
      </c>
      <c r="W997" s="10" t="s">
        <v>45</v>
      </c>
      <c r="X997" s="10">
        <v>3000</v>
      </c>
      <c r="Y997" s="11">
        <f>IFERROR(INT(Tabla1[[#This Row],[CANTIDAD UND FARMACEUTICAS]]/(VLOOKUP(Tabla1[[#This Row],[MEDICAMENTO]],TAB_REF!$K$3:$L$27,2,0))),"")</f>
        <v>100</v>
      </c>
      <c r="Z997" s="10" t="str">
        <f>IFERROR(VLOOKUP(Tabla1[[#This Row],[MEDICAMENTO]],TAB_REF!$B$3:$F$27,2,0), "")</f>
        <v xml:space="preserve">Metadona HCl </v>
      </c>
      <c r="AA997" s="10" t="str">
        <f>IFERROR(VLOOKUP(Tabla1[[#This Row],[MEDICAMENTO]],TAB_REF!$B$3:$F$27,3,0), "")</f>
        <v xml:space="preserve">10 mg </v>
      </c>
      <c r="AB997" s="10" t="str">
        <f>IFERROR(VLOOKUP(Tabla1[[#This Row],[MEDICAMENTO]],TAB_REF!$B$3:$F$27,4,0), "")</f>
        <v>Tabletas NACIONAL</v>
      </c>
      <c r="AC997" s="10" t="str">
        <f>IFERROR(VLOOKUP(Tabla1[[#This Row],[MEDICAMENTO]],TAB_REF!$B$3:$F$27,5,0), "")</f>
        <v>Caja x 30 unidades</v>
      </c>
      <c r="AD997" s="10" t="str">
        <f>IFERROR(VLOOKUP(Tabla1[[#This Row],[CANTIDAD UND COMERCIALES]],TAB_REF!$H$3:$I$1003,2,0)&amp;" ("&amp;Tabla1[[#This Row],[CANTIDAD UND COMERCIALES]]&amp;")"&amp;"_"&amp;Tabla1[[#This Row],[CANTIDAD]],"")</f>
        <v>Cien (100)_Caja x 30 unidades</v>
      </c>
    </row>
    <row r="998" spans="2:30" x14ac:dyDescent="0.25">
      <c r="B998" s="10">
        <v>409</v>
      </c>
      <c r="C998" s="10" t="s">
        <v>3297</v>
      </c>
      <c r="D998" s="10" t="s">
        <v>2162</v>
      </c>
      <c r="E998" s="10" t="s">
        <v>2703</v>
      </c>
      <c r="F998" s="10" t="s">
        <v>2704</v>
      </c>
      <c r="G998" s="21" t="s">
        <v>2705</v>
      </c>
      <c r="H998" s="10" t="s">
        <v>3299</v>
      </c>
      <c r="I998" s="10" t="s">
        <v>2122</v>
      </c>
      <c r="J998" s="10" t="s">
        <v>1742</v>
      </c>
      <c r="K998" s="10" t="s">
        <v>3300</v>
      </c>
      <c r="L998" s="11">
        <v>202124101333962</v>
      </c>
      <c r="M998" s="20">
        <v>44403</v>
      </c>
      <c r="N998" s="20" t="str">
        <f>UPPER(TEXT(Tabla1[[#This Row],[FECHA RADICADO ENTRADA]],"MMM"))</f>
        <v>JUL</v>
      </c>
      <c r="O998" s="11"/>
      <c r="Q998" s="20" t="str">
        <f>UPPER(TEXT(Tabla1[[#This Row],[FECHA RADICADO ENTRADA]],"MMM"))</f>
        <v>JUL</v>
      </c>
      <c r="R998" s="10">
        <f t="shared" si="56"/>
        <v>44403</v>
      </c>
      <c r="S998" s="10" t="s">
        <v>2154</v>
      </c>
      <c r="U998" s="10" t="s">
        <v>3301</v>
      </c>
      <c r="V998" s="20">
        <v>43713</v>
      </c>
      <c r="W998" s="10" t="s">
        <v>36</v>
      </c>
      <c r="X998" s="10">
        <v>100</v>
      </c>
      <c r="Y998" s="11">
        <f>IFERROR(INT(Tabla1[[#This Row],[CANTIDAD UND FARMACEUTICAS]]/(VLOOKUP(Tabla1[[#This Row],[MEDICAMENTO]],TAB_REF!$K$3:$L$27,2,0))),"")</f>
        <v>10</v>
      </c>
      <c r="Z998" s="10" t="str">
        <f>IFERROR(VLOOKUP(Tabla1[[#This Row],[MEDICAMENTO]],TAB_REF!$B$3:$F$27,2,0), "")</f>
        <v xml:space="preserve">Fenobarbital Sódico </v>
      </c>
      <c r="AA998" s="10" t="str">
        <f>IFERROR(VLOOKUP(Tabla1[[#This Row],[MEDICAMENTO]],TAB_REF!$B$3:$F$27,3,0), "")</f>
        <v xml:space="preserve">40 mg/mL </v>
      </c>
      <c r="AB998" s="10" t="str">
        <f>IFERROR(VLOOKUP(Tabla1[[#This Row],[MEDICAMENTO]],TAB_REF!$B$3:$F$27,4,0), "")</f>
        <v>Solución Inyectable</v>
      </c>
      <c r="AC998" s="10" t="str">
        <f>IFERROR(VLOOKUP(Tabla1[[#This Row],[MEDICAMENTO]],TAB_REF!$B$3:$F$27,5,0), "")</f>
        <v>Caja x 10 unidades</v>
      </c>
      <c r="AD998" s="10" t="str">
        <f>IFERROR(VLOOKUP(Tabla1[[#This Row],[CANTIDAD UND COMERCIALES]],TAB_REF!$H$3:$I$1003,2,0)&amp;" ("&amp;Tabla1[[#This Row],[CANTIDAD UND COMERCIALES]]&amp;")"&amp;"_"&amp;Tabla1[[#This Row],[CANTIDAD]],"")</f>
        <v>Diez (10)_Caja x 10 unidades</v>
      </c>
    </row>
    <row r="999" spans="2:30" x14ac:dyDescent="0.25">
      <c r="B999" s="10">
        <v>410</v>
      </c>
      <c r="C999" s="10" t="s">
        <v>3972</v>
      </c>
      <c r="D999" s="10" t="s">
        <v>2162</v>
      </c>
      <c r="E999" s="10" t="s">
        <v>3973</v>
      </c>
      <c r="F999" s="10" t="s">
        <v>3678</v>
      </c>
      <c r="G999" s="10" t="s">
        <v>3974</v>
      </c>
      <c r="H999" s="10" t="s">
        <v>3975</v>
      </c>
      <c r="I999" s="10" t="s">
        <v>2123</v>
      </c>
      <c r="J999" s="10" t="s">
        <v>1770</v>
      </c>
      <c r="K999" s="10" t="s">
        <v>2818</v>
      </c>
      <c r="L999" s="11">
        <v>202124101334262</v>
      </c>
      <c r="M999" s="20">
        <v>44403</v>
      </c>
      <c r="N999" s="20" t="str">
        <f>UPPER(TEXT(Tabla1[[#This Row],[FECHA RADICADO ENTRADA]],"MMM"))</f>
        <v>JUL</v>
      </c>
      <c r="O999" s="11"/>
      <c r="Q999" s="20" t="str">
        <f>UPPER(TEXT(Tabla1[[#This Row],[FECHA RADICADO ENTRADA]],"MMM"))</f>
        <v>JUL</v>
      </c>
      <c r="R999" s="10">
        <f t="shared" ref="R999:R1003" si="59">_xlfn.DAYS(M999,P999)</f>
        <v>44403</v>
      </c>
      <c r="S999" s="10" t="s">
        <v>2154</v>
      </c>
      <c r="U999" s="10" t="s">
        <v>3121</v>
      </c>
      <c r="V999" s="20">
        <v>44281</v>
      </c>
      <c r="W999" s="10" t="s">
        <v>32</v>
      </c>
      <c r="X999" s="10">
        <v>360</v>
      </c>
      <c r="Y999" s="11">
        <f>IFERROR(INT(Tabla1[[#This Row],[CANTIDAD UND FARMACEUTICAS]]/(VLOOKUP(Tabla1[[#This Row],[MEDICAMENTO]],TAB_REF!$K$3:$L$27,2,0))),"")</f>
        <v>12</v>
      </c>
      <c r="Z999" s="10" t="str">
        <f>IFERROR(VLOOKUP(Tabla1[[#This Row],[MEDICAMENTO]],TAB_REF!$B$3:$F$27,2,0), "")</f>
        <v xml:space="preserve">Fenobarbital </v>
      </c>
      <c r="AA999" s="10" t="str">
        <f>IFERROR(VLOOKUP(Tabla1[[#This Row],[MEDICAMENTO]],TAB_REF!$B$3:$F$27,3,0), "")</f>
        <v xml:space="preserve">100 mg </v>
      </c>
      <c r="AB999" s="10" t="str">
        <f>IFERROR(VLOOKUP(Tabla1[[#This Row],[MEDICAMENTO]],TAB_REF!$B$3:$F$27,4,0), "")</f>
        <v>Tabletas</v>
      </c>
      <c r="AC999" s="10" t="str">
        <f>IFERROR(VLOOKUP(Tabla1[[#This Row],[MEDICAMENTO]],TAB_REF!$B$3:$F$27,5,0), "")</f>
        <v>Caja x 30 unidades</v>
      </c>
      <c r="AD999" s="10" t="str">
        <f>IFERROR(VLOOKUP(Tabla1[[#This Row],[CANTIDAD UND COMERCIALES]],TAB_REF!$H$3:$I$1003,2,0)&amp;" ("&amp;Tabla1[[#This Row],[CANTIDAD UND COMERCIALES]]&amp;")"&amp;"_"&amp;Tabla1[[#This Row],[CANTIDAD]],"")</f>
        <v>Doce (12)_Caja x 30 unidades</v>
      </c>
    </row>
    <row r="1000" spans="2:30" x14ac:dyDescent="0.25">
      <c r="B1000" s="10">
        <v>410</v>
      </c>
      <c r="C1000" s="10" t="s">
        <v>3972</v>
      </c>
      <c r="D1000" s="10" t="s">
        <v>2162</v>
      </c>
      <c r="E1000" s="10" t="s">
        <v>3973</v>
      </c>
      <c r="F1000" s="10" t="s">
        <v>3678</v>
      </c>
      <c r="G1000" s="10" t="s">
        <v>3974</v>
      </c>
      <c r="H1000" s="10" t="s">
        <v>3975</v>
      </c>
      <c r="I1000" s="10" t="s">
        <v>2123</v>
      </c>
      <c r="J1000" s="10" t="s">
        <v>1770</v>
      </c>
      <c r="K1000" s="10" t="s">
        <v>2818</v>
      </c>
      <c r="L1000" s="11">
        <v>202124101334262</v>
      </c>
      <c r="M1000" s="20">
        <v>44403</v>
      </c>
      <c r="N1000" s="20" t="str">
        <f>UPPER(TEXT(Tabla1[[#This Row],[FECHA RADICADO ENTRADA]],"MMM"))</f>
        <v>JUL</v>
      </c>
      <c r="O1000" s="11"/>
      <c r="Q1000" s="20" t="str">
        <f>UPPER(TEXT(Tabla1[[#This Row],[FECHA RADICADO ENTRADA]],"MMM"))</f>
        <v>JUL</v>
      </c>
      <c r="R1000" s="10">
        <f t="shared" si="59"/>
        <v>44403</v>
      </c>
      <c r="S1000" s="10" t="s">
        <v>2154</v>
      </c>
      <c r="U1000" s="10" t="s">
        <v>3121</v>
      </c>
      <c r="V1000" s="20">
        <v>44281</v>
      </c>
      <c r="W1000" s="10" t="s">
        <v>60</v>
      </c>
      <c r="X1000" s="10">
        <v>30</v>
      </c>
      <c r="Y1000" s="11">
        <f>IFERROR(INT(Tabla1[[#This Row],[CANTIDAD UND FARMACEUTICAS]]/(VLOOKUP(Tabla1[[#This Row],[MEDICAMENTO]],TAB_REF!$K$3:$L$27,2,0))),"")</f>
        <v>30</v>
      </c>
      <c r="Z1000" s="10" t="str">
        <f>IFERROR(VLOOKUP(Tabla1[[#This Row],[MEDICAMENTO]],TAB_REF!$B$3:$F$27,2,0), "")</f>
        <v xml:space="preserve">Morfina HCl </v>
      </c>
      <c r="AA1000" s="10" t="str">
        <f>IFERROR(VLOOKUP(Tabla1[[#This Row],[MEDICAMENTO]],TAB_REF!$B$3:$F$27,3,0), "")</f>
        <v xml:space="preserve">3%. </v>
      </c>
      <c r="AB1000" s="10" t="str">
        <f>IFERROR(VLOOKUP(Tabla1[[#This Row],[MEDICAMENTO]],TAB_REF!$B$3:$F$27,4,0), "")</f>
        <v>Solución Oral</v>
      </c>
      <c r="AC1000" s="10" t="str">
        <f>IFERROR(VLOOKUP(Tabla1[[#This Row],[MEDICAMENTO]],TAB_REF!$B$3:$F$27,5,0), "")</f>
        <v>Frasco x 30 mL</v>
      </c>
      <c r="AD1000" s="10" t="str">
        <f>IFERROR(VLOOKUP(Tabla1[[#This Row],[CANTIDAD UND COMERCIALES]],TAB_REF!$H$3:$I$1003,2,0)&amp;" ("&amp;Tabla1[[#This Row],[CANTIDAD UND COMERCIALES]]&amp;")"&amp;"_"&amp;Tabla1[[#This Row],[CANTIDAD]],"")</f>
        <v>Treinta (30)_Frasco x 30 mL</v>
      </c>
    </row>
    <row r="1001" spans="2:30" x14ac:dyDescent="0.25">
      <c r="B1001" s="10">
        <v>411</v>
      </c>
      <c r="C1001" s="10" t="s">
        <v>2217</v>
      </c>
      <c r="D1001" s="10" t="s">
        <v>2162</v>
      </c>
      <c r="E1001" s="10" t="s">
        <v>2674</v>
      </c>
      <c r="F1001" s="10" t="s">
        <v>2897</v>
      </c>
      <c r="G1001" s="10" t="s">
        <v>2676</v>
      </c>
      <c r="H1001" s="10" t="s">
        <v>2677</v>
      </c>
      <c r="I1001" s="10" t="s">
        <v>2122</v>
      </c>
      <c r="J1001" s="10" t="s">
        <v>1742</v>
      </c>
      <c r="K1001" s="10" t="s">
        <v>3976</v>
      </c>
      <c r="L1001" s="11">
        <v>202124101334462</v>
      </c>
      <c r="M1001" s="20">
        <v>44403</v>
      </c>
      <c r="N1001" s="20" t="str">
        <f>UPPER(TEXT(Tabla1[[#This Row],[FECHA RADICADO ENTRADA]],"MMM"))</f>
        <v>JUL</v>
      </c>
      <c r="O1001" s="11"/>
      <c r="Q1001" s="20" t="str">
        <f>UPPER(TEXT(Tabla1[[#This Row],[FECHA RADICADO ENTRADA]],"MMM"))</f>
        <v>JUL</v>
      </c>
      <c r="R1001" s="10">
        <f t="shared" si="59"/>
        <v>44403</v>
      </c>
      <c r="S1001" s="10" t="s">
        <v>2154</v>
      </c>
      <c r="U1001" s="10" t="s">
        <v>2679</v>
      </c>
      <c r="V1001" s="20">
        <v>43767</v>
      </c>
      <c r="W1001" s="10" t="s">
        <v>48</v>
      </c>
      <c r="X1001" s="10">
        <v>60</v>
      </c>
      <c r="Y1001" s="11">
        <f>IFERROR(INT(Tabla1[[#This Row],[CANTIDAD UND FARMACEUTICAS]]/(VLOOKUP(Tabla1[[#This Row],[MEDICAMENTO]],TAB_REF!$K$3:$L$27,2,0))),"")</f>
        <v>2</v>
      </c>
      <c r="Z1001" s="10" t="str">
        <f>IFERROR(VLOOKUP(Tabla1[[#This Row],[MEDICAMENTO]],TAB_REF!$B$3:$F$27,2,0), "")</f>
        <v xml:space="preserve">Metilfenidato HCl </v>
      </c>
      <c r="AA1001" s="10" t="str">
        <f>IFERROR(VLOOKUP(Tabla1[[#This Row],[MEDICAMENTO]],TAB_REF!$B$3:$F$27,3,0), "")</f>
        <v xml:space="preserve">10 mg </v>
      </c>
      <c r="AB1001" s="10" t="str">
        <f>IFERROR(VLOOKUP(Tabla1[[#This Row],[MEDICAMENTO]],TAB_REF!$B$3:$F$27,4,0), "")</f>
        <v>Comprimidos</v>
      </c>
      <c r="AC1001" s="10" t="str">
        <f>IFERROR(VLOOKUP(Tabla1[[#This Row],[MEDICAMENTO]],TAB_REF!$B$3:$F$27,5,0), "")</f>
        <v>Caja x 30 unidades</v>
      </c>
      <c r="AD1001" s="10" t="str">
        <f>IFERROR(VLOOKUP(Tabla1[[#This Row],[CANTIDAD UND COMERCIALES]],TAB_REF!$H$3:$I$1003,2,0)&amp;" ("&amp;Tabla1[[#This Row],[CANTIDAD UND COMERCIALES]]&amp;")"&amp;"_"&amp;Tabla1[[#This Row],[CANTIDAD]],"")</f>
        <v>Dos (2)_Caja x 30 unidades</v>
      </c>
    </row>
    <row r="1002" spans="2:30" x14ac:dyDescent="0.25">
      <c r="B1002" s="10">
        <v>411</v>
      </c>
      <c r="C1002" s="10" t="s">
        <v>2217</v>
      </c>
      <c r="D1002" s="10" t="s">
        <v>2162</v>
      </c>
      <c r="E1002" s="10" t="s">
        <v>2674</v>
      </c>
      <c r="F1002" s="10" t="s">
        <v>2897</v>
      </c>
      <c r="G1002" s="10" t="s">
        <v>2676</v>
      </c>
      <c r="H1002" s="10" t="s">
        <v>2677</v>
      </c>
      <c r="I1002" s="10" t="s">
        <v>2122</v>
      </c>
      <c r="J1002" s="10" t="s">
        <v>1742</v>
      </c>
      <c r="K1002" s="10" t="s">
        <v>3976</v>
      </c>
      <c r="L1002" s="11">
        <v>202124101334462</v>
      </c>
      <c r="M1002" s="20">
        <v>44403</v>
      </c>
      <c r="N1002" s="20" t="str">
        <f>UPPER(TEXT(Tabla1[[#This Row],[FECHA RADICADO ENTRADA]],"MMM"))</f>
        <v>JUL</v>
      </c>
      <c r="O1002" s="11"/>
      <c r="Q1002" s="20" t="str">
        <f>UPPER(TEXT(Tabla1[[#This Row],[FECHA RADICADO ENTRADA]],"MMM"))</f>
        <v>JUL</v>
      </c>
      <c r="R1002" s="10">
        <f t="shared" si="59"/>
        <v>44403</v>
      </c>
      <c r="S1002" s="10" t="s">
        <v>2145</v>
      </c>
      <c r="T1002" s="10" t="s">
        <v>3983</v>
      </c>
      <c r="U1002" s="10" t="s">
        <v>2679</v>
      </c>
      <c r="V1002" s="20">
        <v>43767</v>
      </c>
      <c r="W1002" s="10" t="s">
        <v>46</v>
      </c>
      <c r="X1002" s="10">
        <v>0</v>
      </c>
      <c r="Y1002" s="11">
        <f>IFERROR(INT(Tabla1[[#This Row],[CANTIDAD UND FARMACEUTICAS]]/(VLOOKUP(Tabla1[[#This Row],[MEDICAMENTO]],TAB_REF!$K$3:$L$27,2,0))),"")</f>
        <v>0</v>
      </c>
      <c r="Z1002" s="10" t="str">
        <f>IFERROR(VLOOKUP(Tabla1[[#This Row],[MEDICAMENTO]],TAB_REF!$B$3:$F$27,2,0), "")</f>
        <v xml:space="preserve">Metadona HCl </v>
      </c>
      <c r="AA1002" s="10" t="str">
        <f>IFERROR(VLOOKUP(Tabla1[[#This Row],[MEDICAMENTO]],TAB_REF!$B$3:$F$27,3,0), "")</f>
        <v xml:space="preserve">40 mg </v>
      </c>
      <c r="AB1002" s="10" t="str">
        <f>IFERROR(VLOOKUP(Tabla1[[#This Row],[MEDICAMENTO]],TAB_REF!$B$3:$F$27,4,0), "")</f>
        <v>Tabletas IMPORTADA</v>
      </c>
      <c r="AC1002" s="10" t="str">
        <f>IFERROR(VLOOKUP(Tabla1[[#This Row],[MEDICAMENTO]],TAB_REF!$B$3:$F$27,5,0), "")</f>
        <v>Frasco x 20 unidades</v>
      </c>
      <c r="AD1002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003" spans="2:30" x14ac:dyDescent="0.25">
      <c r="B1003" s="10">
        <v>411</v>
      </c>
      <c r="C1003" s="10" t="s">
        <v>2217</v>
      </c>
      <c r="D1003" s="10" t="s">
        <v>2162</v>
      </c>
      <c r="E1003" s="10" t="s">
        <v>2674</v>
      </c>
      <c r="F1003" s="10" t="s">
        <v>2897</v>
      </c>
      <c r="G1003" s="10" t="s">
        <v>2676</v>
      </c>
      <c r="H1003" s="10" t="s">
        <v>2677</v>
      </c>
      <c r="I1003" s="10" t="s">
        <v>2122</v>
      </c>
      <c r="J1003" s="10" t="s">
        <v>1742</v>
      </c>
      <c r="K1003" s="10" t="s">
        <v>3976</v>
      </c>
      <c r="L1003" s="11">
        <v>202124101334462</v>
      </c>
      <c r="M1003" s="20">
        <v>44403</v>
      </c>
      <c r="N1003" s="20" t="str">
        <f>UPPER(TEXT(Tabla1[[#This Row],[FECHA RADICADO ENTRADA]],"MMM"))</f>
        <v>JUL</v>
      </c>
      <c r="O1003" s="11"/>
      <c r="Q1003" s="20" t="str">
        <f>UPPER(TEXT(Tabla1[[#This Row],[FECHA RADICADO ENTRADA]],"MMM"))</f>
        <v>JUL</v>
      </c>
      <c r="R1003" s="10">
        <f t="shared" si="59"/>
        <v>44403</v>
      </c>
      <c r="S1003" s="10" t="s">
        <v>2154</v>
      </c>
      <c r="U1003" s="10" t="s">
        <v>2679</v>
      </c>
      <c r="V1003" s="20">
        <v>43767</v>
      </c>
      <c r="W1003" s="10" t="s">
        <v>60</v>
      </c>
      <c r="X1003" s="10">
        <v>3</v>
      </c>
      <c r="Y1003" s="11">
        <f>IFERROR(INT(Tabla1[[#This Row],[CANTIDAD UND FARMACEUTICAS]]/(VLOOKUP(Tabla1[[#This Row],[MEDICAMENTO]],TAB_REF!$K$3:$L$27,2,0))),"")</f>
        <v>3</v>
      </c>
      <c r="Z1003" s="26" t="str">
        <f>IFERROR(VLOOKUP(Tabla1[[#This Row],[MEDICAMENTO]],TAB_REF!$B$3:$F$27,2,0), "")</f>
        <v xml:space="preserve">Morfina HCl </v>
      </c>
      <c r="AA1003" s="26" t="str">
        <f>IFERROR(VLOOKUP(Tabla1[[#This Row],[MEDICAMENTO]],TAB_REF!$B$3:$F$27,3,0), "")</f>
        <v xml:space="preserve">3%. </v>
      </c>
      <c r="AB1003" s="26" t="str">
        <f>IFERROR(VLOOKUP(Tabla1[[#This Row],[MEDICAMENTO]],TAB_REF!$B$3:$F$27,4,0), "")</f>
        <v>Solución Oral</v>
      </c>
      <c r="AC1003" s="26" t="str">
        <f>IFERROR(VLOOKUP(Tabla1[[#This Row],[MEDICAMENTO]],TAB_REF!$B$3:$F$27,5,0), "")</f>
        <v>Frasco x 30 mL</v>
      </c>
      <c r="AD1003" s="26" t="str">
        <f>IFERROR(VLOOKUP(Tabla1[[#This Row],[CANTIDAD UND COMERCIALES]],TAB_REF!$H$3:$I$1003,2,0)&amp;" ("&amp;Tabla1[[#This Row],[CANTIDAD UND COMERCIALES]]&amp;")"&amp;"_"&amp;Tabla1[[#This Row],[CANTIDAD]],"")</f>
        <v>Tres (3)_Frasco x 30 mL</v>
      </c>
    </row>
    <row r="1004" spans="2:30" x14ac:dyDescent="0.25">
      <c r="B1004" s="10">
        <v>412</v>
      </c>
      <c r="C1004" s="10" t="s">
        <v>3977</v>
      </c>
      <c r="D1004" s="10" t="s">
        <v>2175</v>
      </c>
      <c r="E1004" s="10" t="s">
        <v>3978</v>
      </c>
      <c r="F1004" s="10" t="s">
        <v>3886</v>
      </c>
      <c r="G1004" s="10" t="s">
        <v>3979</v>
      </c>
      <c r="H1004" s="10" t="s">
        <v>3980</v>
      </c>
      <c r="I1004" s="10" t="s">
        <v>2128</v>
      </c>
      <c r="J1004" s="10" t="s">
        <v>1918</v>
      </c>
      <c r="K1004" s="10" t="s">
        <v>3981</v>
      </c>
      <c r="L1004" s="11">
        <v>202124101343292</v>
      </c>
      <c r="M1004" s="20">
        <v>44403</v>
      </c>
      <c r="N1004" s="20" t="str">
        <f>UPPER(TEXT(Tabla1[[#This Row],[FECHA RADICADO ENTRADA]],"MMM"))</f>
        <v>JUL</v>
      </c>
      <c r="Q1004" s="20" t="str">
        <f>UPPER(TEXT(Tabla1[[#This Row],[FECHA RADICADO ENTRADA]],"MMM"))</f>
        <v>JUL</v>
      </c>
      <c r="R1004" s="26">
        <f t="shared" ref="R1004:R1016" si="60">_xlfn.DAYS(M1004,P1004)</f>
        <v>44403</v>
      </c>
      <c r="S1004" s="10" t="s">
        <v>2154</v>
      </c>
      <c r="U1004" s="10" t="s">
        <v>3982</v>
      </c>
      <c r="V1004" s="20">
        <v>44364</v>
      </c>
      <c r="W1004" s="10" t="s">
        <v>28</v>
      </c>
      <c r="X1004" s="10">
        <v>20</v>
      </c>
      <c r="Y1004" s="11">
        <f>IFERROR(INT(Tabla1[[#This Row],[CANTIDAD UND FARMACEUTICAS]]/(VLOOKUP(Tabla1[[#This Row],[MEDICAMENTO]],TAB_REF!$K$3:$L$27,2,0))),"")</f>
        <v>20</v>
      </c>
      <c r="Z1004" s="26" t="str">
        <f>IFERROR(VLOOKUP(Tabla1[[#This Row],[MEDICAMENTO]],TAB_REF!$B$3:$F$27,2,0), "")</f>
        <v xml:space="preserve">Fenobarbital </v>
      </c>
      <c r="AA1004" s="26" t="str">
        <f>IFERROR(VLOOKUP(Tabla1[[#This Row],[MEDICAMENTO]],TAB_REF!$B$3:$F$27,3,0), "")</f>
        <v xml:space="preserve">0,4%. </v>
      </c>
      <c r="AB1004" s="26" t="str">
        <f>IFERROR(VLOOKUP(Tabla1[[#This Row],[MEDICAMENTO]],TAB_REF!$B$3:$F$27,4,0), "")</f>
        <v>Solución Oral</v>
      </c>
      <c r="AC1004" s="26" t="str">
        <f>IFERROR(VLOOKUP(Tabla1[[#This Row],[MEDICAMENTO]],TAB_REF!$B$3:$F$27,5,0), "")</f>
        <v>Frasco x 120 mL</v>
      </c>
      <c r="AD1004" s="26" t="str">
        <f>IFERROR(VLOOKUP(Tabla1[[#This Row],[CANTIDAD UND COMERCIALES]],TAB_REF!$H$3:$I$1003,2,0)&amp;" ("&amp;Tabla1[[#This Row],[CANTIDAD UND COMERCIALES]]&amp;")"&amp;"_"&amp;Tabla1[[#This Row],[CANTIDAD]],"")</f>
        <v>Veinte (20)_Frasco x 120 mL</v>
      </c>
    </row>
    <row r="1005" spans="2:30" x14ac:dyDescent="0.25">
      <c r="B1005" s="10">
        <v>413</v>
      </c>
      <c r="C1005" s="10" t="s">
        <v>2415</v>
      </c>
      <c r="D1005" s="10" t="s">
        <v>2182</v>
      </c>
      <c r="E1005" s="10" t="s">
        <v>2416</v>
      </c>
      <c r="F1005" s="10" t="s">
        <v>2417</v>
      </c>
      <c r="G1005" s="10" t="s">
        <v>2418</v>
      </c>
      <c r="H1005" s="10" t="s">
        <v>2419</v>
      </c>
      <c r="I1005" s="10" t="s">
        <v>2128</v>
      </c>
      <c r="J1005" s="10" t="s">
        <v>1942</v>
      </c>
      <c r="K1005" s="10" t="s">
        <v>3984</v>
      </c>
      <c r="L1005" s="11">
        <v>202124101349962</v>
      </c>
      <c r="M1005" s="20">
        <v>44404</v>
      </c>
      <c r="N1005" s="20" t="str">
        <f>UPPER(TEXT(Tabla1[[#This Row],[FECHA RADICADO ENTRADA]],"MMM"))</f>
        <v>JUL</v>
      </c>
      <c r="O1005" s="11"/>
      <c r="Q1005" s="20" t="str">
        <f>UPPER(TEXT(Tabla1[[#This Row],[FECHA RADICADO ENTRADA]],"MMM"))</f>
        <v>JUL</v>
      </c>
      <c r="R1005" s="26">
        <f t="shared" si="60"/>
        <v>44404</v>
      </c>
      <c r="S1005" s="10" t="s">
        <v>2145</v>
      </c>
      <c r="T1005" s="10" t="s">
        <v>3993</v>
      </c>
      <c r="U1005" s="10" t="s">
        <v>2435</v>
      </c>
      <c r="V1005" s="20">
        <v>43381</v>
      </c>
      <c r="W1005" s="10" t="s">
        <v>63</v>
      </c>
      <c r="X1005" s="10">
        <v>0</v>
      </c>
      <c r="Y1005" s="11">
        <f>IFERROR(INT(Tabla1[[#This Row],[CANTIDAD UND FARMACEUTICAS]]/(VLOOKUP(Tabla1[[#This Row],[MEDICAMENTO]],TAB_REF!$K$3:$L$27,2,0))),"")</f>
        <v>0</v>
      </c>
      <c r="Z1005" s="10" t="str">
        <f>IFERROR(VLOOKUP(Tabla1[[#This Row],[MEDICAMENTO]],TAB_REF!$B$3:$F$27,2,0), "")</f>
        <v xml:space="preserve">Morfina HCl </v>
      </c>
      <c r="AA1005" s="10" t="str">
        <f>IFERROR(VLOOKUP(Tabla1[[#This Row],[MEDICAMENTO]],TAB_REF!$B$3:$F$27,3,0), "")</f>
        <v xml:space="preserve">10 mg/mL </v>
      </c>
      <c r="AB1005" s="10" t="str">
        <f>IFERROR(VLOOKUP(Tabla1[[#This Row],[MEDICAMENTO]],TAB_REF!$B$3:$F$27,4,0), "")</f>
        <v>Solución Inyectable</v>
      </c>
      <c r="AC1005" s="10" t="str">
        <f>IFERROR(VLOOKUP(Tabla1[[#This Row],[MEDICAMENTO]],TAB_REF!$B$3:$F$27,5,0), "")</f>
        <v>Caja x 10 unidades</v>
      </c>
      <c r="AD1005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006" spans="2:30" x14ac:dyDescent="0.25">
      <c r="B1006" s="10">
        <v>413</v>
      </c>
      <c r="C1006" s="10" t="s">
        <v>2415</v>
      </c>
      <c r="D1006" s="10" t="s">
        <v>2182</v>
      </c>
      <c r="E1006" s="10" t="s">
        <v>2416</v>
      </c>
      <c r="F1006" s="10" t="s">
        <v>2417</v>
      </c>
      <c r="G1006" s="10" t="s">
        <v>2418</v>
      </c>
      <c r="H1006" s="10" t="s">
        <v>2419</v>
      </c>
      <c r="I1006" s="10" t="s">
        <v>2128</v>
      </c>
      <c r="J1006" s="10" t="s">
        <v>1942</v>
      </c>
      <c r="K1006" s="10" t="s">
        <v>3984</v>
      </c>
      <c r="L1006" s="11">
        <v>202124101349962</v>
      </c>
      <c r="M1006" s="20">
        <v>44404</v>
      </c>
      <c r="N1006" s="20" t="str">
        <f>UPPER(TEXT(Tabla1[[#This Row],[FECHA RADICADO ENTRADA]],"MMM"))</f>
        <v>JUL</v>
      </c>
      <c r="O1006" s="11"/>
      <c r="Q1006" s="20" t="str">
        <f>UPPER(TEXT(Tabla1[[#This Row],[FECHA RADICADO ENTRADA]],"MMM"))</f>
        <v>JUL</v>
      </c>
      <c r="R1006" s="26">
        <f t="shared" ref="R1006:R1007" si="61">_xlfn.DAYS(M1006,P1006)</f>
        <v>44404</v>
      </c>
      <c r="S1006" s="10" t="s">
        <v>2145</v>
      </c>
      <c r="T1006" s="10" t="s">
        <v>3993</v>
      </c>
      <c r="U1006" s="10" t="s">
        <v>2435</v>
      </c>
      <c r="V1006" s="20">
        <v>43381</v>
      </c>
      <c r="W1006" s="10" t="s">
        <v>64</v>
      </c>
      <c r="X1006" s="10">
        <v>0</v>
      </c>
      <c r="Y1006" s="11">
        <f>IFERROR(INT(Tabla1[[#This Row],[CANTIDAD UND FARMACEUTICAS]]/(VLOOKUP(Tabla1[[#This Row],[MEDICAMENTO]],TAB_REF!$K$3:$L$27,2,0))),"")</f>
        <v>0</v>
      </c>
      <c r="Z1006" s="10" t="str">
        <f>IFERROR(VLOOKUP(Tabla1[[#This Row],[MEDICAMENTO]],TAB_REF!$B$3:$F$27,2,0), "")</f>
        <v xml:space="preserve">Morfina HCl </v>
      </c>
      <c r="AA1006" s="10" t="str">
        <f>IFERROR(VLOOKUP(Tabla1[[#This Row],[MEDICAMENTO]],TAB_REF!$B$3:$F$27,3,0), "")</f>
        <v xml:space="preserve">10 (50mg/5mL) </v>
      </c>
      <c r="AB1006" s="10" t="str">
        <f>IFERROR(VLOOKUP(Tabla1[[#This Row],[MEDICAMENTO]],TAB_REF!$B$3:$F$27,4,0), "")</f>
        <v>Solución Inyectable</v>
      </c>
      <c r="AC1006" s="10" t="str">
        <f>IFERROR(VLOOKUP(Tabla1[[#This Row],[MEDICAMENTO]],TAB_REF!$B$3:$F$27,5,0), "")</f>
        <v>Caja x 5 unidades</v>
      </c>
      <c r="AD1006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007" spans="2:30" x14ac:dyDescent="0.25">
      <c r="B1007" s="10">
        <v>413</v>
      </c>
      <c r="C1007" s="10" t="s">
        <v>2415</v>
      </c>
      <c r="D1007" s="10" t="s">
        <v>2182</v>
      </c>
      <c r="E1007" s="10" t="s">
        <v>2416</v>
      </c>
      <c r="F1007" s="10" t="s">
        <v>2417</v>
      </c>
      <c r="G1007" s="10" t="s">
        <v>2418</v>
      </c>
      <c r="H1007" s="10" t="s">
        <v>2419</v>
      </c>
      <c r="I1007" s="10" t="s">
        <v>2128</v>
      </c>
      <c r="J1007" s="10" t="s">
        <v>1942</v>
      </c>
      <c r="K1007" s="10" t="s">
        <v>3984</v>
      </c>
      <c r="L1007" s="11">
        <v>202124101349962</v>
      </c>
      <c r="M1007" s="20">
        <v>44404</v>
      </c>
      <c r="N1007" s="20" t="str">
        <f>UPPER(TEXT(Tabla1[[#This Row],[FECHA RADICADO ENTRADA]],"MMM"))</f>
        <v>JUL</v>
      </c>
      <c r="O1007" s="11"/>
      <c r="Q1007" s="20" t="str">
        <f>UPPER(TEXT(Tabla1[[#This Row],[FECHA RADICADO ENTRADA]],"MMM"))</f>
        <v>JUL</v>
      </c>
      <c r="R1007" s="26">
        <f t="shared" si="61"/>
        <v>44404</v>
      </c>
      <c r="S1007" s="10" t="s">
        <v>2145</v>
      </c>
      <c r="T1007" s="10" t="s">
        <v>3993</v>
      </c>
      <c r="U1007" s="10" t="s">
        <v>2435</v>
      </c>
      <c r="V1007" s="20">
        <v>43381</v>
      </c>
      <c r="W1007" s="10" t="s">
        <v>45</v>
      </c>
      <c r="X1007" s="10">
        <v>0</v>
      </c>
      <c r="Y1007" s="11">
        <f>IFERROR(INT(Tabla1[[#This Row],[CANTIDAD UND FARMACEUTICAS]]/(VLOOKUP(Tabla1[[#This Row],[MEDICAMENTO]],TAB_REF!$K$3:$L$27,2,0))),"")</f>
        <v>0</v>
      </c>
      <c r="Z1007" s="10" t="str">
        <f>IFERROR(VLOOKUP(Tabla1[[#This Row],[MEDICAMENTO]],TAB_REF!$B$3:$F$27,2,0), "")</f>
        <v xml:space="preserve">Metadona HCl </v>
      </c>
      <c r="AA1007" s="10" t="str">
        <f>IFERROR(VLOOKUP(Tabla1[[#This Row],[MEDICAMENTO]],TAB_REF!$B$3:$F$27,3,0), "")</f>
        <v xml:space="preserve">10 mg </v>
      </c>
      <c r="AB1007" s="10" t="str">
        <f>IFERROR(VLOOKUP(Tabla1[[#This Row],[MEDICAMENTO]],TAB_REF!$B$3:$F$27,4,0), "")</f>
        <v>Tabletas NACIONAL</v>
      </c>
      <c r="AC1007" s="10" t="str">
        <f>IFERROR(VLOOKUP(Tabla1[[#This Row],[MEDICAMENTO]],TAB_REF!$B$3:$F$27,5,0), "")</f>
        <v>Caja x 30 unidades</v>
      </c>
      <c r="AD1007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008" spans="2:30" x14ac:dyDescent="0.25">
      <c r="B1008" s="10">
        <v>414</v>
      </c>
      <c r="C1008" s="10" t="s">
        <v>2506</v>
      </c>
      <c r="D1008" s="10" t="s">
        <v>2507</v>
      </c>
      <c r="E1008" s="10" t="s">
        <v>2156</v>
      </c>
      <c r="F1008" s="10" t="s">
        <v>2157</v>
      </c>
      <c r="G1008" s="10" t="s">
        <v>2158</v>
      </c>
      <c r="H1008" s="10" t="s">
        <v>2159</v>
      </c>
      <c r="I1008" s="10" t="s">
        <v>2110</v>
      </c>
      <c r="J1008" s="10" t="s">
        <v>1235</v>
      </c>
      <c r="K1008" s="10" t="s">
        <v>3985</v>
      </c>
      <c r="L1008" s="11">
        <v>202124101350722</v>
      </c>
      <c r="M1008" s="20">
        <v>44404</v>
      </c>
      <c r="N1008" s="20" t="str">
        <f>UPPER(TEXT(Tabla1[[#This Row],[FECHA RADICADO ENTRADA]],"MMM"))</f>
        <v>JUL</v>
      </c>
      <c r="O1008" s="11"/>
      <c r="Q1008" s="20" t="str">
        <f>UPPER(TEXT(Tabla1[[#This Row],[FECHA RADICADO ENTRADA]],"MMM"))</f>
        <v>JUL</v>
      </c>
      <c r="R1008" s="26">
        <f t="shared" si="60"/>
        <v>44404</v>
      </c>
      <c r="S1008" s="10" t="s">
        <v>2154</v>
      </c>
      <c r="U1008" s="10" t="s">
        <v>2160</v>
      </c>
      <c r="V1008" s="20">
        <v>42710</v>
      </c>
      <c r="W1008" s="10" t="s">
        <v>63</v>
      </c>
      <c r="X1008" s="10">
        <v>150</v>
      </c>
      <c r="Y1008" s="11">
        <f>IFERROR(INT(Tabla1[[#This Row],[CANTIDAD UND FARMACEUTICAS]]/(VLOOKUP(Tabla1[[#This Row],[MEDICAMENTO]],TAB_REF!$K$3:$L$27,2,0))),"")</f>
        <v>15</v>
      </c>
      <c r="Z1008" s="10" t="str">
        <f>IFERROR(VLOOKUP(Tabla1[[#This Row],[MEDICAMENTO]],TAB_REF!$B$3:$F$27,2,0), "")</f>
        <v xml:space="preserve">Morfina HCl </v>
      </c>
      <c r="AA1008" s="10" t="str">
        <f>IFERROR(VLOOKUP(Tabla1[[#This Row],[MEDICAMENTO]],TAB_REF!$B$3:$F$27,3,0), "")</f>
        <v xml:space="preserve">10 mg/mL </v>
      </c>
      <c r="AB1008" s="10" t="str">
        <f>IFERROR(VLOOKUP(Tabla1[[#This Row],[MEDICAMENTO]],TAB_REF!$B$3:$F$27,4,0), "")</f>
        <v>Solución Inyectable</v>
      </c>
      <c r="AC1008" s="10" t="str">
        <f>IFERROR(VLOOKUP(Tabla1[[#This Row],[MEDICAMENTO]],TAB_REF!$B$3:$F$27,5,0), "")</f>
        <v>Caja x 10 unidades</v>
      </c>
      <c r="AD1008" s="10" t="str">
        <f>IFERROR(VLOOKUP(Tabla1[[#This Row],[CANTIDAD UND COMERCIALES]],TAB_REF!$H$3:$I$1003,2,0)&amp;" ("&amp;Tabla1[[#This Row],[CANTIDAD UND COMERCIALES]]&amp;")"&amp;"_"&amp;Tabla1[[#This Row],[CANTIDAD]],"")</f>
        <v>Quince (15)_Caja x 10 unidades</v>
      </c>
    </row>
    <row r="1009" spans="2:30" x14ac:dyDescent="0.25">
      <c r="B1009" s="10">
        <v>415</v>
      </c>
      <c r="C1009" s="10" t="s">
        <v>3457</v>
      </c>
      <c r="D1009" s="10" t="s">
        <v>2182</v>
      </c>
      <c r="E1009" s="10" t="s">
        <v>3458</v>
      </c>
      <c r="F1009" s="10" t="s">
        <v>3459</v>
      </c>
      <c r="G1009" s="10" t="s">
        <v>3460</v>
      </c>
      <c r="H1009" s="10" t="s">
        <v>3986</v>
      </c>
      <c r="I1009" s="10" t="s">
        <v>2128</v>
      </c>
      <c r="J1009" s="10" t="s">
        <v>1918</v>
      </c>
      <c r="K1009" s="10" t="s">
        <v>3462</v>
      </c>
      <c r="L1009" s="11">
        <v>202124101352492</v>
      </c>
      <c r="M1009" s="20">
        <v>44404</v>
      </c>
      <c r="N1009" s="20" t="str">
        <f>UPPER(TEXT(Tabla1[[#This Row],[FECHA RADICADO ENTRADA]],"MMM"))</f>
        <v>JUL</v>
      </c>
      <c r="O1009" s="11"/>
      <c r="Q1009" s="20" t="str">
        <f>UPPER(TEXT(Tabla1[[#This Row],[FECHA RADICADO ENTRADA]],"MMM"))</f>
        <v>JUL</v>
      </c>
      <c r="R1009" s="26">
        <f t="shared" si="60"/>
        <v>44404</v>
      </c>
      <c r="S1009" s="10" t="s">
        <v>2154</v>
      </c>
      <c r="U1009" s="10" t="s">
        <v>3463</v>
      </c>
      <c r="V1009" s="20">
        <v>43394</v>
      </c>
      <c r="W1009" s="10" t="s">
        <v>45</v>
      </c>
      <c r="X1009" s="10">
        <v>300</v>
      </c>
      <c r="Y1009" s="11">
        <f>IFERROR(INT(Tabla1[[#This Row],[CANTIDAD UND FARMACEUTICAS]]/(VLOOKUP(Tabla1[[#This Row],[MEDICAMENTO]],TAB_REF!$K$3:$L$27,2,0))),"")</f>
        <v>10</v>
      </c>
      <c r="Z1009" s="10" t="str">
        <f>IFERROR(VLOOKUP(Tabla1[[#This Row],[MEDICAMENTO]],TAB_REF!$B$3:$F$27,2,0), "")</f>
        <v xml:space="preserve">Metadona HCl </v>
      </c>
      <c r="AA1009" s="10" t="str">
        <f>IFERROR(VLOOKUP(Tabla1[[#This Row],[MEDICAMENTO]],TAB_REF!$B$3:$F$27,3,0), "")</f>
        <v xml:space="preserve">10 mg </v>
      </c>
      <c r="AB1009" s="10" t="str">
        <f>IFERROR(VLOOKUP(Tabla1[[#This Row],[MEDICAMENTO]],TAB_REF!$B$3:$F$27,4,0), "")</f>
        <v>Tabletas NACIONAL</v>
      </c>
      <c r="AC1009" s="10" t="str">
        <f>IFERROR(VLOOKUP(Tabla1[[#This Row],[MEDICAMENTO]],TAB_REF!$B$3:$F$27,5,0), "")</f>
        <v>Caja x 30 unidades</v>
      </c>
      <c r="AD1009" s="10" t="str">
        <f>IFERROR(VLOOKUP(Tabla1[[#This Row],[CANTIDAD UND COMERCIALES]],TAB_REF!$H$3:$I$1003,2,0)&amp;" ("&amp;Tabla1[[#This Row],[CANTIDAD UND COMERCIALES]]&amp;")"&amp;"_"&amp;Tabla1[[#This Row],[CANTIDAD]],"")</f>
        <v>Diez (10)_Caja x 30 unidades</v>
      </c>
    </row>
    <row r="1010" spans="2:30" x14ac:dyDescent="0.25">
      <c r="B1010" s="10">
        <v>416</v>
      </c>
      <c r="C1010" s="10" t="s">
        <v>3987</v>
      </c>
      <c r="D1010" s="10" t="s">
        <v>2182</v>
      </c>
      <c r="E1010" s="10" t="s">
        <v>3988</v>
      </c>
      <c r="F1010" s="10" t="s">
        <v>3989</v>
      </c>
      <c r="G1010" s="10" t="s">
        <v>3990</v>
      </c>
      <c r="H1010" s="10" t="s">
        <v>3991</v>
      </c>
      <c r="I1010" s="10" t="s">
        <v>2123</v>
      </c>
      <c r="J1010" s="10" t="s">
        <v>1787</v>
      </c>
      <c r="K1010" s="10" t="s">
        <v>2420</v>
      </c>
      <c r="L1010" s="11">
        <v>202124101355602</v>
      </c>
      <c r="M1010" s="20">
        <v>44405</v>
      </c>
      <c r="N1010" s="20" t="str">
        <f>UPPER(TEXT(Tabla1[[#This Row],[FECHA RADICADO ENTRADA]],"MMM"))</f>
        <v>JUL</v>
      </c>
      <c r="O1010" s="11"/>
      <c r="Q1010" s="20" t="str">
        <f>UPPER(TEXT(Tabla1[[#This Row],[FECHA RADICADO ENTRADA]],"MMM"))</f>
        <v>JUL</v>
      </c>
      <c r="R1010" s="26">
        <f t="shared" si="60"/>
        <v>44405</v>
      </c>
      <c r="S1010" s="10" t="s">
        <v>2154</v>
      </c>
      <c r="U1010" s="10" t="s">
        <v>3992</v>
      </c>
      <c r="V1010" s="20">
        <v>44134</v>
      </c>
      <c r="W1010" s="10" t="s">
        <v>28</v>
      </c>
      <c r="X1010" s="10">
        <v>2</v>
      </c>
      <c r="Y1010" s="11">
        <f>IFERROR(INT(Tabla1[[#This Row],[CANTIDAD UND FARMACEUTICAS]]/(VLOOKUP(Tabla1[[#This Row],[MEDICAMENTO]],TAB_REF!$K$3:$L$27,2,0))),"")</f>
        <v>2</v>
      </c>
      <c r="Z1010" s="10" t="str">
        <f>IFERROR(VLOOKUP(Tabla1[[#This Row],[MEDICAMENTO]],TAB_REF!$B$3:$F$27,2,0), "")</f>
        <v xml:space="preserve">Fenobarbital </v>
      </c>
      <c r="AA1010" s="10" t="str">
        <f>IFERROR(VLOOKUP(Tabla1[[#This Row],[MEDICAMENTO]],TAB_REF!$B$3:$F$27,3,0), "")</f>
        <v xml:space="preserve">0,4%. </v>
      </c>
      <c r="AB1010" s="10" t="str">
        <f>IFERROR(VLOOKUP(Tabla1[[#This Row],[MEDICAMENTO]],TAB_REF!$B$3:$F$27,4,0), "")</f>
        <v>Solución Oral</v>
      </c>
      <c r="AC1010" s="10" t="str">
        <f>IFERROR(VLOOKUP(Tabla1[[#This Row],[MEDICAMENTO]],TAB_REF!$B$3:$F$27,5,0), "")</f>
        <v>Frasco x 120 mL</v>
      </c>
      <c r="AD1010" s="10" t="str">
        <f>IFERROR(VLOOKUP(Tabla1[[#This Row],[CANTIDAD UND COMERCIALES]],TAB_REF!$H$3:$I$1003,2,0)&amp;" ("&amp;Tabla1[[#This Row],[CANTIDAD UND COMERCIALES]]&amp;")"&amp;"_"&amp;Tabla1[[#This Row],[CANTIDAD]],"")</f>
        <v>Dos (2)_Frasco x 120 mL</v>
      </c>
    </row>
    <row r="1011" spans="2:30" x14ac:dyDescent="0.25">
      <c r="B1011" s="10">
        <v>417</v>
      </c>
      <c r="C1011" s="10" t="s">
        <v>3994</v>
      </c>
      <c r="D1011" s="10" t="s">
        <v>2182</v>
      </c>
      <c r="E1011" s="10" t="s">
        <v>2913</v>
      </c>
      <c r="F1011" s="10" t="s">
        <v>3995</v>
      </c>
      <c r="G1011" s="10" t="s">
        <v>3996</v>
      </c>
      <c r="H1011" s="10" t="s">
        <v>3997</v>
      </c>
      <c r="I1011" s="10" t="s">
        <v>2123</v>
      </c>
      <c r="J1011" s="10" t="s">
        <v>1519</v>
      </c>
      <c r="K1011" s="10" t="s">
        <v>3998</v>
      </c>
      <c r="L1011" s="11">
        <v>202124101359412</v>
      </c>
      <c r="M1011" s="20">
        <v>44405</v>
      </c>
      <c r="N1011" s="20" t="str">
        <f>UPPER(TEXT(Tabla1[[#This Row],[FECHA RADICADO ENTRADA]],"MMM"))</f>
        <v>JUL</v>
      </c>
      <c r="O1011" s="11"/>
      <c r="Q1011" s="20" t="str">
        <f>UPPER(TEXT(Tabla1[[#This Row],[FECHA RADICADO ENTRADA]],"MMM"))</f>
        <v>JUL</v>
      </c>
      <c r="R1011" s="26">
        <f t="shared" si="60"/>
        <v>44405</v>
      </c>
      <c r="S1011" s="10" t="s">
        <v>2145</v>
      </c>
      <c r="T1011" s="10" t="s">
        <v>3983</v>
      </c>
      <c r="U1011" s="10" t="s">
        <v>2918</v>
      </c>
      <c r="V1011" s="20">
        <v>43258</v>
      </c>
      <c r="W1011" s="10" t="s">
        <v>63</v>
      </c>
      <c r="X1011" s="10">
        <v>0</v>
      </c>
      <c r="Y1011" s="11">
        <f>IFERROR(INT(Tabla1[[#This Row],[CANTIDAD UND FARMACEUTICAS]]/(VLOOKUP(Tabla1[[#This Row],[MEDICAMENTO]],TAB_REF!$K$3:$L$27,2,0))),"")</f>
        <v>0</v>
      </c>
      <c r="Z1011" s="10" t="str">
        <f>IFERROR(VLOOKUP(Tabla1[[#This Row],[MEDICAMENTO]],TAB_REF!$B$3:$F$27,2,0), "")</f>
        <v xml:space="preserve">Morfina HCl </v>
      </c>
      <c r="AA1011" s="10" t="str">
        <f>IFERROR(VLOOKUP(Tabla1[[#This Row],[MEDICAMENTO]],TAB_REF!$B$3:$F$27,3,0), "")</f>
        <v xml:space="preserve">10 mg/mL </v>
      </c>
      <c r="AB1011" s="10" t="str">
        <f>IFERROR(VLOOKUP(Tabla1[[#This Row],[MEDICAMENTO]],TAB_REF!$B$3:$F$27,4,0), "")</f>
        <v>Solución Inyectable</v>
      </c>
      <c r="AC1011" s="10" t="str">
        <f>IFERROR(VLOOKUP(Tabla1[[#This Row],[MEDICAMENTO]],TAB_REF!$B$3:$F$27,5,0), "")</f>
        <v>Caja x 10 unidades</v>
      </c>
      <c r="AD1011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012" spans="2:30" x14ac:dyDescent="0.25">
      <c r="B1012" s="10">
        <v>417</v>
      </c>
      <c r="C1012" s="10" t="s">
        <v>3994</v>
      </c>
      <c r="D1012" s="10" t="s">
        <v>2182</v>
      </c>
      <c r="E1012" s="10" t="s">
        <v>2913</v>
      </c>
      <c r="F1012" s="10" t="s">
        <v>3995</v>
      </c>
      <c r="G1012" s="10" t="s">
        <v>3996</v>
      </c>
      <c r="H1012" s="10" t="s">
        <v>3997</v>
      </c>
      <c r="I1012" s="10" t="s">
        <v>2123</v>
      </c>
      <c r="J1012" s="10" t="s">
        <v>1519</v>
      </c>
      <c r="K1012" s="10" t="s">
        <v>3998</v>
      </c>
      <c r="L1012" s="11">
        <v>202124101359412</v>
      </c>
      <c r="M1012" s="20">
        <v>44405</v>
      </c>
      <c r="N1012" s="20" t="str">
        <f>UPPER(TEXT(Tabla1[[#This Row],[FECHA RADICADO ENTRADA]],"MMM"))</f>
        <v>JUL</v>
      </c>
      <c r="O1012" s="11"/>
      <c r="Q1012" s="20" t="str">
        <f>UPPER(TEXT(Tabla1[[#This Row],[FECHA RADICADO ENTRADA]],"MMM"))</f>
        <v>JUL</v>
      </c>
      <c r="R1012" s="26">
        <f t="shared" si="60"/>
        <v>44405</v>
      </c>
      <c r="S1012" s="10" t="s">
        <v>2145</v>
      </c>
      <c r="T1012" s="10" t="s">
        <v>3983</v>
      </c>
      <c r="U1012" s="10" t="s">
        <v>2918</v>
      </c>
      <c r="V1012" s="20">
        <v>43258</v>
      </c>
      <c r="W1012" s="10" t="s">
        <v>34</v>
      </c>
      <c r="X1012" s="10">
        <v>0</v>
      </c>
      <c r="Y1012" s="11">
        <f>IFERROR(INT(Tabla1[[#This Row],[CANTIDAD UND FARMACEUTICAS]]/(VLOOKUP(Tabla1[[#This Row],[MEDICAMENTO]],TAB_REF!$K$3:$L$27,2,0))),"")</f>
        <v>0</v>
      </c>
      <c r="Z1012" s="10" t="str">
        <f>IFERROR(VLOOKUP(Tabla1[[#This Row],[MEDICAMENTO]],TAB_REF!$B$3:$F$27,2,0), "")</f>
        <v xml:space="preserve">Fenobarbital Sódico </v>
      </c>
      <c r="AA1012" s="10" t="str">
        <f>IFERROR(VLOOKUP(Tabla1[[#This Row],[MEDICAMENTO]],TAB_REF!$B$3:$F$27,3,0), "")</f>
        <v xml:space="preserve">200 mg/Ml </v>
      </c>
      <c r="AB1012" s="10" t="str">
        <f>IFERROR(VLOOKUP(Tabla1[[#This Row],[MEDICAMENTO]],TAB_REF!$B$3:$F$27,4,0), "")</f>
        <v>Solución Inyectable</v>
      </c>
      <c r="AC1012" s="10" t="str">
        <f>IFERROR(VLOOKUP(Tabla1[[#This Row],[MEDICAMENTO]],TAB_REF!$B$3:$F$27,5,0), "")</f>
        <v>Caja x 10 unidades</v>
      </c>
      <c r="AD1012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013" spans="2:30" x14ac:dyDescent="0.25">
      <c r="B1013" s="10">
        <v>417</v>
      </c>
      <c r="C1013" s="10" t="s">
        <v>3994</v>
      </c>
      <c r="D1013" s="10" t="s">
        <v>2182</v>
      </c>
      <c r="E1013" s="10" t="s">
        <v>2913</v>
      </c>
      <c r="F1013" s="10" t="s">
        <v>3995</v>
      </c>
      <c r="G1013" s="10" t="s">
        <v>3996</v>
      </c>
      <c r="H1013" s="10" t="s">
        <v>3997</v>
      </c>
      <c r="I1013" s="10" t="s">
        <v>2123</v>
      </c>
      <c r="J1013" s="10" t="s">
        <v>1519</v>
      </c>
      <c r="K1013" s="10" t="s">
        <v>3998</v>
      </c>
      <c r="L1013" s="11">
        <v>202124101359412</v>
      </c>
      <c r="M1013" s="20">
        <v>44405</v>
      </c>
      <c r="N1013" s="20" t="str">
        <f>UPPER(TEXT(Tabla1[[#This Row],[FECHA RADICADO ENTRADA]],"MMM"))</f>
        <v>JUL</v>
      </c>
      <c r="O1013" s="11"/>
      <c r="Q1013" s="20" t="str">
        <f>UPPER(TEXT(Tabla1[[#This Row],[FECHA RADICADO ENTRADA]],"MMM"))</f>
        <v>JUL</v>
      </c>
      <c r="R1013" s="26">
        <f t="shared" si="60"/>
        <v>44405</v>
      </c>
      <c r="S1013" s="10" t="s">
        <v>2145</v>
      </c>
      <c r="T1013" s="10" t="s">
        <v>3983</v>
      </c>
      <c r="U1013" s="10" t="s">
        <v>2918</v>
      </c>
      <c r="V1013" s="20">
        <v>43258</v>
      </c>
      <c r="W1013" s="10" t="s">
        <v>41</v>
      </c>
      <c r="X1013" s="10">
        <v>0</v>
      </c>
      <c r="Y1013" s="11">
        <f>IFERROR(INT(Tabla1[[#This Row],[CANTIDAD UND FARMACEUTICAS]]/(VLOOKUP(Tabla1[[#This Row],[MEDICAMENTO]],TAB_REF!$K$3:$L$27,2,0))),"")</f>
        <v>0</v>
      </c>
      <c r="Z1013" s="10" t="str">
        <f>IFERROR(VLOOKUP(Tabla1[[#This Row],[MEDICAMENTO]],TAB_REF!$B$3:$F$27,2,0), "")</f>
        <v xml:space="preserve">Meperidina HCl </v>
      </c>
      <c r="AA1013" s="10" t="str">
        <f>IFERROR(VLOOKUP(Tabla1[[#This Row],[MEDICAMENTO]],TAB_REF!$B$3:$F$27,3,0), "")</f>
        <v xml:space="preserve">100 mg/2mL </v>
      </c>
      <c r="AB1013" s="10" t="str">
        <f>IFERROR(VLOOKUP(Tabla1[[#This Row],[MEDICAMENTO]],TAB_REF!$B$3:$F$27,4,0), "")</f>
        <v>Solución Inyectable</v>
      </c>
      <c r="AC1013" s="10" t="str">
        <f>IFERROR(VLOOKUP(Tabla1[[#This Row],[MEDICAMENTO]],TAB_REF!$B$3:$F$27,5,0), "")</f>
        <v>Caja 10 ampollas</v>
      </c>
      <c r="AD1013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014" spans="2:30" x14ac:dyDescent="0.25">
      <c r="B1014" s="10">
        <v>418</v>
      </c>
      <c r="C1014" s="10" t="s">
        <v>3977</v>
      </c>
      <c r="D1014" s="10" t="s">
        <v>2175</v>
      </c>
      <c r="E1014" s="10" t="s">
        <v>3978</v>
      </c>
      <c r="F1014" s="10" t="s">
        <v>3886</v>
      </c>
      <c r="G1014" s="10" t="s">
        <v>3979</v>
      </c>
      <c r="H1014" s="10" t="s">
        <v>3980</v>
      </c>
      <c r="I1014" s="10" t="s">
        <v>2128</v>
      </c>
      <c r="J1014" s="10" t="s">
        <v>1918</v>
      </c>
      <c r="K1014" s="10" t="s">
        <v>3981</v>
      </c>
      <c r="L1014" s="11">
        <v>202124101361102</v>
      </c>
      <c r="M1014" s="20">
        <v>44405</v>
      </c>
      <c r="N1014" s="20" t="str">
        <f>UPPER(TEXT(Tabla1[[#This Row],[FECHA RADICADO ENTRADA]],"MMM"))</f>
        <v>JUL</v>
      </c>
      <c r="O1014" s="11"/>
      <c r="Q1014" s="20" t="str">
        <f>UPPER(TEXT(Tabla1[[#This Row],[FECHA RADICADO ENTRADA]],"MMM"))</f>
        <v>JUL</v>
      </c>
      <c r="R1014" s="26">
        <f t="shared" si="60"/>
        <v>44405</v>
      </c>
      <c r="S1014" s="10" t="s">
        <v>2145</v>
      </c>
      <c r="T1014" s="10" t="s">
        <v>3383</v>
      </c>
      <c r="U1014" s="10" t="s">
        <v>3982</v>
      </c>
      <c r="V1014" s="20">
        <v>44364</v>
      </c>
      <c r="W1014" s="10" t="s">
        <v>28</v>
      </c>
      <c r="X1014" s="10">
        <v>0</v>
      </c>
      <c r="Y1014" s="11">
        <f>IFERROR(INT(Tabla1[[#This Row],[CANTIDAD UND FARMACEUTICAS]]/(VLOOKUP(Tabla1[[#This Row],[MEDICAMENTO]],TAB_REF!$K$3:$L$27,2,0))),"")</f>
        <v>0</v>
      </c>
      <c r="Z1014" s="10" t="str">
        <f>IFERROR(VLOOKUP(Tabla1[[#This Row],[MEDICAMENTO]],TAB_REF!$B$3:$F$27,2,0), "")</f>
        <v xml:space="preserve">Fenobarbital </v>
      </c>
      <c r="AA1014" s="10" t="str">
        <f>IFERROR(VLOOKUP(Tabla1[[#This Row],[MEDICAMENTO]],TAB_REF!$B$3:$F$27,3,0), "")</f>
        <v xml:space="preserve">0,4%. </v>
      </c>
      <c r="AB1014" s="10" t="str">
        <f>IFERROR(VLOOKUP(Tabla1[[#This Row],[MEDICAMENTO]],TAB_REF!$B$3:$F$27,4,0), "")</f>
        <v>Solución Oral</v>
      </c>
      <c r="AC1014" s="10" t="str">
        <f>IFERROR(VLOOKUP(Tabla1[[#This Row],[MEDICAMENTO]],TAB_REF!$B$3:$F$27,5,0), "")</f>
        <v>Frasco x 120 mL</v>
      </c>
      <c r="AD1014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015" spans="2:30" x14ac:dyDescent="0.25">
      <c r="B1015" s="10">
        <v>419</v>
      </c>
      <c r="C1015" s="10" t="s">
        <v>2217</v>
      </c>
      <c r="D1015" s="10" t="s">
        <v>2162</v>
      </c>
      <c r="E1015" s="10" t="s">
        <v>2674</v>
      </c>
      <c r="F1015" s="10" t="s">
        <v>2897</v>
      </c>
      <c r="G1015" s="10" t="s">
        <v>2676</v>
      </c>
      <c r="H1015" s="10" t="s">
        <v>2677</v>
      </c>
      <c r="I1015" s="10" t="s">
        <v>2122</v>
      </c>
      <c r="J1015" s="10" t="s">
        <v>1742</v>
      </c>
      <c r="K1015" s="10" t="s">
        <v>3999</v>
      </c>
      <c r="L1015" s="11">
        <v>202124101382472</v>
      </c>
      <c r="M1015" s="20">
        <v>44407</v>
      </c>
      <c r="N1015" s="20" t="str">
        <f>UPPER(TEXT(Tabla1[[#This Row],[FECHA RADICADO ENTRADA]],"MMM"))</f>
        <v>JUL</v>
      </c>
      <c r="O1015" s="11"/>
      <c r="Q1015" s="20" t="str">
        <f>UPPER(TEXT(Tabla1[[#This Row],[FECHA RADICADO ENTRADA]],"MMM"))</f>
        <v>JUL</v>
      </c>
      <c r="R1015" s="26">
        <f t="shared" si="60"/>
        <v>44407</v>
      </c>
      <c r="S1015" s="10" t="s">
        <v>2154</v>
      </c>
      <c r="U1015" s="10" t="s">
        <v>2679</v>
      </c>
      <c r="V1015" s="20">
        <v>43767</v>
      </c>
      <c r="W1015" s="10" t="s">
        <v>38</v>
      </c>
      <c r="X1015" s="10">
        <v>240</v>
      </c>
      <c r="Y1015" s="11">
        <f>IFERROR(INT(Tabla1[[#This Row],[CANTIDAD UND FARMACEUTICAS]]/(VLOOKUP(Tabla1[[#This Row],[MEDICAMENTO]],TAB_REF!$K$3:$L$27,2,0))),"")</f>
        <v>12</v>
      </c>
      <c r="Z1015" s="10" t="str">
        <f>IFERROR(VLOOKUP(Tabla1[[#This Row],[MEDICAMENTO]],TAB_REF!$B$3:$F$27,2,0), "")</f>
        <v xml:space="preserve">Hidromorfona HCl </v>
      </c>
      <c r="AA1015" s="10" t="str">
        <f>IFERROR(VLOOKUP(Tabla1[[#This Row],[MEDICAMENTO]],TAB_REF!$B$3:$F$27,3,0), "")</f>
        <v xml:space="preserve">2,5 mg </v>
      </c>
      <c r="AB1015" s="10" t="str">
        <f>IFERROR(VLOOKUP(Tabla1[[#This Row],[MEDICAMENTO]],TAB_REF!$B$3:$F$27,4,0), "")</f>
        <v>Tabletas</v>
      </c>
      <c r="AC1015" s="10" t="str">
        <f>IFERROR(VLOOKUP(Tabla1[[#This Row],[MEDICAMENTO]],TAB_REF!$B$3:$F$27,5,0), "")</f>
        <v>Caja x 20 unidades</v>
      </c>
      <c r="AD1015" s="10" t="str">
        <f>IFERROR(VLOOKUP(Tabla1[[#This Row],[CANTIDAD UND COMERCIALES]],TAB_REF!$H$3:$I$1003,2,0)&amp;" ("&amp;Tabla1[[#This Row],[CANTIDAD UND COMERCIALES]]&amp;")"&amp;"_"&amp;Tabla1[[#This Row],[CANTIDAD]],"")</f>
        <v>Doce (12)_Caja x 20 unidades</v>
      </c>
    </row>
    <row r="1016" spans="2:30" x14ac:dyDescent="0.25">
      <c r="B1016" s="10">
        <v>419</v>
      </c>
      <c r="C1016" s="10" t="s">
        <v>2217</v>
      </c>
      <c r="D1016" s="10" t="s">
        <v>2162</v>
      </c>
      <c r="E1016" s="10" t="s">
        <v>2674</v>
      </c>
      <c r="F1016" s="10" t="s">
        <v>2897</v>
      </c>
      <c r="G1016" s="10" t="s">
        <v>2676</v>
      </c>
      <c r="H1016" s="10" t="s">
        <v>2677</v>
      </c>
      <c r="I1016" s="10" t="s">
        <v>2122</v>
      </c>
      <c r="J1016" s="10" t="s">
        <v>1742</v>
      </c>
      <c r="K1016" s="10" t="s">
        <v>3999</v>
      </c>
      <c r="L1016" s="11">
        <v>202124101382472</v>
      </c>
      <c r="M1016" s="20">
        <v>44407</v>
      </c>
      <c r="N1016" s="20" t="str">
        <f>UPPER(TEXT(Tabla1[[#This Row],[FECHA RADICADO ENTRADA]],"MMM"))</f>
        <v>JUL</v>
      </c>
      <c r="O1016" s="11"/>
      <c r="Q1016" s="20" t="str">
        <f>UPPER(TEXT(Tabla1[[#This Row],[FECHA RADICADO ENTRADA]],"MMM"))</f>
        <v>JUL</v>
      </c>
      <c r="R1016" s="26">
        <f t="shared" si="60"/>
        <v>44407</v>
      </c>
      <c r="S1016" s="10" t="s">
        <v>2154</v>
      </c>
      <c r="U1016" s="10" t="s">
        <v>2679</v>
      </c>
      <c r="V1016" s="20">
        <v>43767</v>
      </c>
      <c r="W1016" s="10" t="s">
        <v>60</v>
      </c>
      <c r="X1016" s="10">
        <v>2</v>
      </c>
      <c r="Y1016" s="11">
        <f>IFERROR(INT(Tabla1[[#This Row],[CANTIDAD UND FARMACEUTICAS]]/(VLOOKUP(Tabla1[[#This Row],[MEDICAMENTO]],TAB_REF!$K$3:$L$27,2,0))),"")</f>
        <v>2</v>
      </c>
      <c r="Z1016" s="10" t="str">
        <f>IFERROR(VLOOKUP(Tabla1[[#This Row],[MEDICAMENTO]],TAB_REF!$B$3:$F$27,2,0), "")</f>
        <v xml:space="preserve">Morfina HCl </v>
      </c>
      <c r="AA1016" s="10" t="str">
        <f>IFERROR(VLOOKUP(Tabla1[[#This Row],[MEDICAMENTO]],TAB_REF!$B$3:$F$27,3,0), "")</f>
        <v xml:space="preserve">3%. </v>
      </c>
      <c r="AB1016" s="10" t="str">
        <f>IFERROR(VLOOKUP(Tabla1[[#This Row],[MEDICAMENTO]],TAB_REF!$B$3:$F$27,4,0), "")</f>
        <v>Solución Oral</v>
      </c>
      <c r="AC1016" s="10" t="str">
        <f>IFERROR(VLOOKUP(Tabla1[[#This Row],[MEDICAMENTO]],TAB_REF!$B$3:$F$27,5,0), "")</f>
        <v>Frasco x 30 mL</v>
      </c>
      <c r="AD1016" s="10" t="str">
        <f>IFERROR(VLOOKUP(Tabla1[[#This Row],[CANTIDAD UND COMERCIALES]],TAB_REF!$H$3:$I$1003,2,0)&amp;" ("&amp;Tabla1[[#This Row],[CANTIDAD UND COMERCIALES]]&amp;")"&amp;"_"&amp;Tabla1[[#This Row],[CANTIDAD]],"")</f>
        <v>Dos (2)_Frasco x 30 mL</v>
      </c>
    </row>
    <row r="1017" spans="2:30" x14ac:dyDescent="0.25">
      <c r="B1017" s="10">
        <v>420</v>
      </c>
      <c r="C1017" s="10" t="s">
        <v>2616</v>
      </c>
      <c r="D1017" s="10" t="s">
        <v>2617</v>
      </c>
      <c r="E1017" s="10" t="s">
        <v>2280</v>
      </c>
      <c r="F1017" s="10" t="s">
        <v>2619</v>
      </c>
      <c r="G1017" s="10" t="s">
        <v>2620</v>
      </c>
      <c r="H1017" s="10" t="s">
        <v>3029</v>
      </c>
      <c r="I1017" s="10" t="s">
        <v>2129</v>
      </c>
      <c r="J1017" s="10" t="s">
        <v>2032</v>
      </c>
      <c r="K1017" s="10" t="s">
        <v>4000</v>
      </c>
      <c r="L1017" s="11">
        <v>202124101384922</v>
      </c>
      <c r="M1017" s="20">
        <v>44407</v>
      </c>
      <c r="N1017" s="20" t="str">
        <f>UPPER(TEXT(Tabla1[[#This Row],[FECHA RADICADO ENTRADA]],"MMM"))</f>
        <v>JUL</v>
      </c>
      <c r="O1017" s="11"/>
      <c r="Q1017" s="20" t="str">
        <f>IFERROR(UPPER(TEXT(MONTH(Tabla1[[#This Row],[FECHA RADICADO SALIDA]]),"MMM")),"")</f>
        <v>ENE</v>
      </c>
      <c r="R1017" s="26">
        <f>_xlfn.DAYS(M1017,P1017)</f>
        <v>44407</v>
      </c>
      <c r="S1017" s="10" t="s">
        <v>2145</v>
      </c>
      <c r="U1017" s="10" t="s">
        <v>2622</v>
      </c>
      <c r="V1017" s="20">
        <v>43734</v>
      </c>
      <c r="W1017" s="10" t="s">
        <v>41</v>
      </c>
      <c r="X1017" s="10">
        <v>0</v>
      </c>
      <c r="Y1017" s="11">
        <f>IFERROR(INT(Tabla1[[#This Row],[CANTIDAD UND FARMACEUTICAS]]/(VLOOKUP(Tabla1[[#This Row],[MEDICAMENTO]],TAB_REF!$K$3:$L$27,2,0))),"")</f>
        <v>0</v>
      </c>
      <c r="Z1017" s="10" t="str">
        <f>IFERROR(VLOOKUP(Tabla1[[#This Row],[MEDICAMENTO]],TAB_REF!$B$3:$F$27,2,0), "")</f>
        <v xml:space="preserve">Meperidina HCl </v>
      </c>
      <c r="AA1017" s="10" t="str">
        <f>IFERROR(VLOOKUP(Tabla1[[#This Row],[MEDICAMENTO]],TAB_REF!$B$3:$F$27,3,0), "")</f>
        <v xml:space="preserve">100 mg/2mL </v>
      </c>
      <c r="AB1017" s="10" t="str">
        <f>IFERROR(VLOOKUP(Tabla1[[#This Row],[MEDICAMENTO]],TAB_REF!$B$3:$F$27,4,0), "")</f>
        <v>Solución Inyectable</v>
      </c>
      <c r="AC1017" s="10" t="str">
        <f>IFERROR(VLOOKUP(Tabla1[[#This Row],[MEDICAMENTO]],TAB_REF!$B$3:$F$27,5,0), "")</f>
        <v>Caja 10 ampollas</v>
      </c>
      <c r="AD1017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018" spans="2:30" x14ac:dyDescent="0.25">
      <c r="B1018" s="10">
        <v>420</v>
      </c>
      <c r="C1018" s="10" t="s">
        <v>2616</v>
      </c>
      <c r="D1018" s="10" t="s">
        <v>2617</v>
      </c>
      <c r="E1018" s="10" t="s">
        <v>2280</v>
      </c>
      <c r="F1018" s="10" t="s">
        <v>2619</v>
      </c>
      <c r="G1018" s="10" t="s">
        <v>2620</v>
      </c>
      <c r="H1018" s="10" t="s">
        <v>3029</v>
      </c>
      <c r="I1018" s="10" t="s">
        <v>2129</v>
      </c>
      <c r="J1018" s="10" t="s">
        <v>2032</v>
      </c>
      <c r="K1018" s="10" t="s">
        <v>4000</v>
      </c>
      <c r="L1018" s="11">
        <v>202124101384922</v>
      </c>
      <c r="M1018" s="20">
        <v>44407</v>
      </c>
      <c r="N1018" s="20" t="str">
        <f>UPPER(TEXT(Tabla1[[#This Row],[FECHA RADICADO ENTRADA]],"MMM"))</f>
        <v>JUL</v>
      </c>
      <c r="O1018" s="11"/>
      <c r="Q1018" s="20" t="str">
        <f>IFERROR(UPPER(TEXT(MONTH(Tabla1[[#This Row],[FECHA RADICADO SALIDA]]),"MMM")),"")</f>
        <v>ENE</v>
      </c>
      <c r="R1018" s="26">
        <f t="shared" ref="R1018:R1021" si="62">_xlfn.DAYS(M1018,P1018)</f>
        <v>44407</v>
      </c>
      <c r="S1018" s="10" t="s">
        <v>2154</v>
      </c>
      <c r="U1018" s="10" t="s">
        <v>2622</v>
      </c>
      <c r="V1018" s="20">
        <v>43734</v>
      </c>
      <c r="W1018" s="10" t="s">
        <v>63</v>
      </c>
      <c r="X1018" s="10">
        <v>400</v>
      </c>
      <c r="Y1018" s="11">
        <f>IFERROR(INT(Tabla1[[#This Row],[CANTIDAD UND FARMACEUTICAS]]/(VLOOKUP(Tabla1[[#This Row],[MEDICAMENTO]],TAB_REF!$K$3:$L$27,2,0))),"")</f>
        <v>40</v>
      </c>
      <c r="Z1018" s="10" t="str">
        <f>IFERROR(VLOOKUP(Tabla1[[#This Row],[MEDICAMENTO]],TAB_REF!$B$3:$F$27,2,0), "")</f>
        <v xml:space="preserve">Morfina HCl </v>
      </c>
      <c r="AA1018" s="10" t="str">
        <f>IFERROR(VLOOKUP(Tabla1[[#This Row],[MEDICAMENTO]],TAB_REF!$B$3:$F$27,3,0), "")</f>
        <v xml:space="preserve">10 mg/mL </v>
      </c>
      <c r="AB1018" s="10" t="str">
        <f>IFERROR(VLOOKUP(Tabla1[[#This Row],[MEDICAMENTO]],TAB_REF!$B$3:$F$27,4,0), "")</f>
        <v>Solución Inyectable</v>
      </c>
      <c r="AC1018" s="10" t="str">
        <f>IFERROR(VLOOKUP(Tabla1[[#This Row],[MEDICAMENTO]],TAB_REF!$B$3:$F$27,5,0), "")</f>
        <v>Caja x 10 unidades</v>
      </c>
      <c r="AD1018" s="10" t="str">
        <f>IFERROR(VLOOKUP(Tabla1[[#This Row],[CANTIDAD UND COMERCIALES]],TAB_REF!$H$3:$I$1003,2,0)&amp;" ("&amp;Tabla1[[#This Row],[CANTIDAD UND COMERCIALES]]&amp;")"&amp;"_"&amp;Tabla1[[#This Row],[CANTIDAD]],"")</f>
        <v>Cuarenta (40)_Caja x 10 unidades</v>
      </c>
    </row>
    <row r="1019" spans="2:30" x14ac:dyDescent="0.25">
      <c r="B1019" s="10">
        <v>420</v>
      </c>
      <c r="C1019" s="10" t="s">
        <v>2616</v>
      </c>
      <c r="D1019" s="10" t="s">
        <v>2617</v>
      </c>
      <c r="E1019" s="10" t="s">
        <v>2280</v>
      </c>
      <c r="F1019" s="10" t="s">
        <v>2619</v>
      </c>
      <c r="G1019" s="10" t="s">
        <v>2620</v>
      </c>
      <c r="H1019" s="10" t="s">
        <v>3029</v>
      </c>
      <c r="I1019" s="10" t="s">
        <v>2129</v>
      </c>
      <c r="J1019" s="10" t="s">
        <v>2032</v>
      </c>
      <c r="K1019" s="10" t="s">
        <v>4000</v>
      </c>
      <c r="L1019" s="11">
        <v>202124101384922</v>
      </c>
      <c r="M1019" s="20">
        <v>44407</v>
      </c>
      <c r="N1019" s="20" t="str">
        <f>UPPER(TEXT(Tabla1[[#This Row],[FECHA RADICADO ENTRADA]],"MMM"))</f>
        <v>JUL</v>
      </c>
      <c r="O1019" s="11"/>
      <c r="Q1019" s="20" t="str">
        <f>IFERROR(UPPER(TEXT(MONTH(Tabla1[[#This Row],[FECHA RADICADO SALIDA]]),"MMM")),"")</f>
        <v>ENE</v>
      </c>
      <c r="R1019" s="26">
        <f t="shared" si="62"/>
        <v>44407</v>
      </c>
      <c r="S1019" s="10" t="s">
        <v>2145</v>
      </c>
      <c r="U1019" s="10" t="s">
        <v>2622</v>
      </c>
      <c r="V1019" s="20">
        <v>43734</v>
      </c>
      <c r="W1019" s="10" t="s">
        <v>32</v>
      </c>
      <c r="X1019" s="10">
        <v>0</v>
      </c>
      <c r="Y1019" s="11">
        <f>IFERROR(INT(Tabla1[[#This Row],[CANTIDAD UND FARMACEUTICAS]]/(VLOOKUP(Tabla1[[#This Row],[MEDICAMENTO]],TAB_REF!$K$3:$L$27,2,0))),"")</f>
        <v>0</v>
      </c>
      <c r="Z1019" s="10" t="str">
        <f>IFERROR(VLOOKUP(Tabla1[[#This Row],[MEDICAMENTO]],TAB_REF!$B$3:$F$27,2,0), "")</f>
        <v xml:space="preserve">Fenobarbital </v>
      </c>
      <c r="AA1019" s="10" t="str">
        <f>IFERROR(VLOOKUP(Tabla1[[#This Row],[MEDICAMENTO]],TAB_REF!$B$3:$F$27,3,0), "")</f>
        <v xml:space="preserve">100 mg </v>
      </c>
      <c r="AB1019" s="10" t="str">
        <f>IFERROR(VLOOKUP(Tabla1[[#This Row],[MEDICAMENTO]],TAB_REF!$B$3:$F$27,4,0), "")</f>
        <v>Tabletas</v>
      </c>
      <c r="AC1019" s="10" t="str">
        <f>IFERROR(VLOOKUP(Tabla1[[#This Row],[MEDICAMENTO]],TAB_REF!$B$3:$F$27,5,0), "")</f>
        <v>Caja x 30 unidades</v>
      </c>
      <c r="AD1019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020" spans="2:30" x14ac:dyDescent="0.25">
      <c r="B1020" s="10">
        <v>420</v>
      </c>
      <c r="C1020" s="10" t="s">
        <v>2616</v>
      </c>
      <c r="D1020" s="10" t="s">
        <v>2617</v>
      </c>
      <c r="E1020" s="10" t="s">
        <v>2280</v>
      </c>
      <c r="F1020" s="10" t="s">
        <v>2619</v>
      </c>
      <c r="G1020" s="10" t="s">
        <v>2620</v>
      </c>
      <c r="H1020" s="10" t="s">
        <v>3029</v>
      </c>
      <c r="I1020" s="10" t="s">
        <v>2129</v>
      </c>
      <c r="J1020" s="10" t="s">
        <v>2032</v>
      </c>
      <c r="K1020" s="10" t="s">
        <v>4000</v>
      </c>
      <c r="L1020" s="11">
        <v>202124101384922</v>
      </c>
      <c r="M1020" s="20">
        <v>44407</v>
      </c>
      <c r="N1020" s="20" t="str">
        <f>UPPER(TEXT(Tabla1[[#This Row],[FECHA RADICADO ENTRADA]],"MMM"))</f>
        <v>JUL</v>
      </c>
      <c r="O1020" s="11"/>
      <c r="Q1020" s="20" t="str">
        <f>IFERROR(UPPER(TEXT(MONTH(Tabla1[[#This Row],[FECHA RADICADO SALIDA]]),"MMM")),"")</f>
        <v>ENE</v>
      </c>
      <c r="R1020" s="26">
        <f t="shared" si="62"/>
        <v>44407</v>
      </c>
      <c r="S1020" s="10" t="s">
        <v>2145</v>
      </c>
      <c r="U1020" s="10" t="s">
        <v>2622</v>
      </c>
      <c r="V1020" s="20">
        <v>43734</v>
      </c>
      <c r="W1020" s="10" t="s">
        <v>60</v>
      </c>
      <c r="X1020" s="10">
        <v>0</v>
      </c>
      <c r="Y1020" s="11">
        <f>IFERROR(INT(Tabla1[[#This Row],[CANTIDAD UND FARMACEUTICAS]]/(VLOOKUP(Tabla1[[#This Row],[MEDICAMENTO]],TAB_REF!$K$3:$L$27,2,0))),"")</f>
        <v>0</v>
      </c>
      <c r="Z1020" s="10" t="str">
        <f>IFERROR(VLOOKUP(Tabla1[[#This Row],[MEDICAMENTO]],TAB_REF!$B$3:$F$27,2,0), "")</f>
        <v xml:space="preserve">Morfina HCl </v>
      </c>
      <c r="AA1020" s="10" t="str">
        <f>IFERROR(VLOOKUP(Tabla1[[#This Row],[MEDICAMENTO]],TAB_REF!$B$3:$F$27,3,0), "")</f>
        <v xml:space="preserve">3%. </v>
      </c>
      <c r="AB1020" s="10" t="str">
        <f>IFERROR(VLOOKUP(Tabla1[[#This Row],[MEDICAMENTO]],TAB_REF!$B$3:$F$27,4,0), "")</f>
        <v>Solución Oral</v>
      </c>
      <c r="AC1020" s="10" t="str">
        <f>IFERROR(VLOOKUP(Tabla1[[#This Row],[MEDICAMENTO]],TAB_REF!$B$3:$F$27,5,0), "")</f>
        <v>Frasco x 30 mL</v>
      </c>
      <c r="AD1020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021" spans="2:30" x14ac:dyDescent="0.25">
      <c r="B1021" s="10">
        <v>420</v>
      </c>
      <c r="C1021" s="10" t="s">
        <v>2616</v>
      </c>
      <c r="D1021" s="10" t="s">
        <v>2617</v>
      </c>
      <c r="E1021" s="10" t="s">
        <v>2280</v>
      </c>
      <c r="F1021" s="10" t="s">
        <v>2619</v>
      </c>
      <c r="G1021" s="10" t="s">
        <v>2620</v>
      </c>
      <c r="H1021" s="10" t="s">
        <v>3029</v>
      </c>
      <c r="I1021" s="10" t="s">
        <v>2129</v>
      </c>
      <c r="J1021" s="10" t="s">
        <v>2032</v>
      </c>
      <c r="K1021" s="10" t="s">
        <v>4000</v>
      </c>
      <c r="L1021" s="11">
        <v>202124101384922</v>
      </c>
      <c r="M1021" s="20">
        <v>44407</v>
      </c>
      <c r="N1021" s="20" t="str">
        <f>UPPER(TEXT(Tabla1[[#This Row],[FECHA RADICADO ENTRADA]],"MMM"))</f>
        <v>JUL</v>
      </c>
      <c r="O1021" s="11"/>
      <c r="Q1021" s="20" t="str">
        <f>IFERROR(UPPER(TEXT(MONTH(Tabla1[[#This Row],[FECHA RADICADO SALIDA]]),"MMM")),"")</f>
        <v>ENE</v>
      </c>
      <c r="R1021" s="26">
        <f t="shared" si="62"/>
        <v>44407</v>
      </c>
      <c r="S1021" s="10" t="s">
        <v>2145</v>
      </c>
      <c r="U1021" s="10" t="s">
        <v>2622</v>
      </c>
      <c r="V1021" s="20">
        <v>43734</v>
      </c>
      <c r="W1021" s="10" t="s">
        <v>36</v>
      </c>
      <c r="X1021" s="10">
        <v>0</v>
      </c>
      <c r="Y1021" s="11">
        <f>IFERROR(INT(Tabla1[[#This Row],[CANTIDAD UND FARMACEUTICAS]]/(VLOOKUP(Tabla1[[#This Row],[MEDICAMENTO]],TAB_REF!$K$3:$L$27,2,0))),"")</f>
        <v>0</v>
      </c>
      <c r="Z1021" s="10" t="str">
        <f>IFERROR(VLOOKUP(Tabla1[[#This Row],[MEDICAMENTO]],TAB_REF!$B$3:$F$27,2,0), "")</f>
        <v xml:space="preserve">Fenobarbital Sódico </v>
      </c>
      <c r="AA1021" s="10" t="str">
        <f>IFERROR(VLOOKUP(Tabla1[[#This Row],[MEDICAMENTO]],TAB_REF!$B$3:$F$27,3,0), "")</f>
        <v xml:space="preserve">40 mg/mL </v>
      </c>
      <c r="AB1021" s="10" t="str">
        <f>IFERROR(VLOOKUP(Tabla1[[#This Row],[MEDICAMENTO]],TAB_REF!$B$3:$F$27,4,0), "")</f>
        <v>Solución Inyectable</v>
      </c>
      <c r="AC1021" s="10" t="str">
        <f>IFERROR(VLOOKUP(Tabla1[[#This Row],[MEDICAMENTO]],TAB_REF!$B$3:$F$27,5,0), "")</f>
        <v>Caja x 10 unidades</v>
      </c>
      <c r="AD1021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022" spans="2:30" x14ac:dyDescent="0.25">
      <c r="B1022" s="10">
        <v>421</v>
      </c>
      <c r="C1022" s="10" t="s">
        <v>2586</v>
      </c>
      <c r="D1022" s="10" t="s">
        <v>2182</v>
      </c>
      <c r="E1022" s="10" t="s">
        <v>4001</v>
      </c>
      <c r="F1022" s="10" t="s">
        <v>2452</v>
      </c>
      <c r="G1022" s="10" t="s">
        <v>2453</v>
      </c>
      <c r="H1022" s="10" t="s">
        <v>4002</v>
      </c>
      <c r="I1022" s="10" t="s">
        <v>2123</v>
      </c>
      <c r="J1022" s="10" t="s">
        <v>1770</v>
      </c>
      <c r="K1022" s="10" t="s">
        <v>3296</v>
      </c>
      <c r="L1022" s="11">
        <v>202124101394852</v>
      </c>
      <c r="M1022" s="20">
        <v>44410</v>
      </c>
      <c r="N1022" s="20" t="str">
        <f>UPPER(TEXT(Tabla1[[#This Row],[FECHA RADICADO ENTRADA]],"MMM"))</f>
        <v>AGO</v>
      </c>
      <c r="O1022" s="11">
        <v>202124111225771</v>
      </c>
      <c r="P1022" s="20">
        <v>44412</v>
      </c>
      <c r="Q1022" s="20" t="str">
        <f>IFERROR(UPPER(TEXT(MONTH(Tabla1[[#This Row],[FECHA RADICADO SALIDA]]),"MMM")),"")</f>
        <v>ENE</v>
      </c>
      <c r="R1022" s="26">
        <f t="shared" ref="R1022:R1023" si="63">_xlfn.DAYS(M1022,P1022)</f>
        <v>-2</v>
      </c>
      <c r="S1022" s="10" t="s">
        <v>2154</v>
      </c>
      <c r="U1022" s="10" t="s">
        <v>3121</v>
      </c>
      <c r="V1022" s="20">
        <v>44281</v>
      </c>
      <c r="W1022" s="10" t="s">
        <v>60</v>
      </c>
      <c r="X1022" s="10">
        <v>60</v>
      </c>
      <c r="Y1022" s="11">
        <f>IFERROR(INT(Tabla1[[#This Row],[CANTIDAD UND FARMACEUTICAS]]/(VLOOKUP(Tabla1[[#This Row],[MEDICAMENTO]],TAB_REF!$K$3:$L$27,2,0))),"")</f>
        <v>60</v>
      </c>
      <c r="Z1022" s="10" t="str">
        <f>IFERROR(VLOOKUP(Tabla1[[#This Row],[MEDICAMENTO]],TAB_REF!$B$3:$F$27,2,0), "")</f>
        <v xml:space="preserve">Morfina HCl </v>
      </c>
      <c r="AA1022" s="10" t="str">
        <f>IFERROR(VLOOKUP(Tabla1[[#This Row],[MEDICAMENTO]],TAB_REF!$B$3:$F$27,3,0), "")</f>
        <v xml:space="preserve">3%. </v>
      </c>
      <c r="AB1022" s="10" t="str">
        <f>IFERROR(VLOOKUP(Tabla1[[#This Row],[MEDICAMENTO]],TAB_REF!$B$3:$F$27,4,0), "")</f>
        <v>Solución Oral</v>
      </c>
      <c r="AC1022" s="10" t="str">
        <f>IFERROR(VLOOKUP(Tabla1[[#This Row],[MEDICAMENTO]],TAB_REF!$B$3:$F$27,5,0), "")</f>
        <v>Frasco x 30 mL</v>
      </c>
      <c r="AD1022" s="10" t="str">
        <f>IFERROR(VLOOKUP(Tabla1[[#This Row],[CANTIDAD UND COMERCIALES]],TAB_REF!$H$3:$I$1003,2,0)&amp;" ("&amp;Tabla1[[#This Row],[CANTIDAD UND COMERCIALES]]&amp;")"&amp;"_"&amp;Tabla1[[#This Row],[CANTIDAD]],"")</f>
        <v>Sesenta (60)_Frasco x 30 mL</v>
      </c>
    </row>
    <row r="1023" spans="2:30" x14ac:dyDescent="0.25">
      <c r="B1023" s="10">
        <v>422</v>
      </c>
      <c r="C1023" s="10" t="s">
        <v>4003</v>
      </c>
      <c r="D1023" s="10" t="s">
        <v>4004</v>
      </c>
      <c r="E1023" s="10" t="s">
        <v>4005</v>
      </c>
      <c r="F1023" s="10" t="s">
        <v>2525</v>
      </c>
      <c r="G1023" s="10" t="s">
        <v>4006</v>
      </c>
      <c r="H1023" s="10" t="s">
        <v>4007</v>
      </c>
      <c r="I1023" s="10" t="s">
        <v>2129</v>
      </c>
      <c r="J1023" s="10" t="s">
        <v>2011</v>
      </c>
      <c r="K1023" s="10" t="s">
        <v>4008</v>
      </c>
      <c r="L1023" s="11">
        <v>202124101404502</v>
      </c>
      <c r="M1023" s="20">
        <v>44411</v>
      </c>
      <c r="N1023" s="20" t="str">
        <f>UPPER(TEXT(Tabla1[[#This Row],[FECHA RADICADO ENTRADA]],"MMM"))</f>
        <v>AGO</v>
      </c>
      <c r="O1023" s="11"/>
      <c r="Q1023" s="20" t="str">
        <f>IFERROR(UPPER(TEXT(MONTH(Tabla1[[#This Row],[FECHA RADICADO SALIDA]]),"MMM")),"")</f>
        <v>ENE</v>
      </c>
      <c r="R1023" s="26">
        <f t="shared" si="63"/>
        <v>44411</v>
      </c>
      <c r="S1023" s="10" t="s">
        <v>2145</v>
      </c>
      <c r="T1023" s="10" t="s">
        <v>4189</v>
      </c>
      <c r="U1023" s="10" t="s">
        <v>4009</v>
      </c>
      <c r="V1023" s="20">
        <v>43273</v>
      </c>
      <c r="W1023" s="10" t="s">
        <v>63</v>
      </c>
      <c r="X1023" s="10">
        <v>0</v>
      </c>
      <c r="Y1023" s="11">
        <f>IFERROR(INT(Tabla1[[#This Row],[CANTIDAD UND FARMACEUTICAS]]/(VLOOKUP(Tabla1[[#This Row],[MEDICAMENTO]],TAB_REF!$K$3:$L$27,2,0))),"")</f>
        <v>0</v>
      </c>
      <c r="Z1023" s="10" t="str">
        <f>IFERROR(VLOOKUP(Tabla1[[#This Row],[MEDICAMENTO]],TAB_REF!$B$3:$F$27,2,0), "")</f>
        <v xml:space="preserve">Morfina HCl </v>
      </c>
      <c r="AA1023" s="10" t="str">
        <f>IFERROR(VLOOKUP(Tabla1[[#This Row],[MEDICAMENTO]],TAB_REF!$B$3:$F$27,3,0), "")</f>
        <v xml:space="preserve">10 mg/mL </v>
      </c>
      <c r="AB1023" s="10" t="str">
        <f>IFERROR(VLOOKUP(Tabla1[[#This Row],[MEDICAMENTO]],TAB_REF!$B$3:$F$27,4,0), "")</f>
        <v>Solución Inyectable</v>
      </c>
      <c r="AC1023" s="10" t="str">
        <f>IFERROR(VLOOKUP(Tabla1[[#This Row],[MEDICAMENTO]],TAB_REF!$B$3:$F$27,5,0), "")</f>
        <v>Caja x 10 unidades</v>
      </c>
      <c r="AD1023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024" spans="2:30" x14ac:dyDescent="0.25">
      <c r="B1024" s="10">
        <v>423</v>
      </c>
      <c r="C1024" s="10" t="s">
        <v>4003</v>
      </c>
      <c r="D1024" s="10" t="s">
        <v>4004</v>
      </c>
      <c r="E1024" s="10" t="s">
        <v>4005</v>
      </c>
      <c r="F1024" s="10" t="s">
        <v>2525</v>
      </c>
      <c r="G1024" s="10" t="s">
        <v>4006</v>
      </c>
      <c r="H1024" s="10" t="s">
        <v>4007</v>
      </c>
      <c r="I1024" s="10" t="s">
        <v>2129</v>
      </c>
      <c r="J1024" s="10" t="s">
        <v>2011</v>
      </c>
      <c r="K1024" s="10" t="s">
        <v>4008</v>
      </c>
      <c r="L1024" s="11">
        <v>202124101405322</v>
      </c>
      <c r="M1024" s="20">
        <v>44411</v>
      </c>
      <c r="N1024" s="20" t="str">
        <f>UPPER(TEXT(Tabla1[[#This Row],[FECHA RADICADO ENTRADA]],"MMM"))</f>
        <v>AGO</v>
      </c>
      <c r="O1024" s="11">
        <v>202124111225841</v>
      </c>
      <c r="P1024" s="20">
        <v>44412</v>
      </c>
      <c r="Q1024" s="20" t="str">
        <f>IFERROR(UPPER(TEXT(MONTH(Tabla1[[#This Row],[FECHA RADICADO SALIDA]]),"MMM")),"")</f>
        <v>ENE</v>
      </c>
      <c r="R1024" s="26">
        <f t="shared" ref="R1024:R1044" si="64">_xlfn.DAYS(M1024,P1024)</f>
        <v>-1</v>
      </c>
      <c r="S1024" s="10" t="s">
        <v>2154</v>
      </c>
      <c r="U1024" s="10" t="s">
        <v>4009</v>
      </c>
      <c r="V1024" s="20">
        <v>43273</v>
      </c>
      <c r="W1024" s="10" t="s">
        <v>63</v>
      </c>
      <c r="X1024" s="10">
        <v>800</v>
      </c>
      <c r="Y1024" s="11">
        <f>IFERROR(INT(Tabla1[[#This Row],[CANTIDAD UND FARMACEUTICAS]]/(VLOOKUP(Tabla1[[#This Row],[MEDICAMENTO]],TAB_REF!$K$3:$L$27,2,0))),"")</f>
        <v>80</v>
      </c>
      <c r="Z1024" s="10" t="str">
        <f>IFERROR(VLOOKUP(Tabla1[[#This Row],[MEDICAMENTO]],TAB_REF!$B$3:$F$27,2,0), "")</f>
        <v xml:space="preserve">Morfina HCl </v>
      </c>
      <c r="AA1024" s="10" t="str">
        <f>IFERROR(VLOOKUP(Tabla1[[#This Row],[MEDICAMENTO]],TAB_REF!$B$3:$F$27,3,0), "")</f>
        <v xml:space="preserve">10 mg/mL </v>
      </c>
      <c r="AB1024" s="10" t="str">
        <f>IFERROR(VLOOKUP(Tabla1[[#This Row],[MEDICAMENTO]],TAB_REF!$B$3:$F$27,4,0), "")</f>
        <v>Solución Inyectable</v>
      </c>
      <c r="AC1024" s="10" t="str">
        <f>IFERROR(VLOOKUP(Tabla1[[#This Row],[MEDICAMENTO]],TAB_REF!$B$3:$F$27,5,0), "")</f>
        <v>Caja x 10 unidades</v>
      </c>
      <c r="AD1024" s="10" t="str">
        <f>IFERROR(VLOOKUP(Tabla1[[#This Row],[CANTIDAD UND COMERCIALES]],TAB_REF!$H$3:$I$1003,2,0)&amp;" ("&amp;Tabla1[[#This Row],[CANTIDAD UND COMERCIALES]]&amp;")"&amp;"_"&amp;Tabla1[[#This Row],[CANTIDAD]],"")</f>
        <v>Ochenta (80)_Caja x 10 unidades</v>
      </c>
    </row>
    <row r="1025" spans="2:30" x14ac:dyDescent="0.25">
      <c r="B1025" s="10">
        <v>424</v>
      </c>
      <c r="C1025" s="10" t="s">
        <v>3017</v>
      </c>
      <c r="D1025" s="10" t="s">
        <v>3018</v>
      </c>
      <c r="E1025" s="10" t="s">
        <v>4010</v>
      </c>
      <c r="F1025" s="10" t="s">
        <v>2669</v>
      </c>
      <c r="G1025" s="10" t="s">
        <v>2670</v>
      </c>
      <c r="H1025" s="10" t="s">
        <v>4011</v>
      </c>
      <c r="I1025" s="10" t="s">
        <v>2110</v>
      </c>
      <c r="J1025" s="10" t="s">
        <v>1235</v>
      </c>
      <c r="K1025" s="10" t="s">
        <v>4012</v>
      </c>
      <c r="L1025" s="11">
        <v>202124101405952</v>
      </c>
      <c r="M1025" s="20">
        <v>44411</v>
      </c>
      <c r="N1025" s="20" t="str">
        <f>UPPER(TEXT(Tabla1[[#This Row],[FECHA RADICADO ENTRADA]],"MMM"))</f>
        <v>AGO</v>
      </c>
      <c r="O1025" s="11">
        <v>202124111225871</v>
      </c>
      <c r="P1025" s="20">
        <v>44412</v>
      </c>
      <c r="Q1025" s="20" t="str">
        <f>IFERROR(UPPER(TEXT(MONTH(Tabla1[[#This Row],[FECHA RADICADO SALIDA]]),"MMM")),"")</f>
        <v>ENE</v>
      </c>
      <c r="R1025" s="26">
        <f t="shared" si="64"/>
        <v>-1</v>
      </c>
      <c r="S1025" s="10" t="s">
        <v>2154</v>
      </c>
      <c r="U1025" s="10" t="s">
        <v>2673</v>
      </c>
      <c r="V1025" s="20">
        <v>47231</v>
      </c>
      <c r="W1025" s="10" t="s">
        <v>63</v>
      </c>
      <c r="X1025" s="10">
        <v>200</v>
      </c>
      <c r="Y1025" s="11">
        <f>IFERROR(INT(Tabla1[[#This Row],[CANTIDAD UND FARMACEUTICAS]]/(VLOOKUP(Tabla1[[#This Row],[MEDICAMENTO]],TAB_REF!$K$3:$L$27,2,0))),"")</f>
        <v>20</v>
      </c>
      <c r="Z1025" s="10" t="str">
        <f>IFERROR(VLOOKUP(Tabla1[[#This Row],[MEDICAMENTO]],TAB_REF!$B$3:$F$27,2,0), "")</f>
        <v xml:space="preserve">Morfina HCl </v>
      </c>
      <c r="AA1025" s="10" t="str">
        <f>IFERROR(VLOOKUP(Tabla1[[#This Row],[MEDICAMENTO]],TAB_REF!$B$3:$F$27,3,0), "")</f>
        <v xml:space="preserve">10 mg/mL </v>
      </c>
      <c r="AB1025" s="10" t="str">
        <f>IFERROR(VLOOKUP(Tabla1[[#This Row],[MEDICAMENTO]],TAB_REF!$B$3:$F$27,4,0), "")</f>
        <v>Solución Inyectable</v>
      </c>
      <c r="AC1025" s="10" t="str">
        <f>IFERROR(VLOOKUP(Tabla1[[#This Row],[MEDICAMENTO]],TAB_REF!$B$3:$F$27,5,0), "")</f>
        <v>Caja x 10 unidades</v>
      </c>
      <c r="AD1025" s="10" t="str">
        <f>IFERROR(VLOOKUP(Tabla1[[#This Row],[CANTIDAD UND COMERCIALES]],TAB_REF!$H$3:$I$1003,2,0)&amp;" ("&amp;Tabla1[[#This Row],[CANTIDAD UND COMERCIALES]]&amp;")"&amp;"_"&amp;Tabla1[[#This Row],[CANTIDAD]],"")</f>
        <v>Veinte (20)_Caja x 10 unidades</v>
      </c>
    </row>
    <row r="1026" spans="2:30" x14ac:dyDescent="0.25">
      <c r="B1026" s="10">
        <v>425</v>
      </c>
      <c r="C1026" s="10" t="s">
        <v>3700</v>
      </c>
      <c r="D1026" s="10" t="s">
        <v>2182</v>
      </c>
      <c r="E1026" s="10" t="s">
        <v>3701</v>
      </c>
      <c r="F1026" s="10" t="s">
        <v>3702</v>
      </c>
      <c r="G1026" s="10" t="s">
        <v>3703</v>
      </c>
      <c r="H1026" s="10" t="s">
        <v>3704</v>
      </c>
      <c r="I1026" s="10" t="s">
        <v>2109</v>
      </c>
      <c r="J1026" s="10" t="s">
        <v>1080</v>
      </c>
      <c r="K1026" s="10" t="s">
        <v>4013</v>
      </c>
      <c r="L1026" s="11">
        <v>202124101407902</v>
      </c>
      <c r="M1026" s="20">
        <v>44411</v>
      </c>
      <c r="N1026" s="20" t="str">
        <f>UPPER(TEXT(Tabla1[[#This Row],[FECHA RADICADO ENTRADA]],"MMM"))</f>
        <v>AGO</v>
      </c>
      <c r="O1026" s="11">
        <v>202124111237961</v>
      </c>
      <c r="P1026" s="20">
        <v>44414</v>
      </c>
      <c r="Q1026" s="20" t="str">
        <f>IFERROR(UPPER(TEXT(MONTH(Tabla1[[#This Row],[FECHA RADICADO SALIDA]]),"MMM")),"")</f>
        <v>ENE</v>
      </c>
      <c r="R1026" s="26">
        <f t="shared" si="64"/>
        <v>-3</v>
      </c>
      <c r="S1026" s="10" t="s">
        <v>2154</v>
      </c>
      <c r="U1026" s="10" t="s">
        <v>3705</v>
      </c>
      <c r="V1026" s="20">
        <v>43530</v>
      </c>
      <c r="W1026" s="10" t="s">
        <v>49</v>
      </c>
      <c r="X1026" s="10">
        <v>1200</v>
      </c>
      <c r="Y1026" s="11">
        <f>IFERROR(INT(Tabla1[[#This Row],[CANTIDAD UND FARMACEUTICAS]]/(VLOOKUP(Tabla1[[#This Row],[MEDICAMENTO]],TAB_REF!$K$3:$L$27,2,0))),"")</f>
        <v>40</v>
      </c>
      <c r="Z1026" s="10" t="str">
        <f>IFERROR(VLOOKUP(Tabla1[[#This Row],[MEDICAMENTO]],TAB_REF!$B$3:$F$27,2,0), "")</f>
        <v xml:space="preserve">Metilfenidato HCl </v>
      </c>
      <c r="AA1026" s="10" t="str">
        <f>IFERROR(VLOOKUP(Tabla1[[#This Row],[MEDICAMENTO]],TAB_REF!$B$3:$F$27,3,0), "")</f>
        <v xml:space="preserve">18 mg </v>
      </c>
      <c r="AB1026" s="10" t="str">
        <f>IFERROR(VLOOKUP(Tabla1[[#This Row],[MEDICAMENTO]],TAB_REF!$B$3:$F$27,4,0), "")</f>
        <v>Tabletas de Liberación Prolongada</v>
      </c>
      <c r="AC1026" s="10" t="str">
        <f>IFERROR(VLOOKUP(Tabla1[[#This Row],[MEDICAMENTO]],TAB_REF!$B$3:$F$27,5,0), "")</f>
        <v>Frasco x 30 unidades</v>
      </c>
      <c r="AD1026" s="10" t="str">
        <f>IFERROR(VLOOKUP(Tabla1[[#This Row],[CANTIDAD UND COMERCIALES]],TAB_REF!$H$3:$I$1003,2,0)&amp;" ("&amp;Tabla1[[#This Row],[CANTIDAD UND COMERCIALES]]&amp;")"&amp;"_"&amp;Tabla1[[#This Row],[CANTIDAD]],"")</f>
        <v>Cuarenta (40)_Frasco x 30 unidades</v>
      </c>
    </row>
    <row r="1027" spans="2:30" x14ac:dyDescent="0.25">
      <c r="B1027" s="10">
        <v>426</v>
      </c>
      <c r="C1027" s="10" t="s">
        <v>4014</v>
      </c>
      <c r="D1027" s="10" t="s">
        <v>4015</v>
      </c>
      <c r="E1027" s="10" t="s">
        <v>4016</v>
      </c>
      <c r="F1027" s="10" t="s">
        <v>4017</v>
      </c>
      <c r="G1027" s="10" t="s">
        <v>4018</v>
      </c>
      <c r="H1027" s="10" t="s">
        <v>4019</v>
      </c>
      <c r="I1027" s="10" t="s">
        <v>2128</v>
      </c>
      <c r="J1027" s="10" t="s">
        <v>1918</v>
      </c>
      <c r="K1027" s="10" t="s">
        <v>4020</v>
      </c>
      <c r="L1027" s="11">
        <v>202124101414122</v>
      </c>
      <c r="M1027" s="20">
        <v>44412</v>
      </c>
      <c r="N1027" s="20" t="str">
        <f>UPPER(TEXT(Tabla1[[#This Row],[FECHA RADICADO ENTRADA]],"MMM"))</f>
        <v>AGO</v>
      </c>
      <c r="O1027" s="11">
        <v>202124111270151</v>
      </c>
      <c r="P1027" s="20">
        <v>44419</v>
      </c>
      <c r="Q1027" s="20" t="str">
        <f>IFERROR(UPPER(TEXT(MONTH(Tabla1[[#This Row],[FECHA RADICADO SALIDA]]),"MMM")),"")</f>
        <v>ENE</v>
      </c>
      <c r="R1027" s="26">
        <f t="shared" si="64"/>
        <v>-7</v>
      </c>
      <c r="S1027" s="10" t="s">
        <v>2145</v>
      </c>
      <c r="T1027" s="10" t="s">
        <v>4058</v>
      </c>
      <c r="V1027" s="20"/>
      <c r="W1027" s="10" t="s">
        <v>45</v>
      </c>
      <c r="X1027" s="10">
        <v>0</v>
      </c>
      <c r="Y1027" s="11">
        <f>IFERROR(INT(Tabla1[[#This Row],[CANTIDAD UND FARMACEUTICAS]]/(VLOOKUP(Tabla1[[#This Row],[MEDICAMENTO]],TAB_REF!$K$3:$L$27,2,0))),"")</f>
        <v>0</v>
      </c>
      <c r="Z1027" s="10" t="str">
        <f>IFERROR(VLOOKUP(Tabla1[[#This Row],[MEDICAMENTO]],TAB_REF!$B$3:$F$27,2,0), "")</f>
        <v xml:space="preserve">Metadona HCl </v>
      </c>
      <c r="AA1027" s="10" t="str">
        <f>IFERROR(VLOOKUP(Tabla1[[#This Row],[MEDICAMENTO]],TAB_REF!$B$3:$F$27,3,0), "")</f>
        <v xml:space="preserve">10 mg </v>
      </c>
      <c r="AB1027" s="10" t="str">
        <f>IFERROR(VLOOKUP(Tabla1[[#This Row],[MEDICAMENTO]],TAB_REF!$B$3:$F$27,4,0), "")</f>
        <v>Tabletas NACIONAL</v>
      </c>
      <c r="AC1027" s="10" t="str">
        <f>IFERROR(VLOOKUP(Tabla1[[#This Row],[MEDICAMENTO]],TAB_REF!$B$3:$F$27,5,0), "")</f>
        <v>Caja x 30 unidades</v>
      </c>
      <c r="AD1027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028" spans="2:30" x14ac:dyDescent="0.25">
      <c r="B1028" s="10">
        <v>426</v>
      </c>
      <c r="C1028" s="10" t="s">
        <v>4014</v>
      </c>
      <c r="D1028" s="10" t="s">
        <v>4015</v>
      </c>
      <c r="E1028" s="10" t="s">
        <v>4016</v>
      </c>
      <c r="F1028" s="10" t="s">
        <v>4017</v>
      </c>
      <c r="G1028" s="10" t="s">
        <v>4018</v>
      </c>
      <c r="H1028" s="10" t="s">
        <v>4019</v>
      </c>
      <c r="I1028" s="10" t="s">
        <v>2128</v>
      </c>
      <c r="J1028" s="10" t="s">
        <v>1918</v>
      </c>
      <c r="K1028" s="10" t="s">
        <v>4020</v>
      </c>
      <c r="L1028" s="11">
        <v>202124101414122</v>
      </c>
      <c r="M1028" s="20">
        <v>44412</v>
      </c>
      <c r="N1028" s="20" t="str">
        <f>UPPER(TEXT(Tabla1[[#This Row],[FECHA RADICADO ENTRADA]],"MMM"))</f>
        <v>AGO</v>
      </c>
      <c r="O1028" s="11">
        <v>202124111270151</v>
      </c>
      <c r="P1028" s="20">
        <v>44419</v>
      </c>
      <c r="Q1028" s="20" t="str">
        <f>IFERROR(UPPER(TEXT(MONTH(Tabla1[[#This Row],[FECHA RADICADO SALIDA]]),"MMM")),"")</f>
        <v>ENE</v>
      </c>
      <c r="R1028" s="26">
        <f t="shared" si="64"/>
        <v>-7</v>
      </c>
      <c r="S1028" s="10" t="s">
        <v>2145</v>
      </c>
      <c r="T1028" s="10" t="s">
        <v>4058</v>
      </c>
      <c r="V1028" s="20"/>
      <c r="W1028" s="10" t="s">
        <v>63</v>
      </c>
      <c r="X1028" s="10">
        <v>0</v>
      </c>
      <c r="Y1028" s="11">
        <f>IFERROR(INT(Tabla1[[#This Row],[CANTIDAD UND FARMACEUTICAS]]/(VLOOKUP(Tabla1[[#This Row],[MEDICAMENTO]],TAB_REF!$K$3:$L$27,2,0))),"")</f>
        <v>0</v>
      </c>
      <c r="Z1028" s="10" t="str">
        <f>IFERROR(VLOOKUP(Tabla1[[#This Row],[MEDICAMENTO]],TAB_REF!$B$3:$F$27,2,0), "")</f>
        <v xml:space="preserve">Morfina HCl </v>
      </c>
      <c r="AA1028" s="10" t="str">
        <f>IFERROR(VLOOKUP(Tabla1[[#This Row],[MEDICAMENTO]],TAB_REF!$B$3:$F$27,3,0), "")</f>
        <v xml:space="preserve">10 mg/mL </v>
      </c>
      <c r="AB1028" s="10" t="str">
        <f>IFERROR(VLOOKUP(Tabla1[[#This Row],[MEDICAMENTO]],TAB_REF!$B$3:$F$27,4,0), "")</f>
        <v>Solución Inyectable</v>
      </c>
      <c r="AC1028" s="10" t="str">
        <f>IFERROR(VLOOKUP(Tabla1[[#This Row],[MEDICAMENTO]],TAB_REF!$B$3:$F$27,5,0), "")</f>
        <v>Caja x 10 unidades</v>
      </c>
      <c r="AD1028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029" spans="2:30" x14ac:dyDescent="0.25">
      <c r="B1029" s="10">
        <v>427</v>
      </c>
      <c r="C1029" s="10" t="s">
        <v>4021</v>
      </c>
      <c r="D1029" s="10" t="s">
        <v>4015</v>
      </c>
      <c r="E1029" s="10" t="s">
        <v>4022</v>
      </c>
      <c r="G1029" s="10" t="s">
        <v>4023</v>
      </c>
      <c r="H1029" s="10" t="s">
        <v>4024</v>
      </c>
      <c r="I1029" s="10" t="s">
        <v>2107</v>
      </c>
      <c r="J1029" s="10" t="s">
        <v>1212</v>
      </c>
      <c r="K1029" s="10" t="s">
        <v>4025</v>
      </c>
      <c r="L1029" s="11">
        <v>202124101426412</v>
      </c>
      <c r="M1029" s="20">
        <v>44413</v>
      </c>
      <c r="N1029" s="20" t="str">
        <f>UPPER(TEXT(Tabla1[[#This Row],[FECHA RADICADO ENTRADA]],"MMM"))</f>
        <v>AGO</v>
      </c>
      <c r="O1029" s="11">
        <v>202124111265811</v>
      </c>
      <c r="P1029" s="20">
        <v>44419</v>
      </c>
      <c r="Q1029" s="20" t="str">
        <f>IFERROR(UPPER(TEXT(MONTH(Tabla1[[#This Row],[FECHA RADICADO SALIDA]]),"MMM")),"")</f>
        <v>ENE</v>
      </c>
      <c r="R1029" s="26">
        <f t="shared" si="64"/>
        <v>-6</v>
      </c>
      <c r="S1029" s="10" t="s">
        <v>2145</v>
      </c>
      <c r="T1029" s="10" t="s">
        <v>4058</v>
      </c>
      <c r="V1029" s="20"/>
      <c r="W1029" s="10" t="s">
        <v>63</v>
      </c>
      <c r="X1029" s="10">
        <v>0</v>
      </c>
      <c r="Y1029" s="11">
        <f>IFERROR(INT(Tabla1[[#This Row],[CANTIDAD UND FARMACEUTICAS]]/(VLOOKUP(Tabla1[[#This Row],[MEDICAMENTO]],TAB_REF!$K$3:$L$27,2,0))),"")</f>
        <v>0</v>
      </c>
      <c r="Z1029" s="10" t="str">
        <f>IFERROR(VLOOKUP(Tabla1[[#This Row],[MEDICAMENTO]],TAB_REF!$B$3:$F$27,2,0), "")</f>
        <v xml:space="preserve">Morfina HCl </v>
      </c>
      <c r="AA1029" s="10" t="str">
        <f>IFERROR(VLOOKUP(Tabla1[[#This Row],[MEDICAMENTO]],TAB_REF!$B$3:$F$27,3,0), "")</f>
        <v xml:space="preserve">10 mg/mL </v>
      </c>
      <c r="AB1029" s="10" t="str">
        <f>IFERROR(VLOOKUP(Tabla1[[#This Row],[MEDICAMENTO]],TAB_REF!$B$3:$F$27,4,0), "")</f>
        <v>Solución Inyectable</v>
      </c>
      <c r="AC1029" s="10" t="str">
        <f>IFERROR(VLOOKUP(Tabla1[[#This Row],[MEDICAMENTO]],TAB_REF!$B$3:$F$27,5,0), "")</f>
        <v>Caja x 10 unidades</v>
      </c>
      <c r="AD1029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030" spans="2:30" x14ac:dyDescent="0.25">
      <c r="B1030" s="10">
        <v>427</v>
      </c>
      <c r="C1030" s="10" t="s">
        <v>4021</v>
      </c>
      <c r="D1030" s="10" t="s">
        <v>4015</v>
      </c>
      <c r="E1030" s="10" t="s">
        <v>4022</v>
      </c>
      <c r="G1030" s="10" t="s">
        <v>4023</v>
      </c>
      <c r="H1030" s="10" t="s">
        <v>4024</v>
      </c>
      <c r="I1030" s="10" t="s">
        <v>2107</v>
      </c>
      <c r="J1030" s="10" t="s">
        <v>1212</v>
      </c>
      <c r="K1030" s="10" t="s">
        <v>4025</v>
      </c>
      <c r="L1030" s="11">
        <v>202124101426412</v>
      </c>
      <c r="M1030" s="20">
        <v>44413</v>
      </c>
      <c r="N1030" s="20" t="str">
        <f>UPPER(TEXT(Tabla1[[#This Row],[FECHA RADICADO ENTRADA]],"MMM"))</f>
        <v>AGO</v>
      </c>
      <c r="O1030" s="11">
        <v>202124111265811</v>
      </c>
      <c r="P1030" s="20">
        <v>44419</v>
      </c>
      <c r="Q1030" s="20" t="str">
        <f>IFERROR(UPPER(TEXT(MONTH(Tabla1[[#This Row],[FECHA RADICADO SALIDA]]),"MMM")),"")</f>
        <v>ENE</v>
      </c>
      <c r="R1030" s="26">
        <f t="shared" si="64"/>
        <v>-6</v>
      </c>
      <c r="S1030" s="10" t="s">
        <v>2145</v>
      </c>
      <c r="T1030" s="10" t="s">
        <v>4058</v>
      </c>
      <c r="V1030" s="20"/>
      <c r="W1030" s="10" t="s">
        <v>37</v>
      </c>
      <c r="X1030" s="10">
        <v>0</v>
      </c>
      <c r="Y1030" s="11">
        <f>IFERROR(INT(Tabla1[[#This Row],[CANTIDAD UND FARMACEUTICAS]]/(VLOOKUP(Tabla1[[#This Row],[MEDICAMENTO]],TAB_REF!$K$3:$L$27,2,0))),"")</f>
        <v>0</v>
      </c>
      <c r="Z1030" s="10" t="str">
        <f>IFERROR(VLOOKUP(Tabla1[[#This Row],[MEDICAMENTO]],TAB_REF!$B$3:$F$27,2,0), "")</f>
        <v xml:space="preserve">Hidromorfona HCl </v>
      </c>
      <c r="AA1030" s="10" t="str">
        <f>IFERROR(VLOOKUP(Tabla1[[#This Row],[MEDICAMENTO]],TAB_REF!$B$3:$F$27,3,0), "")</f>
        <v xml:space="preserve">2 mg/mL </v>
      </c>
      <c r="AB1030" s="10" t="str">
        <f>IFERROR(VLOOKUP(Tabla1[[#This Row],[MEDICAMENTO]],TAB_REF!$B$3:$F$27,4,0), "")</f>
        <v>Solución Inyectable</v>
      </c>
      <c r="AC1030" s="10" t="str">
        <f>IFERROR(VLOOKUP(Tabla1[[#This Row],[MEDICAMENTO]],TAB_REF!$B$3:$F$27,5,0), "")</f>
        <v>Caja x 10 unidades</v>
      </c>
      <c r="AD1030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031" spans="2:30" x14ac:dyDescent="0.25">
      <c r="B1031" s="10">
        <v>429</v>
      </c>
      <c r="C1031" s="10" t="s">
        <v>2217</v>
      </c>
      <c r="D1031" s="10" t="s">
        <v>2162</v>
      </c>
      <c r="E1031" s="10" t="s">
        <v>4026</v>
      </c>
      <c r="F1031" s="10" t="s">
        <v>4027</v>
      </c>
      <c r="G1031" s="10" t="s">
        <v>2219</v>
      </c>
      <c r="H1031" s="10" t="s">
        <v>4028</v>
      </c>
      <c r="I1031" s="10" t="s">
        <v>2122</v>
      </c>
      <c r="J1031" s="10" t="s">
        <v>1748</v>
      </c>
      <c r="K1031" s="10" t="s">
        <v>4029</v>
      </c>
      <c r="L1031" s="11">
        <v>202124101434842</v>
      </c>
      <c r="M1031" s="20">
        <v>44414</v>
      </c>
      <c r="N1031" s="20" t="str">
        <f>UPPER(TEXT(Tabla1[[#This Row],[FECHA RADICADO ENTRADA]],"MMM"))</f>
        <v>AGO</v>
      </c>
      <c r="O1031" s="11">
        <v>202124111266371</v>
      </c>
      <c r="P1031" s="20">
        <v>44419</v>
      </c>
      <c r="Q1031" s="20" t="str">
        <f>IFERROR(UPPER(TEXT(MONTH(Tabla1[[#This Row],[FECHA RADICADO SALIDA]]),"MMM")),"")</f>
        <v>ENE</v>
      </c>
      <c r="R1031" s="26">
        <f t="shared" si="64"/>
        <v>-5</v>
      </c>
      <c r="S1031" s="10" t="s">
        <v>2145</v>
      </c>
      <c r="T1031" s="10" t="s">
        <v>4177</v>
      </c>
      <c r="U1031" s="10" t="s">
        <v>2274</v>
      </c>
      <c r="V1031" s="20">
        <v>43751</v>
      </c>
      <c r="W1031" s="10" t="s">
        <v>44</v>
      </c>
      <c r="X1031" s="10">
        <v>0</v>
      </c>
      <c r="Y1031" s="11">
        <f>IFERROR(INT(Tabla1[[#This Row],[CANTIDAD UND FARMACEUTICAS]]/(VLOOKUP(Tabla1[[#This Row],[MEDICAMENTO]],TAB_REF!$K$3:$L$27,2,0))),"")</f>
        <v>0</v>
      </c>
      <c r="Z1031" s="10" t="str">
        <f>IFERROR(VLOOKUP(Tabla1[[#This Row],[MEDICAMENTO]],TAB_REF!$B$3:$F$27,2,0), "")</f>
        <v xml:space="preserve">Metadona HCl </v>
      </c>
      <c r="AA1031" s="10" t="str">
        <f>IFERROR(VLOOKUP(Tabla1[[#This Row],[MEDICAMENTO]],TAB_REF!$B$3:$F$27,3,0), "")</f>
        <v xml:space="preserve">10 mg </v>
      </c>
      <c r="AB1031" s="10" t="str">
        <f>IFERROR(VLOOKUP(Tabla1[[#This Row],[MEDICAMENTO]],TAB_REF!$B$3:$F$27,4,0), "")</f>
        <v>Tabletas IMPORTADA</v>
      </c>
      <c r="AC1031" s="10" t="str">
        <f>IFERROR(VLOOKUP(Tabla1[[#This Row],[MEDICAMENTO]],TAB_REF!$B$3:$F$27,5,0), "")</f>
        <v>Frasco x 20 unidades</v>
      </c>
      <c r="AD1031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032" spans="2:30" x14ac:dyDescent="0.25">
      <c r="B1032" s="10">
        <v>430</v>
      </c>
      <c r="C1032" s="10" t="s">
        <v>3543</v>
      </c>
      <c r="D1032" s="10" t="s">
        <v>2312</v>
      </c>
      <c r="E1032" s="10" t="s">
        <v>4030</v>
      </c>
      <c r="F1032" s="10" t="s">
        <v>3741</v>
      </c>
      <c r="G1032" s="10" t="s">
        <v>3544</v>
      </c>
      <c r="H1032" s="10" t="s">
        <v>4031</v>
      </c>
      <c r="I1032" s="10" t="s">
        <v>2128</v>
      </c>
      <c r="J1032" s="10" t="s">
        <v>1968</v>
      </c>
      <c r="K1032" s="10" t="s">
        <v>4032</v>
      </c>
      <c r="L1032" s="11">
        <v>202124101435332</v>
      </c>
      <c r="M1032" s="20">
        <v>44414</v>
      </c>
      <c r="N1032" s="20" t="str">
        <f>UPPER(TEXT(Tabla1[[#This Row],[FECHA RADICADO ENTRADA]],"MMM"))</f>
        <v>AGO</v>
      </c>
      <c r="O1032" s="11">
        <v>202124111261751</v>
      </c>
      <c r="P1032" s="20">
        <v>44418</v>
      </c>
      <c r="Q1032" s="20" t="str">
        <f>IFERROR(UPPER(TEXT(MONTH(Tabla1[[#This Row],[FECHA RADICADO SALIDA]]),"MMM")),"")</f>
        <v>ENE</v>
      </c>
      <c r="R1032" s="26">
        <f t="shared" si="64"/>
        <v>-4</v>
      </c>
      <c r="S1032" s="10" t="s">
        <v>2154</v>
      </c>
      <c r="U1032" s="10" t="s">
        <v>3954</v>
      </c>
      <c r="V1032" s="20">
        <v>44348</v>
      </c>
      <c r="W1032" s="10" t="s">
        <v>45</v>
      </c>
      <c r="X1032" s="10">
        <v>3000</v>
      </c>
      <c r="Y1032" s="11">
        <f>IFERROR(INT(Tabla1[[#This Row],[CANTIDAD UND FARMACEUTICAS]]/(VLOOKUP(Tabla1[[#This Row],[MEDICAMENTO]],TAB_REF!$K$3:$L$27,2,0))),"")</f>
        <v>100</v>
      </c>
      <c r="Z1032" s="10" t="str">
        <f>IFERROR(VLOOKUP(Tabla1[[#This Row],[MEDICAMENTO]],TAB_REF!$B$3:$F$27,2,0), "")</f>
        <v xml:space="preserve">Metadona HCl </v>
      </c>
      <c r="AA1032" s="10" t="str">
        <f>IFERROR(VLOOKUP(Tabla1[[#This Row],[MEDICAMENTO]],TAB_REF!$B$3:$F$27,3,0), "")</f>
        <v xml:space="preserve">10 mg </v>
      </c>
      <c r="AB1032" s="10" t="str">
        <f>IFERROR(VLOOKUP(Tabla1[[#This Row],[MEDICAMENTO]],TAB_REF!$B$3:$F$27,4,0), "")</f>
        <v>Tabletas NACIONAL</v>
      </c>
      <c r="AC1032" s="10" t="str">
        <f>IFERROR(VLOOKUP(Tabla1[[#This Row],[MEDICAMENTO]],TAB_REF!$B$3:$F$27,5,0), "")</f>
        <v>Caja x 30 unidades</v>
      </c>
      <c r="AD1032" s="10" t="str">
        <f>IFERROR(VLOOKUP(Tabla1[[#This Row],[CANTIDAD UND COMERCIALES]],TAB_REF!$H$3:$I$1003,2,0)&amp;" ("&amp;Tabla1[[#This Row],[CANTIDAD UND COMERCIALES]]&amp;")"&amp;"_"&amp;Tabla1[[#This Row],[CANTIDAD]],"")</f>
        <v>Cien (100)_Caja x 30 unidades</v>
      </c>
    </row>
    <row r="1033" spans="2:30" x14ac:dyDescent="0.25">
      <c r="B1033" s="10">
        <v>428</v>
      </c>
      <c r="C1033" s="10" t="s">
        <v>3972</v>
      </c>
      <c r="D1033" s="10" t="s">
        <v>2162</v>
      </c>
      <c r="E1033" s="10" t="s">
        <v>3707</v>
      </c>
      <c r="F1033" s="10" t="s">
        <v>3678</v>
      </c>
      <c r="G1033" s="10" t="s">
        <v>4033</v>
      </c>
      <c r="H1033" s="10" t="s">
        <v>4002</v>
      </c>
      <c r="I1033" s="10" t="s">
        <v>2123</v>
      </c>
      <c r="J1033" s="10" t="s">
        <v>1770</v>
      </c>
      <c r="K1033" s="10" t="s">
        <v>4034</v>
      </c>
      <c r="L1033" s="11">
        <v>202124101429992</v>
      </c>
      <c r="M1033" s="20">
        <v>44413</v>
      </c>
      <c r="N1033" s="20" t="str">
        <f>UPPER(TEXT(Tabla1[[#This Row],[FECHA RADICADO ENTRADA]],"MMM"))</f>
        <v>AGO</v>
      </c>
      <c r="O1033" s="11">
        <v>202124111272801</v>
      </c>
      <c r="P1033" s="20">
        <v>44420</v>
      </c>
      <c r="Q1033" s="20" t="str">
        <f>IFERROR(UPPER(TEXT(MONTH(Tabla1[[#This Row],[FECHA RADICADO SALIDA]]),"MMM")),"")</f>
        <v>ENE</v>
      </c>
      <c r="R1033" s="26">
        <f t="shared" si="64"/>
        <v>-7</v>
      </c>
      <c r="S1033" s="10" t="s">
        <v>2145</v>
      </c>
      <c r="T1033" s="10" t="s">
        <v>3336</v>
      </c>
      <c r="U1033" s="10" t="s">
        <v>3121</v>
      </c>
      <c r="V1033" s="20">
        <v>44281</v>
      </c>
      <c r="W1033" s="10" t="s">
        <v>60</v>
      </c>
      <c r="X1033" s="10">
        <v>0</v>
      </c>
      <c r="Y1033" s="11">
        <f>IFERROR(INT(Tabla1[[#This Row],[CANTIDAD UND FARMACEUTICAS]]/(VLOOKUP(Tabla1[[#This Row],[MEDICAMENTO]],TAB_REF!$K$3:$L$27,2,0))),"")</f>
        <v>0</v>
      </c>
      <c r="Z1033" s="10" t="str">
        <f>IFERROR(VLOOKUP(Tabla1[[#This Row],[MEDICAMENTO]],TAB_REF!$B$3:$F$27,2,0), "")</f>
        <v xml:space="preserve">Morfina HCl </v>
      </c>
      <c r="AA1033" s="10" t="str">
        <f>IFERROR(VLOOKUP(Tabla1[[#This Row],[MEDICAMENTO]],TAB_REF!$B$3:$F$27,3,0), "")</f>
        <v xml:space="preserve">3%. </v>
      </c>
      <c r="AB1033" s="10" t="str">
        <f>IFERROR(VLOOKUP(Tabla1[[#This Row],[MEDICAMENTO]],TAB_REF!$B$3:$F$27,4,0), "")</f>
        <v>Solución Oral</v>
      </c>
      <c r="AC1033" s="10" t="str">
        <f>IFERROR(VLOOKUP(Tabla1[[#This Row],[MEDICAMENTO]],TAB_REF!$B$3:$F$27,5,0), "")</f>
        <v>Frasco x 30 mL</v>
      </c>
      <c r="AD1033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034" spans="2:30" x14ac:dyDescent="0.25">
      <c r="B1034" s="10">
        <v>428</v>
      </c>
      <c r="C1034" s="10" t="s">
        <v>3972</v>
      </c>
      <c r="D1034" s="10" t="s">
        <v>2162</v>
      </c>
      <c r="E1034" s="10" t="s">
        <v>3707</v>
      </c>
      <c r="F1034" s="10" t="s">
        <v>3678</v>
      </c>
      <c r="G1034" s="10" t="s">
        <v>4033</v>
      </c>
      <c r="H1034" s="10" t="s">
        <v>4002</v>
      </c>
      <c r="I1034" s="10" t="s">
        <v>2123</v>
      </c>
      <c r="J1034" s="10" t="s">
        <v>1770</v>
      </c>
      <c r="K1034" s="10" t="s">
        <v>4034</v>
      </c>
      <c r="L1034" s="11">
        <v>202124101429992</v>
      </c>
      <c r="M1034" s="20">
        <v>44413</v>
      </c>
      <c r="N1034" s="20" t="str">
        <f>UPPER(TEXT(Tabla1[[#This Row],[FECHA RADICADO ENTRADA]],"MMM"))</f>
        <v>AGO</v>
      </c>
      <c r="O1034" s="11">
        <v>202124111272801</v>
      </c>
      <c r="P1034" s="20">
        <v>44420</v>
      </c>
      <c r="Q1034" s="20" t="str">
        <f>IFERROR(UPPER(TEXT(MONTH(Tabla1[[#This Row],[FECHA RADICADO SALIDA]]),"MMM")),"")</f>
        <v>ENE</v>
      </c>
      <c r="R1034" s="26">
        <f t="shared" si="64"/>
        <v>-7</v>
      </c>
      <c r="S1034" s="10" t="s">
        <v>2154</v>
      </c>
      <c r="U1034" s="10" t="s">
        <v>3121</v>
      </c>
      <c r="V1034" s="20">
        <v>44281</v>
      </c>
      <c r="W1034" s="10" t="s">
        <v>45</v>
      </c>
      <c r="X1034" s="10">
        <v>600</v>
      </c>
      <c r="Y1034" s="11">
        <f>IFERROR(INT(Tabla1[[#This Row],[CANTIDAD UND FARMACEUTICAS]]/(VLOOKUP(Tabla1[[#This Row],[MEDICAMENTO]],TAB_REF!$K$3:$L$27,2,0))),"")</f>
        <v>20</v>
      </c>
      <c r="Z1034" s="10" t="str">
        <f>IFERROR(VLOOKUP(Tabla1[[#This Row],[MEDICAMENTO]],TAB_REF!$B$3:$F$27,2,0), "")</f>
        <v xml:space="preserve">Metadona HCl </v>
      </c>
      <c r="AA1034" s="10" t="str">
        <f>IFERROR(VLOOKUP(Tabla1[[#This Row],[MEDICAMENTO]],TAB_REF!$B$3:$F$27,3,0), "")</f>
        <v xml:space="preserve">10 mg </v>
      </c>
      <c r="AB1034" s="10" t="str">
        <f>IFERROR(VLOOKUP(Tabla1[[#This Row],[MEDICAMENTO]],TAB_REF!$B$3:$F$27,4,0), "")</f>
        <v>Tabletas NACIONAL</v>
      </c>
      <c r="AC1034" s="10" t="str">
        <f>IFERROR(VLOOKUP(Tabla1[[#This Row],[MEDICAMENTO]],TAB_REF!$B$3:$F$27,5,0), "")</f>
        <v>Caja x 30 unidades</v>
      </c>
      <c r="AD1034" s="10" t="str">
        <f>IFERROR(VLOOKUP(Tabla1[[#This Row],[CANTIDAD UND COMERCIALES]],TAB_REF!$H$3:$I$1003,2,0)&amp;" ("&amp;Tabla1[[#This Row],[CANTIDAD UND COMERCIALES]]&amp;")"&amp;"_"&amp;Tabla1[[#This Row],[CANTIDAD]],"")</f>
        <v>Veinte (20)_Caja x 30 unidades</v>
      </c>
    </row>
    <row r="1035" spans="2:30" x14ac:dyDescent="0.25">
      <c r="B1035" s="10">
        <v>428</v>
      </c>
      <c r="C1035" s="10" t="s">
        <v>3972</v>
      </c>
      <c r="D1035" s="10" t="s">
        <v>2162</v>
      </c>
      <c r="E1035" s="10" t="s">
        <v>3707</v>
      </c>
      <c r="F1035" s="10" t="s">
        <v>3678</v>
      </c>
      <c r="G1035" s="10" t="s">
        <v>4033</v>
      </c>
      <c r="H1035" s="10" t="s">
        <v>4002</v>
      </c>
      <c r="I1035" s="10" t="s">
        <v>2123</v>
      </c>
      <c r="J1035" s="10" t="s">
        <v>1770</v>
      </c>
      <c r="K1035" s="10" t="s">
        <v>4034</v>
      </c>
      <c r="L1035" s="11">
        <v>202124101429992</v>
      </c>
      <c r="M1035" s="20">
        <v>44413</v>
      </c>
      <c r="N1035" s="20" t="str">
        <f>UPPER(TEXT(Tabla1[[#This Row],[FECHA RADICADO ENTRADA]],"MMM"))</f>
        <v>AGO</v>
      </c>
      <c r="O1035" s="11">
        <v>202124111272801</v>
      </c>
      <c r="P1035" s="20">
        <v>44420</v>
      </c>
      <c r="Q1035" s="20" t="str">
        <f>IFERROR(UPPER(TEXT(MONTH(Tabla1[[#This Row],[FECHA RADICADO SALIDA]]),"MMM")),"")</f>
        <v>ENE</v>
      </c>
      <c r="R1035" s="26">
        <f t="shared" si="64"/>
        <v>-7</v>
      </c>
      <c r="S1035" s="10" t="s">
        <v>2154</v>
      </c>
      <c r="U1035" s="10" t="s">
        <v>3121</v>
      </c>
      <c r="V1035" s="20">
        <v>44281</v>
      </c>
      <c r="W1035" s="10" t="s">
        <v>38</v>
      </c>
      <c r="X1035" s="10">
        <v>540</v>
      </c>
      <c r="Y1035" s="11">
        <f>IFERROR(INT(Tabla1[[#This Row],[CANTIDAD UND FARMACEUTICAS]]/(VLOOKUP(Tabla1[[#This Row],[MEDICAMENTO]],TAB_REF!$K$3:$L$27,2,0))),"")</f>
        <v>27</v>
      </c>
      <c r="Z1035" s="10" t="str">
        <f>IFERROR(VLOOKUP(Tabla1[[#This Row],[MEDICAMENTO]],TAB_REF!$B$3:$F$27,2,0), "")</f>
        <v xml:space="preserve">Hidromorfona HCl </v>
      </c>
      <c r="AA1035" s="10" t="str">
        <f>IFERROR(VLOOKUP(Tabla1[[#This Row],[MEDICAMENTO]],TAB_REF!$B$3:$F$27,3,0), "")</f>
        <v xml:space="preserve">2,5 mg </v>
      </c>
      <c r="AB1035" s="10" t="str">
        <f>IFERROR(VLOOKUP(Tabla1[[#This Row],[MEDICAMENTO]],TAB_REF!$B$3:$F$27,4,0), "")</f>
        <v>Tabletas</v>
      </c>
      <c r="AC1035" s="10" t="str">
        <f>IFERROR(VLOOKUP(Tabla1[[#This Row],[MEDICAMENTO]],TAB_REF!$B$3:$F$27,5,0), "")</f>
        <v>Caja x 20 unidades</v>
      </c>
      <c r="AD1035" s="10" t="str">
        <f>IFERROR(VLOOKUP(Tabla1[[#This Row],[CANTIDAD UND COMERCIALES]],TAB_REF!$H$3:$I$1003,2,0)&amp;" ("&amp;Tabla1[[#This Row],[CANTIDAD UND COMERCIALES]]&amp;")"&amp;"_"&amp;Tabla1[[#This Row],[CANTIDAD]],"")</f>
        <v>Veintisiete (27)_Caja x 20 unidades</v>
      </c>
    </row>
    <row r="1036" spans="2:30" x14ac:dyDescent="0.25">
      <c r="B1036" s="10">
        <v>431</v>
      </c>
      <c r="C1036" s="10" t="s">
        <v>3133</v>
      </c>
      <c r="D1036" s="10" t="s">
        <v>3134</v>
      </c>
      <c r="E1036" s="10" t="s">
        <v>3967</v>
      </c>
      <c r="F1036" s="10" t="s">
        <v>3780</v>
      </c>
      <c r="G1036" s="10" t="s">
        <v>3968</v>
      </c>
      <c r="H1036" s="10" t="s">
        <v>3781</v>
      </c>
      <c r="I1036" s="10" t="s">
        <v>2129</v>
      </c>
      <c r="J1036" s="10" t="s">
        <v>2011</v>
      </c>
      <c r="K1036" s="10" t="s">
        <v>4035</v>
      </c>
      <c r="L1036" s="11">
        <v>202124101452292</v>
      </c>
      <c r="M1036" s="20">
        <v>44417</v>
      </c>
      <c r="N1036" s="20" t="str">
        <f>UPPER(TEXT(Tabla1[[#This Row],[FECHA RADICADO ENTRADA]],"MMM"))</f>
        <v>AGO</v>
      </c>
      <c r="O1036" s="11">
        <v>202124111273051</v>
      </c>
      <c r="P1036" s="20">
        <v>44420</v>
      </c>
      <c r="Q1036" s="20" t="str">
        <f>IFERROR(UPPER(TEXT(MONTH(Tabla1[[#This Row],[FECHA RADICADO SALIDA]]),"MMM")),"")</f>
        <v>ENE</v>
      </c>
      <c r="R1036" s="26">
        <f t="shared" si="64"/>
        <v>-3</v>
      </c>
      <c r="S1036" s="10" t="s">
        <v>2154</v>
      </c>
      <c r="U1036" s="10" t="s">
        <v>3140</v>
      </c>
      <c r="V1036" s="20">
        <v>43392</v>
      </c>
      <c r="W1036" s="10" t="s">
        <v>63</v>
      </c>
      <c r="X1036" s="10">
        <v>10000</v>
      </c>
      <c r="Y1036" s="11">
        <f>IFERROR(INT(Tabla1[[#This Row],[CANTIDAD UND FARMACEUTICAS]]/(VLOOKUP(Tabla1[[#This Row],[MEDICAMENTO]],TAB_REF!$K$3:$L$27,2,0))),"")</f>
        <v>1000</v>
      </c>
      <c r="Z1036" s="10" t="str">
        <f>IFERROR(VLOOKUP(Tabla1[[#This Row],[MEDICAMENTO]],TAB_REF!$B$3:$F$27,2,0), "")</f>
        <v xml:space="preserve">Morfina HCl </v>
      </c>
      <c r="AA1036" s="10" t="str">
        <f>IFERROR(VLOOKUP(Tabla1[[#This Row],[MEDICAMENTO]],TAB_REF!$B$3:$F$27,3,0), "")</f>
        <v xml:space="preserve">10 mg/mL </v>
      </c>
      <c r="AB1036" s="10" t="str">
        <f>IFERROR(VLOOKUP(Tabla1[[#This Row],[MEDICAMENTO]],TAB_REF!$B$3:$F$27,4,0), "")</f>
        <v>Solución Inyectable</v>
      </c>
      <c r="AC1036" s="10" t="str">
        <f>IFERROR(VLOOKUP(Tabla1[[#This Row],[MEDICAMENTO]],TAB_REF!$B$3:$F$27,5,0), "")</f>
        <v>Caja x 10 unidades</v>
      </c>
      <c r="AD1036" s="10" t="str">
        <f>IFERROR(VLOOKUP(Tabla1[[#This Row],[CANTIDAD UND COMERCIALES]],TAB_REF!$H$3:$I$1003,2,0)&amp;" ("&amp;Tabla1[[#This Row],[CANTIDAD UND COMERCIALES]]&amp;")"&amp;"_"&amp;Tabla1[[#This Row],[CANTIDAD]],"")</f>
        <v>Mil (1000)_Caja x 10 unidades</v>
      </c>
    </row>
    <row r="1037" spans="2:30" x14ac:dyDescent="0.25">
      <c r="B1037" s="10">
        <v>431</v>
      </c>
      <c r="C1037" s="10" t="s">
        <v>3133</v>
      </c>
      <c r="D1037" s="10" t="s">
        <v>3134</v>
      </c>
      <c r="E1037" s="10" t="s">
        <v>3967</v>
      </c>
      <c r="F1037" s="10" t="s">
        <v>3780</v>
      </c>
      <c r="G1037" s="10" t="s">
        <v>3968</v>
      </c>
      <c r="H1037" s="10" t="s">
        <v>3781</v>
      </c>
      <c r="I1037" s="10" t="s">
        <v>2129</v>
      </c>
      <c r="J1037" s="10" t="s">
        <v>2011</v>
      </c>
      <c r="K1037" s="10" t="s">
        <v>4035</v>
      </c>
      <c r="L1037" s="11">
        <v>202124101452292</v>
      </c>
      <c r="M1037" s="20">
        <v>44417</v>
      </c>
      <c r="N1037" s="20" t="str">
        <f>UPPER(TEXT(Tabla1[[#This Row],[FECHA RADICADO ENTRADA]],"MMM"))</f>
        <v>AGO</v>
      </c>
      <c r="O1037" s="11">
        <v>202124111273051</v>
      </c>
      <c r="P1037" s="20">
        <v>44420</v>
      </c>
      <c r="Q1037" s="20" t="str">
        <f>IFERROR(UPPER(TEXT(MONTH(Tabla1[[#This Row],[FECHA RADICADO SALIDA]]),"MMM")),"")</f>
        <v>ENE</v>
      </c>
      <c r="R1037" s="26">
        <f t="shared" si="64"/>
        <v>-3</v>
      </c>
      <c r="S1037" s="10" t="s">
        <v>2154</v>
      </c>
      <c r="U1037" s="10" t="s">
        <v>3140</v>
      </c>
      <c r="V1037" s="20">
        <v>43392</v>
      </c>
      <c r="W1037" s="10" t="s">
        <v>37</v>
      </c>
      <c r="X1037" s="10">
        <v>11000</v>
      </c>
      <c r="Y1037" s="11">
        <f>IFERROR(INT(Tabla1[[#This Row],[CANTIDAD UND FARMACEUTICAS]]/(VLOOKUP(Tabla1[[#This Row],[MEDICAMENTO]],TAB_REF!$K$3:$L$27,2,0))),"")</f>
        <v>1100</v>
      </c>
      <c r="Z1037" s="10" t="str">
        <f>IFERROR(VLOOKUP(Tabla1[[#This Row],[MEDICAMENTO]],TAB_REF!$B$3:$F$27,2,0), "")</f>
        <v xml:space="preserve">Hidromorfona HCl </v>
      </c>
      <c r="AA1037" s="10" t="str">
        <f>IFERROR(VLOOKUP(Tabla1[[#This Row],[MEDICAMENTO]],TAB_REF!$B$3:$F$27,3,0), "")</f>
        <v xml:space="preserve">2 mg/mL </v>
      </c>
      <c r="AB1037" s="10" t="str">
        <f>IFERROR(VLOOKUP(Tabla1[[#This Row],[MEDICAMENTO]],TAB_REF!$B$3:$F$27,4,0), "")</f>
        <v>Solución Inyectable</v>
      </c>
      <c r="AC1037" s="10" t="str">
        <f>IFERROR(VLOOKUP(Tabla1[[#This Row],[MEDICAMENTO]],TAB_REF!$B$3:$F$27,5,0), "")</f>
        <v>Caja x 10 unidades</v>
      </c>
      <c r="AD1037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038" spans="2:30" x14ac:dyDescent="0.25">
      <c r="B1038" s="10">
        <v>432</v>
      </c>
      <c r="C1038" s="10" t="s">
        <v>2957</v>
      </c>
      <c r="D1038" s="10" t="s">
        <v>2175</v>
      </c>
      <c r="E1038" s="10" t="s">
        <v>2958</v>
      </c>
      <c r="F1038" s="10" t="s">
        <v>3095</v>
      </c>
      <c r="G1038" s="10" t="s">
        <v>2959</v>
      </c>
      <c r="H1038" s="10" t="s">
        <v>2960</v>
      </c>
      <c r="I1038" s="10" t="s">
        <v>2123</v>
      </c>
      <c r="J1038" s="10" t="s">
        <v>1770</v>
      </c>
      <c r="K1038" s="10" t="s">
        <v>3976</v>
      </c>
      <c r="L1038" s="11">
        <v>202124101452032</v>
      </c>
      <c r="M1038" s="20">
        <v>44417</v>
      </c>
      <c r="N1038" s="20" t="str">
        <f>UPPER(TEXT(Tabla1[[#This Row],[FECHA RADICADO ENTRADA]],"MMM"))</f>
        <v>AGO</v>
      </c>
      <c r="O1038" s="11">
        <v>202124111272921</v>
      </c>
      <c r="P1038" s="20">
        <v>44420</v>
      </c>
      <c r="Q1038" s="20" t="str">
        <f>IFERROR(UPPER(TEXT(MONTH(Tabla1[[#This Row],[FECHA RADICADO SALIDA]]),"MMM")),"")</f>
        <v>ENE</v>
      </c>
      <c r="R1038" s="26">
        <f t="shared" si="64"/>
        <v>-3</v>
      </c>
      <c r="S1038" s="10" t="s">
        <v>2145</v>
      </c>
      <c r="T1038" s="10" t="s">
        <v>3336</v>
      </c>
      <c r="U1038" s="10" t="s">
        <v>3097</v>
      </c>
      <c r="V1038" s="20">
        <v>42885</v>
      </c>
      <c r="W1038" s="10" t="s">
        <v>28</v>
      </c>
      <c r="X1038" s="10">
        <v>0</v>
      </c>
      <c r="Y1038" s="11">
        <f>IFERROR(INT(Tabla1[[#This Row],[CANTIDAD UND FARMACEUTICAS]]/(VLOOKUP(Tabla1[[#This Row],[MEDICAMENTO]],TAB_REF!$K$3:$L$27,2,0))),"")</f>
        <v>0</v>
      </c>
      <c r="Z1038" s="10" t="str">
        <f>IFERROR(VLOOKUP(Tabla1[[#This Row],[MEDICAMENTO]],TAB_REF!$B$3:$F$27,2,0), "")</f>
        <v xml:space="preserve">Fenobarbital </v>
      </c>
      <c r="AA1038" s="10" t="str">
        <f>IFERROR(VLOOKUP(Tabla1[[#This Row],[MEDICAMENTO]],TAB_REF!$B$3:$F$27,3,0), "")</f>
        <v xml:space="preserve">0,4%. </v>
      </c>
      <c r="AB1038" s="10" t="str">
        <f>IFERROR(VLOOKUP(Tabla1[[#This Row],[MEDICAMENTO]],TAB_REF!$B$3:$F$27,4,0), "")</f>
        <v>Solución Oral</v>
      </c>
      <c r="AC1038" s="10" t="str">
        <f>IFERROR(VLOOKUP(Tabla1[[#This Row],[MEDICAMENTO]],TAB_REF!$B$3:$F$27,5,0), "")</f>
        <v>Frasco x 120 mL</v>
      </c>
      <c r="AD1038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039" spans="2:30" x14ac:dyDescent="0.25">
      <c r="B1039" s="10">
        <v>432</v>
      </c>
      <c r="C1039" s="10" t="s">
        <v>2957</v>
      </c>
      <c r="D1039" s="10" t="s">
        <v>2175</v>
      </c>
      <c r="E1039" s="10" t="s">
        <v>2958</v>
      </c>
      <c r="F1039" s="10" t="s">
        <v>3095</v>
      </c>
      <c r="G1039" s="10" t="s">
        <v>2959</v>
      </c>
      <c r="H1039" s="10" t="s">
        <v>2960</v>
      </c>
      <c r="I1039" s="10" t="s">
        <v>2123</v>
      </c>
      <c r="J1039" s="10" t="s">
        <v>1770</v>
      </c>
      <c r="K1039" s="10" t="s">
        <v>3976</v>
      </c>
      <c r="L1039" s="11">
        <v>202124101452032</v>
      </c>
      <c r="M1039" s="20">
        <v>44417</v>
      </c>
      <c r="N1039" s="20" t="str">
        <f>UPPER(TEXT(Tabla1[[#This Row],[FECHA RADICADO ENTRADA]],"MMM"))</f>
        <v>AGO</v>
      </c>
      <c r="O1039" s="11">
        <v>202124111272921</v>
      </c>
      <c r="P1039" s="20">
        <v>44420</v>
      </c>
      <c r="Q1039" s="20" t="str">
        <f>IFERROR(UPPER(TEXT(MONTH(Tabla1[[#This Row],[FECHA RADICADO SALIDA]]),"MMM")),"")</f>
        <v>ENE</v>
      </c>
      <c r="R1039" s="26">
        <f t="shared" si="64"/>
        <v>-3</v>
      </c>
      <c r="S1039" s="10" t="s">
        <v>2145</v>
      </c>
      <c r="T1039" s="10" t="s">
        <v>3336</v>
      </c>
      <c r="U1039" s="10" t="s">
        <v>3097</v>
      </c>
      <c r="V1039" s="20">
        <v>42885</v>
      </c>
      <c r="W1039" s="10" t="s">
        <v>32</v>
      </c>
      <c r="X1039" s="10">
        <v>0</v>
      </c>
      <c r="Y1039" s="11">
        <f>IFERROR(INT(Tabla1[[#This Row],[CANTIDAD UND FARMACEUTICAS]]/(VLOOKUP(Tabla1[[#This Row],[MEDICAMENTO]],TAB_REF!$K$3:$L$27,2,0))),"")</f>
        <v>0</v>
      </c>
      <c r="Z1039" s="10" t="str">
        <f>IFERROR(VLOOKUP(Tabla1[[#This Row],[MEDICAMENTO]],TAB_REF!$B$3:$F$27,2,0), "")</f>
        <v xml:space="preserve">Fenobarbital </v>
      </c>
      <c r="AA1039" s="10" t="str">
        <f>IFERROR(VLOOKUP(Tabla1[[#This Row],[MEDICAMENTO]],TAB_REF!$B$3:$F$27,3,0), "")</f>
        <v xml:space="preserve">100 mg </v>
      </c>
      <c r="AB1039" s="10" t="str">
        <f>IFERROR(VLOOKUP(Tabla1[[#This Row],[MEDICAMENTO]],TAB_REF!$B$3:$F$27,4,0), "")</f>
        <v>Tabletas</v>
      </c>
      <c r="AC1039" s="10" t="str">
        <f>IFERROR(VLOOKUP(Tabla1[[#This Row],[MEDICAMENTO]],TAB_REF!$B$3:$F$27,5,0), "")</f>
        <v>Caja x 30 unidades</v>
      </c>
      <c r="AD1039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040" spans="2:30" x14ac:dyDescent="0.25">
      <c r="B1040" s="10">
        <v>432</v>
      </c>
      <c r="C1040" s="10" t="s">
        <v>2957</v>
      </c>
      <c r="D1040" s="10" t="s">
        <v>2175</v>
      </c>
      <c r="E1040" s="10" t="s">
        <v>2958</v>
      </c>
      <c r="F1040" s="10" t="s">
        <v>3095</v>
      </c>
      <c r="G1040" s="10" t="s">
        <v>2959</v>
      </c>
      <c r="H1040" s="10" t="s">
        <v>2960</v>
      </c>
      <c r="I1040" s="10" t="s">
        <v>2123</v>
      </c>
      <c r="J1040" s="10" t="s">
        <v>1770</v>
      </c>
      <c r="K1040" s="10" t="s">
        <v>3976</v>
      </c>
      <c r="L1040" s="11">
        <v>202124101452032</v>
      </c>
      <c r="M1040" s="20">
        <v>44417</v>
      </c>
      <c r="N1040" s="20" t="str">
        <f>UPPER(TEXT(Tabla1[[#This Row],[FECHA RADICADO ENTRADA]],"MMM"))</f>
        <v>AGO</v>
      </c>
      <c r="O1040" s="11">
        <v>202124111272921</v>
      </c>
      <c r="P1040" s="20">
        <v>44420</v>
      </c>
      <c r="Q1040" s="20" t="str">
        <f>IFERROR(UPPER(TEXT(MONTH(Tabla1[[#This Row],[FECHA RADICADO SALIDA]]),"MMM")),"")</f>
        <v>ENE</v>
      </c>
      <c r="R1040" s="26">
        <f t="shared" si="64"/>
        <v>-3</v>
      </c>
      <c r="S1040" s="10" t="s">
        <v>2154</v>
      </c>
      <c r="U1040" s="10" t="s">
        <v>3097</v>
      </c>
      <c r="V1040" s="20">
        <v>42885</v>
      </c>
      <c r="W1040" s="10" t="s">
        <v>38</v>
      </c>
      <c r="X1040" s="10">
        <v>4000</v>
      </c>
      <c r="Y1040" s="11">
        <f>IFERROR(INT(Tabla1[[#This Row],[CANTIDAD UND FARMACEUTICAS]]/(VLOOKUP(Tabla1[[#This Row],[MEDICAMENTO]],TAB_REF!$K$3:$L$27,2,0))),"")</f>
        <v>200</v>
      </c>
      <c r="Z1040" s="10" t="str">
        <f>IFERROR(VLOOKUP(Tabla1[[#This Row],[MEDICAMENTO]],TAB_REF!$B$3:$F$27,2,0), "")</f>
        <v xml:space="preserve">Hidromorfona HCl </v>
      </c>
      <c r="AA1040" s="10" t="str">
        <f>IFERROR(VLOOKUP(Tabla1[[#This Row],[MEDICAMENTO]],TAB_REF!$B$3:$F$27,3,0), "")</f>
        <v xml:space="preserve">2,5 mg </v>
      </c>
      <c r="AB1040" s="10" t="str">
        <f>IFERROR(VLOOKUP(Tabla1[[#This Row],[MEDICAMENTO]],TAB_REF!$B$3:$F$27,4,0), "")</f>
        <v>Tabletas</v>
      </c>
      <c r="AC1040" s="10" t="str">
        <f>IFERROR(VLOOKUP(Tabla1[[#This Row],[MEDICAMENTO]],TAB_REF!$B$3:$F$27,5,0), "")</f>
        <v>Caja x 20 unidades</v>
      </c>
      <c r="AD1040" s="10" t="str">
        <f>IFERROR(VLOOKUP(Tabla1[[#This Row],[CANTIDAD UND COMERCIALES]],TAB_REF!$H$3:$I$1003,2,0)&amp;" ("&amp;Tabla1[[#This Row],[CANTIDAD UND COMERCIALES]]&amp;")"&amp;"_"&amp;Tabla1[[#This Row],[CANTIDAD]],"")</f>
        <v>Doscientos (200)_Caja x 20 unidades</v>
      </c>
    </row>
    <row r="1041" spans="2:30" x14ac:dyDescent="0.25">
      <c r="B1041" s="10">
        <v>432</v>
      </c>
      <c r="C1041" s="10" t="s">
        <v>2957</v>
      </c>
      <c r="D1041" s="10" t="s">
        <v>2175</v>
      </c>
      <c r="E1041" s="10" t="s">
        <v>2958</v>
      </c>
      <c r="F1041" s="10" t="s">
        <v>3095</v>
      </c>
      <c r="G1041" s="10" t="s">
        <v>2959</v>
      </c>
      <c r="H1041" s="10" t="s">
        <v>2960</v>
      </c>
      <c r="I1041" s="10" t="s">
        <v>2123</v>
      </c>
      <c r="J1041" s="10" t="s">
        <v>1770</v>
      </c>
      <c r="K1041" s="10" t="s">
        <v>3976</v>
      </c>
      <c r="L1041" s="11">
        <v>202124101452032</v>
      </c>
      <c r="M1041" s="20">
        <v>44417</v>
      </c>
      <c r="N1041" s="20" t="str">
        <f>UPPER(TEXT(Tabla1[[#This Row],[FECHA RADICADO ENTRADA]],"MMM"))</f>
        <v>AGO</v>
      </c>
      <c r="O1041" s="11">
        <v>202124111272921</v>
      </c>
      <c r="P1041" s="20">
        <v>44420</v>
      </c>
      <c r="Q1041" s="20" t="str">
        <f>IFERROR(UPPER(TEXT(MONTH(Tabla1[[#This Row],[FECHA RADICADO SALIDA]]),"MMM")),"")</f>
        <v>ENE</v>
      </c>
      <c r="R1041" s="26">
        <f t="shared" si="64"/>
        <v>-3</v>
      </c>
      <c r="S1041" s="10" t="s">
        <v>2154</v>
      </c>
      <c r="U1041" s="10" t="s">
        <v>3097</v>
      </c>
      <c r="V1041" s="20">
        <v>42885</v>
      </c>
      <c r="W1041" s="10" t="s">
        <v>58</v>
      </c>
      <c r="X1041" s="10">
        <v>300</v>
      </c>
      <c r="Y1041" s="11">
        <f>IFERROR(INT(Tabla1[[#This Row],[CANTIDAD UND FARMACEUTICAS]]/(VLOOKUP(Tabla1[[#This Row],[MEDICAMENTO]],TAB_REF!$K$3:$L$27,2,0))),"")</f>
        <v>300</v>
      </c>
      <c r="Z1041" s="10" t="str">
        <f>IFERROR(VLOOKUP(Tabla1[[#This Row],[MEDICAMENTO]],TAB_REF!$B$3:$F$27,2,0), "")</f>
        <v xml:space="preserve">Morfina HCl </v>
      </c>
      <c r="AA1041" s="10" t="str">
        <f>IFERROR(VLOOKUP(Tabla1[[#This Row],[MEDICAMENTO]],TAB_REF!$B$3:$F$27,3,0), "")</f>
        <v xml:space="preserve">3%. </v>
      </c>
      <c r="AB1041" s="10" t="str">
        <f>IFERROR(VLOOKUP(Tabla1[[#This Row],[MEDICAMENTO]],TAB_REF!$B$3:$F$27,4,0), "")</f>
        <v>Solución Inyectable</v>
      </c>
      <c r="AC1041" s="10" t="str">
        <f>IFERROR(VLOOKUP(Tabla1[[#This Row],[MEDICAMENTO]],TAB_REF!$B$3:$F$27,5,0), "")</f>
        <v>Vial X 20 mL c/u</v>
      </c>
      <c r="AD1041" s="10" t="str">
        <f>IFERROR(VLOOKUP(Tabla1[[#This Row],[CANTIDAD UND COMERCIALES]],TAB_REF!$H$3:$I$1003,2,0)&amp;" ("&amp;Tabla1[[#This Row],[CANTIDAD UND COMERCIALES]]&amp;")"&amp;"_"&amp;Tabla1[[#This Row],[CANTIDAD]],"")</f>
        <v>Trescientos (300)_Vial X 20 mL c/u</v>
      </c>
    </row>
    <row r="1042" spans="2:30" x14ac:dyDescent="0.25">
      <c r="B1042" s="10">
        <v>432</v>
      </c>
      <c r="C1042" s="10" t="s">
        <v>2957</v>
      </c>
      <c r="D1042" s="10" t="s">
        <v>2175</v>
      </c>
      <c r="E1042" s="10" t="s">
        <v>2958</v>
      </c>
      <c r="F1042" s="10" t="s">
        <v>3095</v>
      </c>
      <c r="G1042" s="10" t="s">
        <v>2959</v>
      </c>
      <c r="H1042" s="10" t="s">
        <v>2960</v>
      </c>
      <c r="I1042" s="10" t="s">
        <v>2123</v>
      </c>
      <c r="J1042" s="10" t="s">
        <v>1770</v>
      </c>
      <c r="K1042" s="10" t="s">
        <v>3976</v>
      </c>
      <c r="L1042" s="11">
        <v>202124101452032</v>
      </c>
      <c r="M1042" s="20">
        <v>44417</v>
      </c>
      <c r="N1042" s="20" t="str">
        <f>UPPER(TEXT(Tabla1[[#This Row],[FECHA RADICADO ENTRADA]],"MMM"))</f>
        <v>AGO</v>
      </c>
      <c r="O1042" s="11">
        <v>202124111272921</v>
      </c>
      <c r="P1042" s="20">
        <v>44420</v>
      </c>
      <c r="Q1042" s="20" t="str">
        <f>IFERROR(UPPER(TEXT(MONTH(Tabla1[[#This Row],[FECHA RADICADO SALIDA]]),"MMM")),"")</f>
        <v>ENE</v>
      </c>
      <c r="R1042" s="26">
        <f t="shared" si="64"/>
        <v>-3</v>
      </c>
      <c r="S1042" s="10" t="s">
        <v>2154</v>
      </c>
      <c r="U1042" s="10" t="s">
        <v>3097</v>
      </c>
      <c r="V1042" s="20">
        <v>42885</v>
      </c>
      <c r="W1042" s="10" t="s">
        <v>44</v>
      </c>
      <c r="X1042" s="10">
        <v>600</v>
      </c>
      <c r="Y1042" s="11">
        <f>IFERROR(INT(Tabla1[[#This Row],[CANTIDAD UND FARMACEUTICAS]]/(VLOOKUP(Tabla1[[#This Row],[MEDICAMENTO]],TAB_REF!$K$3:$L$27,2,0))),"")</f>
        <v>30</v>
      </c>
      <c r="Z1042" s="10" t="str">
        <f>IFERROR(VLOOKUP(Tabla1[[#This Row],[MEDICAMENTO]],TAB_REF!$B$3:$F$27,2,0), "")</f>
        <v xml:space="preserve">Metadona HCl </v>
      </c>
      <c r="AA1042" s="10" t="str">
        <f>IFERROR(VLOOKUP(Tabla1[[#This Row],[MEDICAMENTO]],TAB_REF!$B$3:$F$27,3,0), "")</f>
        <v xml:space="preserve">10 mg </v>
      </c>
      <c r="AB1042" s="10" t="str">
        <f>IFERROR(VLOOKUP(Tabla1[[#This Row],[MEDICAMENTO]],TAB_REF!$B$3:$F$27,4,0), "")</f>
        <v>Tabletas IMPORTADA</v>
      </c>
      <c r="AC1042" s="10" t="str">
        <f>IFERROR(VLOOKUP(Tabla1[[#This Row],[MEDICAMENTO]],TAB_REF!$B$3:$F$27,5,0), "")</f>
        <v>Frasco x 20 unidades</v>
      </c>
      <c r="AD1042" s="10" t="str">
        <f>IFERROR(VLOOKUP(Tabla1[[#This Row],[CANTIDAD UND COMERCIALES]],TAB_REF!$H$3:$I$1003,2,0)&amp;" ("&amp;Tabla1[[#This Row],[CANTIDAD UND COMERCIALES]]&amp;")"&amp;"_"&amp;Tabla1[[#This Row],[CANTIDAD]],"")</f>
        <v>Treinta (30)_Frasco x 20 unidades</v>
      </c>
    </row>
    <row r="1043" spans="2:30" x14ac:dyDescent="0.25">
      <c r="B1043" s="10">
        <v>432</v>
      </c>
      <c r="C1043" s="10" t="s">
        <v>2957</v>
      </c>
      <c r="D1043" s="10" t="s">
        <v>2175</v>
      </c>
      <c r="E1043" s="10" t="s">
        <v>2958</v>
      </c>
      <c r="F1043" s="10" t="s">
        <v>3095</v>
      </c>
      <c r="G1043" s="10" t="s">
        <v>2959</v>
      </c>
      <c r="H1043" s="10" t="s">
        <v>2960</v>
      </c>
      <c r="I1043" s="10" t="s">
        <v>2123</v>
      </c>
      <c r="J1043" s="10" t="s">
        <v>1770</v>
      </c>
      <c r="K1043" s="10" t="s">
        <v>3976</v>
      </c>
      <c r="L1043" s="11">
        <v>202124101452032</v>
      </c>
      <c r="M1043" s="20">
        <v>44417</v>
      </c>
      <c r="N1043" s="20" t="str">
        <f>UPPER(TEXT(Tabla1[[#This Row],[FECHA RADICADO ENTRADA]],"MMM"))</f>
        <v>AGO</v>
      </c>
      <c r="O1043" s="11">
        <v>202124111272921</v>
      </c>
      <c r="P1043" s="20">
        <v>44420</v>
      </c>
      <c r="Q1043" s="20" t="str">
        <f>IFERROR(UPPER(TEXT(MONTH(Tabla1[[#This Row],[FECHA RADICADO SALIDA]]),"MMM")),"")</f>
        <v>ENE</v>
      </c>
      <c r="R1043" s="26">
        <f t="shared" si="64"/>
        <v>-3</v>
      </c>
      <c r="S1043" s="10" t="s">
        <v>2145</v>
      </c>
      <c r="T1043" s="10" t="s">
        <v>3336</v>
      </c>
      <c r="U1043" s="10" t="s">
        <v>3097</v>
      </c>
      <c r="V1043" s="20">
        <v>42885</v>
      </c>
      <c r="W1043" s="10" t="s">
        <v>33</v>
      </c>
      <c r="X1043" s="10">
        <v>0</v>
      </c>
      <c r="Y1043" s="11">
        <f>IFERROR(INT(Tabla1[[#This Row],[CANTIDAD UND FARMACEUTICAS]]/(VLOOKUP(Tabla1[[#This Row],[MEDICAMENTO]],TAB_REF!$K$3:$L$27,2,0))),"")</f>
        <v>0</v>
      </c>
      <c r="Z1043" s="26" t="str">
        <f>IFERROR(VLOOKUP(Tabla1[[#This Row],[MEDICAMENTO]],TAB_REF!$B$3:$F$27,2,0), "")</f>
        <v xml:space="preserve">Fenobarbital </v>
      </c>
      <c r="AA1043" s="26" t="str">
        <f>IFERROR(VLOOKUP(Tabla1[[#This Row],[MEDICAMENTO]],TAB_REF!$B$3:$F$27,3,0), "")</f>
        <v xml:space="preserve">50 mg </v>
      </c>
      <c r="AB1043" s="26" t="str">
        <f>IFERROR(VLOOKUP(Tabla1[[#This Row],[MEDICAMENTO]],TAB_REF!$B$3:$F$27,4,0), "")</f>
        <v>Tabletas</v>
      </c>
      <c r="AC1043" s="26" t="str">
        <f>IFERROR(VLOOKUP(Tabla1[[#This Row],[MEDICAMENTO]],TAB_REF!$B$3:$F$27,5,0), "")</f>
        <v>Caja x 30 unidades</v>
      </c>
      <c r="AD1043" s="26" t="str">
        <f>IFERROR(VLOOKUP(Tabla1[[#This Row],[CANTIDAD UND COMERCIALES]],TAB_REF!$H$3:$I$1003,2,0)&amp;" ("&amp;Tabla1[[#This Row],[CANTIDAD UND COMERCIALES]]&amp;")"&amp;"_"&amp;Tabla1[[#This Row],[CANTIDAD]],"")</f>
        <v/>
      </c>
    </row>
    <row r="1044" spans="2:30" x14ac:dyDescent="0.25">
      <c r="B1044" s="10">
        <v>432</v>
      </c>
      <c r="C1044" s="10" t="s">
        <v>2957</v>
      </c>
      <c r="D1044" s="10" t="s">
        <v>2175</v>
      </c>
      <c r="E1044" s="10" t="s">
        <v>2958</v>
      </c>
      <c r="F1044" s="10" t="s">
        <v>3095</v>
      </c>
      <c r="G1044" s="10" t="s">
        <v>2959</v>
      </c>
      <c r="H1044" s="10" t="s">
        <v>2960</v>
      </c>
      <c r="I1044" s="10" t="s">
        <v>2123</v>
      </c>
      <c r="J1044" s="10" t="s">
        <v>1770</v>
      </c>
      <c r="K1044" s="10" t="s">
        <v>3976</v>
      </c>
      <c r="L1044" s="11">
        <v>202124101452032</v>
      </c>
      <c r="M1044" s="20">
        <v>44417</v>
      </c>
      <c r="N1044" s="20" t="str">
        <f>UPPER(TEXT(Tabla1[[#This Row],[FECHA RADICADO ENTRADA]],"MMM"))</f>
        <v>AGO</v>
      </c>
      <c r="O1044" s="11">
        <v>202124111272921</v>
      </c>
      <c r="P1044" s="20">
        <v>44420</v>
      </c>
      <c r="Q1044" s="20" t="str">
        <f>IFERROR(UPPER(TEXT(MONTH(Tabla1[[#This Row],[FECHA RADICADO SALIDA]]),"MMM")),"")</f>
        <v>ENE</v>
      </c>
      <c r="R1044" s="26">
        <f t="shared" si="64"/>
        <v>-3</v>
      </c>
      <c r="S1044" s="10" t="s">
        <v>2154</v>
      </c>
      <c r="U1044" s="10" t="s">
        <v>3097</v>
      </c>
      <c r="V1044" s="20">
        <v>42885</v>
      </c>
      <c r="W1044" s="10" t="s">
        <v>30</v>
      </c>
      <c r="X1044" s="10">
        <v>300</v>
      </c>
      <c r="Y1044" s="11">
        <f>IFERROR(INT(Tabla1[[#This Row],[CANTIDAD UND FARMACEUTICAS]]/(VLOOKUP(Tabla1[[#This Row],[MEDICAMENTO]],TAB_REF!$K$3:$L$27,2,0))),"")</f>
        <v>10</v>
      </c>
      <c r="Z1044" s="26" t="str">
        <f>IFERROR(VLOOKUP(Tabla1[[#This Row],[MEDICAMENTO]],TAB_REF!$B$3:$F$27,2,0), "")</f>
        <v xml:space="preserve">Fenobarbital </v>
      </c>
      <c r="AA1044" s="26" t="str">
        <f>IFERROR(VLOOKUP(Tabla1[[#This Row],[MEDICAMENTO]],TAB_REF!$B$3:$F$27,3,0), "")</f>
        <v xml:space="preserve">10 mg </v>
      </c>
      <c r="AB1044" s="26" t="str">
        <f>IFERROR(VLOOKUP(Tabla1[[#This Row],[MEDICAMENTO]],TAB_REF!$B$3:$F$27,4,0), "")</f>
        <v>Tabletas</v>
      </c>
      <c r="AC1044" s="26" t="str">
        <f>IFERROR(VLOOKUP(Tabla1[[#This Row],[MEDICAMENTO]],TAB_REF!$B$3:$F$27,5,0), "")</f>
        <v>Caja x 30 unidades</v>
      </c>
      <c r="AD1044" s="26" t="str">
        <f>IFERROR(VLOOKUP(Tabla1[[#This Row],[CANTIDAD UND COMERCIALES]],TAB_REF!$H$3:$I$1003,2,0)&amp;" ("&amp;Tabla1[[#This Row],[CANTIDAD UND COMERCIALES]]&amp;")"&amp;"_"&amp;Tabla1[[#This Row],[CANTIDAD]],"")</f>
        <v>Diez (10)_Caja x 30 unidades</v>
      </c>
    </row>
    <row r="1045" spans="2:30" x14ac:dyDescent="0.25">
      <c r="B1045" s="10">
        <v>433</v>
      </c>
      <c r="C1045" s="10" t="s">
        <v>2558</v>
      </c>
      <c r="D1045" s="10" t="s">
        <v>2365</v>
      </c>
      <c r="E1045" s="10" t="s">
        <v>2559</v>
      </c>
      <c r="F1045" s="10" t="s">
        <v>2560</v>
      </c>
      <c r="G1045" s="10" t="s">
        <v>2561</v>
      </c>
      <c r="H1045" s="10" t="s">
        <v>2562</v>
      </c>
      <c r="I1045" s="10" t="s">
        <v>2119</v>
      </c>
      <c r="J1045" s="10" t="s">
        <v>1694</v>
      </c>
      <c r="K1045" s="10" t="s">
        <v>4036</v>
      </c>
      <c r="L1045" s="11">
        <v>202124101462162</v>
      </c>
      <c r="M1045" s="20">
        <v>44418</v>
      </c>
      <c r="N1045" s="20" t="str">
        <f>UPPER(TEXT(Tabla1[[#This Row],[FECHA RADICADO ENTRADA]],"MMM"))</f>
        <v>AGO</v>
      </c>
      <c r="O1045" s="11">
        <v>202124111272951</v>
      </c>
      <c r="P1045" s="20">
        <v>44420</v>
      </c>
      <c r="Q1045" s="20" t="str">
        <f>IFERROR(UPPER(TEXT(MONTH(Tabla1[[#This Row],[FECHA RADICADO SALIDA]]),"MMM")),"")</f>
        <v>ENE</v>
      </c>
      <c r="R1045" s="26">
        <f>_xlfn.DAYS(M1045,P1045)</f>
        <v>-2</v>
      </c>
      <c r="S1045" s="10" t="s">
        <v>2154</v>
      </c>
      <c r="U1045" s="10" t="s">
        <v>2564</v>
      </c>
      <c r="V1045" s="20">
        <v>43942</v>
      </c>
      <c r="W1045" s="10" t="s">
        <v>63</v>
      </c>
      <c r="X1045" s="10">
        <v>500</v>
      </c>
      <c r="Y1045" s="11">
        <f>IFERROR(INT(Tabla1[[#This Row],[CANTIDAD UND FARMACEUTICAS]]/(VLOOKUP(Tabla1[[#This Row],[MEDICAMENTO]],TAB_REF!$K$3:$L$27,2,0))),"")</f>
        <v>50</v>
      </c>
      <c r="Z1045" s="26" t="str">
        <f>IFERROR(VLOOKUP(Tabla1[[#This Row],[MEDICAMENTO]],TAB_REF!$B$3:$F$27,2,0), "")</f>
        <v xml:space="preserve">Morfina HCl </v>
      </c>
      <c r="AA1045" s="26" t="str">
        <f>IFERROR(VLOOKUP(Tabla1[[#This Row],[MEDICAMENTO]],TAB_REF!$B$3:$F$27,3,0), "")</f>
        <v xml:space="preserve">10 mg/mL </v>
      </c>
      <c r="AB1045" s="26" t="str">
        <f>IFERROR(VLOOKUP(Tabla1[[#This Row],[MEDICAMENTO]],TAB_REF!$B$3:$F$27,4,0), "")</f>
        <v>Solución Inyectable</v>
      </c>
      <c r="AC1045" s="26" t="str">
        <f>IFERROR(VLOOKUP(Tabla1[[#This Row],[MEDICAMENTO]],TAB_REF!$B$3:$F$27,5,0), "")</f>
        <v>Caja x 10 unidades</v>
      </c>
      <c r="AD1045" s="26" t="str">
        <f>IFERROR(VLOOKUP(Tabla1[[#This Row],[CANTIDAD UND COMERCIALES]],TAB_REF!$H$3:$I$1003,2,0)&amp;" ("&amp;Tabla1[[#This Row],[CANTIDAD UND COMERCIALES]]&amp;")"&amp;"_"&amp;Tabla1[[#This Row],[CANTIDAD]],"")</f>
        <v>Cincuenta (50)_Caja x 10 unidades</v>
      </c>
    </row>
    <row r="1046" spans="2:30" x14ac:dyDescent="0.25">
      <c r="B1046" s="10">
        <v>434</v>
      </c>
      <c r="C1046" s="10" t="s">
        <v>4037</v>
      </c>
      <c r="D1046" s="10" t="s">
        <v>3162</v>
      </c>
      <c r="E1046" s="10" t="s">
        <v>4038</v>
      </c>
      <c r="G1046" s="10" t="s">
        <v>3172</v>
      </c>
      <c r="I1046" s="10" t="s">
        <v>2113</v>
      </c>
      <c r="K1046" s="10" t="s">
        <v>3167</v>
      </c>
      <c r="L1046" s="11">
        <v>202124101468132</v>
      </c>
      <c r="M1046" s="20">
        <v>44419</v>
      </c>
      <c r="N1046" s="20" t="str">
        <f>UPPER(TEXT(Tabla1[[#This Row],[FECHA RADICADO ENTRADA]],"MMM"))</f>
        <v>AGO</v>
      </c>
      <c r="O1046" s="11">
        <v>202124111272971</v>
      </c>
      <c r="P1046" s="20">
        <v>44420</v>
      </c>
      <c r="Q1046" s="20" t="str">
        <f>IFERROR(UPPER(TEXT(MONTH(Tabla1[[#This Row],[FECHA RADICADO SALIDA]]),"MMM")),"")</f>
        <v>ENE</v>
      </c>
      <c r="R1046" s="26">
        <f>_xlfn.DAYS(M1046,P1046)</f>
        <v>-1</v>
      </c>
      <c r="S1046" s="10" t="s">
        <v>2145</v>
      </c>
      <c r="T1046" s="10" t="s">
        <v>4058</v>
      </c>
      <c r="V1046" s="20"/>
      <c r="Y1046" s="11" t="str">
        <f>IFERROR(INT(Tabla1[[#This Row],[CANTIDAD UND FARMACEUTICAS]]/(VLOOKUP(Tabla1[[#This Row],[MEDICAMENTO]],TAB_REF!$K$3:$L$27,2,0))),"")</f>
        <v/>
      </c>
      <c r="Z1046" s="10" t="str">
        <f>IFERROR(VLOOKUP(Tabla1[[#This Row],[MEDICAMENTO]],TAB_REF!$B$3:$F$27,2,0), "")</f>
        <v/>
      </c>
      <c r="AA1046" s="10" t="str">
        <f>IFERROR(VLOOKUP(Tabla1[[#This Row],[MEDICAMENTO]],TAB_REF!$B$3:$F$27,3,0), "")</f>
        <v/>
      </c>
      <c r="AB1046" s="10" t="str">
        <f>IFERROR(VLOOKUP(Tabla1[[#This Row],[MEDICAMENTO]],TAB_REF!$B$3:$F$27,4,0), "")</f>
        <v/>
      </c>
      <c r="AC1046" s="10" t="str">
        <f>IFERROR(VLOOKUP(Tabla1[[#This Row],[MEDICAMENTO]],TAB_REF!$B$3:$F$27,5,0), "")</f>
        <v/>
      </c>
      <c r="AD1046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047" spans="2:30" x14ac:dyDescent="0.25">
      <c r="B1047" s="10">
        <v>435</v>
      </c>
      <c r="C1047" s="10" t="s">
        <v>3297</v>
      </c>
      <c r="D1047" s="10" t="s">
        <v>3895</v>
      </c>
      <c r="E1047" s="10" t="s">
        <v>2703</v>
      </c>
      <c r="F1047" s="10" t="s">
        <v>3298</v>
      </c>
      <c r="G1047" s="10" t="s">
        <v>2705</v>
      </c>
      <c r="H1047" s="10" t="s">
        <v>4039</v>
      </c>
      <c r="I1047" s="10" t="s">
        <v>2122</v>
      </c>
      <c r="J1047" s="10" t="s">
        <v>1742</v>
      </c>
      <c r="K1047" s="10" t="s">
        <v>4040</v>
      </c>
      <c r="L1047" s="11">
        <v>202124101469472</v>
      </c>
      <c r="M1047" s="20">
        <v>44419</v>
      </c>
      <c r="N1047" s="20" t="str">
        <f>UPPER(TEXT(Tabla1[[#This Row],[FECHA RADICADO ENTRADA]],"MMM"))</f>
        <v>AGO</v>
      </c>
      <c r="O1047" s="11">
        <v>202124111273011</v>
      </c>
      <c r="P1047" s="20">
        <v>44420</v>
      </c>
      <c r="Q1047" s="20" t="str">
        <f>IFERROR(UPPER(TEXT(MONTH(Tabla1[[#This Row],[FECHA RADICADO SALIDA]]),"MMM")),"")</f>
        <v>ENE</v>
      </c>
      <c r="R1047" s="26">
        <f t="shared" ref="R1047:R1063" si="65">_xlfn.DAYS(M1047,P1047)</f>
        <v>-1</v>
      </c>
      <c r="S1047" s="10" t="s">
        <v>2154</v>
      </c>
      <c r="U1047" s="10" t="s">
        <v>3301</v>
      </c>
      <c r="V1047" s="20">
        <v>43713</v>
      </c>
      <c r="W1047" s="10" t="s">
        <v>36</v>
      </c>
      <c r="X1047" s="10">
        <v>50</v>
      </c>
      <c r="Y1047" s="11">
        <f>IFERROR(INT(Tabla1[[#This Row],[CANTIDAD UND FARMACEUTICAS]]/(VLOOKUP(Tabla1[[#This Row],[MEDICAMENTO]],TAB_REF!$K$3:$L$27,2,0))),"")</f>
        <v>5</v>
      </c>
      <c r="Z1047" s="10" t="str">
        <f>IFERROR(VLOOKUP(Tabla1[[#This Row],[MEDICAMENTO]],TAB_REF!$B$3:$F$27,2,0), "")</f>
        <v xml:space="preserve">Fenobarbital Sódico </v>
      </c>
      <c r="AA1047" s="10" t="str">
        <f>IFERROR(VLOOKUP(Tabla1[[#This Row],[MEDICAMENTO]],TAB_REF!$B$3:$F$27,3,0), "")</f>
        <v xml:space="preserve">40 mg/mL </v>
      </c>
      <c r="AB1047" s="10" t="str">
        <f>IFERROR(VLOOKUP(Tabla1[[#This Row],[MEDICAMENTO]],TAB_REF!$B$3:$F$27,4,0), "")</f>
        <v>Solución Inyectable</v>
      </c>
      <c r="AC1047" s="10" t="str">
        <f>IFERROR(VLOOKUP(Tabla1[[#This Row],[MEDICAMENTO]],TAB_REF!$B$3:$F$27,5,0), "")</f>
        <v>Caja x 10 unidades</v>
      </c>
      <c r="AD1047" s="10" t="str">
        <f>IFERROR(VLOOKUP(Tabla1[[#This Row],[CANTIDAD UND COMERCIALES]],TAB_REF!$H$3:$I$1003,2,0)&amp;" ("&amp;Tabla1[[#This Row],[CANTIDAD UND COMERCIALES]]&amp;")"&amp;"_"&amp;Tabla1[[#This Row],[CANTIDAD]],"")</f>
        <v>Cinco (5)_Caja x 10 unidades</v>
      </c>
    </row>
    <row r="1048" spans="2:30" x14ac:dyDescent="0.25">
      <c r="B1048" s="10">
        <v>436</v>
      </c>
      <c r="C1048" s="10" t="s">
        <v>3819</v>
      </c>
      <c r="D1048" s="10" t="s">
        <v>3162</v>
      </c>
      <c r="E1048" s="10" t="s">
        <v>3820</v>
      </c>
      <c r="F1048" s="10" t="s">
        <v>3702</v>
      </c>
      <c r="G1048" s="10" t="s">
        <v>3821</v>
      </c>
      <c r="H1048" s="10" t="s">
        <v>3822</v>
      </c>
      <c r="I1048" s="10" t="s">
        <v>2109</v>
      </c>
      <c r="J1048" s="10" t="s">
        <v>1126</v>
      </c>
      <c r="K1048" s="10" t="s">
        <v>3823</v>
      </c>
      <c r="L1048" s="11">
        <v>202124101482722</v>
      </c>
      <c r="M1048" s="20">
        <v>44420</v>
      </c>
      <c r="N1048" s="20" t="str">
        <f>UPPER(TEXT(Tabla1[[#This Row],[FECHA RADICADO ENTRADA]],"MMM"))</f>
        <v>AGO</v>
      </c>
      <c r="O1048" s="11">
        <v>202124111286381</v>
      </c>
      <c r="P1048" s="20">
        <v>44424</v>
      </c>
      <c r="Q1048" s="20" t="str">
        <f>IFERROR(UPPER(TEXT(MONTH(Tabla1[[#This Row],[FECHA RADICADO SALIDA]]),"MMM")),"")</f>
        <v>ENE</v>
      </c>
      <c r="R1048" s="26">
        <f t="shared" si="65"/>
        <v>-4</v>
      </c>
      <c r="S1048" s="10" t="s">
        <v>2145</v>
      </c>
      <c r="T1048" s="10" t="s">
        <v>4058</v>
      </c>
      <c r="U1048" s="10" t="s">
        <v>4041</v>
      </c>
      <c r="V1048" s="20">
        <v>43987</v>
      </c>
      <c r="W1048" s="10" t="s">
        <v>49</v>
      </c>
      <c r="X1048" s="10">
        <v>0</v>
      </c>
      <c r="Y1048" s="11">
        <f>IFERROR(INT(Tabla1[[#This Row],[CANTIDAD UND FARMACEUTICAS]]/(VLOOKUP(Tabla1[[#This Row],[MEDICAMENTO]],TAB_REF!$K$3:$L$27,2,0))),"")</f>
        <v>0</v>
      </c>
      <c r="Z1048" s="10" t="str">
        <f>IFERROR(VLOOKUP(Tabla1[[#This Row],[MEDICAMENTO]],TAB_REF!$B$3:$F$27,2,0), "")</f>
        <v xml:space="preserve">Metilfenidato HCl </v>
      </c>
      <c r="AA1048" s="10" t="str">
        <f>IFERROR(VLOOKUP(Tabla1[[#This Row],[MEDICAMENTO]],TAB_REF!$B$3:$F$27,3,0), "")</f>
        <v xml:space="preserve">18 mg </v>
      </c>
      <c r="AB1048" s="10" t="str">
        <f>IFERROR(VLOOKUP(Tabla1[[#This Row],[MEDICAMENTO]],TAB_REF!$B$3:$F$27,4,0), "")</f>
        <v>Tabletas de Liberación Prolongada</v>
      </c>
      <c r="AC1048" s="10" t="str">
        <f>IFERROR(VLOOKUP(Tabla1[[#This Row],[MEDICAMENTO]],TAB_REF!$B$3:$F$27,5,0), "")</f>
        <v>Frasco x 30 unidades</v>
      </c>
      <c r="AD1048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049" spans="2:30" x14ac:dyDescent="0.25">
      <c r="B1049" s="10">
        <v>436</v>
      </c>
      <c r="C1049" s="10" t="s">
        <v>3819</v>
      </c>
      <c r="D1049" s="10" t="s">
        <v>3162</v>
      </c>
      <c r="E1049" s="10" t="s">
        <v>3820</v>
      </c>
      <c r="F1049" s="10" t="s">
        <v>3702</v>
      </c>
      <c r="G1049" s="10" t="s">
        <v>3821</v>
      </c>
      <c r="H1049" s="10" t="s">
        <v>3822</v>
      </c>
      <c r="I1049" s="10" t="s">
        <v>2109</v>
      </c>
      <c r="J1049" s="10" t="s">
        <v>1126</v>
      </c>
      <c r="K1049" s="10" t="s">
        <v>3823</v>
      </c>
      <c r="L1049" s="11">
        <v>202124101482722</v>
      </c>
      <c r="M1049" s="20">
        <v>44420</v>
      </c>
      <c r="N1049" s="20" t="str">
        <f>UPPER(TEXT(Tabla1[[#This Row],[FECHA RADICADO ENTRADA]],"MMM"))</f>
        <v>AGO</v>
      </c>
      <c r="O1049" s="11">
        <v>202124111286381</v>
      </c>
      <c r="P1049" s="20">
        <v>44424</v>
      </c>
      <c r="Q1049" s="20" t="str">
        <f>IFERROR(UPPER(TEXT(MONTH(Tabla1[[#This Row],[FECHA RADICADO SALIDA]]),"MMM")),"")</f>
        <v>ENE</v>
      </c>
      <c r="R1049" s="26">
        <f t="shared" ref="R1049" si="66">_xlfn.DAYS(M1049,P1049)</f>
        <v>-4</v>
      </c>
      <c r="S1049" s="10" t="s">
        <v>2145</v>
      </c>
      <c r="T1049" s="10" t="s">
        <v>4058</v>
      </c>
      <c r="U1049" s="10" t="s">
        <v>4041</v>
      </c>
      <c r="V1049" s="20">
        <v>43987</v>
      </c>
      <c r="W1049" s="10" t="s">
        <v>57</v>
      </c>
      <c r="X1049" s="10">
        <v>0</v>
      </c>
      <c r="Y1049" s="11">
        <f>IFERROR(INT(Tabla1[[#This Row],[CANTIDAD UND FARMACEUTICAS]]/(VLOOKUP(Tabla1[[#This Row],[MEDICAMENTO]],TAB_REF!$K$3:$L$27,2,0))),"")</f>
        <v>0</v>
      </c>
      <c r="Z1049" s="10" t="str">
        <f>IFERROR(VLOOKUP(Tabla1[[#This Row],[MEDICAMENTO]],TAB_REF!$B$3:$F$27,2,0), "")</f>
        <v xml:space="preserve">Metilfenidato HCl </v>
      </c>
      <c r="AA1049" s="10" t="str">
        <f>IFERROR(VLOOKUP(Tabla1[[#This Row],[MEDICAMENTO]],TAB_REF!$B$3:$F$27,3,0), "")</f>
        <v xml:space="preserve">36 mg </v>
      </c>
      <c r="AB1049" s="10" t="str">
        <f>IFERROR(VLOOKUP(Tabla1[[#This Row],[MEDICAMENTO]],TAB_REF!$B$3:$F$27,4,0), "")</f>
        <v>Tabletas de Liberación Prolongada</v>
      </c>
      <c r="AC1049" s="10" t="str">
        <f>IFERROR(VLOOKUP(Tabla1[[#This Row],[MEDICAMENTO]],TAB_REF!$B$3:$F$27,5,0), "")</f>
        <v>Frasco x 30 unidades</v>
      </c>
      <c r="AD1049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050" spans="2:30" x14ac:dyDescent="0.25">
      <c r="B1050" s="10">
        <v>437</v>
      </c>
      <c r="C1050" s="10" t="s">
        <v>4042</v>
      </c>
      <c r="D1050" s="10" t="s">
        <v>3162</v>
      </c>
      <c r="E1050" s="10" t="s">
        <v>3820</v>
      </c>
      <c r="F1050" s="10" t="s">
        <v>3793</v>
      </c>
      <c r="G1050" s="10" t="s">
        <v>3821</v>
      </c>
      <c r="H1050" s="10" t="s">
        <v>3822</v>
      </c>
      <c r="I1050" s="10" t="s">
        <v>2109</v>
      </c>
      <c r="J1050" s="10" t="s">
        <v>1126</v>
      </c>
      <c r="K1050" s="10" t="s">
        <v>4043</v>
      </c>
      <c r="L1050" s="11">
        <v>202124101482972</v>
      </c>
      <c r="M1050" s="20">
        <v>44420</v>
      </c>
      <c r="N1050" s="20" t="str">
        <f>UPPER(TEXT(Tabla1[[#This Row],[FECHA RADICADO ENTRADA]],"MMM"))</f>
        <v>AGO</v>
      </c>
      <c r="O1050" s="11">
        <v>202124111286401</v>
      </c>
      <c r="P1050" s="20">
        <v>44424</v>
      </c>
      <c r="Q1050" s="20" t="str">
        <f>IFERROR(UPPER(TEXT(MONTH(Tabla1[[#This Row],[FECHA RADICADO SALIDA]]),"MMM")),"")</f>
        <v>ENE</v>
      </c>
      <c r="R1050" s="26">
        <f t="shared" si="65"/>
        <v>-4</v>
      </c>
      <c r="S1050" s="10" t="s">
        <v>2145</v>
      </c>
      <c r="T1050" s="10" t="s">
        <v>4058</v>
      </c>
      <c r="U1050" s="10" t="s">
        <v>4044</v>
      </c>
      <c r="V1050" s="20">
        <v>43881</v>
      </c>
      <c r="W1050" s="10" t="s">
        <v>57</v>
      </c>
      <c r="X1050" s="10">
        <v>0</v>
      </c>
      <c r="Y1050" s="11">
        <f>IFERROR(INT(Tabla1[[#This Row],[CANTIDAD UND FARMACEUTICAS]]/(VLOOKUP(Tabla1[[#This Row],[MEDICAMENTO]],TAB_REF!$K$3:$L$27,2,0))),"")</f>
        <v>0</v>
      </c>
      <c r="Z1050" s="10" t="str">
        <f>IFERROR(VLOOKUP(Tabla1[[#This Row],[MEDICAMENTO]],TAB_REF!$B$3:$F$27,2,0), "")</f>
        <v xml:space="preserve">Metilfenidato HCl </v>
      </c>
      <c r="AA1050" s="10" t="str">
        <f>IFERROR(VLOOKUP(Tabla1[[#This Row],[MEDICAMENTO]],TAB_REF!$B$3:$F$27,3,0), "")</f>
        <v xml:space="preserve">36 mg </v>
      </c>
      <c r="AB1050" s="10" t="str">
        <f>IFERROR(VLOOKUP(Tabla1[[#This Row],[MEDICAMENTO]],TAB_REF!$B$3:$F$27,4,0), "")</f>
        <v>Tabletas de Liberación Prolongada</v>
      </c>
      <c r="AC1050" s="10" t="str">
        <f>IFERROR(VLOOKUP(Tabla1[[#This Row],[MEDICAMENTO]],TAB_REF!$B$3:$F$27,5,0), "")</f>
        <v>Frasco x 30 unidades</v>
      </c>
      <c r="AD1050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051" spans="2:30" x14ac:dyDescent="0.25">
      <c r="B1051" s="10">
        <v>437</v>
      </c>
      <c r="C1051" s="10" t="s">
        <v>4042</v>
      </c>
      <c r="D1051" s="10" t="s">
        <v>3162</v>
      </c>
      <c r="E1051" s="10" t="s">
        <v>3820</v>
      </c>
      <c r="F1051" s="10" t="s">
        <v>3793</v>
      </c>
      <c r="G1051" s="10" t="s">
        <v>3821</v>
      </c>
      <c r="H1051" s="10" t="s">
        <v>3822</v>
      </c>
      <c r="I1051" s="10" t="s">
        <v>2109</v>
      </c>
      <c r="J1051" s="10" t="s">
        <v>1126</v>
      </c>
      <c r="K1051" s="10" t="s">
        <v>4043</v>
      </c>
      <c r="L1051" s="11">
        <v>202124101482972</v>
      </c>
      <c r="M1051" s="20">
        <v>44420</v>
      </c>
      <c r="N1051" s="20" t="str">
        <f>UPPER(TEXT(Tabla1[[#This Row],[FECHA RADICADO ENTRADA]],"MMM"))</f>
        <v>AGO</v>
      </c>
      <c r="O1051" s="11">
        <v>202124111286401</v>
      </c>
      <c r="P1051" s="20">
        <v>44424</v>
      </c>
      <c r="Q1051" s="20" t="str">
        <f>IFERROR(UPPER(TEXT(MONTH(Tabla1[[#This Row],[FECHA RADICADO SALIDA]]),"MMM")),"")</f>
        <v>ENE</v>
      </c>
      <c r="R1051" s="26">
        <f t="shared" ref="R1051" si="67">_xlfn.DAYS(M1051,P1051)</f>
        <v>-4</v>
      </c>
      <c r="S1051" s="10" t="s">
        <v>2145</v>
      </c>
      <c r="T1051" s="10" t="s">
        <v>4058</v>
      </c>
      <c r="U1051" s="10" t="s">
        <v>4044</v>
      </c>
      <c r="V1051" s="20">
        <v>43881</v>
      </c>
      <c r="W1051" s="10" t="s">
        <v>49</v>
      </c>
      <c r="X1051" s="10">
        <v>0</v>
      </c>
      <c r="Y1051" s="11">
        <f>IFERROR(INT(Tabla1[[#This Row],[CANTIDAD UND FARMACEUTICAS]]/(VLOOKUP(Tabla1[[#This Row],[MEDICAMENTO]],TAB_REF!$K$3:$L$27,2,0))),"")</f>
        <v>0</v>
      </c>
      <c r="Z1051" s="10" t="str">
        <f>IFERROR(VLOOKUP(Tabla1[[#This Row],[MEDICAMENTO]],TAB_REF!$B$3:$F$27,2,0), "")</f>
        <v xml:space="preserve">Metilfenidato HCl </v>
      </c>
      <c r="AA1051" s="10" t="str">
        <f>IFERROR(VLOOKUP(Tabla1[[#This Row],[MEDICAMENTO]],TAB_REF!$B$3:$F$27,3,0), "")</f>
        <v xml:space="preserve">18 mg </v>
      </c>
      <c r="AB1051" s="10" t="str">
        <f>IFERROR(VLOOKUP(Tabla1[[#This Row],[MEDICAMENTO]],TAB_REF!$B$3:$F$27,4,0), "")</f>
        <v>Tabletas de Liberación Prolongada</v>
      </c>
      <c r="AC1051" s="10" t="str">
        <f>IFERROR(VLOOKUP(Tabla1[[#This Row],[MEDICAMENTO]],TAB_REF!$B$3:$F$27,5,0), "")</f>
        <v>Frasco x 30 unidades</v>
      </c>
      <c r="AD1051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052" spans="2:30" x14ac:dyDescent="0.25">
      <c r="B1052" s="10">
        <v>438</v>
      </c>
      <c r="C1052" s="10" t="s">
        <v>4021</v>
      </c>
      <c r="D1052" s="10" t="s">
        <v>4015</v>
      </c>
      <c r="E1052" s="10" t="s">
        <v>4022</v>
      </c>
      <c r="F1052" s="10" t="s">
        <v>4045</v>
      </c>
      <c r="G1052" s="10" t="s">
        <v>4023</v>
      </c>
      <c r="H1052" s="10" t="s">
        <v>4024</v>
      </c>
      <c r="I1052" s="10" t="s">
        <v>2107</v>
      </c>
      <c r="J1052" s="10" t="s">
        <v>1212</v>
      </c>
      <c r="K1052" s="10" t="s">
        <v>4046</v>
      </c>
      <c r="L1052" s="11">
        <v>202124101489402</v>
      </c>
      <c r="M1052" s="20">
        <v>44421</v>
      </c>
      <c r="N1052" s="20" t="str">
        <f>UPPER(TEXT(Tabla1[[#This Row],[FECHA RADICADO ENTRADA]],"MMM"))</f>
        <v>AGO</v>
      </c>
      <c r="O1052" s="11">
        <v>202124111286411</v>
      </c>
      <c r="P1052" s="20">
        <v>44424</v>
      </c>
      <c r="Q1052" s="20" t="str">
        <f>IFERROR(UPPER(TEXT(MONTH(Tabla1[[#This Row],[FECHA RADICADO SALIDA]]),"MMM")),"")</f>
        <v>ENE</v>
      </c>
      <c r="R1052" s="26">
        <f t="shared" si="65"/>
        <v>-3</v>
      </c>
      <c r="S1052" s="10" t="s">
        <v>2154</v>
      </c>
      <c r="U1052" s="10" t="s">
        <v>4047</v>
      </c>
      <c r="V1052" s="20">
        <v>43685</v>
      </c>
      <c r="W1052" s="10" t="s">
        <v>63</v>
      </c>
      <c r="X1052" s="10">
        <v>100</v>
      </c>
      <c r="Y1052" s="11">
        <f>IFERROR(INT(Tabla1[[#This Row],[CANTIDAD UND FARMACEUTICAS]]/(VLOOKUP(Tabla1[[#This Row],[MEDICAMENTO]],TAB_REF!$K$3:$L$27,2,0))),"")</f>
        <v>10</v>
      </c>
      <c r="Z1052" s="10" t="str">
        <f>IFERROR(VLOOKUP(Tabla1[[#This Row],[MEDICAMENTO]],TAB_REF!$B$3:$F$27,2,0), "")</f>
        <v xml:space="preserve">Morfina HCl </v>
      </c>
      <c r="AA1052" s="10" t="str">
        <f>IFERROR(VLOOKUP(Tabla1[[#This Row],[MEDICAMENTO]],TAB_REF!$B$3:$F$27,3,0), "")</f>
        <v xml:space="preserve">10 mg/mL </v>
      </c>
      <c r="AB1052" s="10" t="str">
        <f>IFERROR(VLOOKUP(Tabla1[[#This Row],[MEDICAMENTO]],TAB_REF!$B$3:$F$27,4,0), "")</f>
        <v>Solución Inyectable</v>
      </c>
      <c r="AC1052" s="10" t="str">
        <f>IFERROR(VLOOKUP(Tabla1[[#This Row],[MEDICAMENTO]],TAB_REF!$B$3:$F$27,5,0), "")</f>
        <v>Caja x 10 unidades</v>
      </c>
      <c r="AD1052" s="10" t="str">
        <f>IFERROR(VLOOKUP(Tabla1[[#This Row],[CANTIDAD UND COMERCIALES]],TAB_REF!$H$3:$I$1003,2,0)&amp;" ("&amp;Tabla1[[#This Row],[CANTIDAD UND COMERCIALES]]&amp;")"&amp;"_"&amp;Tabla1[[#This Row],[CANTIDAD]],"")</f>
        <v>Diez (10)_Caja x 10 unidades</v>
      </c>
    </row>
    <row r="1053" spans="2:30" x14ac:dyDescent="0.25">
      <c r="B1053" s="10">
        <v>438</v>
      </c>
      <c r="C1053" s="10" t="s">
        <v>4021</v>
      </c>
      <c r="D1053" s="10" t="s">
        <v>4015</v>
      </c>
      <c r="E1053" s="10" t="s">
        <v>4022</v>
      </c>
      <c r="F1053" s="10" t="s">
        <v>4045</v>
      </c>
      <c r="G1053" s="10" t="s">
        <v>4023</v>
      </c>
      <c r="H1053" s="10" t="s">
        <v>4024</v>
      </c>
      <c r="I1053" s="10" t="s">
        <v>2107</v>
      </c>
      <c r="J1053" s="10" t="s">
        <v>1212</v>
      </c>
      <c r="K1053" s="10" t="s">
        <v>4046</v>
      </c>
      <c r="L1053" s="11">
        <v>202124101489402</v>
      </c>
      <c r="M1053" s="20">
        <v>44421</v>
      </c>
      <c r="N1053" s="20" t="str">
        <f>UPPER(TEXT(Tabla1[[#This Row],[FECHA RADICADO ENTRADA]],"MMM"))</f>
        <v>AGO</v>
      </c>
      <c r="O1053" s="11">
        <v>202124111286411</v>
      </c>
      <c r="P1053" s="20">
        <v>44424</v>
      </c>
      <c r="Q1053" s="20" t="str">
        <f>IFERROR(UPPER(TEXT(MONTH(Tabla1[[#This Row],[FECHA RADICADO SALIDA]]),"MMM")),"")</f>
        <v>ENE</v>
      </c>
      <c r="R1053" s="26">
        <f t="shared" ref="R1053" si="68">_xlfn.DAYS(M1053,P1053)</f>
        <v>-3</v>
      </c>
      <c r="S1053" s="10" t="s">
        <v>2154</v>
      </c>
      <c r="U1053" s="10" t="s">
        <v>4047</v>
      </c>
      <c r="V1053" s="20">
        <v>43685</v>
      </c>
      <c r="W1053" s="10" t="s">
        <v>37</v>
      </c>
      <c r="X1053" s="10">
        <v>100</v>
      </c>
      <c r="Y1053" s="11">
        <f>IFERROR(INT(Tabla1[[#This Row],[CANTIDAD UND FARMACEUTICAS]]/(VLOOKUP(Tabla1[[#This Row],[MEDICAMENTO]],TAB_REF!$K$3:$L$27,2,0))),"")</f>
        <v>10</v>
      </c>
      <c r="Z1053" s="10" t="str">
        <f>IFERROR(VLOOKUP(Tabla1[[#This Row],[MEDICAMENTO]],TAB_REF!$B$3:$F$27,2,0), "")</f>
        <v xml:space="preserve">Hidromorfona HCl </v>
      </c>
      <c r="AA1053" s="10" t="str">
        <f>IFERROR(VLOOKUP(Tabla1[[#This Row],[MEDICAMENTO]],TAB_REF!$B$3:$F$27,3,0), "")</f>
        <v xml:space="preserve">2 mg/mL </v>
      </c>
      <c r="AB1053" s="10" t="str">
        <f>IFERROR(VLOOKUP(Tabla1[[#This Row],[MEDICAMENTO]],TAB_REF!$B$3:$F$27,4,0), "")</f>
        <v>Solución Inyectable</v>
      </c>
      <c r="AC1053" s="10" t="str">
        <f>IFERROR(VLOOKUP(Tabla1[[#This Row],[MEDICAMENTO]],TAB_REF!$B$3:$F$27,5,0), "")</f>
        <v>Caja x 10 unidades</v>
      </c>
      <c r="AD1053" s="10" t="str">
        <f>IFERROR(VLOOKUP(Tabla1[[#This Row],[CANTIDAD UND COMERCIALES]],TAB_REF!$H$3:$I$1003,2,0)&amp;" ("&amp;Tabla1[[#This Row],[CANTIDAD UND COMERCIALES]]&amp;")"&amp;"_"&amp;Tabla1[[#This Row],[CANTIDAD]],"")</f>
        <v>Diez (10)_Caja x 10 unidades</v>
      </c>
    </row>
    <row r="1054" spans="2:30" x14ac:dyDescent="0.25">
      <c r="B1054" s="10">
        <v>439</v>
      </c>
      <c r="C1054" s="10" t="s">
        <v>3576</v>
      </c>
      <c r="D1054" s="10" t="s">
        <v>2182</v>
      </c>
      <c r="E1054" s="10" t="s">
        <v>4049</v>
      </c>
      <c r="F1054" s="10" t="s">
        <v>2452</v>
      </c>
      <c r="G1054" s="10" t="s">
        <v>4048</v>
      </c>
      <c r="H1054" s="10" t="s">
        <v>4050</v>
      </c>
      <c r="I1054" s="10" t="s">
        <v>2123</v>
      </c>
      <c r="J1054" s="10" t="s">
        <v>1771</v>
      </c>
      <c r="K1054" s="10" t="s">
        <v>4051</v>
      </c>
      <c r="L1054" s="11">
        <v>202124101489482</v>
      </c>
      <c r="M1054" s="20">
        <v>44421</v>
      </c>
      <c r="N1054" s="20" t="str">
        <f>UPPER(TEXT(Tabla1[[#This Row],[FECHA RADICADO ENTRADA]],"MMM"))</f>
        <v>AGO</v>
      </c>
      <c r="O1054" s="11">
        <v>202124111294271</v>
      </c>
      <c r="P1054" s="20">
        <v>44426</v>
      </c>
      <c r="Q1054" s="20" t="str">
        <f>IFERROR(UPPER(TEXT(MONTH(Tabla1[[#This Row],[FECHA RADICADO SALIDA]]),"MMM")),"")</f>
        <v>ENE</v>
      </c>
      <c r="R1054" s="26">
        <f t="shared" si="65"/>
        <v>-5</v>
      </c>
      <c r="S1054" s="10" t="s">
        <v>2145</v>
      </c>
      <c r="U1054" s="10" t="s">
        <v>3829</v>
      </c>
      <c r="V1054" s="20">
        <v>44479</v>
      </c>
      <c r="W1054" s="10" t="s">
        <v>38</v>
      </c>
      <c r="X1054" s="10">
        <v>300</v>
      </c>
      <c r="Y1054" s="11">
        <f>IFERROR(INT(Tabla1[[#This Row],[CANTIDAD UND FARMACEUTICAS]]/(VLOOKUP(Tabla1[[#This Row],[MEDICAMENTO]],TAB_REF!$K$3:$L$27,2,0))),"")</f>
        <v>15</v>
      </c>
      <c r="Z1054" s="10" t="str">
        <f>IFERROR(VLOOKUP(Tabla1[[#This Row],[MEDICAMENTO]],TAB_REF!$B$3:$F$27,2,0), "")</f>
        <v xml:space="preserve">Hidromorfona HCl </v>
      </c>
      <c r="AA1054" s="10" t="str">
        <f>IFERROR(VLOOKUP(Tabla1[[#This Row],[MEDICAMENTO]],TAB_REF!$B$3:$F$27,3,0), "")</f>
        <v xml:space="preserve">2,5 mg </v>
      </c>
      <c r="AB1054" s="10" t="str">
        <f>IFERROR(VLOOKUP(Tabla1[[#This Row],[MEDICAMENTO]],TAB_REF!$B$3:$F$27,4,0), "")</f>
        <v>Tabletas</v>
      </c>
      <c r="AC1054" s="10" t="str">
        <f>IFERROR(VLOOKUP(Tabla1[[#This Row],[MEDICAMENTO]],TAB_REF!$B$3:$F$27,5,0), "")</f>
        <v>Caja x 20 unidades</v>
      </c>
      <c r="AD1054" s="10" t="str">
        <f>IFERROR(VLOOKUP(Tabla1[[#This Row],[CANTIDAD UND COMERCIALES]],TAB_REF!$H$3:$I$1003,2,0)&amp;" ("&amp;Tabla1[[#This Row],[CANTIDAD UND COMERCIALES]]&amp;")"&amp;"_"&amp;Tabla1[[#This Row],[CANTIDAD]],"")</f>
        <v>Quince (15)_Caja x 20 unidades</v>
      </c>
    </row>
    <row r="1055" spans="2:30" x14ac:dyDescent="0.25">
      <c r="B1055" s="10">
        <v>439</v>
      </c>
      <c r="C1055" s="10" t="s">
        <v>3576</v>
      </c>
      <c r="D1055" s="10" t="s">
        <v>2182</v>
      </c>
      <c r="E1055" s="10" t="s">
        <v>4049</v>
      </c>
      <c r="F1055" s="10" t="s">
        <v>2452</v>
      </c>
      <c r="G1055" s="10" t="s">
        <v>4048</v>
      </c>
      <c r="H1055" s="10" t="s">
        <v>4050</v>
      </c>
      <c r="I1055" s="10" t="s">
        <v>2123</v>
      </c>
      <c r="J1055" s="10" t="s">
        <v>1771</v>
      </c>
      <c r="K1055" s="10" t="s">
        <v>4051</v>
      </c>
      <c r="L1055" s="11">
        <v>202124101489482</v>
      </c>
      <c r="M1055" s="20">
        <v>44421</v>
      </c>
      <c r="N1055" s="20" t="str">
        <f>UPPER(TEXT(Tabla1[[#This Row],[FECHA RADICADO ENTRADA]],"MMM"))</f>
        <v>AGO</v>
      </c>
      <c r="O1055" s="11">
        <v>202124111294271</v>
      </c>
      <c r="P1055" s="20">
        <v>44426</v>
      </c>
      <c r="Q1055" s="20" t="str">
        <f>IFERROR(UPPER(TEXT(MONTH(Tabla1[[#This Row],[FECHA RADICADO SALIDA]]),"MMM")),"")</f>
        <v>ENE</v>
      </c>
      <c r="R1055" s="26">
        <f t="shared" ref="R1055:R1059" si="69">_xlfn.DAYS(M1055,P1055)</f>
        <v>-5</v>
      </c>
      <c r="S1055" s="10" t="s">
        <v>2145</v>
      </c>
      <c r="T1055" s="10" t="s">
        <v>3336</v>
      </c>
      <c r="U1055" s="10" t="s">
        <v>3829</v>
      </c>
      <c r="V1055" s="20">
        <v>44479</v>
      </c>
      <c r="W1055" s="10" t="s">
        <v>28</v>
      </c>
      <c r="X1055" s="10">
        <v>0</v>
      </c>
      <c r="Y1055" s="11">
        <f>IFERROR(INT(Tabla1[[#This Row],[CANTIDAD UND FARMACEUTICAS]]/(VLOOKUP(Tabla1[[#This Row],[MEDICAMENTO]],TAB_REF!$K$3:$L$27,2,0))),"")</f>
        <v>0</v>
      </c>
      <c r="Z1055" s="10" t="str">
        <f>IFERROR(VLOOKUP(Tabla1[[#This Row],[MEDICAMENTO]],TAB_REF!$B$3:$F$27,2,0), "")</f>
        <v xml:space="preserve">Fenobarbital </v>
      </c>
      <c r="AA1055" s="10" t="str">
        <f>IFERROR(VLOOKUP(Tabla1[[#This Row],[MEDICAMENTO]],TAB_REF!$B$3:$F$27,3,0), "")</f>
        <v xml:space="preserve">0,4%. </v>
      </c>
      <c r="AB1055" s="10" t="str">
        <f>IFERROR(VLOOKUP(Tabla1[[#This Row],[MEDICAMENTO]],TAB_REF!$B$3:$F$27,4,0), "")</f>
        <v>Solución Oral</v>
      </c>
      <c r="AC1055" s="10" t="str">
        <f>IFERROR(VLOOKUP(Tabla1[[#This Row],[MEDICAMENTO]],TAB_REF!$B$3:$F$27,5,0), "")</f>
        <v>Frasco x 120 mL</v>
      </c>
      <c r="AD1055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056" spans="2:30" x14ac:dyDescent="0.25">
      <c r="B1056" s="10">
        <v>439</v>
      </c>
      <c r="C1056" s="10" t="s">
        <v>3576</v>
      </c>
      <c r="D1056" s="10" t="s">
        <v>2182</v>
      </c>
      <c r="E1056" s="10" t="s">
        <v>4049</v>
      </c>
      <c r="F1056" s="10" t="s">
        <v>2452</v>
      </c>
      <c r="G1056" s="10" t="s">
        <v>4048</v>
      </c>
      <c r="H1056" s="10" t="s">
        <v>4050</v>
      </c>
      <c r="I1056" s="10" t="s">
        <v>2123</v>
      </c>
      <c r="J1056" s="10" t="s">
        <v>1771</v>
      </c>
      <c r="K1056" s="10" t="s">
        <v>4051</v>
      </c>
      <c r="L1056" s="11">
        <v>202124101489482</v>
      </c>
      <c r="M1056" s="20">
        <v>44421</v>
      </c>
      <c r="N1056" s="20" t="str">
        <f>UPPER(TEXT(Tabla1[[#This Row],[FECHA RADICADO ENTRADA]],"MMM"))</f>
        <v>AGO</v>
      </c>
      <c r="O1056" s="11">
        <v>202124111294271</v>
      </c>
      <c r="P1056" s="20">
        <v>44426</v>
      </c>
      <c r="Q1056" s="20" t="str">
        <f>IFERROR(UPPER(TEXT(MONTH(Tabla1[[#This Row],[FECHA RADICADO SALIDA]]),"MMM")),"")</f>
        <v>ENE</v>
      </c>
      <c r="R1056" s="26">
        <f t="shared" si="69"/>
        <v>-5</v>
      </c>
      <c r="S1056" s="10" t="s">
        <v>2145</v>
      </c>
      <c r="T1056" s="10" t="s">
        <v>3336</v>
      </c>
      <c r="U1056" s="10" t="s">
        <v>3829</v>
      </c>
      <c r="V1056" s="20">
        <v>44479</v>
      </c>
      <c r="W1056" s="10" t="s">
        <v>32</v>
      </c>
      <c r="X1056" s="10">
        <v>0</v>
      </c>
      <c r="Y1056" s="11">
        <f>IFERROR(INT(Tabla1[[#This Row],[CANTIDAD UND FARMACEUTICAS]]/(VLOOKUP(Tabla1[[#This Row],[MEDICAMENTO]],TAB_REF!$K$3:$L$27,2,0))),"")</f>
        <v>0</v>
      </c>
      <c r="Z1056" s="10" t="str">
        <f>IFERROR(VLOOKUP(Tabla1[[#This Row],[MEDICAMENTO]],TAB_REF!$B$3:$F$27,2,0), "")</f>
        <v xml:space="preserve">Fenobarbital </v>
      </c>
      <c r="AA1056" s="10" t="str">
        <f>IFERROR(VLOOKUP(Tabla1[[#This Row],[MEDICAMENTO]],TAB_REF!$B$3:$F$27,3,0), "")</f>
        <v xml:space="preserve">100 mg </v>
      </c>
      <c r="AB1056" s="10" t="str">
        <f>IFERROR(VLOOKUP(Tabla1[[#This Row],[MEDICAMENTO]],TAB_REF!$B$3:$F$27,4,0), "")</f>
        <v>Tabletas</v>
      </c>
      <c r="AC1056" s="10" t="str">
        <f>IFERROR(VLOOKUP(Tabla1[[#This Row],[MEDICAMENTO]],TAB_REF!$B$3:$F$27,5,0), "")</f>
        <v>Caja x 30 unidades</v>
      </c>
      <c r="AD1056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057" spans="2:30" x14ac:dyDescent="0.25">
      <c r="B1057" s="10">
        <v>439</v>
      </c>
      <c r="C1057" s="10" t="s">
        <v>3576</v>
      </c>
      <c r="D1057" s="10" t="s">
        <v>2182</v>
      </c>
      <c r="E1057" s="10" t="s">
        <v>4049</v>
      </c>
      <c r="F1057" s="10" t="s">
        <v>2452</v>
      </c>
      <c r="G1057" s="10" t="s">
        <v>4048</v>
      </c>
      <c r="H1057" s="10" t="s">
        <v>4050</v>
      </c>
      <c r="I1057" s="10" t="s">
        <v>2123</v>
      </c>
      <c r="J1057" s="10" t="s">
        <v>1771</v>
      </c>
      <c r="K1057" s="10" t="s">
        <v>4051</v>
      </c>
      <c r="L1057" s="11">
        <v>202124101489482</v>
      </c>
      <c r="M1057" s="20">
        <v>44421</v>
      </c>
      <c r="N1057" s="20" t="str">
        <f>UPPER(TEXT(Tabla1[[#This Row],[FECHA RADICADO ENTRADA]],"MMM"))</f>
        <v>AGO</v>
      </c>
      <c r="O1057" s="11">
        <v>202124111294271</v>
      </c>
      <c r="P1057" s="20">
        <v>44426</v>
      </c>
      <c r="Q1057" s="20" t="str">
        <f>IFERROR(UPPER(TEXT(MONTH(Tabla1[[#This Row],[FECHA RADICADO SALIDA]]),"MMM")),"")</f>
        <v>ENE</v>
      </c>
      <c r="R1057" s="26">
        <f t="shared" si="69"/>
        <v>-5</v>
      </c>
      <c r="S1057" s="10" t="s">
        <v>2145</v>
      </c>
      <c r="T1057" s="10" t="s">
        <v>3336</v>
      </c>
      <c r="U1057" s="10" t="s">
        <v>3829</v>
      </c>
      <c r="V1057" s="20">
        <v>44479</v>
      </c>
      <c r="W1057" s="10" t="s">
        <v>33</v>
      </c>
      <c r="X1057" s="10">
        <v>0</v>
      </c>
      <c r="Y1057" s="11">
        <f>IFERROR(INT(Tabla1[[#This Row],[CANTIDAD UND FARMACEUTICAS]]/(VLOOKUP(Tabla1[[#This Row],[MEDICAMENTO]],TAB_REF!$K$3:$L$27,2,0))),"")</f>
        <v>0</v>
      </c>
      <c r="Z1057" s="10" t="str">
        <f>IFERROR(VLOOKUP(Tabla1[[#This Row],[MEDICAMENTO]],TAB_REF!$B$3:$F$27,2,0), "")</f>
        <v xml:space="preserve">Fenobarbital </v>
      </c>
      <c r="AA1057" s="10" t="str">
        <f>IFERROR(VLOOKUP(Tabla1[[#This Row],[MEDICAMENTO]],TAB_REF!$B$3:$F$27,3,0), "")</f>
        <v xml:space="preserve">50 mg </v>
      </c>
      <c r="AB1057" s="10" t="str">
        <f>IFERROR(VLOOKUP(Tabla1[[#This Row],[MEDICAMENTO]],TAB_REF!$B$3:$F$27,4,0), "")</f>
        <v>Tabletas</v>
      </c>
      <c r="AC1057" s="10" t="str">
        <f>IFERROR(VLOOKUP(Tabla1[[#This Row],[MEDICAMENTO]],TAB_REF!$B$3:$F$27,5,0), "")</f>
        <v>Caja x 30 unidades</v>
      </c>
      <c r="AD1057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058" spans="2:30" x14ac:dyDescent="0.25">
      <c r="B1058" s="10">
        <v>439</v>
      </c>
      <c r="C1058" s="10" t="s">
        <v>3576</v>
      </c>
      <c r="D1058" s="10" t="s">
        <v>2182</v>
      </c>
      <c r="E1058" s="10" t="s">
        <v>4049</v>
      </c>
      <c r="F1058" s="10" t="s">
        <v>2452</v>
      </c>
      <c r="G1058" s="10" t="s">
        <v>4048</v>
      </c>
      <c r="H1058" s="10" t="s">
        <v>4050</v>
      </c>
      <c r="I1058" s="10" t="s">
        <v>2123</v>
      </c>
      <c r="J1058" s="10" t="s">
        <v>1771</v>
      </c>
      <c r="K1058" s="10" t="s">
        <v>4051</v>
      </c>
      <c r="L1058" s="11">
        <v>202124101489482</v>
      </c>
      <c r="M1058" s="20">
        <v>44421</v>
      </c>
      <c r="N1058" s="20" t="str">
        <f>UPPER(TEXT(Tabla1[[#This Row],[FECHA RADICADO ENTRADA]],"MMM"))</f>
        <v>AGO</v>
      </c>
      <c r="O1058" s="11">
        <v>202124111294271</v>
      </c>
      <c r="P1058" s="20">
        <v>44426</v>
      </c>
      <c r="Q1058" s="20" t="str">
        <f>IFERROR(UPPER(TEXT(MONTH(Tabla1[[#This Row],[FECHA RADICADO SALIDA]]),"MMM")),"")</f>
        <v>ENE</v>
      </c>
      <c r="R1058" s="26">
        <f t="shared" si="69"/>
        <v>-5</v>
      </c>
      <c r="S1058" s="10" t="s">
        <v>2145</v>
      </c>
      <c r="T1058" s="10" t="s">
        <v>3336</v>
      </c>
      <c r="U1058" s="10" t="s">
        <v>3829</v>
      </c>
      <c r="V1058" s="20">
        <v>44479</v>
      </c>
      <c r="W1058" s="10" t="s">
        <v>60</v>
      </c>
      <c r="X1058" s="10">
        <v>0</v>
      </c>
      <c r="Y1058" s="11">
        <f>IFERROR(INT(Tabla1[[#This Row],[CANTIDAD UND FARMACEUTICAS]]/(VLOOKUP(Tabla1[[#This Row],[MEDICAMENTO]],TAB_REF!$K$3:$L$27,2,0))),"")</f>
        <v>0</v>
      </c>
      <c r="Z1058" s="10" t="str">
        <f>IFERROR(VLOOKUP(Tabla1[[#This Row],[MEDICAMENTO]],TAB_REF!$B$3:$F$27,2,0), "")</f>
        <v xml:space="preserve">Morfina HCl </v>
      </c>
      <c r="AA1058" s="10" t="str">
        <f>IFERROR(VLOOKUP(Tabla1[[#This Row],[MEDICAMENTO]],TAB_REF!$B$3:$F$27,3,0), "")</f>
        <v xml:space="preserve">3%. </v>
      </c>
      <c r="AB1058" s="10" t="str">
        <f>IFERROR(VLOOKUP(Tabla1[[#This Row],[MEDICAMENTO]],TAB_REF!$B$3:$F$27,4,0), "")</f>
        <v>Solución Oral</v>
      </c>
      <c r="AC1058" s="10" t="str">
        <f>IFERROR(VLOOKUP(Tabla1[[#This Row],[MEDICAMENTO]],TAB_REF!$B$3:$F$27,5,0), "")</f>
        <v>Frasco x 30 mL</v>
      </c>
      <c r="AD1058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059" spans="2:30" x14ac:dyDescent="0.25">
      <c r="B1059" s="10">
        <v>440</v>
      </c>
      <c r="C1059" s="10" t="s">
        <v>2654</v>
      </c>
      <c r="D1059" s="10" t="s">
        <v>3072</v>
      </c>
      <c r="E1059" s="10" t="s">
        <v>2655</v>
      </c>
      <c r="F1059" s="10" t="s">
        <v>4052</v>
      </c>
      <c r="G1059" s="10" t="s">
        <v>2657</v>
      </c>
      <c r="H1059" s="10" t="s">
        <v>2658</v>
      </c>
      <c r="I1059" s="10" t="s">
        <v>2122</v>
      </c>
      <c r="J1059" s="10" t="s">
        <v>1748</v>
      </c>
      <c r="K1059" s="10" t="s">
        <v>4053</v>
      </c>
      <c r="L1059" s="11">
        <v>202124101492132</v>
      </c>
      <c r="M1059" s="20">
        <v>44421</v>
      </c>
      <c r="N1059" s="20" t="str">
        <f>UPPER(TEXT(Tabla1[[#This Row],[FECHA RADICADO ENTRADA]],"MMM"))</f>
        <v>AGO</v>
      </c>
      <c r="O1059" s="11">
        <v>202124111286421</v>
      </c>
      <c r="P1059" s="20">
        <v>44424</v>
      </c>
      <c r="Q1059" s="20" t="str">
        <f>IFERROR(UPPER(TEXT(MONTH(Tabla1[[#This Row],[FECHA RADICADO SALIDA]]),"MMM")),"")</f>
        <v>ENE</v>
      </c>
      <c r="R1059" s="26">
        <f t="shared" si="69"/>
        <v>-3</v>
      </c>
      <c r="S1059" s="10" t="s">
        <v>2154</v>
      </c>
      <c r="U1059" s="10" t="s">
        <v>2660</v>
      </c>
      <c r="V1059" s="20">
        <v>43230</v>
      </c>
      <c r="W1059" s="10" t="s">
        <v>34</v>
      </c>
      <c r="X1059" s="10">
        <v>120</v>
      </c>
      <c r="Y1059" s="11">
        <f>IFERROR(INT(Tabla1[[#This Row],[CANTIDAD UND FARMACEUTICAS]]/(VLOOKUP(Tabla1[[#This Row],[MEDICAMENTO]],TAB_REF!$K$3:$L$27,2,0))),"")</f>
        <v>12</v>
      </c>
      <c r="Z1059" s="10" t="str">
        <f>IFERROR(VLOOKUP(Tabla1[[#This Row],[MEDICAMENTO]],TAB_REF!$B$3:$F$27,2,0), "")</f>
        <v xml:space="preserve">Fenobarbital Sódico </v>
      </c>
      <c r="AA1059" s="10" t="str">
        <f>IFERROR(VLOOKUP(Tabla1[[#This Row],[MEDICAMENTO]],TAB_REF!$B$3:$F$27,3,0), "")</f>
        <v xml:space="preserve">200 mg/Ml </v>
      </c>
      <c r="AB1059" s="10" t="str">
        <f>IFERROR(VLOOKUP(Tabla1[[#This Row],[MEDICAMENTO]],TAB_REF!$B$3:$F$27,4,0), "")</f>
        <v>Solución Inyectable</v>
      </c>
      <c r="AC1059" s="10" t="str">
        <f>IFERROR(VLOOKUP(Tabla1[[#This Row],[MEDICAMENTO]],TAB_REF!$B$3:$F$27,5,0), "")</f>
        <v>Caja x 10 unidades</v>
      </c>
      <c r="AD1059" s="10" t="str">
        <f>IFERROR(VLOOKUP(Tabla1[[#This Row],[CANTIDAD UND COMERCIALES]],TAB_REF!$H$3:$I$1003,2,0)&amp;" ("&amp;Tabla1[[#This Row],[CANTIDAD UND COMERCIALES]]&amp;")"&amp;"_"&amp;Tabla1[[#This Row],[CANTIDAD]],"")</f>
        <v>Doce (12)_Caja x 10 unidades</v>
      </c>
    </row>
    <row r="1060" spans="2:30" x14ac:dyDescent="0.25">
      <c r="B1060" s="10">
        <v>441</v>
      </c>
      <c r="C1060" s="10" t="s">
        <v>4054</v>
      </c>
      <c r="D1060" s="10" t="s">
        <v>2507</v>
      </c>
      <c r="E1060" s="10" t="s">
        <v>4055</v>
      </c>
      <c r="G1060" s="10" t="s">
        <v>4056</v>
      </c>
      <c r="K1060" s="10" t="s">
        <v>4057</v>
      </c>
      <c r="L1060" s="11">
        <v>202124101507602</v>
      </c>
      <c r="M1060" s="20">
        <v>44425</v>
      </c>
      <c r="N1060" s="20" t="str">
        <f>UPPER(TEXT(Tabla1[[#This Row],[FECHA RADICADO ENTRADA]],"MMM"))</f>
        <v>AGO</v>
      </c>
      <c r="O1060" s="11">
        <v>202124111310661</v>
      </c>
      <c r="P1060" s="20">
        <v>44428</v>
      </c>
      <c r="Q1060" s="20" t="str">
        <f>IFERROR(UPPER(TEXT(MONTH(Tabla1[[#This Row],[FECHA RADICADO SALIDA]]),"MMM")),"")</f>
        <v>ENE</v>
      </c>
      <c r="R1060" s="26">
        <f t="shared" si="65"/>
        <v>-3</v>
      </c>
      <c r="S1060" s="10" t="s">
        <v>2145</v>
      </c>
      <c r="T1060" s="10" t="s">
        <v>4058</v>
      </c>
      <c r="V1060" s="20"/>
      <c r="W1060" s="10" t="s">
        <v>60</v>
      </c>
      <c r="X1060" s="10">
        <v>0</v>
      </c>
      <c r="Y1060" s="11">
        <f>IFERROR(INT(Tabla1[[#This Row],[CANTIDAD UND FARMACEUTICAS]]/(VLOOKUP(Tabla1[[#This Row],[MEDICAMENTO]],TAB_REF!$K$3:$L$27,2,0))),"")</f>
        <v>0</v>
      </c>
      <c r="Z1060" s="10" t="str">
        <f>IFERROR(VLOOKUP(Tabla1[[#This Row],[MEDICAMENTO]],TAB_REF!$B$3:$F$27,2,0), "")</f>
        <v xml:space="preserve">Morfina HCl </v>
      </c>
      <c r="AA1060" s="10" t="str">
        <f>IFERROR(VLOOKUP(Tabla1[[#This Row],[MEDICAMENTO]],TAB_REF!$B$3:$F$27,3,0), "")</f>
        <v xml:space="preserve">3%. </v>
      </c>
      <c r="AB1060" s="10" t="str">
        <f>IFERROR(VLOOKUP(Tabla1[[#This Row],[MEDICAMENTO]],TAB_REF!$B$3:$F$27,4,0), "")</f>
        <v>Solución Oral</v>
      </c>
      <c r="AC1060" s="10" t="str">
        <f>IFERROR(VLOOKUP(Tabla1[[#This Row],[MEDICAMENTO]],TAB_REF!$B$3:$F$27,5,0), "")</f>
        <v>Frasco x 30 mL</v>
      </c>
      <c r="AD1060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061" spans="2:30" x14ac:dyDescent="0.25">
      <c r="B1061" s="10">
        <v>442</v>
      </c>
      <c r="C1061" s="10" t="s">
        <v>2654</v>
      </c>
      <c r="D1061" s="10" t="s">
        <v>3072</v>
      </c>
      <c r="E1061" s="10" t="s">
        <v>4059</v>
      </c>
      <c r="F1061" s="10" t="s">
        <v>4060</v>
      </c>
      <c r="G1061" s="10" t="s">
        <v>2657</v>
      </c>
      <c r="H1061" s="10" t="s">
        <v>4061</v>
      </c>
      <c r="I1061" s="10" t="s">
        <v>2122</v>
      </c>
      <c r="J1061" s="10" t="s">
        <v>1748</v>
      </c>
      <c r="K1061" s="10" t="s">
        <v>4062</v>
      </c>
      <c r="L1061" s="11">
        <v>202124101501162</v>
      </c>
      <c r="M1061" s="20">
        <v>44425</v>
      </c>
      <c r="N1061" s="20" t="str">
        <f>UPPER(TEXT(Tabla1[[#This Row],[FECHA RADICADO ENTRADA]],"MMM"))</f>
        <v>AGO</v>
      </c>
      <c r="O1061" s="11">
        <v>202124111310711</v>
      </c>
      <c r="P1061" s="20">
        <v>44428</v>
      </c>
      <c r="Q1061" s="20" t="str">
        <f>IFERROR(UPPER(TEXT(MONTH(Tabla1[[#This Row],[FECHA RADICADO SALIDA]]),"MMM")),"")</f>
        <v>ENE</v>
      </c>
      <c r="R1061" s="26">
        <f t="shared" si="65"/>
        <v>-3</v>
      </c>
      <c r="S1061" s="10" t="s">
        <v>2154</v>
      </c>
      <c r="U1061" s="10" t="s">
        <v>4063</v>
      </c>
      <c r="V1061" s="20">
        <v>42751</v>
      </c>
      <c r="W1061" s="10" t="s">
        <v>34</v>
      </c>
      <c r="X1061" s="10">
        <v>100</v>
      </c>
      <c r="Y1061" s="11">
        <f>IFERROR(INT(Tabla1[[#This Row],[CANTIDAD UND FARMACEUTICAS]]/(VLOOKUP(Tabla1[[#This Row],[MEDICAMENTO]],TAB_REF!$K$3:$L$27,2,0))),"")</f>
        <v>10</v>
      </c>
      <c r="Z1061" s="10" t="str">
        <f>IFERROR(VLOOKUP(Tabla1[[#This Row],[MEDICAMENTO]],TAB_REF!$B$3:$F$27,2,0), "")</f>
        <v xml:space="preserve">Fenobarbital Sódico </v>
      </c>
      <c r="AA1061" s="10" t="str">
        <f>IFERROR(VLOOKUP(Tabla1[[#This Row],[MEDICAMENTO]],TAB_REF!$B$3:$F$27,3,0), "")</f>
        <v xml:space="preserve">200 mg/Ml </v>
      </c>
      <c r="AB1061" s="10" t="str">
        <f>IFERROR(VLOOKUP(Tabla1[[#This Row],[MEDICAMENTO]],TAB_REF!$B$3:$F$27,4,0), "")</f>
        <v>Solución Inyectable</v>
      </c>
      <c r="AC1061" s="10" t="str">
        <f>IFERROR(VLOOKUP(Tabla1[[#This Row],[MEDICAMENTO]],TAB_REF!$B$3:$F$27,5,0), "")</f>
        <v>Caja x 10 unidades</v>
      </c>
      <c r="AD1061" s="10" t="str">
        <f>IFERROR(VLOOKUP(Tabla1[[#This Row],[CANTIDAD UND COMERCIALES]],TAB_REF!$H$3:$I$1003,2,0)&amp;" ("&amp;Tabla1[[#This Row],[CANTIDAD UND COMERCIALES]]&amp;")"&amp;"_"&amp;Tabla1[[#This Row],[CANTIDAD]],"")</f>
        <v>Diez (10)_Caja x 10 unidades</v>
      </c>
    </row>
    <row r="1062" spans="2:30" x14ac:dyDescent="0.25">
      <c r="B1062" s="10">
        <v>442</v>
      </c>
      <c r="C1062" s="10" t="s">
        <v>2654</v>
      </c>
      <c r="D1062" s="10" t="s">
        <v>3072</v>
      </c>
      <c r="E1062" s="10" t="s">
        <v>4059</v>
      </c>
      <c r="F1062" s="10" t="s">
        <v>4060</v>
      </c>
      <c r="G1062" s="10" t="s">
        <v>2657</v>
      </c>
      <c r="H1062" s="10" t="s">
        <v>4061</v>
      </c>
      <c r="I1062" s="10" t="s">
        <v>2122</v>
      </c>
      <c r="J1062" s="10" t="s">
        <v>1748</v>
      </c>
      <c r="K1062" s="10" t="s">
        <v>4062</v>
      </c>
      <c r="L1062" s="11">
        <v>202124101501162</v>
      </c>
      <c r="M1062" s="20">
        <v>44425</v>
      </c>
      <c r="N1062" s="20" t="str">
        <f>UPPER(TEXT(Tabla1[[#This Row],[FECHA RADICADO ENTRADA]],"MMM"))</f>
        <v>AGO</v>
      </c>
      <c r="O1062" s="11">
        <v>202124111310711</v>
      </c>
      <c r="P1062" s="20">
        <v>44428</v>
      </c>
      <c r="Q1062" s="20" t="str">
        <f>IFERROR(UPPER(TEXT(MONTH(Tabla1[[#This Row],[FECHA RADICADO SALIDA]]),"MMM")),"")</f>
        <v>ENE</v>
      </c>
      <c r="R1062" s="26">
        <f t="shared" si="65"/>
        <v>-3</v>
      </c>
      <c r="S1062" s="10" t="s">
        <v>2154</v>
      </c>
      <c r="U1062" s="10" t="s">
        <v>4063</v>
      </c>
      <c r="V1062" s="20">
        <v>42751</v>
      </c>
      <c r="W1062" s="10" t="s">
        <v>41</v>
      </c>
      <c r="X1062" s="10">
        <v>100</v>
      </c>
      <c r="Y1062" s="11">
        <f>IFERROR(INT(Tabla1[[#This Row],[CANTIDAD UND FARMACEUTICAS]]/(VLOOKUP(Tabla1[[#This Row],[MEDICAMENTO]],TAB_REF!$K$3:$L$27,2,0))),"")</f>
        <v>10</v>
      </c>
      <c r="Z1062" s="10" t="str">
        <f>IFERROR(VLOOKUP(Tabla1[[#This Row],[MEDICAMENTO]],TAB_REF!$B$3:$F$27,2,0), "")</f>
        <v xml:space="preserve">Meperidina HCl </v>
      </c>
      <c r="AA1062" s="10" t="str">
        <f>IFERROR(VLOOKUP(Tabla1[[#This Row],[MEDICAMENTO]],TAB_REF!$B$3:$F$27,3,0), "")</f>
        <v xml:space="preserve">100 mg/2mL </v>
      </c>
      <c r="AB1062" s="10" t="str">
        <f>IFERROR(VLOOKUP(Tabla1[[#This Row],[MEDICAMENTO]],TAB_REF!$B$3:$F$27,4,0), "")</f>
        <v>Solución Inyectable</v>
      </c>
      <c r="AC1062" s="10" t="str">
        <f>IFERROR(VLOOKUP(Tabla1[[#This Row],[MEDICAMENTO]],TAB_REF!$B$3:$F$27,5,0), "")</f>
        <v>Caja 10 ampollas</v>
      </c>
      <c r="AD1062" s="10" t="str">
        <f>IFERROR(VLOOKUP(Tabla1[[#This Row],[CANTIDAD UND COMERCIALES]],TAB_REF!$H$3:$I$1003,2,0)&amp;" ("&amp;Tabla1[[#This Row],[CANTIDAD UND COMERCIALES]]&amp;")"&amp;"_"&amp;Tabla1[[#This Row],[CANTIDAD]],"")</f>
        <v>Diez (10)_Caja 10 ampollas</v>
      </c>
    </row>
    <row r="1063" spans="2:30" x14ac:dyDescent="0.25">
      <c r="B1063" s="10">
        <v>442</v>
      </c>
      <c r="C1063" s="10" t="s">
        <v>2654</v>
      </c>
      <c r="D1063" s="10" t="s">
        <v>3072</v>
      </c>
      <c r="E1063" s="10" t="s">
        <v>4059</v>
      </c>
      <c r="F1063" s="10" t="s">
        <v>4060</v>
      </c>
      <c r="G1063" s="10" t="s">
        <v>2657</v>
      </c>
      <c r="H1063" s="10" t="s">
        <v>4061</v>
      </c>
      <c r="I1063" s="10" t="s">
        <v>2122</v>
      </c>
      <c r="J1063" s="10" t="s">
        <v>1748</v>
      </c>
      <c r="K1063" s="10" t="s">
        <v>4062</v>
      </c>
      <c r="L1063" s="11">
        <v>202124101501162</v>
      </c>
      <c r="M1063" s="20">
        <v>44425</v>
      </c>
      <c r="N1063" s="20" t="str">
        <f>UPPER(TEXT(Tabla1[[#This Row],[FECHA RADICADO ENTRADA]],"MMM"))</f>
        <v>AGO</v>
      </c>
      <c r="O1063" s="11">
        <v>202124111310711</v>
      </c>
      <c r="P1063" s="20">
        <v>44428</v>
      </c>
      <c r="Q1063" s="20" t="str">
        <f>IFERROR(UPPER(TEXT(MONTH(Tabla1[[#This Row],[FECHA RADICADO SALIDA]]),"MMM")),"")</f>
        <v>ENE</v>
      </c>
      <c r="R1063" s="26">
        <f t="shared" si="65"/>
        <v>-3</v>
      </c>
      <c r="S1063" s="10" t="s">
        <v>2154</v>
      </c>
      <c r="U1063" s="10" t="s">
        <v>4063</v>
      </c>
      <c r="V1063" s="20">
        <v>42751</v>
      </c>
      <c r="W1063" s="10" t="s">
        <v>63</v>
      </c>
      <c r="X1063" s="10">
        <v>100</v>
      </c>
      <c r="Y1063" s="11">
        <f>IFERROR(INT(Tabla1[[#This Row],[CANTIDAD UND FARMACEUTICAS]]/(VLOOKUP(Tabla1[[#This Row],[MEDICAMENTO]],TAB_REF!$K$3:$L$27,2,0))),"")</f>
        <v>10</v>
      </c>
      <c r="Z1063" s="10" t="str">
        <f>IFERROR(VLOOKUP(Tabla1[[#This Row],[MEDICAMENTO]],TAB_REF!$B$3:$F$27,2,0), "")</f>
        <v xml:space="preserve">Morfina HCl </v>
      </c>
      <c r="AA1063" s="10" t="str">
        <f>IFERROR(VLOOKUP(Tabla1[[#This Row],[MEDICAMENTO]],TAB_REF!$B$3:$F$27,3,0), "")</f>
        <v xml:space="preserve">10 mg/mL </v>
      </c>
      <c r="AB1063" s="10" t="str">
        <f>IFERROR(VLOOKUP(Tabla1[[#This Row],[MEDICAMENTO]],TAB_REF!$B$3:$F$27,4,0), "")</f>
        <v>Solución Inyectable</v>
      </c>
      <c r="AC1063" s="10" t="str">
        <f>IFERROR(VLOOKUP(Tabla1[[#This Row],[MEDICAMENTO]],TAB_REF!$B$3:$F$27,5,0), "")</f>
        <v>Caja x 10 unidades</v>
      </c>
      <c r="AD1063" s="10" t="str">
        <f>IFERROR(VLOOKUP(Tabla1[[#This Row],[CANTIDAD UND COMERCIALES]],TAB_REF!$H$3:$I$1003,2,0)&amp;" ("&amp;Tabla1[[#This Row],[CANTIDAD UND COMERCIALES]]&amp;")"&amp;"_"&amp;Tabla1[[#This Row],[CANTIDAD]],"")</f>
        <v>Diez (10)_Caja x 10 unidades</v>
      </c>
    </row>
    <row r="1064" spans="2:30" x14ac:dyDescent="0.25">
      <c r="B1064" s="10">
        <v>443</v>
      </c>
      <c r="C1064" s="10" t="s">
        <v>2957</v>
      </c>
      <c r="D1064" s="10" t="s">
        <v>2175</v>
      </c>
      <c r="E1064" s="10" t="s">
        <v>2958</v>
      </c>
      <c r="F1064" s="10" t="s">
        <v>3095</v>
      </c>
      <c r="G1064" s="10" t="s">
        <v>2959</v>
      </c>
      <c r="H1064" s="10" t="s">
        <v>4064</v>
      </c>
      <c r="I1064" s="10" t="s">
        <v>2123</v>
      </c>
      <c r="J1064" s="10" t="s">
        <v>1770</v>
      </c>
      <c r="K1064" s="10" t="s">
        <v>3976</v>
      </c>
      <c r="L1064" s="11">
        <v>202124101501642</v>
      </c>
      <c r="M1064" s="20">
        <v>44425</v>
      </c>
      <c r="N1064" s="20" t="str">
        <f>UPPER(TEXT(Tabla1[[#This Row],[FECHA RADICADO ENTRADA]],"MMM"))</f>
        <v>AGO</v>
      </c>
      <c r="O1064" s="11">
        <v>202124111310721</v>
      </c>
      <c r="P1064" s="20">
        <v>44428</v>
      </c>
      <c r="Q1064" s="20" t="str">
        <f>IFERROR(UPPER(TEXT(MONTH(Tabla1[[#This Row],[FECHA RADICADO SALIDA]]),"MMM")),"")</f>
        <v>ENE</v>
      </c>
      <c r="R1064" s="26">
        <f t="shared" ref="R1064:R1074" si="70">_xlfn.DAYS(M1064,P1064)</f>
        <v>-3</v>
      </c>
      <c r="S1064" s="10" t="s">
        <v>2154</v>
      </c>
      <c r="U1064" s="10" t="s">
        <v>4065</v>
      </c>
      <c r="V1064" s="20">
        <v>42885</v>
      </c>
      <c r="W1064" s="10" t="s">
        <v>28</v>
      </c>
      <c r="X1064" s="10">
        <v>200</v>
      </c>
      <c r="Y1064" s="11">
        <f>IFERROR(INT(Tabla1[[#This Row],[CANTIDAD UND FARMACEUTICAS]]/(VLOOKUP(Tabla1[[#This Row],[MEDICAMENTO]],TAB_REF!$K$3:$L$27,2,0))),"")</f>
        <v>200</v>
      </c>
      <c r="Z1064" s="10" t="str">
        <f>IFERROR(VLOOKUP(Tabla1[[#This Row],[MEDICAMENTO]],TAB_REF!$B$3:$F$27,2,0), "")</f>
        <v xml:space="preserve">Fenobarbital </v>
      </c>
      <c r="AA1064" s="10" t="str">
        <f>IFERROR(VLOOKUP(Tabla1[[#This Row],[MEDICAMENTO]],TAB_REF!$B$3:$F$27,3,0), "")</f>
        <v xml:space="preserve">0,4%. </v>
      </c>
      <c r="AB1064" s="10" t="str">
        <f>IFERROR(VLOOKUP(Tabla1[[#This Row],[MEDICAMENTO]],TAB_REF!$B$3:$F$27,4,0), "")</f>
        <v>Solución Oral</v>
      </c>
      <c r="AC1064" s="10" t="str">
        <f>IFERROR(VLOOKUP(Tabla1[[#This Row],[MEDICAMENTO]],TAB_REF!$B$3:$F$27,5,0), "")</f>
        <v>Frasco x 120 mL</v>
      </c>
      <c r="AD1064" s="10" t="str">
        <f>IFERROR(VLOOKUP(Tabla1[[#This Row],[CANTIDAD UND COMERCIALES]],TAB_REF!$H$3:$I$1003,2,0)&amp;" ("&amp;Tabla1[[#This Row],[CANTIDAD UND COMERCIALES]]&amp;")"&amp;"_"&amp;Tabla1[[#This Row],[CANTIDAD]],"")</f>
        <v>Doscientos (200)_Frasco x 120 mL</v>
      </c>
    </row>
    <row r="1065" spans="2:30" x14ac:dyDescent="0.25">
      <c r="B1065" s="10">
        <v>443</v>
      </c>
      <c r="C1065" s="10" t="s">
        <v>2957</v>
      </c>
      <c r="D1065" s="10" t="s">
        <v>2175</v>
      </c>
      <c r="E1065" s="10" t="s">
        <v>2958</v>
      </c>
      <c r="F1065" s="10" t="s">
        <v>3095</v>
      </c>
      <c r="G1065" s="10" t="s">
        <v>2959</v>
      </c>
      <c r="H1065" s="10" t="s">
        <v>4064</v>
      </c>
      <c r="I1065" s="10" t="s">
        <v>2123</v>
      </c>
      <c r="J1065" s="10" t="s">
        <v>1770</v>
      </c>
      <c r="K1065" s="10" t="s">
        <v>3976</v>
      </c>
      <c r="L1065" s="11">
        <v>202124101501642</v>
      </c>
      <c r="M1065" s="20">
        <v>44425</v>
      </c>
      <c r="N1065" s="20" t="str">
        <f>UPPER(TEXT(Tabla1[[#This Row],[FECHA RADICADO ENTRADA]],"MMM"))</f>
        <v>AGO</v>
      </c>
      <c r="O1065" s="11">
        <v>202124111310721</v>
      </c>
      <c r="P1065" s="20">
        <v>44428</v>
      </c>
      <c r="Q1065" s="20" t="str">
        <f>IFERROR(UPPER(TEXT(MONTH(Tabla1[[#This Row],[FECHA RADICADO SALIDA]]),"MMM")),"")</f>
        <v>ENE</v>
      </c>
      <c r="R1065" s="26">
        <f t="shared" si="70"/>
        <v>-3</v>
      </c>
      <c r="S1065" s="10" t="s">
        <v>2145</v>
      </c>
      <c r="T1065" s="10" t="s">
        <v>3336</v>
      </c>
      <c r="U1065" s="10" t="s">
        <v>4065</v>
      </c>
      <c r="V1065" s="20">
        <v>42885</v>
      </c>
      <c r="W1065" s="10" t="s">
        <v>32</v>
      </c>
      <c r="X1065" s="10">
        <v>0</v>
      </c>
      <c r="Y1065" s="11">
        <f>IFERROR(INT(Tabla1[[#This Row],[CANTIDAD UND FARMACEUTICAS]]/(VLOOKUP(Tabla1[[#This Row],[MEDICAMENTO]],TAB_REF!$K$3:$L$27,2,0))),"")</f>
        <v>0</v>
      </c>
      <c r="Z1065" s="26" t="str">
        <f>IFERROR(VLOOKUP(Tabla1[[#This Row],[MEDICAMENTO]],TAB_REF!$B$3:$F$27,2,0), "")</f>
        <v xml:space="preserve">Fenobarbital </v>
      </c>
      <c r="AA1065" s="26" t="str">
        <f>IFERROR(VLOOKUP(Tabla1[[#This Row],[MEDICAMENTO]],TAB_REF!$B$3:$F$27,3,0), "")</f>
        <v xml:space="preserve">100 mg </v>
      </c>
      <c r="AB1065" s="26" t="str">
        <f>IFERROR(VLOOKUP(Tabla1[[#This Row],[MEDICAMENTO]],TAB_REF!$B$3:$F$27,4,0), "")</f>
        <v>Tabletas</v>
      </c>
      <c r="AC1065" s="26" t="str">
        <f>IFERROR(VLOOKUP(Tabla1[[#This Row],[MEDICAMENTO]],TAB_REF!$B$3:$F$27,5,0), "")</f>
        <v>Caja x 30 unidades</v>
      </c>
      <c r="AD1065" s="26" t="str">
        <f>IFERROR(VLOOKUP(Tabla1[[#This Row],[CANTIDAD UND COMERCIALES]],TAB_REF!$H$3:$I$1003,2,0)&amp;" ("&amp;Tabla1[[#This Row],[CANTIDAD UND COMERCIALES]]&amp;")"&amp;"_"&amp;Tabla1[[#This Row],[CANTIDAD]],"")</f>
        <v/>
      </c>
    </row>
    <row r="1066" spans="2:30" x14ac:dyDescent="0.25">
      <c r="B1066" s="10">
        <v>443</v>
      </c>
      <c r="C1066" s="10" t="s">
        <v>2957</v>
      </c>
      <c r="D1066" s="10" t="s">
        <v>2175</v>
      </c>
      <c r="E1066" s="10" t="s">
        <v>2958</v>
      </c>
      <c r="F1066" s="10" t="s">
        <v>3095</v>
      </c>
      <c r="G1066" s="10" t="s">
        <v>2959</v>
      </c>
      <c r="H1066" s="10" t="s">
        <v>4064</v>
      </c>
      <c r="I1066" s="10" t="s">
        <v>2123</v>
      </c>
      <c r="J1066" s="10" t="s">
        <v>1770</v>
      </c>
      <c r="K1066" s="10" t="s">
        <v>3976</v>
      </c>
      <c r="L1066" s="11">
        <v>202124101501642</v>
      </c>
      <c r="M1066" s="20">
        <v>44425</v>
      </c>
      <c r="N1066" s="20" t="str">
        <f>UPPER(TEXT(Tabla1[[#This Row],[FECHA RADICADO ENTRADA]],"MMM"))</f>
        <v>AGO</v>
      </c>
      <c r="O1066" s="11">
        <v>202124111310721</v>
      </c>
      <c r="P1066" s="20">
        <v>44428</v>
      </c>
      <c r="Q1066" s="20" t="str">
        <f>IFERROR(UPPER(TEXT(MONTH(Tabla1[[#This Row],[FECHA RADICADO SALIDA]]),"MMM")),"")</f>
        <v>ENE</v>
      </c>
      <c r="R1066" s="26">
        <f t="shared" si="70"/>
        <v>-3</v>
      </c>
      <c r="S1066" s="10" t="s">
        <v>2154</v>
      </c>
      <c r="U1066" s="10" t="s">
        <v>4065</v>
      </c>
      <c r="V1066" s="20">
        <v>42885</v>
      </c>
      <c r="W1066" s="10" t="s">
        <v>38</v>
      </c>
      <c r="X1066" s="10">
        <v>4000</v>
      </c>
      <c r="Y1066" s="11">
        <f>IFERROR(INT(Tabla1[[#This Row],[CANTIDAD UND FARMACEUTICAS]]/(VLOOKUP(Tabla1[[#This Row],[MEDICAMENTO]],TAB_REF!$K$3:$L$27,2,0))),"")</f>
        <v>200</v>
      </c>
      <c r="Z1066" s="26" t="str">
        <f>IFERROR(VLOOKUP(Tabla1[[#This Row],[MEDICAMENTO]],TAB_REF!$B$3:$F$27,2,0), "")</f>
        <v xml:space="preserve">Hidromorfona HCl </v>
      </c>
      <c r="AA1066" s="26" t="str">
        <f>IFERROR(VLOOKUP(Tabla1[[#This Row],[MEDICAMENTO]],TAB_REF!$B$3:$F$27,3,0), "")</f>
        <v xml:space="preserve">2,5 mg </v>
      </c>
      <c r="AB1066" s="26" t="str">
        <f>IFERROR(VLOOKUP(Tabla1[[#This Row],[MEDICAMENTO]],TAB_REF!$B$3:$F$27,4,0), "")</f>
        <v>Tabletas</v>
      </c>
      <c r="AC1066" s="26" t="str">
        <f>IFERROR(VLOOKUP(Tabla1[[#This Row],[MEDICAMENTO]],TAB_REF!$B$3:$F$27,5,0), "")</f>
        <v>Caja x 20 unidades</v>
      </c>
      <c r="AD1066" s="26" t="str">
        <f>IFERROR(VLOOKUP(Tabla1[[#This Row],[CANTIDAD UND COMERCIALES]],TAB_REF!$H$3:$I$1003,2,0)&amp;" ("&amp;Tabla1[[#This Row],[CANTIDAD UND COMERCIALES]]&amp;")"&amp;"_"&amp;Tabla1[[#This Row],[CANTIDAD]],"")</f>
        <v>Doscientos (200)_Caja x 20 unidades</v>
      </c>
    </row>
    <row r="1067" spans="2:30" x14ac:dyDescent="0.25">
      <c r="B1067" s="10">
        <v>443</v>
      </c>
      <c r="C1067" s="10" t="s">
        <v>2957</v>
      </c>
      <c r="D1067" s="10" t="s">
        <v>2175</v>
      </c>
      <c r="E1067" s="10" t="s">
        <v>2958</v>
      </c>
      <c r="F1067" s="10" t="s">
        <v>3095</v>
      </c>
      <c r="G1067" s="10" t="s">
        <v>2959</v>
      </c>
      <c r="H1067" s="10" t="s">
        <v>4064</v>
      </c>
      <c r="I1067" s="10" t="s">
        <v>2123</v>
      </c>
      <c r="J1067" s="10" t="s">
        <v>1770</v>
      </c>
      <c r="K1067" s="10" t="s">
        <v>3976</v>
      </c>
      <c r="L1067" s="11">
        <v>202124101501642</v>
      </c>
      <c r="M1067" s="20">
        <v>44425</v>
      </c>
      <c r="N1067" s="20" t="str">
        <f>UPPER(TEXT(Tabla1[[#This Row],[FECHA RADICADO ENTRADA]],"MMM"))</f>
        <v>AGO</v>
      </c>
      <c r="O1067" s="11">
        <v>202124111310721</v>
      </c>
      <c r="P1067" s="20">
        <v>44428</v>
      </c>
      <c r="Q1067" s="20" t="str">
        <f>IFERROR(UPPER(TEXT(MONTH(Tabla1[[#This Row],[FECHA RADICADO SALIDA]]),"MMM")),"")</f>
        <v>ENE</v>
      </c>
      <c r="R1067" s="26">
        <f t="shared" si="70"/>
        <v>-3</v>
      </c>
      <c r="S1067" s="10" t="s">
        <v>2154</v>
      </c>
      <c r="U1067" s="10" t="s">
        <v>4065</v>
      </c>
      <c r="V1067" s="20">
        <v>42885</v>
      </c>
      <c r="W1067" s="10" t="s">
        <v>60</v>
      </c>
      <c r="X1067" s="10">
        <v>300</v>
      </c>
      <c r="Y1067" s="11">
        <f>IFERROR(INT(Tabla1[[#This Row],[CANTIDAD UND FARMACEUTICAS]]/(VLOOKUP(Tabla1[[#This Row],[MEDICAMENTO]],TAB_REF!$K$3:$L$27,2,0))),"")</f>
        <v>300</v>
      </c>
      <c r="Z1067" s="26" t="str">
        <f>IFERROR(VLOOKUP(Tabla1[[#This Row],[MEDICAMENTO]],TAB_REF!$B$3:$F$27,2,0), "")</f>
        <v xml:space="preserve">Morfina HCl </v>
      </c>
      <c r="AA1067" s="26" t="str">
        <f>IFERROR(VLOOKUP(Tabla1[[#This Row],[MEDICAMENTO]],TAB_REF!$B$3:$F$27,3,0), "")</f>
        <v xml:space="preserve">3%. </v>
      </c>
      <c r="AB1067" s="26" t="str">
        <f>IFERROR(VLOOKUP(Tabla1[[#This Row],[MEDICAMENTO]],TAB_REF!$B$3:$F$27,4,0), "")</f>
        <v>Solución Oral</v>
      </c>
      <c r="AC1067" s="26" t="str">
        <f>IFERROR(VLOOKUP(Tabla1[[#This Row],[MEDICAMENTO]],TAB_REF!$B$3:$F$27,5,0), "")</f>
        <v>Frasco x 30 mL</v>
      </c>
      <c r="AD1067" s="26" t="str">
        <f>IFERROR(VLOOKUP(Tabla1[[#This Row],[CANTIDAD UND COMERCIALES]],TAB_REF!$H$3:$I$1003,2,0)&amp;" ("&amp;Tabla1[[#This Row],[CANTIDAD UND COMERCIALES]]&amp;")"&amp;"_"&amp;Tabla1[[#This Row],[CANTIDAD]],"")</f>
        <v>Trescientos (300)_Frasco x 30 mL</v>
      </c>
    </row>
    <row r="1068" spans="2:30" x14ac:dyDescent="0.25">
      <c r="B1068" s="10">
        <v>443</v>
      </c>
      <c r="C1068" s="10" t="s">
        <v>2957</v>
      </c>
      <c r="D1068" s="10" t="s">
        <v>2175</v>
      </c>
      <c r="E1068" s="10" t="s">
        <v>2958</v>
      </c>
      <c r="F1068" s="10" t="s">
        <v>3095</v>
      </c>
      <c r="G1068" s="10" t="s">
        <v>2959</v>
      </c>
      <c r="H1068" s="10" t="s">
        <v>4064</v>
      </c>
      <c r="I1068" s="10" t="s">
        <v>2123</v>
      </c>
      <c r="J1068" s="10" t="s">
        <v>1770</v>
      </c>
      <c r="K1068" s="10" t="s">
        <v>3976</v>
      </c>
      <c r="L1068" s="11">
        <v>202124101501642</v>
      </c>
      <c r="M1068" s="20">
        <v>44425</v>
      </c>
      <c r="N1068" s="20" t="str">
        <f>UPPER(TEXT(Tabla1[[#This Row],[FECHA RADICADO ENTRADA]],"MMM"))</f>
        <v>AGO</v>
      </c>
      <c r="O1068" s="11">
        <v>202124111310721</v>
      </c>
      <c r="P1068" s="20">
        <v>44428</v>
      </c>
      <c r="Q1068" s="20" t="str">
        <f>IFERROR(UPPER(TEXT(MONTH(Tabla1[[#This Row],[FECHA RADICADO SALIDA]]),"MMM")),"")</f>
        <v>ENE</v>
      </c>
      <c r="R1068" s="26">
        <f t="shared" si="70"/>
        <v>-3</v>
      </c>
      <c r="S1068" s="10" t="s">
        <v>2154</v>
      </c>
      <c r="U1068" s="10" t="s">
        <v>4065</v>
      </c>
      <c r="V1068" s="20">
        <v>42885</v>
      </c>
      <c r="W1068" s="10" t="s">
        <v>44</v>
      </c>
      <c r="X1068" s="10">
        <v>600</v>
      </c>
      <c r="Y1068" s="11">
        <f>IFERROR(INT(Tabla1[[#This Row],[CANTIDAD UND FARMACEUTICAS]]/(VLOOKUP(Tabla1[[#This Row],[MEDICAMENTO]],TAB_REF!$K$3:$L$27,2,0))),"")</f>
        <v>30</v>
      </c>
      <c r="Z1068" s="26" t="str">
        <f>IFERROR(VLOOKUP(Tabla1[[#This Row],[MEDICAMENTO]],TAB_REF!$B$3:$F$27,2,0), "")</f>
        <v xml:space="preserve">Metadona HCl </v>
      </c>
      <c r="AA1068" s="26" t="str">
        <f>IFERROR(VLOOKUP(Tabla1[[#This Row],[MEDICAMENTO]],TAB_REF!$B$3:$F$27,3,0), "")</f>
        <v xml:space="preserve">10 mg </v>
      </c>
      <c r="AB1068" s="26" t="str">
        <f>IFERROR(VLOOKUP(Tabla1[[#This Row],[MEDICAMENTO]],TAB_REF!$B$3:$F$27,4,0), "")</f>
        <v>Tabletas IMPORTADA</v>
      </c>
      <c r="AC1068" s="26" t="str">
        <f>IFERROR(VLOOKUP(Tabla1[[#This Row],[MEDICAMENTO]],TAB_REF!$B$3:$F$27,5,0), "")</f>
        <v>Frasco x 20 unidades</v>
      </c>
      <c r="AD1068" s="26" t="str">
        <f>IFERROR(VLOOKUP(Tabla1[[#This Row],[CANTIDAD UND COMERCIALES]],TAB_REF!$H$3:$I$1003,2,0)&amp;" ("&amp;Tabla1[[#This Row],[CANTIDAD UND COMERCIALES]]&amp;")"&amp;"_"&amp;Tabla1[[#This Row],[CANTIDAD]],"")</f>
        <v>Treinta (30)_Frasco x 20 unidades</v>
      </c>
    </row>
    <row r="1069" spans="2:30" x14ac:dyDescent="0.25">
      <c r="B1069" s="10">
        <v>443</v>
      </c>
      <c r="C1069" s="10" t="s">
        <v>2957</v>
      </c>
      <c r="D1069" s="10" t="s">
        <v>2175</v>
      </c>
      <c r="E1069" s="10" t="s">
        <v>2958</v>
      </c>
      <c r="F1069" s="10" t="s">
        <v>3095</v>
      </c>
      <c r="G1069" s="10" t="s">
        <v>2959</v>
      </c>
      <c r="H1069" s="10" t="s">
        <v>4064</v>
      </c>
      <c r="I1069" s="10" t="s">
        <v>2123</v>
      </c>
      <c r="J1069" s="10" t="s">
        <v>1770</v>
      </c>
      <c r="K1069" s="10" t="s">
        <v>3976</v>
      </c>
      <c r="L1069" s="11">
        <v>202124101501642</v>
      </c>
      <c r="M1069" s="20">
        <v>44425</v>
      </c>
      <c r="N1069" s="20" t="str">
        <f>UPPER(TEXT(Tabla1[[#This Row],[FECHA RADICADO ENTRADA]],"MMM"))</f>
        <v>AGO</v>
      </c>
      <c r="O1069" s="11">
        <v>202124111310721</v>
      </c>
      <c r="P1069" s="20">
        <v>44428</v>
      </c>
      <c r="Q1069" s="20" t="str">
        <f>IFERROR(UPPER(TEXT(MONTH(Tabla1[[#This Row],[FECHA RADICADO SALIDA]]),"MMM")),"")</f>
        <v>ENE</v>
      </c>
      <c r="R1069" s="26">
        <f t="shared" si="70"/>
        <v>-3</v>
      </c>
      <c r="S1069" s="10" t="s">
        <v>2145</v>
      </c>
      <c r="T1069" s="10" t="s">
        <v>3336</v>
      </c>
      <c r="U1069" s="10" t="s">
        <v>4065</v>
      </c>
      <c r="V1069" s="20">
        <v>42885</v>
      </c>
      <c r="W1069" s="10" t="s">
        <v>33</v>
      </c>
      <c r="X1069" s="10">
        <v>0</v>
      </c>
      <c r="Y1069" s="11">
        <f>IFERROR(INT(Tabla1[[#This Row],[CANTIDAD UND FARMACEUTICAS]]/(VLOOKUP(Tabla1[[#This Row],[MEDICAMENTO]],TAB_REF!$K$3:$L$27,2,0))),"")</f>
        <v>0</v>
      </c>
      <c r="Z1069" s="26" t="str">
        <f>IFERROR(VLOOKUP(Tabla1[[#This Row],[MEDICAMENTO]],TAB_REF!$B$3:$F$27,2,0), "")</f>
        <v xml:space="preserve">Fenobarbital </v>
      </c>
      <c r="AA1069" s="26" t="str">
        <f>IFERROR(VLOOKUP(Tabla1[[#This Row],[MEDICAMENTO]],TAB_REF!$B$3:$F$27,3,0), "")</f>
        <v xml:space="preserve">50 mg </v>
      </c>
      <c r="AB1069" s="26" t="str">
        <f>IFERROR(VLOOKUP(Tabla1[[#This Row],[MEDICAMENTO]],TAB_REF!$B$3:$F$27,4,0), "")</f>
        <v>Tabletas</v>
      </c>
      <c r="AC1069" s="26" t="str">
        <f>IFERROR(VLOOKUP(Tabla1[[#This Row],[MEDICAMENTO]],TAB_REF!$B$3:$F$27,5,0), "")</f>
        <v>Caja x 30 unidades</v>
      </c>
      <c r="AD1069" s="26" t="str">
        <f>IFERROR(VLOOKUP(Tabla1[[#This Row],[CANTIDAD UND COMERCIALES]],TAB_REF!$H$3:$I$1003,2,0)&amp;" ("&amp;Tabla1[[#This Row],[CANTIDAD UND COMERCIALES]]&amp;")"&amp;"_"&amp;Tabla1[[#This Row],[CANTIDAD]],"")</f>
        <v/>
      </c>
    </row>
    <row r="1070" spans="2:30" x14ac:dyDescent="0.25">
      <c r="B1070" s="10">
        <v>443</v>
      </c>
      <c r="C1070" s="10" t="s">
        <v>2957</v>
      </c>
      <c r="D1070" s="10" t="s">
        <v>2175</v>
      </c>
      <c r="E1070" s="10" t="s">
        <v>2958</v>
      </c>
      <c r="F1070" s="10" t="s">
        <v>3095</v>
      </c>
      <c r="G1070" s="10" t="s">
        <v>2959</v>
      </c>
      <c r="H1070" s="10" t="s">
        <v>4064</v>
      </c>
      <c r="I1070" s="10" t="s">
        <v>2123</v>
      </c>
      <c r="J1070" s="10" t="s">
        <v>1770</v>
      </c>
      <c r="K1070" s="10" t="s">
        <v>3976</v>
      </c>
      <c r="L1070" s="11">
        <v>202124101501642</v>
      </c>
      <c r="M1070" s="20">
        <v>44425</v>
      </c>
      <c r="N1070" s="20" t="str">
        <f>UPPER(TEXT(Tabla1[[#This Row],[FECHA RADICADO ENTRADA]],"MMM"))</f>
        <v>AGO</v>
      </c>
      <c r="O1070" s="11">
        <v>202124111310721</v>
      </c>
      <c r="P1070" s="20">
        <v>44428</v>
      </c>
      <c r="Q1070" s="20" t="str">
        <f>IFERROR(UPPER(TEXT(MONTH(Tabla1[[#This Row],[FECHA RADICADO SALIDA]]),"MMM")),"")</f>
        <v>ENE</v>
      </c>
      <c r="R1070" s="26">
        <f t="shared" si="70"/>
        <v>-3</v>
      </c>
      <c r="S1070" s="10" t="s">
        <v>2154</v>
      </c>
      <c r="U1070" s="10" t="s">
        <v>4065</v>
      </c>
      <c r="V1070" s="20">
        <v>42885</v>
      </c>
      <c r="W1070" s="10" t="s">
        <v>30</v>
      </c>
      <c r="X1070" s="10">
        <v>300</v>
      </c>
      <c r="Y1070" s="11">
        <f>IFERROR(INT(Tabla1[[#This Row],[CANTIDAD UND FARMACEUTICAS]]/(VLOOKUP(Tabla1[[#This Row],[MEDICAMENTO]],TAB_REF!$K$3:$L$27,2,0))),"")</f>
        <v>10</v>
      </c>
      <c r="Z1070" s="26" t="str">
        <f>IFERROR(VLOOKUP(Tabla1[[#This Row],[MEDICAMENTO]],TAB_REF!$B$3:$F$27,2,0), "")</f>
        <v xml:space="preserve">Fenobarbital </v>
      </c>
      <c r="AA1070" s="26" t="str">
        <f>IFERROR(VLOOKUP(Tabla1[[#This Row],[MEDICAMENTO]],TAB_REF!$B$3:$F$27,3,0), "")</f>
        <v xml:space="preserve">10 mg </v>
      </c>
      <c r="AB1070" s="26" t="str">
        <f>IFERROR(VLOOKUP(Tabla1[[#This Row],[MEDICAMENTO]],TAB_REF!$B$3:$F$27,4,0), "")</f>
        <v>Tabletas</v>
      </c>
      <c r="AC1070" s="26" t="str">
        <f>IFERROR(VLOOKUP(Tabla1[[#This Row],[MEDICAMENTO]],TAB_REF!$B$3:$F$27,5,0), "")</f>
        <v>Caja x 30 unidades</v>
      </c>
      <c r="AD1070" s="26" t="str">
        <f>IFERROR(VLOOKUP(Tabla1[[#This Row],[CANTIDAD UND COMERCIALES]],TAB_REF!$H$3:$I$1003,2,0)&amp;" ("&amp;Tabla1[[#This Row],[CANTIDAD UND COMERCIALES]]&amp;")"&amp;"_"&amp;Tabla1[[#This Row],[CANTIDAD]],"")</f>
        <v>Diez (10)_Caja x 30 unidades</v>
      </c>
    </row>
    <row r="1071" spans="2:30" x14ac:dyDescent="0.25">
      <c r="B1071" s="10">
        <v>444</v>
      </c>
      <c r="C1071" s="10" t="s">
        <v>4037</v>
      </c>
      <c r="D1071" s="10" t="s">
        <v>3162</v>
      </c>
      <c r="E1071" s="10" t="s">
        <v>4066</v>
      </c>
      <c r="F1071" s="10" t="s">
        <v>2751</v>
      </c>
      <c r="G1071" s="10" t="s">
        <v>4067</v>
      </c>
      <c r="H1071" s="10" t="s">
        <v>4068</v>
      </c>
      <c r="I1071" s="10" t="s">
        <v>2113</v>
      </c>
      <c r="J1071" s="10" t="s">
        <v>1442</v>
      </c>
      <c r="K1071" s="10" t="s">
        <v>4069</v>
      </c>
      <c r="L1071" s="11">
        <v>202124101501782</v>
      </c>
      <c r="M1071" s="20">
        <v>44425</v>
      </c>
      <c r="N1071" s="20" t="str">
        <f>UPPER(TEXT(Tabla1[[#This Row],[FECHA RADICADO ENTRADA]],"MMM"))</f>
        <v>AGO</v>
      </c>
      <c r="O1071" s="11">
        <v>202124111310741</v>
      </c>
      <c r="P1071" s="20">
        <v>44428</v>
      </c>
      <c r="Q1071" s="20" t="str">
        <f>IFERROR(UPPER(TEXT(MONTH(Tabla1[[#This Row],[FECHA RADICADO SALIDA]]),"MMM")),"")</f>
        <v>ENE</v>
      </c>
      <c r="R1071" s="26">
        <f t="shared" si="70"/>
        <v>-3</v>
      </c>
      <c r="S1071" s="10" t="s">
        <v>2154</v>
      </c>
      <c r="U1071" s="10" t="s">
        <v>4070</v>
      </c>
      <c r="V1071" s="20">
        <v>44223</v>
      </c>
      <c r="W1071" s="10" t="s">
        <v>32</v>
      </c>
      <c r="X1071" s="10">
        <v>1000</v>
      </c>
      <c r="Y1071" s="11">
        <f>IFERROR(INT(Tabla1[[#This Row],[CANTIDAD UND FARMACEUTICAS]]/(VLOOKUP(Tabla1[[#This Row],[MEDICAMENTO]],TAB_REF!$K$3:$L$27,2,0))),"")</f>
        <v>33</v>
      </c>
      <c r="Z1071" s="10" t="str">
        <f>IFERROR(VLOOKUP(Tabla1[[#This Row],[MEDICAMENTO]],TAB_REF!$B$3:$F$27,2,0), "")</f>
        <v xml:space="preserve">Fenobarbital </v>
      </c>
      <c r="AA1071" s="10" t="str">
        <f>IFERROR(VLOOKUP(Tabla1[[#This Row],[MEDICAMENTO]],TAB_REF!$B$3:$F$27,3,0), "")</f>
        <v xml:space="preserve">100 mg </v>
      </c>
      <c r="AB1071" s="10" t="str">
        <f>IFERROR(VLOOKUP(Tabla1[[#This Row],[MEDICAMENTO]],TAB_REF!$B$3:$F$27,4,0), "")</f>
        <v>Tabletas</v>
      </c>
      <c r="AC1071" s="10" t="str">
        <f>IFERROR(VLOOKUP(Tabla1[[#This Row],[MEDICAMENTO]],TAB_REF!$B$3:$F$27,5,0), "")</f>
        <v>Caja x 30 unidades</v>
      </c>
      <c r="AD1071" s="10" t="str">
        <f>IFERROR(VLOOKUP(Tabla1[[#This Row],[CANTIDAD UND COMERCIALES]],TAB_REF!$H$3:$I$1003,2,0)&amp;" ("&amp;Tabla1[[#This Row],[CANTIDAD UND COMERCIALES]]&amp;")"&amp;"_"&amp;Tabla1[[#This Row],[CANTIDAD]],"")</f>
        <v>Treinta Y Tres (33)_Caja x 30 unidades</v>
      </c>
    </row>
    <row r="1072" spans="2:30" x14ac:dyDescent="0.25">
      <c r="B1072" s="10">
        <v>444</v>
      </c>
      <c r="C1072" s="10" t="s">
        <v>4037</v>
      </c>
      <c r="D1072" s="10" t="s">
        <v>3162</v>
      </c>
      <c r="E1072" s="10" t="s">
        <v>4066</v>
      </c>
      <c r="F1072" s="10" t="s">
        <v>2751</v>
      </c>
      <c r="G1072" s="10" t="s">
        <v>4067</v>
      </c>
      <c r="H1072" s="10" t="s">
        <v>4068</v>
      </c>
      <c r="I1072" s="10" t="s">
        <v>2113</v>
      </c>
      <c r="J1072" s="10" t="s">
        <v>1442</v>
      </c>
      <c r="K1072" s="10" t="s">
        <v>4069</v>
      </c>
      <c r="L1072" s="11">
        <v>202124101501782</v>
      </c>
      <c r="M1072" s="20">
        <v>44425</v>
      </c>
      <c r="N1072" s="20" t="str">
        <f>UPPER(TEXT(Tabla1[[#This Row],[FECHA RADICADO ENTRADA]],"MMM"))</f>
        <v>AGO</v>
      </c>
      <c r="O1072" s="11">
        <v>202124111310741</v>
      </c>
      <c r="P1072" s="20">
        <v>44428</v>
      </c>
      <c r="Q1072" s="20" t="str">
        <f>IFERROR(UPPER(TEXT(MONTH(Tabla1[[#This Row],[FECHA RADICADO SALIDA]]),"MMM")),"")</f>
        <v>ENE</v>
      </c>
      <c r="R1072" s="26">
        <f t="shared" si="70"/>
        <v>-3</v>
      </c>
      <c r="S1072" s="10" t="s">
        <v>2154</v>
      </c>
      <c r="U1072" s="10" t="s">
        <v>4070</v>
      </c>
      <c r="V1072" s="20">
        <v>44223</v>
      </c>
      <c r="W1072" s="10" t="s">
        <v>60</v>
      </c>
      <c r="X1072" s="10">
        <v>10</v>
      </c>
      <c r="Y1072" s="11">
        <f>IFERROR(INT(Tabla1[[#This Row],[CANTIDAD UND FARMACEUTICAS]]/(VLOOKUP(Tabla1[[#This Row],[MEDICAMENTO]],TAB_REF!$K$3:$L$27,2,0))),"")</f>
        <v>10</v>
      </c>
      <c r="Z1072" s="10" t="str">
        <f>IFERROR(VLOOKUP(Tabla1[[#This Row],[MEDICAMENTO]],TAB_REF!$B$3:$F$27,2,0), "")</f>
        <v xml:space="preserve">Morfina HCl </v>
      </c>
      <c r="AA1072" s="10" t="str">
        <f>IFERROR(VLOOKUP(Tabla1[[#This Row],[MEDICAMENTO]],TAB_REF!$B$3:$F$27,3,0), "")</f>
        <v xml:space="preserve">3%. </v>
      </c>
      <c r="AB1072" s="10" t="str">
        <f>IFERROR(VLOOKUP(Tabla1[[#This Row],[MEDICAMENTO]],TAB_REF!$B$3:$F$27,4,0), "")</f>
        <v>Solución Oral</v>
      </c>
      <c r="AC1072" s="10" t="str">
        <f>IFERROR(VLOOKUP(Tabla1[[#This Row],[MEDICAMENTO]],TAB_REF!$B$3:$F$27,5,0), "")</f>
        <v>Frasco x 30 mL</v>
      </c>
      <c r="AD1072" s="10" t="str">
        <f>IFERROR(VLOOKUP(Tabla1[[#This Row],[CANTIDAD UND COMERCIALES]],TAB_REF!$H$3:$I$1003,2,0)&amp;" ("&amp;Tabla1[[#This Row],[CANTIDAD UND COMERCIALES]]&amp;")"&amp;"_"&amp;Tabla1[[#This Row],[CANTIDAD]],"")</f>
        <v>Diez (10)_Frasco x 30 mL</v>
      </c>
    </row>
    <row r="1073" spans="2:30" x14ac:dyDescent="0.25">
      <c r="B1073" s="10">
        <v>444</v>
      </c>
      <c r="C1073" s="10" t="s">
        <v>4037</v>
      </c>
      <c r="D1073" s="10" t="s">
        <v>3162</v>
      </c>
      <c r="E1073" s="10" t="s">
        <v>4066</v>
      </c>
      <c r="F1073" s="10" t="s">
        <v>2751</v>
      </c>
      <c r="G1073" s="10" t="s">
        <v>4067</v>
      </c>
      <c r="H1073" s="10" t="s">
        <v>4068</v>
      </c>
      <c r="I1073" s="10" t="s">
        <v>2113</v>
      </c>
      <c r="J1073" s="10" t="s">
        <v>1442</v>
      </c>
      <c r="K1073" s="10" t="s">
        <v>4069</v>
      </c>
      <c r="L1073" s="11">
        <v>202124101501782</v>
      </c>
      <c r="M1073" s="20">
        <v>44425</v>
      </c>
      <c r="N1073" s="20" t="str">
        <f>UPPER(TEXT(Tabla1[[#This Row],[FECHA RADICADO ENTRADA]],"MMM"))</f>
        <v>AGO</v>
      </c>
      <c r="O1073" s="11">
        <v>202124111310741</v>
      </c>
      <c r="P1073" s="20">
        <v>44428</v>
      </c>
      <c r="Q1073" s="20" t="str">
        <f>IFERROR(UPPER(TEXT(MONTH(Tabla1[[#This Row],[FECHA RADICADO SALIDA]]),"MMM")),"")</f>
        <v>ENE</v>
      </c>
      <c r="R1073" s="26">
        <f t="shared" si="70"/>
        <v>-3</v>
      </c>
      <c r="S1073" s="10" t="s">
        <v>2154</v>
      </c>
      <c r="U1073" s="10" t="s">
        <v>4070</v>
      </c>
      <c r="V1073" s="20">
        <v>44223</v>
      </c>
      <c r="W1073" s="10" t="s">
        <v>28</v>
      </c>
      <c r="X1073" s="10">
        <v>5</v>
      </c>
      <c r="Y1073" s="11">
        <f>IFERROR(INT(Tabla1[[#This Row],[CANTIDAD UND FARMACEUTICAS]]/(VLOOKUP(Tabla1[[#This Row],[MEDICAMENTO]],TAB_REF!$K$3:$L$27,2,0))),"")</f>
        <v>5</v>
      </c>
      <c r="Z1073" s="10" t="str">
        <f>IFERROR(VLOOKUP(Tabla1[[#This Row],[MEDICAMENTO]],TAB_REF!$B$3:$F$27,2,0), "")</f>
        <v xml:space="preserve">Fenobarbital </v>
      </c>
      <c r="AA1073" s="10" t="str">
        <f>IFERROR(VLOOKUP(Tabla1[[#This Row],[MEDICAMENTO]],TAB_REF!$B$3:$F$27,3,0), "")</f>
        <v xml:space="preserve">0,4%. </v>
      </c>
      <c r="AB1073" s="10" t="str">
        <f>IFERROR(VLOOKUP(Tabla1[[#This Row],[MEDICAMENTO]],TAB_REF!$B$3:$F$27,4,0), "")</f>
        <v>Solución Oral</v>
      </c>
      <c r="AC1073" s="10" t="str">
        <f>IFERROR(VLOOKUP(Tabla1[[#This Row],[MEDICAMENTO]],TAB_REF!$B$3:$F$27,5,0), "")</f>
        <v>Frasco x 120 mL</v>
      </c>
      <c r="AD1073" s="10" t="str">
        <f>IFERROR(VLOOKUP(Tabla1[[#This Row],[CANTIDAD UND COMERCIALES]],TAB_REF!$H$3:$I$1003,2,0)&amp;" ("&amp;Tabla1[[#This Row],[CANTIDAD UND COMERCIALES]]&amp;")"&amp;"_"&amp;Tabla1[[#This Row],[CANTIDAD]],"")</f>
        <v>Cinco (5)_Frasco x 120 mL</v>
      </c>
    </row>
    <row r="1074" spans="2:30" x14ac:dyDescent="0.25">
      <c r="B1074" s="10">
        <v>444</v>
      </c>
      <c r="C1074" s="10" t="s">
        <v>4037</v>
      </c>
      <c r="D1074" s="10" t="s">
        <v>3162</v>
      </c>
      <c r="E1074" s="10" t="s">
        <v>4066</v>
      </c>
      <c r="F1074" s="10" t="s">
        <v>2751</v>
      </c>
      <c r="G1074" s="10" t="s">
        <v>4067</v>
      </c>
      <c r="H1074" s="10" t="s">
        <v>4068</v>
      </c>
      <c r="I1074" s="10" t="s">
        <v>2113</v>
      </c>
      <c r="J1074" s="10" t="s">
        <v>1442</v>
      </c>
      <c r="K1074" s="10" t="s">
        <v>4069</v>
      </c>
      <c r="L1074" s="11">
        <v>202124101501782</v>
      </c>
      <c r="M1074" s="20">
        <v>44425</v>
      </c>
      <c r="N1074" s="20" t="str">
        <f>UPPER(TEXT(Tabla1[[#This Row],[FECHA RADICADO ENTRADA]],"MMM"))</f>
        <v>AGO</v>
      </c>
      <c r="O1074" s="11">
        <v>202124111310741</v>
      </c>
      <c r="P1074" s="20">
        <v>44428</v>
      </c>
      <c r="Q1074" s="20" t="str">
        <f>IFERROR(UPPER(TEXT(MONTH(Tabla1[[#This Row],[FECHA RADICADO SALIDA]]),"MMM")),"")</f>
        <v>ENE</v>
      </c>
      <c r="R1074" s="26">
        <f t="shared" si="70"/>
        <v>-3</v>
      </c>
      <c r="S1074" s="10" t="s">
        <v>2154</v>
      </c>
      <c r="U1074" s="10" t="s">
        <v>4070</v>
      </c>
      <c r="V1074" s="20">
        <v>44223</v>
      </c>
      <c r="W1074" s="10" t="s">
        <v>45</v>
      </c>
      <c r="X1074" s="10">
        <v>100</v>
      </c>
      <c r="Y1074" s="11">
        <f>IFERROR(INT(Tabla1[[#This Row],[CANTIDAD UND FARMACEUTICAS]]/(VLOOKUP(Tabla1[[#This Row],[MEDICAMENTO]],TAB_REF!$K$3:$L$27,2,0))),"")</f>
        <v>3</v>
      </c>
      <c r="Z1074" s="10" t="str">
        <f>IFERROR(VLOOKUP(Tabla1[[#This Row],[MEDICAMENTO]],TAB_REF!$B$3:$F$27,2,0), "")</f>
        <v xml:space="preserve">Metadona HCl </v>
      </c>
      <c r="AA1074" s="10" t="str">
        <f>IFERROR(VLOOKUP(Tabla1[[#This Row],[MEDICAMENTO]],TAB_REF!$B$3:$F$27,3,0), "")</f>
        <v xml:space="preserve">10 mg </v>
      </c>
      <c r="AB1074" s="10" t="str">
        <f>IFERROR(VLOOKUP(Tabla1[[#This Row],[MEDICAMENTO]],TAB_REF!$B$3:$F$27,4,0), "")</f>
        <v>Tabletas NACIONAL</v>
      </c>
      <c r="AC1074" s="10" t="str">
        <f>IFERROR(VLOOKUP(Tabla1[[#This Row],[MEDICAMENTO]],TAB_REF!$B$3:$F$27,5,0), "")</f>
        <v>Caja x 30 unidades</v>
      </c>
      <c r="AD1074" s="10" t="str">
        <f>IFERROR(VLOOKUP(Tabla1[[#This Row],[CANTIDAD UND COMERCIALES]],TAB_REF!$H$3:$I$1003,2,0)&amp;" ("&amp;Tabla1[[#This Row],[CANTIDAD UND COMERCIALES]]&amp;")"&amp;"_"&amp;Tabla1[[#This Row],[CANTIDAD]],"")</f>
        <v>Tres (3)_Caja x 30 unidades</v>
      </c>
    </row>
    <row r="1075" spans="2:30" x14ac:dyDescent="0.25">
      <c r="B1075" s="10">
        <v>445</v>
      </c>
      <c r="C1075" s="10" t="s">
        <v>4071</v>
      </c>
      <c r="D1075" s="10" t="s">
        <v>2175</v>
      </c>
      <c r="E1075" s="10" t="s">
        <v>4072</v>
      </c>
      <c r="F1075" s="10" t="s">
        <v>4073</v>
      </c>
      <c r="G1075" s="10" t="s">
        <v>4074</v>
      </c>
      <c r="H1075" s="10" t="s">
        <v>4075</v>
      </c>
      <c r="I1075" s="10" t="s">
        <v>2116</v>
      </c>
      <c r="J1075" s="10" t="s">
        <v>1562</v>
      </c>
      <c r="K1075" s="10" t="s">
        <v>4076</v>
      </c>
      <c r="L1075" s="11">
        <v>202124101519892</v>
      </c>
      <c r="M1075" s="20">
        <v>44426</v>
      </c>
      <c r="N1075" s="20" t="str">
        <f>UPPER(TEXT(Tabla1[[#This Row],[FECHA RADICADO ENTRADA]],"MMM"))</f>
        <v>AGO</v>
      </c>
      <c r="O1075" s="11">
        <v>202124111310771</v>
      </c>
      <c r="P1075" s="20">
        <v>44428</v>
      </c>
      <c r="Q1075" s="20" t="str">
        <f>IFERROR(UPPER(TEXT(MONTH(Tabla1[[#This Row],[FECHA RADICADO SALIDA]]),"MMM")),"")</f>
        <v>ENE</v>
      </c>
      <c r="R1075" s="26">
        <f>_xlfn.DAYS(M1075,P1075)</f>
        <v>-2</v>
      </c>
      <c r="S1075" s="10" t="s">
        <v>2145</v>
      </c>
      <c r="T1075" s="10" t="s">
        <v>3336</v>
      </c>
      <c r="U1075" s="10" t="s">
        <v>4077</v>
      </c>
      <c r="V1075" s="20">
        <v>43021</v>
      </c>
      <c r="W1075" s="10" t="s">
        <v>63</v>
      </c>
      <c r="X1075" s="10">
        <v>0</v>
      </c>
      <c r="Y1075" s="11">
        <f>IFERROR(INT(Tabla1[[#This Row],[CANTIDAD UND FARMACEUTICAS]]/(VLOOKUP(Tabla1[[#This Row],[MEDICAMENTO]],TAB_REF!$K$3:$L$27,2,0))),"")</f>
        <v>0</v>
      </c>
      <c r="Z1075" s="10" t="str">
        <f>IFERROR(VLOOKUP(Tabla1[[#This Row],[MEDICAMENTO]],TAB_REF!$B$3:$F$27,2,0), "")</f>
        <v xml:space="preserve">Morfina HCl </v>
      </c>
      <c r="AA1075" s="10" t="str">
        <f>IFERROR(VLOOKUP(Tabla1[[#This Row],[MEDICAMENTO]],TAB_REF!$B$3:$F$27,3,0), "")</f>
        <v xml:space="preserve">10 mg/mL </v>
      </c>
      <c r="AB1075" s="10" t="str">
        <f>IFERROR(VLOOKUP(Tabla1[[#This Row],[MEDICAMENTO]],TAB_REF!$B$3:$F$27,4,0), "")</f>
        <v>Solución Inyectable</v>
      </c>
      <c r="AC1075" s="10" t="str">
        <f>IFERROR(VLOOKUP(Tabla1[[#This Row],[MEDICAMENTO]],TAB_REF!$B$3:$F$27,5,0), "")</f>
        <v>Caja x 10 unidades</v>
      </c>
      <c r="AD1075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076" spans="2:30" x14ac:dyDescent="0.25">
      <c r="B1076" s="10">
        <v>445</v>
      </c>
      <c r="C1076" s="10" t="s">
        <v>4071</v>
      </c>
      <c r="D1076" s="10" t="s">
        <v>2175</v>
      </c>
      <c r="E1076" s="10" t="s">
        <v>4072</v>
      </c>
      <c r="F1076" s="10" t="s">
        <v>4073</v>
      </c>
      <c r="G1076" s="10" t="s">
        <v>4074</v>
      </c>
      <c r="H1076" s="10" t="s">
        <v>4075</v>
      </c>
      <c r="I1076" s="10" t="s">
        <v>2116</v>
      </c>
      <c r="J1076" s="10" t="s">
        <v>1562</v>
      </c>
      <c r="K1076" s="10" t="s">
        <v>4076</v>
      </c>
      <c r="L1076" s="11">
        <v>202124101519892</v>
      </c>
      <c r="M1076" s="20">
        <v>44426</v>
      </c>
      <c r="N1076" s="20" t="str">
        <f>UPPER(TEXT(Tabla1[[#This Row],[FECHA RADICADO ENTRADA]],"MMM"))</f>
        <v>AGO</v>
      </c>
      <c r="O1076" s="11">
        <v>202124111310771</v>
      </c>
      <c r="P1076" s="20">
        <v>44428</v>
      </c>
      <c r="Q1076" s="20" t="str">
        <f>IFERROR(UPPER(TEXT(MONTH(Tabla1[[#This Row],[FECHA RADICADO SALIDA]]),"MMM")),"")</f>
        <v>ENE</v>
      </c>
      <c r="R1076" s="26">
        <f t="shared" ref="R1076:R1093" si="71">_xlfn.DAYS(M1076,P1076)</f>
        <v>-2</v>
      </c>
      <c r="S1076" s="10" t="s">
        <v>2154</v>
      </c>
      <c r="U1076" s="10" t="s">
        <v>4077</v>
      </c>
      <c r="V1076" s="20">
        <v>43021</v>
      </c>
      <c r="W1076" s="10" t="s">
        <v>41</v>
      </c>
      <c r="X1076" s="10">
        <v>30</v>
      </c>
      <c r="Y1076" s="11">
        <f>IFERROR(INT(Tabla1[[#This Row],[CANTIDAD UND FARMACEUTICAS]]/(VLOOKUP(Tabla1[[#This Row],[MEDICAMENTO]],TAB_REF!$K$3:$L$27,2,0))),"")</f>
        <v>3</v>
      </c>
      <c r="Z1076" s="10" t="str">
        <f>IFERROR(VLOOKUP(Tabla1[[#This Row],[MEDICAMENTO]],TAB_REF!$B$3:$F$27,2,0), "")</f>
        <v xml:space="preserve">Meperidina HCl </v>
      </c>
      <c r="AA1076" s="10" t="str">
        <f>IFERROR(VLOOKUP(Tabla1[[#This Row],[MEDICAMENTO]],TAB_REF!$B$3:$F$27,3,0), "")</f>
        <v xml:space="preserve">100 mg/2mL </v>
      </c>
      <c r="AB1076" s="10" t="str">
        <f>IFERROR(VLOOKUP(Tabla1[[#This Row],[MEDICAMENTO]],TAB_REF!$B$3:$F$27,4,0), "")</f>
        <v>Solución Inyectable</v>
      </c>
      <c r="AC1076" s="10" t="str">
        <f>IFERROR(VLOOKUP(Tabla1[[#This Row],[MEDICAMENTO]],TAB_REF!$B$3:$F$27,5,0), "")</f>
        <v>Caja 10 ampollas</v>
      </c>
      <c r="AD1076" s="10" t="str">
        <f>IFERROR(VLOOKUP(Tabla1[[#This Row],[CANTIDAD UND COMERCIALES]],TAB_REF!$H$3:$I$1003,2,0)&amp;" ("&amp;Tabla1[[#This Row],[CANTIDAD UND COMERCIALES]]&amp;")"&amp;"_"&amp;Tabla1[[#This Row],[CANTIDAD]],"")</f>
        <v>Tres (3)_Caja 10 ampollas</v>
      </c>
    </row>
    <row r="1077" spans="2:30" x14ac:dyDescent="0.25">
      <c r="B1077" s="10">
        <v>445</v>
      </c>
      <c r="C1077" s="10" t="s">
        <v>4071</v>
      </c>
      <c r="D1077" s="10" t="s">
        <v>2175</v>
      </c>
      <c r="E1077" s="10" t="s">
        <v>4072</v>
      </c>
      <c r="F1077" s="10" t="s">
        <v>4073</v>
      </c>
      <c r="G1077" s="10" t="s">
        <v>4074</v>
      </c>
      <c r="H1077" s="10" t="s">
        <v>4075</v>
      </c>
      <c r="I1077" s="10" t="s">
        <v>2116</v>
      </c>
      <c r="J1077" s="10" t="s">
        <v>1562</v>
      </c>
      <c r="K1077" s="11" t="s">
        <v>4076</v>
      </c>
      <c r="L1077" s="11">
        <v>202124101519892</v>
      </c>
      <c r="M1077" s="20">
        <v>44426</v>
      </c>
      <c r="N1077" s="11" t="str">
        <f>UPPER(TEXT(Tabla1[[#This Row],[FECHA RADICADO ENTRADA]],"MMM"))</f>
        <v>AGO</v>
      </c>
      <c r="O1077" s="11">
        <v>202124111310771</v>
      </c>
      <c r="P1077" s="20">
        <v>44428</v>
      </c>
      <c r="Q1077" s="26" t="str">
        <f>IFERROR(UPPER(TEXT(MONTH(Tabla1[[#This Row],[FECHA RADICADO SALIDA]]),"MMM")),"")</f>
        <v>ENE</v>
      </c>
      <c r="R1077" s="10">
        <f t="shared" si="71"/>
        <v>-2</v>
      </c>
      <c r="S1077" s="10" t="s">
        <v>2145</v>
      </c>
      <c r="T1077" s="10" t="s">
        <v>3336</v>
      </c>
      <c r="U1077" s="20" t="s">
        <v>4077</v>
      </c>
      <c r="V1077" s="20">
        <v>43021</v>
      </c>
      <c r="W1077" s="10" t="s">
        <v>60</v>
      </c>
      <c r="X1077" s="11">
        <v>0</v>
      </c>
      <c r="Y1077" s="10">
        <f>IFERROR(INT(Tabla1[[#This Row],[CANTIDAD UND FARMACEUTICAS]]/(VLOOKUP(Tabla1[[#This Row],[MEDICAMENTO]],TAB_REF!$K$3:$L$27,2,0))),"")</f>
        <v>0</v>
      </c>
      <c r="Z1077" s="10" t="str">
        <f>IFERROR(VLOOKUP(Tabla1[[#This Row],[MEDICAMENTO]],TAB_REF!$B$3:$F$27,2,0), "")</f>
        <v xml:space="preserve">Morfina HCl </v>
      </c>
      <c r="AA1077" s="10" t="str">
        <f>IFERROR(VLOOKUP(Tabla1[[#This Row],[MEDICAMENTO]],TAB_REF!$B$3:$F$27,3,0), "")</f>
        <v xml:space="preserve">3%. </v>
      </c>
      <c r="AB1077" s="10" t="str">
        <f>IFERROR(VLOOKUP(Tabla1[[#This Row],[MEDICAMENTO]],TAB_REF!$B$3:$F$27,4,0), "")</f>
        <v>Solución Oral</v>
      </c>
      <c r="AC1077" s="10" t="str">
        <f>IFERROR(VLOOKUP(Tabla1[[#This Row],[MEDICAMENTO]],TAB_REF!$B$3:$F$27,5,0), "")</f>
        <v>Frasco x 30 mL</v>
      </c>
      <c r="AD1077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078" spans="2:30" x14ac:dyDescent="0.25">
      <c r="B1078" s="10">
        <v>446</v>
      </c>
      <c r="C1078" t="s">
        <v>4106</v>
      </c>
      <c r="D1078" t="s">
        <v>2162</v>
      </c>
      <c r="E1078" t="s">
        <v>4107</v>
      </c>
      <c r="F1078" s="10" t="s">
        <v>4108</v>
      </c>
      <c r="G1078" t="s">
        <v>4109</v>
      </c>
      <c r="H1078" t="s">
        <v>4110</v>
      </c>
      <c r="I1078" t="s">
        <v>2116</v>
      </c>
      <c r="J1078" t="s">
        <v>1569</v>
      </c>
      <c r="K1078" t="s">
        <v>4111</v>
      </c>
      <c r="L1078" s="48">
        <v>202124101516252</v>
      </c>
      <c r="M1078" s="47">
        <v>44426</v>
      </c>
      <c r="N1078" s="11" t="str">
        <f>UPPER(TEXT(Tabla1[[#This Row],[FECHA RADICADO ENTRADA]],"MMM"))</f>
        <v>AGO</v>
      </c>
      <c r="O1078" s="48">
        <v>202124111344301</v>
      </c>
      <c r="P1078" s="47">
        <v>44434</v>
      </c>
      <c r="Q1078" s="26" t="str">
        <f>IFERROR(UPPER(TEXT(MONTH(Tabla1[[#This Row],[FECHA RADICADO SALIDA]]),"MMM")),"")</f>
        <v>ENE</v>
      </c>
      <c r="R1078" s="10">
        <f t="shared" si="71"/>
        <v>-8</v>
      </c>
      <c r="S1078" t="s">
        <v>2145</v>
      </c>
      <c r="T1078" t="s">
        <v>4190</v>
      </c>
      <c r="U1078" t="s">
        <v>4112</v>
      </c>
      <c r="V1078" s="47"/>
      <c r="W1078" t="s">
        <v>63</v>
      </c>
      <c r="X1078" s="10">
        <v>0</v>
      </c>
      <c r="Y1078" s="10">
        <f>IFERROR(INT(Tabla1[[#This Row],[CANTIDAD UND FARMACEUTICAS]]/(VLOOKUP(Tabla1[[#This Row],[MEDICAMENTO]],TAB_REF!$K$3:$L$27,2,0))),"")</f>
        <v>0</v>
      </c>
      <c r="Z1078" s="10" t="str">
        <f>IFERROR(VLOOKUP(Tabla1[[#This Row],[MEDICAMENTO]],TAB_REF!$B$3:$F$27,2,0), "")</f>
        <v xml:space="preserve">Morfina HCl </v>
      </c>
      <c r="AA1078" s="10" t="str">
        <f>IFERROR(VLOOKUP(Tabla1[[#This Row],[MEDICAMENTO]],TAB_REF!$B$3:$F$27,3,0), "")</f>
        <v xml:space="preserve">10 mg/mL </v>
      </c>
      <c r="AB1078" s="10" t="str">
        <f>IFERROR(VLOOKUP(Tabla1[[#This Row],[MEDICAMENTO]],TAB_REF!$B$3:$F$27,4,0), "")</f>
        <v>Solución Inyectable</v>
      </c>
      <c r="AC1078" s="10" t="str">
        <f>IFERROR(VLOOKUP(Tabla1[[#This Row],[MEDICAMENTO]],TAB_REF!$B$3:$F$27,5,0), "")</f>
        <v>Caja x 10 unidades</v>
      </c>
      <c r="AD1078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079" spans="2:30" x14ac:dyDescent="0.25">
      <c r="B1079" s="10">
        <v>446</v>
      </c>
      <c r="C1079" t="s">
        <v>4106</v>
      </c>
      <c r="D1079" t="s">
        <v>2162</v>
      </c>
      <c r="E1079" t="s">
        <v>4107</v>
      </c>
      <c r="F1079" s="10" t="s">
        <v>4108</v>
      </c>
      <c r="G1079" t="s">
        <v>4109</v>
      </c>
      <c r="H1079" t="s">
        <v>4110</v>
      </c>
      <c r="I1079" t="s">
        <v>2116</v>
      </c>
      <c r="J1079" t="s">
        <v>1569</v>
      </c>
      <c r="K1079" t="s">
        <v>4111</v>
      </c>
      <c r="L1079" s="48">
        <v>202124101516252</v>
      </c>
      <c r="M1079" s="47">
        <v>44426</v>
      </c>
      <c r="N1079" s="11" t="str">
        <f>UPPER(TEXT(Tabla1[[#This Row],[FECHA RADICADO ENTRADA]],"MMM"))</f>
        <v>AGO</v>
      </c>
      <c r="O1079" s="48">
        <v>202124111344301</v>
      </c>
      <c r="P1079" s="47">
        <v>44434</v>
      </c>
      <c r="Q1079" s="26" t="str">
        <f>IFERROR(UPPER(TEXT(MONTH(Tabla1[[#This Row],[FECHA RADICADO SALIDA]]),"MMM")),"")</f>
        <v>ENE</v>
      </c>
      <c r="R1079" s="10">
        <f t="shared" si="71"/>
        <v>-8</v>
      </c>
      <c r="S1079" t="s">
        <v>2145</v>
      </c>
      <c r="T1079" t="s">
        <v>4190</v>
      </c>
      <c r="U1079" t="s">
        <v>4112</v>
      </c>
      <c r="V1079" s="47"/>
      <c r="W1079" t="s">
        <v>41</v>
      </c>
      <c r="X1079" s="10">
        <v>0</v>
      </c>
      <c r="Y1079" s="10">
        <f>IFERROR(INT(Tabla1[[#This Row],[CANTIDAD UND FARMACEUTICAS]]/(VLOOKUP(Tabla1[[#This Row],[MEDICAMENTO]],TAB_REF!$K$3:$L$27,2,0))),"")</f>
        <v>0</v>
      </c>
      <c r="Z1079" s="10" t="str">
        <f>IFERROR(VLOOKUP(Tabla1[[#This Row],[MEDICAMENTO]],TAB_REF!$B$3:$F$27,2,0), "")</f>
        <v xml:space="preserve">Meperidina HCl </v>
      </c>
      <c r="AA1079" s="10" t="str">
        <f>IFERROR(VLOOKUP(Tabla1[[#This Row],[MEDICAMENTO]],TAB_REF!$B$3:$F$27,3,0), "")</f>
        <v xml:space="preserve">100 mg/2mL </v>
      </c>
      <c r="AB1079" s="10" t="str">
        <f>IFERROR(VLOOKUP(Tabla1[[#This Row],[MEDICAMENTO]],TAB_REF!$B$3:$F$27,4,0), "")</f>
        <v>Solución Inyectable</v>
      </c>
      <c r="AC1079" s="10" t="str">
        <f>IFERROR(VLOOKUP(Tabla1[[#This Row],[MEDICAMENTO]],TAB_REF!$B$3:$F$27,5,0), "")</f>
        <v>Caja 10 ampollas</v>
      </c>
      <c r="AD1079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080" spans="2:30" x14ac:dyDescent="0.25">
      <c r="B1080" s="10">
        <v>447</v>
      </c>
      <c r="C1080"/>
      <c r="D1080"/>
      <c r="E1080" t="s">
        <v>2806</v>
      </c>
      <c r="G1080" t="s">
        <v>4113</v>
      </c>
      <c r="H1080"/>
      <c r="I1080"/>
      <c r="J1080"/>
      <c r="K1080" t="s">
        <v>4114</v>
      </c>
      <c r="L1080" s="48">
        <v>202124101521672</v>
      </c>
      <c r="M1080" s="47">
        <v>44426</v>
      </c>
      <c r="N1080" s="11" t="str">
        <f>UPPER(TEXT(Tabla1[[#This Row],[FECHA RADICADO ENTRADA]],"MMM"))</f>
        <v>AGO</v>
      </c>
      <c r="O1080" s="48">
        <v>202124111338951</v>
      </c>
      <c r="P1080" s="47">
        <v>44434</v>
      </c>
      <c r="Q1080" s="26" t="str">
        <f>IFERROR(UPPER(TEXT(MONTH(Tabla1[[#This Row],[FECHA RADICADO SALIDA]]),"MMM")),"")</f>
        <v>ENE</v>
      </c>
      <c r="R1080" s="10">
        <f t="shared" si="71"/>
        <v>-8</v>
      </c>
      <c r="S1080" t="s">
        <v>2145</v>
      </c>
      <c r="T1080" t="s">
        <v>4058</v>
      </c>
      <c r="U1080"/>
      <c r="V1080" s="47"/>
      <c r="W1080"/>
      <c r="Y1080" s="10" t="str">
        <f>IFERROR(INT(Tabla1[[#This Row],[CANTIDAD UND FARMACEUTICAS]]/(VLOOKUP(Tabla1[[#This Row],[MEDICAMENTO]],TAB_REF!$K$3:$L$27,2,0))),"")</f>
        <v/>
      </c>
      <c r="Z1080" s="10" t="str">
        <f>IFERROR(VLOOKUP(Tabla1[[#This Row],[MEDICAMENTO]],TAB_REF!$B$3:$F$27,2,0), "")</f>
        <v/>
      </c>
      <c r="AA1080" s="10" t="str">
        <f>IFERROR(VLOOKUP(Tabla1[[#This Row],[MEDICAMENTO]],TAB_REF!$B$3:$F$27,3,0), "")</f>
        <v/>
      </c>
      <c r="AB1080" s="10" t="str">
        <f>IFERROR(VLOOKUP(Tabla1[[#This Row],[MEDICAMENTO]],TAB_REF!$B$3:$F$27,4,0), "")</f>
        <v/>
      </c>
      <c r="AC1080" s="10" t="str">
        <f>IFERROR(VLOOKUP(Tabla1[[#This Row],[MEDICAMENTO]],TAB_REF!$B$3:$F$27,5,0), "")</f>
        <v/>
      </c>
      <c r="AD1080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081" spans="2:30" x14ac:dyDescent="0.25">
      <c r="B1081" s="10">
        <v>448</v>
      </c>
      <c r="C1081" t="s">
        <v>4115</v>
      </c>
      <c r="D1081" t="s">
        <v>4116</v>
      </c>
      <c r="E1081" t="s">
        <v>4117</v>
      </c>
      <c r="F1081" s="10" t="s">
        <v>3741</v>
      </c>
      <c r="G1081" t="s">
        <v>4118</v>
      </c>
      <c r="H1081" t="s">
        <v>4119</v>
      </c>
      <c r="I1081" t="s">
        <v>2128</v>
      </c>
      <c r="J1081" t="s">
        <v>1918</v>
      </c>
      <c r="K1081" t="s">
        <v>4120</v>
      </c>
      <c r="L1081" s="48">
        <v>202124101522612</v>
      </c>
      <c r="M1081" s="47">
        <v>44426</v>
      </c>
      <c r="N1081" s="11" t="str">
        <f>UPPER(TEXT(Tabla1[[#This Row],[FECHA RADICADO ENTRADA]],"MMM"))</f>
        <v>AGO</v>
      </c>
      <c r="O1081" s="48">
        <v>202124111344261</v>
      </c>
      <c r="P1081" s="47">
        <v>44434</v>
      </c>
      <c r="Q1081" s="26" t="str">
        <f>IFERROR(UPPER(TEXT(MONTH(Tabla1[[#This Row],[FECHA RADICADO SALIDA]]),"MMM")),"")</f>
        <v>ENE</v>
      </c>
      <c r="R1081" s="10">
        <f t="shared" si="71"/>
        <v>-8</v>
      </c>
      <c r="S1081" t="s">
        <v>2145</v>
      </c>
      <c r="T1081" t="s">
        <v>4058</v>
      </c>
      <c r="U1081"/>
      <c r="V1081" s="47"/>
      <c r="W1081"/>
      <c r="Y1081" s="10" t="str">
        <f>IFERROR(INT(Tabla1[[#This Row],[CANTIDAD UND FARMACEUTICAS]]/(VLOOKUP(Tabla1[[#This Row],[MEDICAMENTO]],TAB_REF!$K$3:$L$27,2,0))),"")</f>
        <v/>
      </c>
      <c r="Z1081" s="10" t="str">
        <f>IFERROR(VLOOKUP(Tabla1[[#This Row],[MEDICAMENTO]],TAB_REF!$B$3:$F$27,2,0), "")</f>
        <v/>
      </c>
      <c r="AA1081" s="10" t="str">
        <f>IFERROR(VLOOKUP(Tabla1[[#This Row],[MEDICAMENTO]],TAB_REF!$B$3:$F$27,3,0), "")</f>
        <v/>
      </c>
      <c r="AB1081" s="10" t="str">
        <f>IFERROR(VLOOKUP(Tabla1[[#This Row],[MEDICAMENTO]],TAB_REF!$B$3:$F$27,4,0), "")</f>
        <v/>
      </c>
      <c r="AC1081" s="10" t="str">
        <f>IFERROR(VLOOKUP(Tabla1[[#This Row],[MEDICAMENTO]],TAB_REF!$B$3:$F$27,5,0), "")</f>
        <v/>
      </c>
      <c r="AD1081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082" spans="2:30" x14ac:dyDescent="0.25">
      <c r="B1082" s="10">
        <v>449</v>
      </c>
      <c r="C1082" t="s">
        <v>4121</v>
      </c>
      <c r="D1082" t="s">
        <v>2312</v>
      </c>
      <c r="E1082" t="s">
        <v>4122</v>
      </c>
      <c r="F1082" s="10" t="s">
        <v>4129</v>
      </c>
      <c r="G1082" t="s">
        <v>4123</v>
      </c>
      <c r="H1082" t="s">
        <v>4130</v>
      </c>
      <c r="I1082" t="s">
        <v>2109</v>
      </c>
      <c r="J1082" t="s">
        <v>1080</v>
      </c>
      <c r="K1082" t="s">
        <v>4124</v>
      </c>
      <c r="L1082" s="48">
        <v>202124101524322</v>
      </c>
      <c r="M1082" s="47">
        <v>44427</v>
      </c>
      <c r="N1082" s="11" t="str">
        <f>UPPER(TEXT(Tabla1[[#This Row],[FECHA RADICADO ENTRADA]],"MMM"))</f>
        <v>AGO</v>
      </c>
      <c r="O1082" s="48">
        <v>202124111344311</v>
      </c>
      <c r="P1082" s="47">
        <v>44434</v>
      </c>
      <c r="Q1082" s="26" t="str">
        <f>IFERROR(UPPER(TEXT(MONTH(Tabla1[[#This Row],[FECHA RADICADO SALIDA]]),"MMM")),"")</f>
        <v>ENE</v>
      </c>
      <c r="R1082" s="10">
        <f t="shared" si="71"/>
        <v>-7</v>
      </c>
      <c r="S1082" t="s">
        <v>2145</v>
      </c>
      <c r="T1082" t="s">
        <v>3336</v>
      </c>
      <c r="U1082" t="s">
        <v>4131</v>
      </c>
      <c r="V1082" s="47">
        <v>43460</v>
      </c>
      <c r="W1082" t="s">
        <v>48</v>
      </c>
      <c r="X1082" s="10">
        <v>0</v>
      </c>
      <c r="Y1082" s="10">
        <f>IFERROR(INT(Tabla1[[#This Row],[CANTIDAD UND FARMACEUTICAS]]/(VLOOKUP(Tabla1[[#This Row],[MEDICAMENTO]],TAB_REF!$K$3:$L$27,2,0))),"")</f>
        <v>0</v>
      </c>
      <c r="Z1082" s="10" t="str">
        <f>IFERROR(VLOOKUP(Tabla1[[#This Row],[MEDICAMENTO]],TAB_REF!$B$3:$F$27,2,0), "")</f>
        <v xml:space="preserve">Metilfenidato HCl </v>
      </c>
      <c r="AA1082" s="10" t="str">
        <f>IFERROR(VLOOKUP(Tabla1[[#This Row],[MEDICAMENTO]],TAB_REF!$B$3:$F$27,3,0), "")</f>
        <v xml:space="preserve">10 mg </v>
      </c>
      <c r="AB1082" s="10" t="str">
        <f>IFERROR(VLOOKUP(Tabla1[[#This Row],[MEDICAMENTO]],TAB_REF!$B$3:$F$27,4,0), "")</f>
        <v>Comprimidos</v>
      </c>
      <c r="AC1082" s="10" t="str">
        <f>IFERROR(VLOOKUP(Tabla1[[#This Row],[MEDICAMENTO]],TAB_REF!$B$3:$F$27,5,0), "")</f>
        <v>Caja x 30 unidades</v>
      </c>
      <c r="AD1082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083" spans="2:30" x14ac:dyDescent="0.25">
      <c r="B1083" s="10">
        <v>449</v>
      </c>
      <c r="C1083" t="s">
        <v>4121</v>
      </c>
      <c r="D1083" t="s">
        <v>2312</v>
      </c>
      <c r="E1083" t="s">
        <v>4122</v>
      </c>
      <c r="F1083" s="10" t="s">
        <v>4129</v>
      </c>
      <c r="G1083" t="s">
        <v>4123</v>
      </c>
      <c r="H1083" t="s">
        <v>4130</v>
      </c>
      <c r="I1083" t="s">
        <v>2109</v>
      </c>
      <c r="J1083" t="s">
        <v>1080</v>
      </c>
      <c r="K1083" t="s">
        <v>4124</v>
      </c>
      <c r="L1083" s="48">
        <v>202124101524322</v>
      </c>
      <c r="M1083" s="47">
        <v>44427</v>
      </c>
      <c r="N1083" s="11" t="str">
        <f>UPPER(TEXT(Tabla1[[#This Row],[FECHA RADICADO ENTRADA]],"MMM"))</f>
        <v>AGO</v>
      </c>
      <c r="O1083" s="48">
        <v>202124111344311</v>
      </c>
      <c r="P1083" s="47">
        <v>44434</v>
      </c>
      <c r="Q1083" s="26" t="str">
        <f>IFERROR(UPPER(TEXT(MONTH(Tabla1[[#This Row],[FECHA RADICADO SALIDA]]),"MMM")),"")</f>
        <v>ENE</v>
      </c>
      <c r="R1083" s="10">
        <f t="shared" si="71"/>
        <v>-7</v>
      </c>
      <c r="S1083" t="s">
        <v>2154</v>
      </c>
      <c r="T1083"/>
      <c r="U1083" t="s">
        <v>4131</v>
      </c>
      <c r="V1083" s="47">
        <v>43460</v>
      </c>
      <c r="W1083" s="10" t="s">
        <v>49</v>
      </c>
      <c r="X1083" s="10">
        <v>450</v>
      </c>
      <c r="Y1083" s="10">
        <f>IFERROR(INT(Tabla1[[#This Row],[CANTIDAD UND FARMACEUTICAS]]/(VLOOKUP(Tabla1[[#This Row],[MEDICAMENTO]],TAB_REF!$K$3:$L$27,2,0))),"")</f>
        <v>15</v>
      </c>
      <c r="Z1083" s="10" t="str">
        <f>IFERROR(VLOOKUP(Tabla1[[#This Row],[MEDICAMENTO]],TAB_REF!$B$3:$F$27,2,0), "")</f>
        <v xml:space="preserve">Metilfenidato HCl </v>
      </c>
      <c r="AA1083" s="10" t="str">
        <f>IFERROR(VLOOKUP(Tabla1[[#This Row],[MEDICAMENTO]],TAB_REF!$B$3:$F$27,3,0), "")</f>
        <v xml:space="preserve">18 mg </v>
      </c>
      <c r="AB1083" s="10" t="str">
        <f>IFERROR(VLOOKUP(Tabla1[[#This Row],[MEDICAMENTO]],TAB_REF!$B$3:$F$27,4,0), "")</f>
        <v>Tabletas de Liberación Prolongada</v>
      </c>
      <c r="AC1083" s="10" t="str">
        <f>IFERROR(VLOOKUP(Tabla1[[#This Row],[MEDICAMENTO]],TAB_REF!$B$3:$F$27,5,0), "")</f>
        <v>Frasco x 30 unidades</v>
      </c>
      <c r="AD1083" s="10" t="str">
        <f>IFERROR(VLOOKUP(Tabla1[[#This Row],[CANTIDAD UND COMERCIALES]],TAB_REF!$H$3:$I$1003,2,0)&amp;" ("&amp;Tabla1[[#This Row],[CANTIDAD UND COMERCIALES]]&amp;")"&amp;"_"&amp;Tabla1[[#This Row],[CANTIDAD]],"")</f>
        <v>Quince (15)_Frasco x 30 unidades</v>
      </c>
    </row>
    <row r="1084" spans="2:30" x14ac:dyDescent="0.25">
      <c r="B1084" s="10">
        <v>449</v>
      </c>
      <c r="C1084" t="s">
        <v>4121</v>
      </c>
      <c r="D1084" t="s">
        <v>2312</v>
      </c>
      <c r="E1084" t="s">
        <v>4122</v>
      </c>
      <c r="F1084" s="10" t="s">
        <v>4129</v>
      </c>
      <c r="G1084" t="s">
        <v>4123</v>
      </c>
      <c r="H1084" t="s">
        <v>4130</v>
      </c>
      <c r="I1084" t="s">
        <v>2109</v>
      </c>
      <c r="J1084" t="s">
        <v>1080</v>
      </c>
      <c r="K1084" t="s">
        <v>4124</v>
      </c>
      <c r="L1084" s="48">
        <v>202124101524322</v>
      </c>
      <c r="M1084" s="47">
        <v>44427</v>
      </c>
      <c r="N1084" s="11" t="str">
        <f>UPPER(TEXT(Tabla1[[#This Row],[FECHA RADICADO ENTRADA]],"MMM"))</f>
        <v>AGO</v>
      </c>
      <c r="O1084" s="48">
        <v>202124111344311</v>
      </c>
      <c r="P1084" s="47">
        <v>44434</v>
      </c>
      <c r="Q1084" s="26" t="str">
        <f>IFERROR(UPPER(TEXT(MONTH(Tabla1[[#This Row],[FECHA RADICADO SALIDA]]),"MMM")),"")</f>
        <v>ENE</v>
      </c>
      <c r="R1084" s="10">
        <f t="shared" si="71"/>
        <v>-7</v>
      </c>
      <c r="S1084" t="s">
        <v>2154</v>
      </c>
      <c r="T1084"/>
      <c r="U1084" t="s">
        <v>4131</v>
      </c>
      <c r="V1084" s="47">
        <v>43460</v>
      </c>
      <c r="W1084" s="10" t="s">
        <v>57</v>
      </c>
      <c r="X1084" s="10">
        <v>450</v>
      </c>
      <c r="Y1084" s="10">
        <f>IFERROR(INT(Tabla1[[#This Row],[CANTIDAD UND FARMACEUTICAS]]/(VLOOKUP(Tabla1[[#This Row],[MEDICAMENTO]],TAB_REF!$K$3:$L$27,2,0))),"")</f>
        <v>15</v>
      </c>
      <c r="Z1084" s="10" t="str">
        <f>IFERROR(VLOOKUP(Tabla1[[#This Row],[MEDICAMENTO]],TAB_REF!$B$3:$F$27,2,0), "")</f>
        <v xml:space="preserve">Metilfenidato HCl </v>
      </c>
      <c r="AA1084" s="10" t="str">
        <f>IFERROR(VLOOKUP(Tabla1[[#This Row],[MEDICAMENTO]],TAB_REF!$B$3:$F$27,3,0), "")</f>
        <v xml:space="preserve">36 mg </v>
      </c>
      <c r="AB1084" s="10" t="str">
        <f>IFERROR(VLOOKUP(Tabla1[[#This Row],[MEDICAMENTO]],TAB_REF!$B$3:$F$27,4,0), "")</f>
        <v>Tabletas de Liberación Prolongada</v>
      </c>
      <c r="AC1084" s="10" t="str">
        <f>IFERROR(VLOOKUP(Tabla1[[#This Row],[MEDICAMENTO]],TAB_REF!$B$3:$F$27,5,0), "")</f>
        <v>Frasco x 30 unidades</v>
      </c>
      <c r="AD1084" s="10" t="str">
        <f>IFERROR(VLOOKUP(Tabla1[[#This Row],[CANTIDAD UND COMERCIALES]],TAB_REF!$H$3:$I$1003,2,0)&amp;" ("&amp;Tabla1[[#This Row],[CANTIDAD UND COMERCIALES]]&amp;")"&amp;"_"&amp;Tabla1[[#This Row],[CANTIDAD]],"")</f>
        <v>Quince (15)_Frasco x 30 unidades</v>
      </c>
    </row>
    <row r="1085" spans="2:30" x14ac:dyDescent="0.25">
      <c r="B1085" s="10">
        <v>449</v>
      </c>
      <c r="C1085" t="s">
        <v>4121</v>
      </c>
      <c r="D1085" t="s">
        <v>2312</v>
      </c>
      <c r="E1085" t="s">
        <v>4122</v>
      </c>
      <c r="F1085" s="10" t="s">
        <v>4129</v>
      </c>
      <c r="G1085" t="s">
        <v>4123</v>
      </c>
      <c r="H1085" t="s">
        <v>4130</v>
      </c>
      <c r="I1085" t="s">
        <v>2109</v>
      </c>
      <c r="J1085" t="s">
        <v>1080</v>
      </c>
      <c r="K1085" t="s">
        <v>4124</v>
      </c>
      <c r="L1085" s="48">
        <v>202124101524322</v>
      </c>
      <c r="M1085" s="47">
        <v>44427</v>
      </c>
      <c r="N1085" s="11" t="str">
        <f>UPPER(TEXT(Tabla1[[#This Row],[FECHA RADICADO ENTRADA]],"MMM"))</f>
        <v>AGO</v>
      </c>
      <c r="O1085" s="48">
        <v>202124111344311</v>
      </c>
      <c r="P1085" s="47">
        <v>44434</v>
      </c>
      <c r="Q1085" s="26" t="str">
        <f>IFERROR(UPPER(TEXT(MONTH(Tabla1[[#This Row],[FECHA RADICADO SALIDA]]),"MMM")),"")</f>
        <v>ENE</v>
      </c>
      <c r="R1085" s="10">
        <f t="shared" si="71"/>
        <v>-7</v>
      </c>
      <c r="S1085" t="s">
        <v>2154</v>
      </c>
      <c r="T1085"/>
      <c r="U1085" t="s">
        <v>4131</v>
      </c>
      <c r="V1085" s="47">
        <v>43460</v>
      </c>
      <c r="W1085" s="10" t="s">
        <v>2139</v>
      </c>
      <c r="X1085" s="10">
        <v>1080</v>
      </c>
      <c r="Y1085" s="10">
        <f>IFERROR(INT(Tabla1[[#This Row],[CANTIDAD UND FARMACEUTICAS]]/(VLOOKUP(Tabla1[[#This Row],[MEDICAMENTO]],TAB_REF!$K$3:$L$27,2,0))),"")</f>
        <v>36</v>
      </c>
      <c r="Z1085" s="10" t="str">
        <f>IFERROR(VLOOKUP(Tabla1[[#This Row],[MEDICAMENTO]],TAB_REF!$B$3:$F$27,2,0), "")</f>
        <v xml:space="preserve">Primidona </v>
      </c>
      <c r="AA1085" s="10" t="str">
        <f>IFERROR(VLOOKUP(Tabla1[[#This Row],[MEDICAMENTO]],TAB_REF!$B$3:$F$27,3,0), "")</f>
        <v xml:space="preserve">250 mg </v>
      </c>
      <c r="AB1085" s="10" t="str">
        <f>IFERROR(VLOOKUP(Tabla1[[#This Row],[MEDICAMENTO]],TAB_REF!$B$3:$F$27,4,0), "")</f>
        <v>Tabletas</v>
      </c>
      <c r="AC1085" s="10" t="str">
        <f>IFERROR(VLOOKUP(Tabla1[[#This Row],[MEDICAMENTO]],TAB_REF!$B$3:$F$27,5,0), "")</f>
        <v>Caja x 30 unidades</v>
      </c>
      <c r="AD1085" s="10" t="str">
        <f>IFERROR(VLOOKUP(Tabla1[[#This Row],[CANTIDAD UND COMERCIALES]],TAB_REF!$H$3:$I$1003,2,0)&amp;" ("&amp;Tabla1[[#This Row],[CANTIDAD UND COMERCIALES]]&amp;")"&amp;"_"&amp;Tabla1[[#This Row],[CANTIDAD]],"")</f>
        <v>Treinta Y Seis (36)_Caja x 30 unidades</v>
      </c>
    </row>
    <row r="1086" spans="2:30" x14ac:dyDescent="0.25">
      <c r="B1086" s="10">
        <v>449</v>
      </c>
      <c r="C1086" t="s">
        <v>4121</v>
      </c>
      <c r="D1086" t="s">
        <v>2312</v>
      </c>
      <c r="E1086" t="s">
        <v>4122</v>
      </c>
      <c r="F1086" s="10" t="s">
        <v>4129</v>
      </c>
      <c r="G1086" t="s">
        <v>4123</v>
      </c>
      <c r="H1086" t="s">
        <v>4130</v>
      </c>
      <c r="I1086" t="s">
        <v>2109</v>
      </c>
      <c r="J1086" t="s">
        <v>1080</v>
      </c>
      <c r="K1086" t="s">
        <v>4124</v>
      </c>
      <c r="L1086" s="48">
        <v>202124101524322</v>
      </c>
      <c r="M1086" s="47">
        <v>44427</v>
      </c>
      <c r="N1086" s="11" t="str">
        <f>UPPER(TEXT(Tabla1[[#This Row],[FECHA RADICADO ENTRADA]],"MMM"))</f>
        <v>AGO</v>
      </c>
      <c r="O1086" s="48">
        <v>202124111344311</v>
      </c>
      <c r="P1086" s="47">
        <v>44434</v>
      </c>
      <c r="Q1086" s="26" t="str">
        <f>IFERROR(UPPER(TEXT(MONTH(Tabla1[[#This Row],[FECHA RADICADO SALIDA]]),"MMM")),"")</f>
        <v>ENE</v>
      </c>
      <c r="R1086" s="10">
        <f t="shared" ref="R1086:R1087" si="72">_xlfn.DAYS(M1086,P1086)</f>
        <v>-7</v>
      </c>
      <c r="S1086" t="s">
        <v>2145</v>
      </c>
      <c r="T1086" t="s">
        <v>3336</v>
      </c>
      <c r="U1086" t="s">
        <v>4131</v>
      </c>
      <c r="V1086" s="47">
        <v>43460</v>
      </c>
      <c r="W1086" s="10" t="s">
        <v>37</v>
      </c>
      <c r="X1086" s="10">
        <v>0</v>
      </c>
      <c r="Y1086" s="10">
        <f>IFERROR(INT(Tabla1[[#This Row],[CANTIDAD UND FARMACEUTICAS]]/(VLOOKUP(Tabla1[[#This Row],[MEDICAMENTO]],TAB_REF!$K$3:$L$27,2,0))),"")</f>
        <v>0</v>
      </c>
      <c r="Z1086" s="10" t="str">
        <f>IFERROR(VLOOKUP(Tabla1[[#This Row],[MEDICAMENTO]],TAB_REF!$B$3:$F$27,2,0), "")</f>
        <v xml:space="preserve">Hidromorfona HCl </v>
      </c>
      <c r="AA1086" s="10" t="str">
        <f>IFERROR(VLOOKUP(Tabla1[[#This Row],[MEDICAMENTO]],TAB_REF!$B$3:$F$27,3,0), "")</f>
        <v xml:space="preserve">2 mg/mL </v>
      </c>
      <c r="AB1086" s="10" t="str">
        <f>IFERROR(VLOOKUP(Tabla1[[#This Row],[MEDICAMENTO]],TAB_REF!$B$3:$F$27,4,0), "")</f>
        <v>Solución Inyectable</v>
      </c>
      <c r="AC1086" s="10" t="str">
        <f>IFERROR(VLOOKUP(Tabla1[[#This Row],[MEDICAMENTO]],TAB_REF!$B$3:$F$27,5,0), "")</f>
        <v>Caja x 10 unidades</v>
      </c>
      <c r="AD1086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087" spans="2:30" x14ac:dyDescent="0.25">
      <c r="B1087" s="10">
        <v>449</v>
      </c>
      <c r="C1087" t="s">
        <v>4121</v>
      </c>
      <c r="D1087" t="s">
        <v>2312</v>
      </c>
      <c r="E1087" t="s">
        <v>4122</v>
      </c>
      <c r="F1087" s="10" t="s">
        <v>4129</v>
      </c>
      <c r="G1087" t="s">
        <v>4123</v>
      </c>
      <c r="H1087" t="s">
        <v>4130</v>
      </c>
      <c r="I1087" t="s">
        <v>2109</v>
      </c>
      <c r="J1087" t="s">
        <v>1080</v>
      </c>
      <c r="K1087" t="s">
        <v>4124</v>
      </c>
      <c r="L1087" s="48">
        <v>202124101524322</v>
      </c>
      <c r="M1087" s="47">
        <v>44427</v>
      </c>
      <c r="N1087" s="11" t="str">
        <f>UPPER(TEXT(Tabla1[[#This Row],[FECHA RADICADO ENTRADA]],"MMM"))</f>
        <v>AGO</v>
      </c>
      <c r="O1087" s="48">
        <v>202124111344311</v>
      </c>
      <c r="P1087" s="47">
        <v>44434</v>
      </c>
      <c r="Q1087" s="26" t="str">
        <f>IFERROR(UPPER(TEXT(MONTH(Tabla1[[#This Row],[FECHA RADICADO SALIDA]]),"MMM")),"")</f>
        <v>ENE</v>
      </c>
      <c r="R1087" s="10">
        <f t="shared" si="72"/>
        <v>-7</v>
      </c>
      <c r="S1087" t="s">
        <v>2154</v>
      </c>
      <c r="T1087"/>
      <c r="U1087" t="s">
        <v>4131</v>
      </c>
      <c r="V1087" s="47">
        <v>43460</v>
      </c>
      <c r="W1087" s="10" t="s">
        <v>63</v>
      </c>
      <c r="X1087" s="10">
        <v>100</v>
      </c>
      <c r="Y1087" s="10">
        <f>IFERROR(INT(Tabla1[[#This Row],[CANTIDAD UND FARMACEUTICAS]]/(VLOOKUP(Tabla1[[#This Row],[MEDICAMENTO]],TAB_REF!$K$3:$L$27,2,0))),"")</f>
        <v>10</v>
      </c>
      <c r="Z1087" s="10" t="str">
        <f>IFERROR(VLOOKUP(Tabla1[[#This Row],[MEDICAMENTO]],TAB_REF!$B$3:$F$27,2,0), "")</f>
        <v xml:space="preserve">Morfina HCl </v>
      </c>
      <c r="AA1087" s="10" t="str">
        <f>IFERROR(VLOOKUP(Tabla1[[#This Row],[MEDICAMENTO]],TAB_REF!$B$3:$F$27,3,0), "")</f>
        <v xml:space="preserve">10 mg/mL </v>
      </c>
      <c r="AB1087" s="10" t="str">
        <f>IFERROR(VLOOKUP(Tabla1[[#This Row],[MEDICAMENTO]],TAB_REF!$B$3:$F$27,4,0), "")</f>
        <v>Solución Inyectable</v>
      </c>
      <c r="AC1087" s="10" t="str">
        <f>IFERROR(VLOOKUP(Tabla1[[#This Row],[MEDICAMENTO]],TAB_REF!$B$3:$F$27,5,0), "")</f>
        <v>Caja x 10 unidades</v>
      </c>
      <c r="AD1087" s="10" t="str">
        <f>IFERROR(VLOOKUP(Tabla1[[#This Row],[CANTIDAD UND COMERCIALES]],TAB_REF!$H$3:$I$1003,2,0)&amp;" ("&amp;Tabla1[[#This Row],[CANTIDAD UND COMERCIALES]]&amp;")"&amp;"_"&amp;Tabla1[[#This Row],[CANTIDAD]],"")</f>
        <v>Diez (10)_Caja x 10 unidades</v>
      </c>
    </row>
    <row r="1088" spans="2:30" x14ac:dyDescent="0.25">
      <c r="B1088" s="10">
        <v>450</v>
      </c>
      <c r="C1088" t="s">
        <v>2318</v>
      </c>
      <c r="D1088" t="s">
        <v>2175</v>
      </c>
      <c r="E1088" t="s">
        <v>2319</v>
      </c>
      <c r="F1088" s="10" t="s">
        <v>2320</v>
      </c>
      <c r="G1088" t="s">
        <v>2321</v>
      </c>
      <c r="H1088" t="s">
        <v>2322</v>
      </c>
      <c r="I1088" t="s">
        <v>2107</v>
      </c>
      <c r="J1088" t="s">
        <v>1212</v>
      </c>
      <c r="K1088" t="s">
        <v>4078</v>
      </c>
      <c r="L1088" s="48">
        <v>202124101541482</v>
      </c>
      <c r="M1088" s="47">
        <v>44428</v>
      </c>
      <c r="N1088" s="11" t="str">
        <f>UPPER(TEXT(Tabla1[[#This Row],[FECHA RADICADO ENTRADA]],"MMM"))</f>
        <v>AGO</v>
      </c>
      <c r="O1088" s="48">
        <v>202124111338681</v>
      </c>
      <c r="P1088" s="47">
        <v>44434</v>
      </c>
      <c r="Q1088" s="26" t="str">
        <f>IFERROR(UPPER(TEXT(MONTH(Tabla1[[#This Row],[FECHA RADICADO SALIDA]]),"MMM")),"")</f>
        <v>ENE</v>
      </c>
      <c r="R1088" s="10">
        <f t="shared" si="71"/>
        <v>-6</v>
      </c>
      <c r="S1088" t="s">
        <v>2154</v>
      </c>
      <c r="T1088"/>
      <c r="U1088" t="s">
        <v>2323</v>
      </c>
      <c r="V1088" s="47">
        <v>44186</v>
      </c>
      <c r="W1088" t="s">
        <v>60</v>
      </c>
      <c r="X1088" s="10">
        <v>3</v>
      </c>
      <c r="Y1088" s="10">
        <f>IFERROR(INT(Tabla1[[#This Row],[CANTIDAD UND FARMACEUTICAS]]/(VLOOKUP(Tabla1[[#This Row],[MEDICAMENTO]],TAB_REF!$K$3:$L$27,2,0))),"")</f>
        <v>3</v>
      </c>
      <c r="Z1088" s="10" t="str">
        <f>IFERROR(VLOOKUP(Tabla1[[#This Row],[MEDICAMENTO]],TAB_REF!$B$3:$F$27,2,0), "")</f>
        <v xml:space="preserve">Morfina HCl </v>
      </c>
      <c r="AA1088" s="10" t="str">
        <f>IFERROR(VLOOKUP(Tabla1[[#This Row],[MEDICAMENTO]],TAB_REF!$B$3:$F$27,3,0), "")</f>
        <v xml:space="preserve">3%. </v>
      </c>
      <c r="AB1088" s="10" t="str">
        <f>IFERROR(VLOOKUP(Tabla1[[#This Row],[MEDICAMENTO]],TAB_REF!$B$3:$F$27,4,0), "")</f>
        <v>Solución Oral</v>
      </c>
      <c r="AC1088" s="10" t="str">
        <f>IFERROR(VLOOKUP(Tabla1[[#This Row],[MEDICAMENTO]],TAB_REF!$B$3:$F$27,5,0), "")</f>
        <v>Frasco x 30 mL</v>
      </c>
      <c r="AD1088" s="10" t="str">
        <f>IFERROR(VLOOKUP(Tabla1[[#This Row],[CANTIDAD UND COMERCIALES]],TAB_REF!$H$3:$I$1003,2,0)&amp;" ("&amp;Tabla1[[#This Row],[CANTIDAD UND COMERCIALES]]&amp;")"&amp;"_"&amp;Tabla1[[#This Row],[CANTIDAD]],"")</f>
        <v>Tres (3)_Frasco x 30 mL</v>
      </c>
    </row>
    <row r="1089" spans="2:30" x14ac:dyDescent="0.25">
      <c r="B1089" s="10">
        <v>451</v>
      </c>
      <c r="C1089" t="s">
        <v>2714</v>
      </c>
      <c r="D1089" t="s">
        <v>2312</v>
      </c>
      <c r="E1089" t="s">
        <v>2715</v>
      </c>
      <c r="F1089" s="10" t="s">
        <v>2761</v>
      </c>
      <c r="G1089" t="s">
        <v>2717</v>
      </c>
      <c r="H1089" t="s">
        <v>2718</v>
      </c>
      <c r="I1089" t="s">
        <v>2128</v>
      </c>
      <c r="J1089" t="s">
        <v>1918</v>
      </c>
      <c r="K1089" t="s">
        <v>4125</v>
      </c>
      <c r="L1089" s="48">
        <v>202124101537142</v>
      </c>
      <c r="M1089" s="47">
        <v>44428</v>
      </c>
      <c r="N1089" s="11" t="str">
        <f>UPPER(TEXT(Tabla1[[#This Row],[FECHA RADICADO ENTRADA]],"MMM"))</f>
        <v>AGO</v>
      </c>
      <c r="O1089" s="48">
        <v>202124111339521</v>
      </c>
      <c r="P1089" s="47">
        <v>44434</v>
      </c>
      <c r="Q1089" s="26" t="str">
        <f>IFERROR(UPPER(TEXT(MONTH(Tabla1[[#This Row],[FECHA RADICADO SALIDA]]),"MMM")),"")</f>
        <v>ENE</v>
      </c>
      <c r="R1089" s="10">
        <f t="shared" si="71"/>
        <v>-6</v>
      </c>
      <c r="S1089" t="s">
        <v>2154</v>
      </c>
      <c r="T1089"/>
      <c r="U1089" t="s">
        <v>2720</v>
      </c>
      <c r="V1089" s="47">
        <v>43581</v>
      </c>
      <c r="W1089" t="s">
        <v>45</v>
      </c>
      <c r="X1089" s="10">
        <v>810</v>
      </c>
      <c r="Y1089" s="10">
        <f>IFERROR(INT(Tabla1[[#This Row],[CANTIDAD UND FARMACEUTICAS]]/(VLOOKUP(Tabla1[[#This Row],[MEDICAMENTO]],TAB_REF!$K$3:$L$27,2,0))),"")</f>
        <v>27</v>
      </c>
      <c r="Z1089" s="10" t="str">
        <f>IFERROR(VLOOKUP(Tabla1[[#This Row],[MEDICAMENTO]],TAB_REF!$B$3:$F$27,2,0), "")</f>
        <v xml:space="preserve">Metadona HCl </v>
      </c>
      <c r="AA1089" s="10" t="str">
        <f>IFERROR(VLOOKUP(Tabla1[[#This Row],[MEDICAMENTO]],TAB_REF!$B$3:$F$27,3,0), "")</f>
        <v xml:space="preserve">10 mg </v>
      </c>
      <c r="AB1089" s="10" t="str">
        <f>IFERROR(VLOOKUP(Tabla1[[#This Row],[MEDICAMENTO]],TAB_REF!$B$3:$F$27,4,0), "")</f>
        <v>Tabletas NACIONAL</v>
      </c>
      <c r="AC1089" s="10" t="str">
        <f>IFERROR(VLOOKUP(Tabla1[[#This Row],[MEDICAMENTO]],TAB_REF!$B$3:$F$27,5,0), "")</f>
        <v>Caja x 30 unidades</v>
      </c>
      <c r="AD1089" s="10" t="str">
        <f>IFERROR(VLOOKUP(Tabla1[[#This Row],[CANTIDAD UND COMERCIALES]],TAB_REF!$H$3:$I$1003,2,0)&amp;" ("&amp;Tabla1[[#This Row],[CANTIDAD UND COMERCIALES]]&amp;")"&amp;"_"&amp;Tabla1[[#This Row],[CANTIDAD]],"")</f>
        <v>Veintisiete (27)_Caja x 30 unidades</v>
      </c>
    </row>
    <row r="1090" spans="2:30" x14ac:dyDescent="0.25">
      <c r="B1090" s="10">
        <v>452</v>
      </c>
      <c r="C1090" t="s">
        <v>4080</v>
      </c>
      <c r="D1090" t="s">
        <v>3329</v>
      </c>
      <c r="E1090" t="s">
        <v>3740</v>
      </c>
      <c r="F1090" s="10" t="s">
        <v>3741</v>
      </c>
      <c r="G1090" t="s">
        <v>3544</v>
      </c>
      <c r="H1090" t="s">
        <v>4126</v>
      </c>
      <c r="I1090" t="s">
        <v>2128</v>
      </c>
      <c r="J1090" t="s">
        <v>1968</v>
      </c>
      <c r="K1090" t="s">
        <v>4120</v>
      </c>
      <c r="L1090" s="48">
        <v>202124101539212</v>
      </c>
      <c r="M1090" s="47">
        <v>44428</v>
      </c>
      <c r="N1090" s="11" t="str">
        <f>UPPER(TEXT(Tabla1[[#This Row],[FECHA RADICADO ENTRADA]],"MMM"))</f>
        <v>AGO</v>
      </c>
      <c r="O1090" s="48">
        <v>202124111339761</v>
      </c>
      <c r="P1090" s="47">
        <v>44434</v>
      </c>
      <c r="Q1090" s="26" t="str">
        <f>IFERROR(UPPER(TEXT(MONTH(Tabla1[[#This Row],[FECHA RADICADO SALIDA]]),"MMM")),"")</f>
        <v>ENE</v>
      </c>
      <c r="R1090" s="10">
        <f t="shared" si="71"/>
        <v>-6</v>
      </c>
      <c r="S1090" t="s">
        <v>2154</v>
      </c>
      <c r="T1090"/>
      <c r="U1090" t="s">
        <v>3954</v>
      </c>
      <c r="V1090" s="47">
        <v>44378</v>
      </c>
      <c r="W1090" t="s">
        <v>44</v>
      </c>
      <c r="X1090" s="10">
        <v>3000</v>
      </c>
      <c r="Y1090" s="10">
        <f>IFERROR(INT(Tabla1[[#This Row],[CANTIDAD UND FARMACEUTICAS]]/(VLOOKUP(Tabla1[[#This Row],[MEDICAMENTO]],TAB_REF!$K$3:$L$27,2,0))),"")</f>
        <v>150</v>
      </c>
      <c r="Z1090" s="10" t="str">
        <f>IFERROR(VLOOKUP(Tabla1[[#This Row],[MEDICAMENTO]],TAB_REF!$B$3:$F$27,2,0), "")</f>
        <v xml:space="preserve">Metadona HCl </v>
      </c>
      <c r="AA1090" s="10" t="str">
        <f>IFERROR(VLOOKUP(Tabla1[[#This Row],[MEDICAMENTO]],TAB_REF!$B$3:$F$27,3,0), "")</f>
        <v xml:space="preserve">10 mg </v>
      </c>
      <c r="AB1090" s="10" t="str">
        <f>IFERROR(VLOOKUP(Tabla1[[#This Row],[MEDICAMENTO]],TAB_REF!$B$3:$F$27,4,0), "")</f>
        <v>Tabletas IMPORTADA</v>
      </c>
      <c r="AC1090" s="10" t="str">
        <f>IFERROR(VLOOKUP(Tabla1[[#This Row],[MEDICAMENTO]],TAB_REF!$B$3:$F$27,5,0), "")</f>
        <v>Frasco x 20 unidades</v>
      </c>
      <c r="AD1090" s="10" t="str">
        <f>IFERROR(VLOOKUP(Tabla1[[#This Row],[CANTIDAD UND COMERCIALES]],TAB_REF!$H$3:$I$1003,2,0)&amp;" ("&amp;Tabla1[[#This Row],[CANTIDAD UND COMERCIALES]]&amp;")"&amp;"_"&amp;Tabla1[[#This Row],[CANTIDAD]],"")</f>
        <v>Ciento Cincuenta (150)_Frasco x 20 unidades</v>
      </c>
    </row>
    <row r="1091" spans="2:30" x14ac:dyDescent="0.25">
      <c r="B1091" s="10">
        <v>452</v>
      </c>
      <c r="C1091" t="s">
        <v>4080</v>
      </c>
      <c r="D1091" t="s">
        <v>3329</v>
      </c>
      <c r="E1091" t="s">
        <v>3740</v>
      </c>
      <c r="F1091" s="10" t="s">
        <v>3741</v>
      </c>
      <c r="G1091" t="s">
        <v>3544</v>
      </c>
      <c r="H1091" t="s">
        <v>4126</v>
      </c>
      <c r="I1091" t="s">
        <v>2128</v>
      </c>
      <c r="J1091" t="s">
        <v>1968</v>
      </c>
      <c r="K1091" t="s">
        <v>4120</v>
      </c>
      <c r="L1091" s="48">
        <v>202124101539212</v>
      </c>
      <c r="M1091" s="47">
        <v>44428</v>
      </c>
      <c r="N1091" s="11" t="str">
        <f>UPPER(TEXT(Tabla1[[#This Row],[FECHA RADICADO ENTRADA]],"MMM"))</f>
        <v>AGO</v>
      </c>
      <c r="O1091" s="48">
        <v>202124111339761</v>
      </c>
      <c r="P1091" s="47">
        <v>44434</v>
      </c>
      <c r="Q1091" s="26" t="str">
        <f>IFERROR(UPPER(TEXT(MONTH(Tabla1[[#This Row],[FECHA RADICADO SALIDA]]),"MMM")),"")</f>
        <v>ENE</v>
      </c>
      <c r="R1091" s="10">
        <f t="shared" si="71"/>
        <v>-6</v>
      </c>
      <c r="S1091" t="s">
        <v>2154</v>
      </c>
      <c r="T1091"/>
      <c r="U1091" t="s">
        <v>3954</v>
      </c>
      <c r="V1091" s="47">
        <v>44378</v>
      </c>
      <c r="W1091" t="s">
        <v>64</v>
      </c>
      <c r="X1091" s="10">
        <v>5000</v>
      </c>
      <c r="Y1091" s="10">
        <f>IFERROR(INT(Tabla1[[#This Row],[CANTIDAD UND FARMACEUTICAS]]/(VLOOKUP(Tabla1[[#This Row],[MEDICAMENTO]],TAB_REF!$K$3:$L$27,2,0))),"")</f>
        <v>500</v>
      </c>
      <c r="Z1091" s="10" t="str">
        <f>IFERROR(VLOOKUP(Tabla1[[#This Row],[MEDICAMENTO]],TAB_REF!$B$3:$F$27,2,0), "")</f>
        <v xml:space="preserve">Morfina HCl </v>
      </c>
      <c r="AA1091" s="10" t="str">
        <f>IFERROR(VLOOKUP(Tabla1[[#This Row],[MEDICAMENTO]],TAB_REF!$B$3:$F$27,3,0), "")</f>
        <v xml:space="preserve">10 (50mg/5mL) </v>
      </c>
      <c r="AB1091" s="10" t="str">
        <f>IFERROR(VLOOKUP(Tabla1[[#This Row],[MEDICAMENTO]],TAB_REF!$B$3:$F$27,4,0), "")</f>
        <v>Solución Inyectable</v>
      </c>
      <c r="AC1091" s="10" t="str">
        <f>IFERROR(VLOOKUP(Tabla1[[#This Row],[MEDICAMENTO]],TAB_REF!$B$3:$F$27,5,0), "")</f>
        <v>Caja x 5 unidades</v>
      </c>
      <c r="AD1091" s="10" t="str">
        <f>IFERROR(VLOOKUP(Tabla1[[#This Row],[CANTIDAD UND COMERCIALES]],TAB_REF!$H$3:$I$1003,2,0)&amp;" ("&amp;Tabla1[[#This Row],[CANTIDAD UND COMERCIALES]]&amp;")"&amp;"_"&amp;Tabla1[[#This Row],[CANTIDAD]],"")</f>
        <v>Quinientos (500)_Caja x 5 unidades</v>
      </c>
    </row>
    <row r="1092" spans="2:30" x14ac:dyDescent="0.25">
      <c r="B1092" s="10">
        <v>452</v>
      </c>
      <c r="C1092" t="s">
        <v>4080</v>
      </c>
      <c r="D1092" t="s">
        <v>3329</v>
      </c>
      <c r="E1092" t="s">
        <v>3740</v>
      </c>
      <c r="F1092" s="10" t="s">
        <v>3741</v>
      </c>
      <c r="G1092" t="s">
        <v>3544</v>
      </c>
      <c r="H1092" t="s">
        <v>4126</v>
      </c>
      <c r="I1092" t="s">
        <v>2128</v>
      </c>
      <c r="J1092" t="s">
        <v>1968</v>
      </c>
      <c r="K1092" t="s">
        <v>4120</v>
      </c>
      <c r="L1092" s="48">
        <v>202124101539212</v>
      </c>
      <c r="M1092" s="47">
        <v>44428</v>
      </c>
      <c r="N1092" s="11" t="str">
        <f>UPPER(TEXT(Tabla1[[#This Row],[FECHA RADICADO ENTRADA]],"MMM"))</f>
        <v>AGO</v>
      </c>
      <c r="O1092" s="48">
        <v>202124111339761</v>
      </c>
      <c r="P1092" s="47">
        <v>44434</v>
      </c>
      <c r="Q1092" s="26" t="str">
        <f>IFERROR(UPPER(TEXT(MONTH(Tabla1[[#This Row],[FECHA RADICADO SALIDA]]),"MMM")),"")</f>
        <v>ENE</v>
      </c>
      <c r="R1092" s="10">
        <f t="shared" si="71"/>
        <v>-6</v>
      </c>
      <c r="S1092" t="s">
        <v>2154</v>
      </c>
      <c r="T1092"/>
      <c r="U1092" t="s">
        <v>3954</v>
      </c>
      <c r="V1092" s="47">
        <v>44378</v>
      </c>
      <c r="W1092" t="s">
        <v>60</v>
      </c>
      <c r="X1092" s="10">
        <v>300</v>
      </c>
      <c r="Y1092" s="10">
        <f>IFERROR(INT(Tabla1[[#This Row],[CANTIDAD UND FARMACEUTICAS]]/(VLOOKUP(Tabla1[[#This Row],[MEDICAMENTO]],TAB_REF!$K$3:$L$27,2,0))),"")</f>
        <v>300</v>
      </c>
      <c r="Z1092" s="10" t="str">
        <f>IFERROR(VLOOKUP(Tabla1[[#This Row],[MEDICAMENTO]],TAB_REF!$B$3:$F$27,2,0), "")</f>
        <v xml:space="preserve">Morfina HCl </v>
      </c>
      <c r="AA1092" s="10" t="str">
        <f>IFERROR(VLOOKUP(Tabla1[[#This Row],[MEDICAMENTO]],TAB_REF!$B$3:$F$27,3,0), "")</f>
        <v xml:space="preserve">3%. </v>
      </c>
      <c r="AB1092" s="10" t="str">
        <f>IFERROR(VLOOKUP(Tabla1[[#This Row],[MEDICAMENTO]],TAB_REF!$B$3:$F$27,4,0), "")</f>
        <v>Solución Oral</v>
      </c>
      <c r="AC1092" s="10" t="str">
        <f>IFERROR(VLOOKUP(Tabla1[[#This Row],[MEDICAMENTO]],TAB_REF!$B$3:$F$27,5,0), "")</f>
        <v>Frasco x 30 mL</v>
      </c>
      <c r="AD1092" s="10" t="str">
        <f>IFERROR(VLOOKUP(Tabla1[[#This Row],[CANTIDAD UND COMERCIALES]],TAB_REF!$H$3:$I$1003,2,0)&amp;" ("&amp;Tabla1[[#This Row],[CANTIDAD UND COMERCIALES]]&amp;")"&amp;"_"&amp;Tabla1[[#This Row],[CANTIDAD]],"")</f>
        <v>Trescientos (300)_Frasco x 30 mL</v>
      </c>
    </row>
    <row r="1093" spans="2:30" x14ac:dyDescent="0.25">
      <c r="B1093" s="10">
        <v>453</v>
      </c>
      <c r="C1093" t="s">
        <v>2217</v>
      </c>
      <c r="D1093" s="10" t="s">
        <v>2162</v>
      </c>
      <c r="E1093" s="10" t="s">
        <v>2946</v>
      </c>
      <c r="F1093" s="10" t="s">
        <v>2273</v>
      </c>
      <c r="G1093" s="50" t="s">
        <v>2219</v>
      </c>
      <c r="H1093" t="s">
        <v>4127</v>
      </c>
      <c r="I1093" t="s">
        <v>2107</v>
      </c>
      <c r="J1093" t="s">
        <v>1212</v>
      </c>
      <c r="K1093" t="s">
        <v>4128</v>
      </c>
      <c r="L1093" s="48">
        <v>202124101539342</v>
      </c>
      <c r="M1093" s="47">
        <v>44428</v>
      </c>
      <c r="N1093" s="11" t="str">
        <f>UPPER(TEXT(Tabla1[[#This Row],[FECHA RADICADO ENTRADA]],"MMM"))</f>
        <v>AGO</v>
      </c>
      <c r="O1093" s="48">
        <v>202124111340121</v>
      </c>
      <c r="P1093" s="47">
        <v>44434</v>
      </c>
      <c r="Q1093" s="26" t="str">
        <f>IFERROR(UPPER(TEXT(MONTH(Tabla1[[#This Row],[FECHA RADICADO SALIDA]]),"MMM")),"")</f>
        <v>ENE</v>
      </c>
      <c r="R1093" s="10">
        <f t="shared" si="71"/>
        <v>-6</v>
      </c>
      <c r="S1093" t="s">
        <v>2145</v>
      </c>
      <c r="T1093" t="s">
        <v>3336</v>
      </c>
      <c r="U1093" t="s">
        <v>2679</v>
      </c>
      <c r="V1093" s="47">
        <v>43767</v>
      </c>
      <c r="W1093" t="s">
        <v>48</v>
      </c>
      <c r="X1093" s="10">
        <v>0</v>
      </c>
      <c r="Y1093" s="10">
        <f>IFERROR(INT(Tabla1[[#This Row],[CANTIDAD UND FARMACEUTICAS]]/(VLOOKUP(Tabla1[[#This Row],[MEDICAMENTO]],TAB_REF!$K$3:$L$27,2,0))),"")</f>
        <v>0</v>
      </c>
      <c r="Z1093" s="10" t="str">
        <f>IFERROR(VLOOKUP(Tabla1[[#This Row],[MEDICAMENTO]],TAB_REF!$B$3:$F$27,2,0), "")</f>
        <v xml:space="preserve">Metilfenidato HCl </v>
      </c>
      <c r="AA1093" s="10" t="str">
        <f>IFERROR(VLOOKUP(Tabla1[[#This Row],[MEDICAMENTO]],TAB_REF!$B$3:$F$27,3,0), "")</f>
        <v xml:space="preserve">10 mg </v>
      </c>
      <c r="AB1093" s="10" t="str">
        <f>IFERROR(VLOOKUP(Tabla1[[#This Row],[MEDICAMENTO]],TAB_REF!$B$3:$F$27,4,0), "")</f>
        <v>Comprimidos</v>
      </c>
      <c r="AC1093" s="10" t="str">
        <f>IFERROR(VLOOKUP(Tabla1[[#This Row],[MEDICAMENTO]],TAB_REF!$B$3:$F$27,5,0), "")</f>
        <v>Caja x 30 unidades</v>
      </c>
      <c r="AD1093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094" spans="2:30" x14ac:dyDescent="0.25">
      <c r="B1094" s="10">
        <v>454</v>
      </c>
      <c r="C1094" s="10" t="s">
        <v>2318</v>
      </c>
      <c r="D1094" s="10" t="s">
        <v>2175</v>
      </c>
      <c r="E1094" s="10" t="s">
        <v>2319</v>
      </c>
      <c r="F1094" s="10" t="s">
        <v>3886</v>
      </c>
      <c r="G1094" s="10" t="s">
        <v>2321</v>
      </c>
      <c r="H1094" s="10" t="s">
        <v>2322</v>
      </c>
      <c r="I1094" s="10" t="s">
        <v>2107</v>
      </c>
      <c r="J1094" s="10" t="s">
        <v>1212</v>
      </c>
      <c r="K1094" s="10" t="s">
        <v>4078</v>
      </c>
      <c r="L1094" s="11">
        <v>202124101541482</v>
      </c>
      <c r="M1094" s="20">
        <v>44428</v>
      </c>
      <c r="N1094" s="11" t="str">
        <f>UPPER(TEXT(Tabla1[[#This Row],[FECHA RADICADO ENTRADA]],"MMM"))</f>
        <v>AGO</v>
      </c>
      <c r="O1094" s="11">
        <v>202124111338681</v>
      </c>
      <c r="P1094" s="47">
        <v>44434</v>
      </c>
      <c r="Q1094" s="26" t="str">
        <f>IFERROR(UPPER(TEXT(MONTH(Tabla1[[#This Row],[FECHA RADICADO SALIDA]]),"MMM")),"")</f>
        <v>ENE</v>
      </c>
      <c r="R1094" s="10">
        <f t="shared" ref="R1094:R1112" si="73">_xlfn.DAYS(M1094,P1094)</f>
        <v>-6</v>
      </c>
      <c r="S1094" s="10" t="s">
        <v>2154</v>
      </c>
      <c r="U1094" s="10" t="s">
        <v>4079</v>
      </c>
      <c r="V1094" s="20">
        <v>44186</v>
      </c>
      <c r="W1094" s="10" t="s">
        <v>4099</v>
      </c>
      <c r="X1094" s="10">
        <v>3</v>
      </c>
      <c r="Y1094" s="10" t="str">
        <f>IFERROR(INT(Tabla1[[#This Row],[CANTIDAD UND FARMACEUTICAS]]/(VLOOKUP(Tabla1[[#This Row],[MEDICAMENTO]],TAB_REF!$K$3:$L$27,2,0))),"")</f>
        <v/>
      </c>
      <c r="Z1094" s="10" t="str">
        <f>IFERROR(VLOOKUP(Tabla1[[#This Row],[MEDICAMENTO]],TAB_REF!$B$3:$F$27,2,0), "")</f>
        <v/>
      </c>
      <c r="AA1094" s="10" t="str">
        <f>IFERROR(VLOOKUP(Tabla1[[#This Row],[MEDICAMENTO]],TAB_REF!$B$3:$F$27,3,0), "")</f>
        <v/>
      </c>
      <c r="AB1094" s="10" t="str">
        <f>IFERROR(VLOOKUP(Tabla1[[#This Row],[MEDICAMENTO]],TAB_REF!$B$3:$F$27,4,0), "")</f>
        <v/>
      </c>
      <c r="AC1094" s="10" t="str">
        <f>IFERROR(VLOOKUP(Tabla1[[#This Row],[MEDICAMENTO]],TAB_REF!$B$3:$F$27,5,0), "")</f>
        <v/>
      </c>
      <c r="AD1094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095" spans="2:30" x14ac:dyDescent="0.25">
      <c r="B1095" s="10">
        <v>455</v>
      </c>
      <c r="C1095" s="10" t="s">
        <v>4081</v>
      </c>
      <c r="D1095" s="10" t="s">
        <v>4082</v>
      </c>
      <c r="E1095" s="10" t="s">
        <v>4083</v>
      </c>
      <c r="F1095" s="10" t="s">
        <v>4084</v>
      </c>
      <c r="G1095" s="10" t="s">
        <v>4086</v>
      </c>
      <c r="H1095" s="10" t="s">
        <v>4085</v>
      </c>
      <c r="I1095" s="10" t="s">
        <v>2107</v>
      </c>
      <c r="J1095" s="10" t="s">
        <v>1212</v>
      </c>
      <c r="K1095" s="10" t="s">
        <v>4087</v>
      </c>
      <c r="L1095" s="11">
        <v>202124101542772</v>
      </c>
      <c r="M1095" s="20">
        <v>44428</v>
      </c>
      <c r="N1095" s="11" t="str">
        <f>UPPER(TEXT(Tabla1[[#This Row],[FECHA RADICADO ENTRADA]],"MMM"))</f>
        <v>AGO</v>
      </c>
      <c r="O1095" s="11"/>
      <c r="Q1095" s="26" t="str">
        <f>IFERROR(UPPER(TEXT(MONTH(Tabla1[[#This Row],[FECHA RADICADO SALIDA]]),"MMM")),"")</f>
        <v>ENE</v>
      </c>
      <c r="R1095" s="10">
        <f t="shared" si="73"/>
        <v>44428</v>
      </c>
      <c r="S1095" s="10" t="s">
        <v>2154</v>
      </c>
      <c r="T1095" s="10" t="s">
        <v>4191</v>
      </c>
      <c r="U1095" s="10" t="s">
        <v>4088</v>
      </c>
      <c r="V1095" s="20">
        <v>44419</v>
      </c>
      <c r="Y1095" s="10" t="str">
        <f>IFERROR(INT(Tabla1[[#This Row],[CANTIDAD UND FARMACEUTICAS]]/(VLOOKUP(Tabla1[[#This Row],[MEDICAMENTO]],TAB_REF!$K$3:$L$27,2,0))),"")</f>
        <v/>
      </c>
      <c r="Z1095" s="10" t="str">
        <f>IFERROR(VLOOKUP(Tabla1[[#This Row],[MEDICAMENTO]],TAB_REF!$B$3:$F$27,2,0), "")</f>
        <v/>
      </c>
      <c r="AA1095" s="10" t="str">
        <f>IFERROR(VLOOKUP(Tabla1[[#This Row],[MEDICAMENTO]],TAB_REF!$B$3:$F$27,3,0), "")</f>
        <v/>
      </c>
      <c r="AB1095" s="10" t="str">
        <f>IFERROR(VLOOKUP(Tabla1[[#This Row],[MEDICAMENTO]],TAB_REF!$B$3:$F$27,4,0), "")</f>
        <v/>
      </c>
      <c r="AC1095" s="10" t="str">
        <f>IFERROR(VLOOKUP(Tabla1[[#This Row],[MEDICAMENTO]],TAB_REF!$B$3:$F$27,5,0), "")</f>
        <v/>
      </c>
      <c r="AD1095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096" spans="2:30" x14ac:dyDescent="0.25">
      <c r="B1096" s="10">
        <v>456</v>
      </c>
      <c r="C1096" s="10" t="s">
        <v>4089</v>
      </c>
      <c r="D1096" s="10" t="s">
        <v>2162</v>
      </c>
      <c r="E1096" s="10" t="s">
        <v>2856</v>
      </c>
      <c r="F1096" s="10" t="s">
        <v>3767</v>
      </c>
      <c r="G1096" s="10" t="s">
        <v>4090</v>
      </c>
      <c r="H1096" s="10" t="s">
        <v>4091</v>
      </c>
      <c r="I1096" s="10" t="s">
        <v>2129</v>
      </c>
      <c r="J1096" s="10" t="s">
        <v>2011</v>
      </c>
      <c r="K1096" s="10" t="s">
        <v>4092</v>
      </c>
      <c r="L1096" s="11">
        <v>202124101542912</v>
      </c>
      <c r="M1096" s="20">
        <v>44428</v>
      </c>
      <c r="N1096" s="11" t="str">
        <f>UPPER(TEXT(Tabla1[[#This Row],[FECHA RADICADO ENTRADA]],"MMM"))</f>
        <v>AGO</v>
      </c>
      <c r="O1096" s="11">
        <v>202124111340881</v>
      </c>
      <c r="P1096" s="20">
        <v>44428</v>
      </c>
      <c r="Q1096" s="26" t="str">
        <f>IFERROR(UPPER(TEXT(MONTH(Tabla1[[#This Row],[FECHA RADICADO SALIDA]]),"MMM")),"")</f>
        <v>ENE</v>
      </c>
      <c r="R1096" s="10">
        <f t="shared" si="73"/>
        <v>0</v>
      </c>
      <c r="S1096" s="10" t="s">
        <v>2154</v>
      </c>
      <c r="U1096" s="10" t="s">
        <v>4093</v>
      </c>
      <c r="V1096" s="20">
        <v>44082</v>
      </c>
      <c r="W1096" s="10" t="s">
        <v>63</v>
      </c>
      <c r="X1096" s="10">
        <v>80</v>
      </c>
      <c r="Y1096" s="10">
        <f>IFERROR(INT(Tabla1[[#This Row],[CANTIDAD UND FARMACEUTICAS]]/(VLOOKUP(Tabla1[[#This Row],[MEDICAMENTO]],TAB_REF!$K$3:$L$27,2,0))),"")</f>
        <v>8</v>
      </c>
      <c r="Z1096" s="10" t="str">
        <f>IFERROR(VLOOKUP(Tabla1[[#This Row],[MEDICAMENTO]],TAB_REF!$B$3:$F$27,2,0), "")</f>
        <v xml:space="preserve">Morfina HCl </v>
      </c>
      <c r="AA1096" s="10" t="str">
        <f>IFERROR(VLOOKUP(Tabla1[[#This Row],[MEDICAMENTO]],TAB_REF!$B$3:$F$27,3,0), "")</f>
        <v xml:space="preserve">10 mg/mL </v>
      </c>
      <c r="AB1096" s="10" t="str">
        <f>IFERROR(VLOOKUP(Tabla1[[#This Row],[MEDICAMENTO]],TAB_REF!$B$3:$F$27,4,0), "")</f>
        <v>Solución Inyectable</v>
      </c>
      <c r="AC1096" s="10" t="str">
        <f>IFERROR(VLOOKUP(Tabla1[[#This Row],[MEDICAMENTO]],TAB_REF!$B$3:$F$27,5,0), "")</f>
        <v>Caja x 10 unidades</v>
      </c>
      <c r="AD1096" s="10" t="str">
        <f>IFERROR(VLOOKUP(Tabla1[[#This Row],[CANTIDAD UND COMERCIALES]],TAB_REF!$H$3:$I$1003,2,0)&amp;" ("&amp;Tabla1[[#This Row],[CANTIDAD UND COMERCIALES]]&amp;")"&amp;"_"&amp;Tabla1[[#This Row],[CANTIDAD]],"")</f>
        <v>Ocho (8)_Caja x 10 unidades</v>
      </c>
    </row>
    <row r="1097" spans="2:30" x14ac:dyDescent="0.25">
      <c r="B1097" s="10">
        <v>457</v>
      </c>
      <c r="C1097" s="10" t="s">
        <v>4094</v>
      </c>
      <c r="D1097" s="10" t="s">
        <v>2182</v>
      </c>
      <c r="E1097" s="10" t="s">
        <v>4095</v>
      </c>
      <c r="F1097" s="10" t="s">
        <v>4096</v>
      </c>
      <c r="G1097" s="10" t="s">
        <v>4097</v>
      </c>
      <c r="I1097" s="10" t="s">
        <v>2117</v>
      </c>
      <c r="J1097" s="10" t="s">
        <v>1615</v>
      </c>
      <c r="K1097" s="10" t="s">
        <v>4098</v>
      </c>
      <c r="L1097" s="11">
        <v>202124101546622</v>
      </c>
      <c r="M1097" s="20">
        <v>44431</v>
      </c>
      <c r="N1097" s="11" t="str">
        <f>UPPER(TEXT(Tabla1[[#This Row],[FECHA RADICADO ENTRADA]],"MMM"))</f>
        <v>AGO</v>
      </c>
      <c r="O1097" s="11">
        <v>202124111341431</v>
      </c>
      <c r="P1097" s="20">
        <v>44434</v>
      </c>
      <c r="Q1097" s="26" t="str">
        <f>IFERROR(UPPER(TEXT(MONTH(Tabla1[[#This Row],[FECHA RADICADO SALIDA]]),"MMM")),"")</f>
        <v>ENE</v>
      </c>
      <c r="R1097" s="10">
        <f t="shared" si="73"/>
        <v>-3</v>
      </c>
      <c r="S1097" s="10" t="s">
        <v>2145</v>
      </c>
      <c r="T1097" s="10" t="s">
        <v>4058</v>
      </c>
      <c r="V1097" s="20"/>
      <c r="Y1097" s="10" t="str">
        <f>IFERROR(INT(Tabla1[[#This Row],[CANTIDAD UND FARMACEUTICAS]]/(VLOOKUP(Tabla1[[#This Row],[MEDICAMENTO]],TAB_REF!$K$3:$L$27,2,0))),"")</f>
        <v/>
      </c>
      <c r="Z1097" s="10" t="str">
        <f>IFERROR(VLOOKUP(Tabla1[[#This Row],[MEDICAMENTO]],TAB_REF!$B$3:$F$27,2,0), "")</f>
        <v/>
      </c>
      <c r="AA1097" s="10" t="str">
        <f>IFERROR(VLOOKUP(Tabla1[[#This Row],[MEDICAMENTO]],TAB_REF!$B$3:$F$27,3,0), "")</f>
        <v/>
      </c>
      <c r="AB1097" s="10" t="str">
        <f>IFERROR(VLOOKUP(Tabla1[[#This Row],[MEDICAMENTO]],TAB_REF!$B$3:$F$27,4,0), "")</f>
        <v/>
      </c>
      <c r="AC1097" s="10" t="str">
        <f>IFERROR(VLOOKUP(Tabla1[[#This Row],[MEDICAMENTO]],TAB_REF!$B$3:$F$27,5,0), "")</f>
        <v/>
      </c>
      <c r="AD1097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098" spans="2:30" x14ac:dyDescent="0.25">
      <c r="B1098" s="10">
        <v>458</v>
      </c>
      <c r="C1098" s="10" t="s">
        <v>4100</v>
      </c>
      <c r="D1098" s="10" t="s">
        <v>4101</v>
      </c>
      <c r="E1098" s="10" t="s">
        <v>4102</v>
      </c>
      <c r="G1098" s="10" t="s">
        <v>4103</v>
      </c>
      <c r="H1098" s="10" t="s">
        <v>4104</v>
      </c>
      <c r="I1098" s="10" t="s">
        <v>2113</v>
      </c>
      <c r="J1098" s="10" t="s">
        <v>1442</v>
      </c>
      <c r="K1098" s="10" t="s">
        <v>4105</v>
      </c>
      <c r="L1098" s="11">
        <v>202124101546822</v>
      </c>
      <c r="M1098" s="20">
        <v>44431</v>
      </c>
      <c r="N1098" s="11" t="str">
        <f>UPPER(TEXT(Tabla1[[#This Row],[FECHA RADICADO ENTRADA]],"MMM"))</f>
        <v>AGO</v>
      </c>
      <c r="O1098" s="11">
        <v>202124111341491</v>
      </c>
      <c r="P1098" s="20">
        <v>44434</v>
      </c>
      <c r="Q1098" s="26" t="str">
        <f>IFERROR(UPPER(TEXT(MONTH(Tabla1[[#This Row],[FECHA RADICADO SALIDA]]),"MMM")),"")</f>
        <v>ENE</v>
      </c>
      <c r="R1098" s="10">
        <f t="shared" si="73"/>
        <v>-3</v>
      </c>
      <c r="S1098" s="10" t="s">
        <v>2145</v>
      </c>
      <c r="T1098" s="10" t="s">
        <v>4058</v>
      </c>
      <c r="V1098" s="20"/>
      <c r="Y1098" s="10" t="str">
        <f>IFERROR(INT(Tabla1[[#This Row],[CANTIDAD UND FARMACEUTICAS]]/(VLOOKUP(Tabla1[[#This Row],[MEDICAMENTO]],TAB_REF!$K$3:$L$27,2,0))),"")</f>
        <v/>
      </c>
      <c r="Z1098" s="10" t="str">
        <f>IFERROR(VLOOKUP(Tabla1[[#This Row],[MEDICAMENTO]],TAB_REF!$B$3:$F$27,2,0), "")</f>
        <v/>
      </c>
      <c r="AA1098" s="10" t="str">
        <f>IFERROR(VLOOKUP(Tabla1[[#This Row],[MEDICAMENTO]],TAB_REF!$B$3:$F$27,3,0), "")</f>
        <v/>
      </c>
      <c r="AB1098" s="10" t="str">
        <f>IFERROR(VLOOKUP(Tabla1[[#This Row],[MEDICAMENTO]],TAB_REF!$B$3:$F$27,4,0), "")</f>
        <v/>
      </c>
      <c r="AC1098" s="10" t="str">
        <f>IFERROR(VLOOKUP(Tabla1[[#This Row],[MEDICAMENTO]],TAB_REF!$B$3:$F$27,5,0), "")</f>
        <v/>
      </c>
      <c r="AD1098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099" spans="2:30" x14ac:dyDescent="0.25">
      <c r="B1099" s="10">
        <v>459</v>
      </c>
      <c r="C1099" s="10" t="s">
        <v>4080</v>
      </c>
      <c r="D1099" t="s">
        <v>3329</v>
      </c>
      <c r="E1099" t="s">
        <v>3740</v>
      </c>
      <c r="F1099" s="10" t="s">
        <v>3741</v>
      </c>
      <c r="G1099" t="s">
        <v>4118</v>
      </c>
      <c r="H1099" t="s">
        <v>3742</v>
      </c>
      <c r="I1099" s="10" t="s">
        <v>2128</v>
      </c>
      <c r="J1099" s="10" t="s">
        <v>1968</v>
      </c>
      <c r="K1099" s="10" t="s">
        <v>4120</v>
      </c>
      <c r="L1099" s="11">
        <v>202124101531892</v>
      </c>
      <c r="M1099" s="20">
        <v>44427</v>
      </c>
      <c r="N1099" s="11" t="str">
        <f>UPPER(TEXT(Tabla1[[#This Row],[FECHA RADICADO ENTRADA]],"MMM"))</f>
        <v>AGO</v>
      </c>
      <c r="O1099" s="11">
        <v>202124111353451</v>
      </c>
      <c r="P1099" s="20">
        <v>44438</v>
      </c>
      <c r="Q1099" s="26" t="str">
        <f>IFERROR(UPPER(TEXT(MONTH(Tabla1[[#This Row],[FECHA RADICADO SALIDA]]),"MMM")),"")</f>
        <v>ENE</v>
      </c>
      <c r="R1099" s="10">
        <f t="shared" si="73"/>
        <v>-11</v>
      </c>
      <c r="S1099" s="10" t="s">
        <v>2145</v>
      </c>
      <c r="T1099" s="10" t="s">
        <v>4190</v>
      </c>
      <c r="V1099" s="20"/>
      <c r="Y1099" s="10" t="str">
        <f>IFERROR(INT(Tabla1[[#This Row],[CANTIDAD UND FARMACEUTICAS]]/(VLOOKUP(Tabla1[[#This Row],[MEDICAMENTO]],TAB_REF!$K$3:$L$27,2,0))),"")</f>
        <v/>
      </c>
      <c r="Z1099" s="10" t="str">
        <f>IFERROR(VLOOKUP(Tabla1[[#This Row],[MEDICAMENTO]],TAB_REF!$B$3:$F$27,2,0), "")</f>
        <v/>
      </c>
      <c r="AA1099" s="10" t="str">
        <f>IFERROR(VLOOKUP(Tabla1[[#This Row],[MEDICAMENTO]],TAB_REF!$B$3:$F$27,3,0), "")</f>
        <v/>
      </c>
      <c r="AB1099" s="10" t="str">
        <f>IFERROR(VLOOKUP(Tabla1[[#This Row],[MEDICAMENTO]],TAB_REF!$B$3:$F$27,4,0), "")</f>
        <v/>
      </c>
      <c r="AC1099" s="10" t="str">
        <f>IFERROR(VLOOKUP(Tabla1[[#This Row],[MEDICAMENTO]],TAB_REF!$B$3:$F$27,5,0), "")</f>
        <v/>
      </c>
      <c r="AD1099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100" spans="2:30" x14ac:dyDescent="0.25">
      <c r="B1100" s="10">
        <v>460</v>
      </c>
      <c r="C1100" s="10" t="s">
        <v>4054</v>
      </c>
      <c r="D1100" s="10" t="s">
        <v>2507</v>
      </c>
      <c r="E1100" s="10" t="s">
        <v>4055</v>
      </c>
      <c r="G1100" s="10" t="s">
        <v>4056</v>
      </c>
      <c r="K1100" s="10" t="s">
        <v>4132</v>
      </c>
      <c r="L1100" s="11">
        <v>202124101548562</v>
      </c>
      <c r="M1100" s="20">
        <v>44431</v>
      </c>
      <c r="N1100" s="11" t="str">
        <f>UPPER(TEXT(Tabla1[[#This Row],[FECHA RADICADO ENTRADA]],"MMM"))</f>
        <v>AGO</v>
      </c>
      <c r="O1100" s="11">
        <v>202124111353501</v>
      </c>
      <c r="P1100" s="20">
        <v>44438</v>
      </c>
      <c r="Q1100" s="26" t="str">
        <f>IFERROR(UPPER(TEXT(MONTH(Tabla1[[#This Row],[FECHA RADICADO SALIDA]]),"MMM")),"")</f>
        <v>ENE</v>
      </c>
      <c r="R1100" s="10">
        <f t="shared" si="73"/>
        <v>-7</v>
      </c>
      <c r="S1100" s="10" t="s">
        <v>2145</v>
      </c>
      <c r="T1100" s="10" t="s">
        <v>4058</v>
      </c>
      <c r="V1100" s="20"/>
      <c r="W1100" s="10" t="s">
        <v>60</v>
      </c>
      <c r="X1100" s="10">
        <v>0</v>
      </c>
      <c r="Y1100" s="10">
        <f>IFERROR(INT(Tabla1[[#This Row],[CANTIDAD UND FARMACEUTICAS]]/(VLOOKUP(Tabla1[[#This Row],[MEDICAMENTO]],TAB_REF!$K$3:$L$27,2,0))),"")</f>
        <v>0</v>
      </c>
      <c r="Z1100" s="10" t="str">
        <f>IFERROR(VLOOKUP(Tabla1[[#This Row],[MEDICAMENTO]],TAB_REF!$B$3:$F$27,2,0), "")</f>
        <v xml:space="preserve">Morfina HCl </v>
      </c>
      <c r="AA1100" s="10" t="str">
        <f>IFERROR(VLOOKUP(Tabla1[[#This Row],[MEDICAMENTO]],TAB_REF!$B$3:$F$27,3,0), "")</f>
        <v xml:space="preserve">3%. </v>
      </c>
      <c r="AB1100" s="10" t="str">
        <f>IFERROR(VLOOKUP(Tabla1[[#This Row],[MEDICAMENTO]],TAB_REF!$B$3:$F$27,4,0), "")</f>
        <v>Solución Oral</v>
      </c>
      <c r="AC1100" s="10" t="str">
        <f>IFERROR(VLOOKUP(Tabla1[[#This Row],[MEDICAMENTO]],TAB_REF!$B$3:$F$27,5,0), "")</f>
        <v>Frasco x 30 mL</v>
      </c>
      <c r="AD1100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101" spans="2:30" x14ac:dyDescent="0.25">
      <c r="B1101" s="10">
        <v>461</v>
      </c>
      <c r="C1101" s="10" t="s">
        <v>3744</v>
      </c>
      <c r="D1101" s="10" t="s">
        <v>2312</v>
      </c>
      <c r="E1101" s="10" t="s">
        <v>3745</v>
      </c>
      <c r="F1101" s="10" t="s">
        <v>3746</v>
      </c>
      <c r="G1101" s="10" t="s">
        <v>3783</v>
      </c>
      <c r="H1101" s="10" t="s">
        <v>4133</v>
      </c>
      <c r="I1101" s="10" t="s">
        <v>2113</v>
      </c>
      <c r="J1101" s="10" t="s">
        <v>1442</v>
      </c>
      <c r="K1101" s="10" t="s">
        <v>4105</v>
      </c>
      <c r="L1101" s="11">
        <v>202124101549022</v>
      </c>
      <c r="M1101" s="20">
        <v>44431</v>
      </c>
      <c r="N1101" s="11" t="str">
        <f>UPPER(TEXT(Tabla1[[#This Row],[FECHA RADICADO ENTRADA]],"MMM"))</f>
        <v>AGO</v>
      </c>
      <c r="O1101" s="11">
        <v>202124111353551</v>
      </c>
      <c r="P1101" s="20">
        <v>44438</v>
      </c>
      <c r="Q1101" s="26" t="str">
        <f>IFERROR(UPPER(TEXT(MONTH(Tabla1[[#This Row],[FECHA RADICADO SALIDA]]),"MMM")),"")</f>
        <v>ENE</v>
      </c>
      <c r="R1101" s="10">
        <f t="shared" si="73"/>
        <v>-7</v>
      </c>
      <c r="S1101" s="10" t="s">
        <v>2154</v>
      </c>
      <c r="U1101" s="10" t="s">
        <v>4134</v>
      </c>
      <c r="V1101" s="20">
        <v>44378</v>
      </c>
      <c r="W1101" s="10" t="s">
        <v>63</v>
      </c>
      <c r="X1101" s="10">
        <v>1000</v>
      </c>
      <c r="Y1101" s="10">
        <f>IFERROR(INT(Tabla1[[#This Row],[CANTIDAD UND FARMACEUTICAS]]/(VLOOKUP(Tabla1[[#This Row],[MEDICAMENTO]],TAB_REF!$K$3:$L$27,2,0))),"")</f>
        <v>100</v>
      </c>
      <c r="Z1101" s="10" t="str">
        <f>IFERROR(VLOOKUP(Tabla1[[#This Row],[MEDICAMENTO]],TAB_REF!$B$3:$F$27,2,0), "")</f>
        <v xml:space="preserve">Morfina HCl </v>
      </c>
      <c r="AA1101" s="10" t="str">
        <f>IFERROR(VLOOKUP(Tabla1[[#This Row],[MEDICAMENTO]],TAB_REF!$B$3:$F$27,3,0), "")</f>
        <v xml:space="preserve">10 mg/mL </v>
      </c>
      <c r="AB1101" s="10" t="str">
        <f>IFERROR(VLOOKUP(Tabla1[[#This Row],[MEDICAMENTO]],TAB_REF!$B$3:$F$27,4,0), "")</f>
        <v>Solución Inyectable</v>
      </c>
      <c r="AC1101" s="10" t="str">
        <f>IFERROR(VLOOKUP(Tabla1[[#This Row],[MEDICAMENTO]],TAB_REF!$B$3:$F$27,5,0), "")</f>
        <v>Caja x 10 unidades</v>
      </c>
      <c r="AD1101" s="10" t="str">
        <f>IFERROR(VLOOKUP(Tabla1[[#This Row],[CANTIDAD UND COMERCIALES]],TAB_REF!$H$3:$I$1003,2,0)&amp;" ("&amp;Tabla1[[#This Row],[CANTIDAD UND COMERCIALES]]&amp;")"&amp;"_"&amp;Tabla1[[#This Row],[CANTIDAD]],"")</f>
        <v>Cien (100)_Caja x 10 unidades</v>
      </c>
    </row>
    <row r="1102" spans="2:30" x14ac:dyDescent="0.25">
      <c r="B1102" s="10">
        <v>461</v>
      </c>
      <c r="C1102" s="10" t="s">
        <v>3744</v>
      </c>
      <c r="D1102" s="10" t="s">
        <v>2312</v>
      </c>
      <c r="E1102" s="10" t="s">
        <v>3745</v>
      </c>
      <c r="F1102" s="10" t="s">
        <v>3746</v>
      </c>
      <c r="G1102" s="10" t="s">
        <v>3783</v>
      </c>
      <c r="H1102" s="10" t="s">
        <v>4133</v>
      </c>
      <c r="I1102" s="10" t="s">
        <v>2113</v>
      </c>
      <c r="J1102" s="10" t="s">
        <v>1442</v>
      </c>
      <c r="K1102" s="10" t="s">
        <v>4105</v>
      </c>
      <c r="L1102" s="11">
        <v>202124101549022</v>
      </c>
      <c r="M1102" s="20">
        <v>44431</v>
      </c>
      <c r="N1102" s="11" t="str">
        <f>UPPER(TEXT(Tabla1[[#This Row],[FECHA RADICADO ENTRADA]],"MMM"))</f>
        <v>AGO</v>
      </c>
      <c r="O1102" s="11">
        <v>202124111353551</v>
      </c>
      <c r="P1102" s="20">
        <v>44438</v>
      </c>
      <c r="Q1102" s="26" t="str">
        <f>IFERROR(UPPER(TEXT(MONTH(Tabla1[[#This Row],[FECHA RADICADO SALIDA]]),"MMM")),"")</f>
        <v>ENE</v>
      </c>
      <c r="R1102" s="10">
        <f t="shared" si="73"/>
        <v>-7</v>
      </c>
      <c r="S1102" s="10" t="s">
        <v>2154</v>
      </c>
      <c r="U1102" s="10" t="s">
        <v>4134</v>
      </c>
      <c r="V1102" s="20">
        <v>44378</v>
      </c>
      <c r="W1102" s="10" t="s">
        <v>41</v>
      </c>
      <c r="X1102" s="10">
        <v>300</v>
      </c>
      <c r="Y1102" s="10">
        <f>IFERROR(INT(Tabla1[[#This Row],[CANTIDAD UND FARMACEUTICAS]]/(VLOOKUP(Tabla1[[#This Row],[MEDICAMENTO]],TAB_REF!$K$3:$L$27,2,0))),"")</f>
        <v>30</v>
      </c>
      <c r="Z1102" s="10" t="str">
        <f>IFERROR(VLOOKUP(Tabla1[[#This Row],[MEDICAMENTO]],TAB_REF!$B$3:$F$27,2,0), "")</f>
        <v xml:space="preserve">Meperidina HCl </v>
      </c>
      <c r="AA1102" s="10" t="str">
        <f>IFERROR(VLOOKUP(Tabla1[[#This Row],[MEDICAMENTO]],TAB_REF!$B$3:$F$27,3,0), "")</f>
        <v xml:space="preserve">100 mg/2mL </v>
      </c>
      <c r="AB1102" s="10" t="str">
        <f>IFERROR(VLOOKUP(Tabla1[[#This Row],[MEDICAMENTO]],TAB_REF!$B$3:$F$27,4,0), "")</f>
        <v>Solución Inyectable</v>
      </c>
      <c r="AC1102" s="10" t="str">
        <f>IFERROR(VLOOKUP(Tabla1[[#This Row],[MEDICAMENTO]],TAB_REF!$B$3:$F$27,5,0), "")</f>
        <v>Caja 10 ampollas</v>
      </c>
      <c r="AD1102" s="10" t="str">
        <f>IFERROR(VLOOKUP(Tabla1[[#This Row],[CANTIDAD UND COMERCIALES]],TAB_REF!$H$3:$I$1003,2,0)&amp;" ("&amp;Tabla1[[#This Row],[CANTIDAD UND COMERCIALES]]&amp;")"&amp;"_"&amp;Tabla1[[#This Row],[CANTIDAD]],"")</f>
        <v>Treinta (30)_Caja 10 ampollas</v>
      </c>
    </row>
    <row r="1103" spans="2:30" x14ac:dyDescent="0.25">
      <c r="B1103" s="10">
        <v>461</v>
      </c>
      <c r="C1103" s="10" t="s">
        <v>3744</v>
      </c>
      <c r="D1103" s="10" t="s">
        <v>2312</v>
      </c>
      <c r="E1103" s="10" t="s">
        <v>3745</v>
      </c>
      <c r="F1103" s="10" t="s">
        <v>3746</v>
      </c>
      <c r="G1103" s="10" t="s">
        <v>3783</v>
      </c>
      <c r="H1103" s="10" t="s">
        <v>4133</v>
      </c>
      <c r="I1103" s="10" t="s">
        <v>2113</v>
      </c>
      <c r="J1103" s="10" t="s">
        <v>1442</v>
      </c>
      <c r="K1103" s="10" t="s">
        <v>4105</v>
      </c>
      <c r="L1103" s="11">
        <v>202124101549022</v>
      </c>
      <c r="M1103" s="20">
        <v>44431</v>
      </c>
      <c r="N1103" s="11" t="str">
        <f>UPPER(TEXT(Tabla1[[#This Row],[FECHA RADICADO ENTRADA]],"MMM"))</f>
        <v>AGO</v>
      </c>
      <c r="O1103" s="11">
        <v>202124111353551</v>
      </c>
      <c r="P1103" s="20">
        <v>44438</v>
      </c>
      <c r="Q1103" s="26" t="str">
        <f>IFERROR(UPPER(TEXT(MONTH(Tabla1[[#This Row],[FECHA RADICADO SALIDA]]),"MMM")),"")</f>
        <v>ENE</v>
      </c>
      <c r="R1103" s="10">
        <f t="shared" si="73"/>
        <v>-7</v>
      </c>
      <c r="S1103" s="10" t="s">
        <v>2145</v>
      </c>
      <c r="T1103" s="10" t="s">
        <v>4192</v>
      </c>
      <c r="U1103" s="10" t="s">
        <v>4134</v>
      </c>
      <c r="V1103" s="20">
        <v>44378</v>
      </c>
      <c r="W1103" s="10" t="s">
        <v>36</v>
      </c>
      <c r="X1103" s="10">
        <v>0</v>
      </c>
      <c r="Y1103" s="10">
        <f>IFERROR(INT(Tabla1[[#This Row],[CANTIDAD UND FARMACEUTICAS]]/(VLOOKUP(Tabla1[[#This Row],[MEDICAMENTO]],TAB_REF!$K$3:$L$27,2,0))),"")</f>
        <v>0</v>
      </c>
      <c r="Z1103" s="10" t="str">
        <f>IFERROR(VLOOKUP(Tabla1[[#This Row],[MEDICAMENTO]],TAB_REF!$B$3:$F$27,2,0), "")</f>
        <v xml:space="preserve">Fenobarbital Sódico </v>
      </c>
      <c r="AA1103" s="10" t="str">
        <f>IFERROR(VLOOKUP(Tabla1[[#This Row],[MEDICAMENTO]],TAB_REF!$B$3:$F$27,3,0), "")</f>
        <v xml:space="preserve">40 mg/mL </v>
      </c>
      <c r="AB1103" s="10" t="str">
        <f>IFERROR(VLOOKUP(Tabla1[[#This Row],[MEDICAMENTO]],TAB_REF!$B$3:$F$27,4,0), "")</f>
        <v>Solución Inyectable</v>
      </c>
      <c r="AC1103" s="10" t="str">
        <f>IFERROR(VLOOKUP(Tabla1[[#This Row],[MEDICAMENTO]],TAB_REF!$B$3:$F$27,5,0), "")</f>
        <v>Caja x 10 unidades</v>
      </c>
      <c r="AD1103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104" spans="2:30" x14ac:dyDescent="0.25">
      <c r="B1104" s="10">
        <v>461</v>
      </c>
      <c r="C1104" s="10" t="s">
        <v>3744</v>
      </c>
      <c r="D1104" s="10" t="s">
        <v>2312</v>
      </c>
      <c r="E1104" s="10" t="s">
        <v>3745</v>
      </c>
      <c r="F1104" s="10" t="s">
        <v>3746</v>
      </c>
      <c r="G1104" s="10" t="s">
        <v>3783</v>
      </c>
      <c r="H1104" s="10" t="s">
        <v>4133</v>
      </c>
      <c r="I1104" s="10" t="s">
        <v>2113</v>
      </c>
      <c r="J1104" s="10" t="s">
        <v>1442</v>
      </c>
      <c r="K1104" s="10" t="s">
        <v>4105</v>
      </c>
      <c r="L1104" s="11">
        <v>202124101549022</v>
      </c>
      <c r="M1104" s="20">
        <v>44431</v>
      </c>
      <c r="N1104" s="11" t="str">
        <f>UPPER(TEXT(Tabla1[[#This Row],[FECHA RADICADO ENTRADA]],"MMM"))</f>
        <v>AGO</v>
      </c>
      <c r="O1104" s="11">
        <v>202124111353551</v>
      </c>
      <c r="P1104" s="20">
        <v>44438</v>
      </c>
      <c r="Q1104" s="26" t="str">
        <f>IFERROR(UPPER(TEXT(MONTH(Tabla1[[#This Row],[FECHA RADICADO SALIDA]]),"MMM")),"")</f>
        <v>ENE</v>
      </c>
      <c r="R1104" s="10">
        <f t="shared" si="73"/>
        <v>-7</v>
      </c>
      <c r="S1104" s="10" t="s">
        <v>2154</v>
      </c>
      <c r="U1104" s="10" t="s">
        <v>4134</v>
      </c>
      <c r="V1104" s="20">
        <v>44378</v>
      </c>
      <c r="W1104" s="10" t="s">
        <v>34</v>
      </c>
      <c r="X1104" s="10">
        <v>30</v>
      </c>
      <c r="Y1104" s="10">
        <f>IFERROR(INT(Tabla1[[#This Row],[CANTIDAD UND FARMACEUTICAS]]/(VLOOKUP(Tabla1[[#This Row],[MEDICAMENTO]],TAB_REF!$K$3:$L$27,2,0))),"")</f>
        <v>3</v>
      </c>
      <c r="Z1104" s="10" t="str">
        <f>IFERROR(VLOOKUP(Tabla1[[#This Row],[MEDICAMENTO]],TAB_REF!$B$3:$F$27,2,0), "")</f>
        <v xml:space="preserve">Fenobarbital Sódico </v>
      </c>
      <c r="AA1104" s="10" t="str">
        <f>IFERROR(VLOOKUP(Tabla1[[#This Row],[MEDICAMENTO]],TAB_REF!$B$3:$F$27,3,0), "")</f>
        <v xml:space="preserve">200 mg/Ml </v>
      </c>
      <c r="AB1104" s="10" t="str">
        <f>IFERROR(VLOOKUP(Tabla1[[#This Row],[MEDICAMENTO]],TAB_REF!$B$3:$F$27,4,0), "")</f>
        <v>Solución Inyectable</v>
      </c>
      <c r="AC1104" s="10" t="str">
        <f>IFERROR(VLOOKUP(Tabla1[[#This Row],[MEDICAMENTO]],TAB_REF!$B$3:$F$27,5,0), "")</f>
        <v>Caja x 10 unidades</v>
      </c>
      <c r="AD1104" s="10" t="str">
        <f>IFERROR(VLOOKUP(Tabla1[[#This Row],[CANTIDAD UND COMERCIALES]],TAB_REF!$H$3:$I$1003,2,0)&amp;" ("&amp;Tabla1[[#This Row],[CANTIDAD UND COMERCIALES]]&amp;")"&amp;"_"&amp;Tabla1[[#This Row],[CANTIDAD]],"")</f>
        <v>Tres (3)_Caja x 10 unidades</v>
      </c>
    </row>
    <row r="1105" spans="2:30" x14ac:dyDescent="0.25">
      <c r="B1105" s="10">
        <v>462</v>
      </c>
      <c r="C1105" s="10" t="s">
        <v>4037</v>
      </c>
      <c r="D1105" s="10" t="s">
        <v>3162</v>
      </c>
      <c r="E1105" s="10" t="s">
        <v>4066</v>
      </c>
      <c r="F1105" s="10" t="s">
        <v>2751</v>
      </c>
      <c r="G1105" s="10" t="s">
        <v>4067</v>
      </c>
      <c r="H1105" s="10" t="s">
        <v>4068</v>
      </c>
      <c r="I1105" s="10" t="s">
        <v>2113</v>
      </c>
      <c r="J1105" s="10" t="s">
        <v>1442</v>
      </c>
      <c r="K1105" s="10" t="s">
        <v>4069</v>
      </c>
      <c r="L1105" s="11">
        <v>202124101551892</v>
      </c>
      <c r="M1105" s="20">
        <v>44431</v>
      </c>
      <c r="N1105" s="11" t="str">
        <f>UPPER(TEXT(Tabla1[[#This Row],[FECHA RADICADO ENTRADA]],"MMM"))</f>
        <v>AGO</v>
      </c>
      <c r="O1105" s="11">
        <v>202124111353581</v>
      </c>
      <c r="P1105" s="20">
        <v>44438</v>
      </c>
      <c r="Q1105" s="26" t="str">
        <f>IFERROR(UPPER(TEXT(MONTH(Tabla1[[#This Row],[FECHA RADICADO SALIDA]]),"MMM")),"")</f>
        <v>ENE</v>
      </c>
      <c r="R1105" s="10">
        <f t="shared" si="73"/>
        <v>-7</v>
      </c>
      <c r="S1105" s="10" t="s">
        <v>2154</v>
      </c>
      <c r="U1105" s="10" t="s">
        <v>4070</v>
      </c>
      <c r="V1105" s="20">
        <v>44223</v>
      </c>
      <c r="W1105" s="10" t="s">
        <v>32</v>
      </c>
      <c r="X1105" s="10">
        <v>1000</v>
      </c>
      <c r="Y1105" s="10">
        <f>IFERROR(INT(Tabla1[[#This Row],[CANTIDAD UND FARMACEUTICAS]]/(VLOOKUP(Tabla1[[#This Row],[MEDICAMENTO]],TAB_REF!$K$3:$L$27,2,0))),"")</f>
        <v>33</v>
      </c>
      <c r="Z1105" s="10" t="str">
        <f>IFERROR(VLOOKUP(Tabla1[[#This Row],[MEDICAMENTO]],TAB_REF!$B$3:$F$27,2,0), "")</f>
        <v xml:space="preserve">Fenobarbital </v>
      </c>
      <c r="AA1105" s="10" t="str">
        <f>IFERROR(VLOOKUP(Tabla1[[#This Row],[MEDICAMENTO]],TAB_REF!$B$3:$F$27,3,0), "")</f>
        <v xml:space="preserve">100 mg </v>
      </c>
      <c r="AB1105" s="10" t="str">
        <f>IFERROR(VLOOKUP(Tabla1[[#This Row],[MEDICAMENTO]],TAB_REF!$B$3:$F$27,4,0), "")</f>
        <v>Tabletas</v>
      </c>
      <c r="AC1105" s="10" t="str">
        <f>IFERROR(VLOOKUP(Tabla1[[#This Row],[MEDICAMENTO]],TAB_REF!$B$3:$F$27,5,0), "")</f>
        <v>Caja x 30 unidades</v>
      </c>
      <c r="AD1105" s="10" t="str">
        <f>IFERROR(VLOOKUP(Tabla1[[#This Row],[CANTIDAD UND COMERCIALES]],TAB_REF!$H$3:$I$1003,2,0)&amp;" ("&amp;Tabla1[[#This Row],[CANTIDAD UND COMERCIALES]]&amp;")"&amp;"_"&amp;Tabla1[[#This Row],[CANTIDAD]],"")</f>
        <v>Treinta Y Tres (33)_Caja x 30 unidades</v>
      </c>
    </row>
    <row r="1106" spans="2:30" x14ac:dyDescent="0.25">
      <c r="B1106" s="10">
        <v>462</v>
      </c>
      <c r="C1106" s="10" t="s">
        <v>4037</v>
      </c>
      <c r="D1106" s="10" t="s">
        <v>3162</v>
      </c>
      <c r="E1106" s="10" t="s">
        <v>4066</v>
      </c>
      <c r="F1106" s="10" t="s">
        <v>2751</v>
      </c>
      <c r="G1106" s="10" t="s">
        <v>4067</v>
      </c>
      <c r="H1106" s="10" t="s">
        <v>4068</v>
      </c>
      <c r="I1106" s="10" t="s">
        <v>2113</v>
      </c>
      <c r="J1106" s="10" t="s">
        <v>1442</v>
      </c>
      <c r="K1106" s="10" t="s">
        <v>4069</v>
      </c>
      <c r="L1106" s="11">
        <v>202124101551892</v>
      </c>
      <c r="M1106" s="20">
        <v>44431</v>
      </c>
      <c r="N1106" s="11" t="str">
        <f>UPPER(TEXT(Tabla1[[#This Row],[FECHA RADICADO ENTRADA]],"MMM"))</f>
        <v>AGO</v>
      </c>
      <c r="O1106" s="11">
        <v>202124111353581</v>
      </c>
      <c r="P1106" s="20">
        <v>44438</v>
      </c>
      <c r="Q1106" s="26" t="str">
        <f>IFERROR(UPPER(TEXT(MONTH(Tabla1[[#This Row],[FECHA RADICADO SALIDA]]),"MMM")),"")</f>
        <v>ENE</v>
      </c>
      <c r="R1106" s="10">
        <f t="shared" si="73"/>
        <v>-7</v>
      </c>
      <c r="S1106" s="10" t="s">
        <v>2154</v>
      </c>
      <c r="U1106" s="10" t="s">
        <v>4070</v>
      </c>
      <c r="V1106" s="20">
        <v>44223</v>
      </c>
      <c r="W1106" s="10" t="s">
        <v>60</v>
      </c>
      <c r="X1106" s="10">
        <v>10</v>
      </c>
      <c r="Y1106" s="10">
        <f>IFERROR(INT(Tabla1[[#This Row],[CANTIDAD UND FARMACEUTICAS]]/(VLOOKUP(Tabla1[[#This Row],[MEDICAMENTO]],TAB_REF!$K$3:$L$27,2,0))),"")</f>
        <v>10</v>
      </c>
      <c r="Z1106" s="10" t="str">
        <f>IFERROR(VLOOKUP(Tabla1[[#This Row],[MEDICAMENTO]],TAB_REF!$B$3:$F$27,2,0), "")</f>
        <v xml:space="preserve">Morfina HCl </v>
      </c>
      <c r="AA1106" s="10" t="str">
        <f>IFERROR(VLOOKUP(Tabla1[[#This Row],[MEDICAMENTO]],TAB_REF!$B$3:$F$27,3,0), "")</f>
        <v xml:space="preserve">3%. </v>
      </c>
      <c r="AB1106" s="10" t="str">
        <f>IFERROR(VLOOKUP(Tabla1[[#This Row],[MEDICAMENTO]],TAB_REF!$B$3:$F$27,4,0), "")</f>
        <v>Solución Oral</v>
      </c>
      <c r="AC1106" s="10" t="str">
        <f>IFERROR(VLOOKUP(Tabla1[[#This Row],[MEDICAMENTO]],TAB_REF!$B$3:$F$27,5,0), "")</f>
        <v>Frasco x 30 mL</v>
      </c>
      <c r="AD1106" s="10" t="str">
        <f>IFERROR(VLOOKUP(Tabla1[[#This Row],[CANTIDAD UND COMERCIALES]],TAB_REF!$H$3:$I$1003,2,0)&amp;" ("&amp;Tabla1[[#This Row],[CANTIDAD UND COMERCIALES]]&amp;")"&amp;"_"&amp;Tabla1[[#This Row],[CANTIDAD]],"")</f>
        <v>Diez (10)_Frasco x 30 mL</v>
      </c>
    </row>
    <row r="1107" spans="2:30" x14ac:dyDescent="0.25">
      <c r="B1107" s="10">
        <v>462</v>
      </c>
      <c r="C1107" s="10" t="s">
        <v>4037</v>
      </c>
      <c r="D1107" s="10" t="s">
        <v>3162</v>
      </c>
      <c r="E1107" s="10" t="s">
        <v>4066</v>
      </c>
      <c r="F1107" s="10" t="s">
        <v>2751</v>
      </c>
      <c r="G1107" s="10" t="s">
        <v>4067</v>
      </c>
      <c r="H1107" s="10" t="s">
        <v>4068</v>
      </c>
      <c r="I1107" s="10" t="s">
        <v>2113</v>
      </c>
      <c r="J1107" s="10" t="s">
        <v>1442</v>
      </c>
      <c r="K1107" s="10" t="s">
        <v>4069</v>
      </c>
      <c r="L1107" s="11">
        <v>202124101551892</v>
      </c>
      <c r="M1107" s="20">
        <v>44431</v>
      </c>
      <c r="N1107" s="11" t="str">
        <f>UPPER(TEXT(Tabla1[[#This Row],[FECHA RADICADO ENTRADA]],"MMM"))</f>
        <v>AGO</v>
      </c>
      <c r="O1107" s="11">
        <v>202124111353581</v>
      </c>
      <c r="P1107" s="20">
        <v>44438</v>
      </c>
      <c r="Q1107" s="26" t="str">
        <f>IFERROR(UPPER(TEXT(MONTH(Tabla1[[#This Row],[FECHA RADICADO SALIDA]]),"MMM")),"")</f>
        <v>ENE</v>
      </c>
      <c r="R1107" s="10">
        <f t="shared" si="73"/>
        <v>-7</v>
      </c>
      <c r="S1107" s="10" t="s">
        <v>2154</v>
      </c>
      <c r="U1107" s="10" t="s">
        <v>4070</v>
      </c>
      <c r="V1107" s="20">
        <v>44223</v>
      </c>
      <c r="W1107" s="10" t="s">
        <v>28</v>
      </c>
      <c r="X1107" s="10">
        <v>5</v>
      </c>
      <c r="Y1107" s="10">
        <f>IFERROR(INT(Tabla1[[#This Row],[CANTIDAD UND FARMACEUTICAS]]/(VLOOKUP(Tabla1[[#This Row],[MEDICAMENTO]],TAB_REF!$K$3:$L$27,2,0))),"")</f>
        <v>5</v>
      </c>
      <c r="Z1107" s="10" t="str">
        <f>IFERROR(VLOOKUP(Tabla1[[#This Row],[MEDICAMENTO]],TAB_REF!$B$3:$F$27,2,0), "")</f>
        <v xml:space="preserve">Fenobarbital </v>
      </c>
      <c r="AA1107" s="10" t="str">
        <f>IFERROR(VLOOKUP(Tabla1[[#This Row],[MEDICAMENTO]],TAB_REF!$B$3:$F$27,3,0), "")</f>
        <v xml:space="preserve">0,4%. </v>
      </c>
      <c r="AB1107" s="10" t="str">
        <f>IFERROR(VLOOKUP(Tabla1[[#This Row],[MEDICAMENTO]],TAB_REF!$B$3:$F$27,4,0), "")</f>
        <v>Solución Oral</v>
      </c>
      <c r="AC1107" s="10" t="str">
        <f>IFERROR(VLOOKUP(Tabla1[[#This Row],[MEDICAMENTO]],TAB_REF!$B$3:$F$27,5,0), "")</f>
        <v>Frasco x 120 mL</v>
      </c>
      <c r="AD1107" s="10" t="str">
        <f>IFERROR(VLOOKUP(Tabla1[[#This Row],[CANTIDAD UND COMERCIALES]],TAB_REF!$H$3:$I$1003,2,0)&amp;" ("&amp;Tabla1[[#This Row],[CANTIDAD UND COMERCIALES]]&amp;")"&amp;"_"&amp;Tabla1[[#This Row],[CANTIDAD]],"")</f>
        <v>Cinco (5)_Frasco x 120 mL</v>
      </c>
    </row>
    <row r="1108" spans="2:30" x14ac:dyDescent="0.25">
      <c r="B1108" s="10">
        <v>462</v>
      </c>
      <c r="C1108" s="10" t="s">
        <v>4037</v>
      </c>
      <c r="D1108" s="10" t="s">
        <v>3162</v>
      </c>
      <c r="E1108" s="10" t="s">
        <v>4066</v>
      </c>
      <c r="F1108" s="10" t="s">
        <v>2751</v>
      </c>
      <c r="G1108" s="10" t="s">
        <v>4067</v>
      </c>
      <c r="H1108" s="10" t="s">
        <v>4068</v>
      </c>
      <c r="I1108" s="10" t="s">
        <v>2113</v>
      </c>
      <c r="J1108" s="10" t="s">
        <v>1442</v>
      </c>
      <c r="K1108" s="10" t="s">
        <v>4069</v>
      </c>
      <c r="L1108" s="11">
        <v>202124101551892</v>
      </c>
      <c r="M1108" s="20">
        <v>44431</v>
      </c>
      <c r="N1108" s="11" t="str">
        <f>UPPER(TEXT(Tabla1[[#This Row],[FECHA RADICADO ENTRADA]],"MMM"))</f>
        <v>AGO</v>
      </c>
      <c r="O1108" s="11">
        <v>202124111353581</v>
      </c>
      <c r="P1108" s="20">
        <v>44438</v>
      </c>
      <c r="Q1108" s="26" t="str">
        <f>IFERROR(UPPER(TEXT(MONTH(Tabla1[[#This Row],[FECHA RADICADO SALIDA]]),"MMM")),"")</f>
        <v>ENE</v>
      </c>
      <c r="R1108" s="10">
        <f t="shared" si="73"/>
        <v>-7</v>
      </c>
      <c r="S1108" s="10" t="s">
        <v>2154</v>
      </c>
      <c r="U1108" s="10" t="s">
        <v>4070</v>
      </c>
      <c r="V1108" s="20">
        <v>44223</v>
      </c>
      <c r="W1108" s="10" t="s">
        <v>44</v>
      </c>
      <c r="X1108" s="10">
        <v>100</v>
      </c>
      <c r="Y1108" s="10">
        <f>IFERROR(INT(Tabla1[[#This Row],[CANTIDAD UND FARMACEUTICAS]]/(VLOOKUP(Tabla1[[#This Row],[MEDICAMENTO]],TAB_REF!$K$3:$L$27,2,0))),"")</f>
        <v>5</v>
      </c>
      <c r="Z1108" s="10" t="str">
        <f>IFERROR(VLOOKUP(Tabla1[[#This Row],[MEDICAMENTO]],TAB_REF!$B$3:$F$27,2,0), "")</f>
        <v xml:space="preserve">Metadona HCl </v>
      </c>
      <c r="AA1108" s="10" t="str">
        <f>IFERROR(VLOOKUP(Tabla1[[#This Row],[MEDICAMENTO]],TAB_REF!$B$3:$F$27,3,0), "")</f>
        <v xml:space="preserve">10 mg </v>
      </c>
      <c r="AB1108" s="10" t="str">
        <f>IFERROR(VLOOKUP(Tabla1[[#This Row],[MEDICAMENTO]],TAB_REF!$B$3:$F$27,4,0), "")</f>
        <v>Tabletas IMPORTADA</v>
      </c>
      <c r="AC1108" s="10" t="str">
        <f>IFERROR(VLOOKUP(Tabla1[[#This Row],[MEDICAMENTO]],TAB_REF!$B$3:$F$27,5,0), "")</f>
        <v>Frasco x 20 unidades</v>
      </c>
      <c r="AD1108" s="10" t="str">
        <f>IFERROR(VLOOKUP(Tabla1[[#This Row],[CANTIDAD UND COMERCIALES]],TAB_REF!$H$3:$I$1003,2,0)&amp;" ("&amp;Tabla1[[#This Row],[CANTIDAD UND COMERCIALES]]&amp;")"&amp;"_"&amp;Tabla1[[#This Row],[CANTIDAD]],"")</f>
        <v>Cinco (5)_Frasco x 20 unidades</v>
      </c>
    </row>
    <row r="1109" spans="2:30" x14ac:dyDescent="0.25">
      <c r="B1109" s="10">
        <v>463</v>
      </c>
      <c r="C1109" s="10" t="s">
        <v>4135</v>
      </c>
      <c r="D1109" s="10" t="s">
        <v>2182</v>
      </c>
      <c r="E1109" s="10" t="s">
        <v>4136</v>
      </c>
      <c r="F1109" s="10" t="s">
        <v>4137</v>
      </c>
      <c r="G1109" s="10" t="s">
        <v>4138</v>
      </c>
      <c r="H1109" s="10" t="s">
        <v>4139</v>
      </c>
      <c r="I1109" s="10" t="s">
        <v>2113</v>
      </c>
      <c r="J1109" s="10" t="s">
        <v>1442</v>
      </c>
      <c r="K1109" s="10" t="s">
        <v>4140</v>
      </c>
      <c r="L1109" s="11">
        <v>202124101559522</v>
      </c>
      <c r="M1109" s="20">
        <v>44432</v>
      </c>
      <c r="N1109" s="11" t="str">
        <f>UPPER(TEXT(Tabla1[[#This Row],[FECHA RADICADO ENTRADA]],"MMM"))</f>
        <v>AGO</v>
      </c>
      <c r="O1109" s="11">
        <v>202124111353611</v>
      </c>
      <c r="P1109" s="20">
        <v>44438</v>
      </c>
      <c r="Q1109" s="26" t="str">
        <f>IFERROR(UPPER(TEXT(MONTH(Tabla1[[#This Row],[FECHA RADICADO SALIDA]]),"MMM")),"")</f>
        <v>ENE</v>
      </c>
      <c r="R1109" s="10">
        <f t="shared" si="73"/>
        <v>-6</v>
      </c>
      <c r="S1109" s="10" t="s">
        <v>2154</v>
      </c>
      <c r="U1109" s="10" t="s">
        <v>4141</v>
      </c>
      <c r="V1109" s="20">
        <v>43606</v>
      </c>
      <c r="W1109" s="10" t="s">
        <v>32</v>
      </c>
      <c r="X1109" s="10">
        <v>1440</v>
      </c>
      <c r="Y1109" s="10">
        <f>IFERROR(INT(Tabla1[[#This Row],[CANTIDAD UND FARMACEUTICAS]]/(VLOOKUP(Tabla1[[#This Row],[MEDICAMENTO]],TAB_REF!$K$3:$L$27,2,0))),"")</f>
        <v>48</v>
      </c>
      <c r="Z1109" s="10" t="str">
        <f>IFERROR(VLOOKUP(Tabla1[[#This Row],[MEDICAMENTO]],TAB_REF!$B$3:$F$27,2,0), "")</f>
        <v xml:space="preserve">Fenobarbital </v>
      </c>
      <c r="AA1109" s="10" t="str">
        <f>IFERROR(VLOOKUP(Tabla1[[#This Row],[MEDICAMENTO]],TAB_REF!$B$3:$F$27,3,0), "")</f>
        <v xml:space="preserve">100 mg </v>
      </c>
      <c r="AB1109" s="10" t="str">
        <f>IFERROR(VLOOKUP(Tabla1[[#This Row],[MEDICAMENTO]],TAB_REF!$B$3:$F$27,4,0), "")</f>
        <v>Tabletas</v>
      </c>
      <c r="AC1109" s="10" t="str">
        <f>IFERROR(VLOOKUP(Tabla1[[#This Row],[MEDICAMENTO]],TAB_REF!$B$3:$F$27,5,0), "")</f>
        <v>Caja x 30 unidades</v>
      </c>
      <c r="AD1109" s="10" t="str">
        <f>IFERROR(VLOOKUP(Tabla1[[#This Row],[CANTIDAD UND COMERCIALES]],TAB_REF!$H$3:$I$1003,2,0)&amp;" ("&amp;Tabla1[[#This Row],[CANTIDAD UND COMERCIALES]]&amp;")"&amp;"_"&amp;Tabla1[[#This Row],[CANTIDAD]],"")</f>
        <v>Cuarenta Y Ocho (48)_Caja x 30 unidades</v>
      </c>
    </row>
    <row r="1110" spans="2:30" x14ac:dyDescent="0.25">
      <c r="B1110" s="10">
        <v>463</v>
      </c>
      <c r="C1110" s="10" t="s">
        <v>4135</v>
      </c>
      <c r="D1110" s="10" t="s">
        <v>2182</v>
      </c>
      <c r="E1110" s="10" t="s">
        <v>4136</v>
      </c>
      <c r="F1110" s="10" t="s">
        <v>4137</v>
      </c>
      <c r="G1110" s="10" t="s">
        <v>4138</v>
      </c>
      <c r="H1110" s="10" t="s">
        <v>4139</v>
      </c>
      <c r="I1110" s="10" t="s">
        <v>2113</v>
      </c>
      <c r="J1110" s="10" t="s">
        <v>1442</v>
      </c>
      <c r="K1110" s="10" t="s">
        <v>4140</v>
      </c>
      <c r="L1110" s="11">
        <v>202124101559522</v>
      </c>
      <c r="M1110" s="20">
        <v>44432</v>
      </c>
      <c r="N1110" s="11" t="str">
        <f>UPPER(TEXT(Tabla1[[#This Row],[FECHA RADICADO ENTRADA]],"MMM"))</f>
        <v>AGO</v>
      </c>
      <c r="O1110" s="11">
        <v>202124111353611</v>
      </c>
      <c r="P1110" s="20">
        <v>44438</v>
      </c>
      <c r="Q1110" s="26" t="str">
        <f>IFERROR(UPPER(TEXT(MONTH(Tabla1[[#This Row],[FECHA RADICADO SALIDA]]),"MMM")),"")</f>
        <v>ENE</v>
      </c>
      <c r="R1110" s="10">
        <f t="shared" si="73"/>
        <v>-6</v>
      </c>
      <c r="S1110" s="10" t="s">
        <v>2154</v>
      </c>
      <c r="U1110" s="10" t="s">
        <v>4141</v>
      </c>
      <c r="V1110" s="20">
        <v>43606</v>
      </c>
      <c r="W1110" s="10" t="s">
        <v>60</v>
      </c>
      <c r="X1110" s="10">
        <v>5</v>
      </c>
      <c r="Y1110" s="10">
        <f>IFERROR(INT(Tabla1[[#This Row],[CANTIDAD UND FARMACEUTICAS]]/(VLOOKUP(Tabla1[[#This Row],[MEDICAMENTO]],TAB_REF!$K$3:$L$27,2,0))),"")</f>
        <v>5</v>
      </c>
      <c r="Z1110" s="10" t="str">
        <f>IFERROR(VLOOKUP(Tabla1[[#This Row],[MEDICAMENTO]],TAB_REF!$B$3:$F$27,2,0), "")</f>
        <v xml:space="preserve">Morfina HCl </v>
      </c>
      <c r="AA1110" s="10" t="str">
        <f>IFERROR(VLOOKUP(Tabla1[[#This Row],[MEDICAMENTO]],TAB_REF!$B$3:$F$27,3,0), "")</f>
        <v xml:space="preserve">3%. </v>
      </c>
      <c r="AB1110" s="10" t="str">
        <f>IFERROR(VLOOKUP(Tabla1[[#This Row],[MEDICAMENTO]],TAB_REF!$B$3:$F$27,4,0), "")</f>
        <v>Solución Oral</v>
      </c>
      <c r="AC1110" s="10" t="str">
        <f>IFERROR(VLOOKUP(Tabla1[[#This Row],[MEDICAMENTO]],TAB_REF!$B$3:$F$27,5,0), "")</f>
        <v>Frasco x 30 mL</v>
      </c>
      <c r="AD1110" s="10" t="str">
        <f>IFERROR(VLOOKUP(Tabla1[[#This Row],[CANTIDAD UND COMERCIALES]],TAB_REF!$H$3:$I$1003,2,0)&amp;" ("&amp;Tabla1[[#This Row],[CANTIDAD UND COMERCIALES]]&amp;")"&amp;"_"&amp;Tabla1[[#This Row],[CANTIDAD]],"")</f>
        <v>Cinco (5)_Frasco x 30 mL</v>
      </c>
    </row>
    <row r="1111" spans="2:30" x14ac:dyDescent="0.25">
      <c r="B1111" s="10">
        <v>463</v>
      </c>
      <c r="C1111" s="10" t="s">
        <v>4135</v>
      </c>
      <c r="D1111" s="10" t="s">
        <v>2182</v>
      </c>
      <c r="E1111" s="10" t="s">
        <v>4136</v>
      </c>
      <c r="F1111" s="10" t="s">
        <v>4137</v>
      </c>
      <c r="G1111" s="10" t="s">
        <v>4138</v>
      </c>
      <c r="H1111" s="10" t="s">
        <v>4139</v>
      </c>
      <c r="I1111" s="10" t="s">
        <v>2113</v>
      </c>
      <c r="J1111" s="10" t="s">
        <v>1442</v>
      </c>
      <c r="K1111" s="10" t="s">
        <v>4140</v>
      </c>
      <c r="L1111" s="11">
        <v>202124101559522</v>
      </c>
      <c r="M1111" s="20">
        <v>44432</v>
      </c>
      <c r="N1111" s="11" t="str">
        <f>UPPER(TEXT(Tabla1[[#This Row],[FECHA RADICADO ENTRADA]],"MMM"))</f>
        <v>AGO</v>
      </c>
      <c r="O1111" s="11">
        <v>202124111353611</v>
      </c>
      <c r="P1111" s="20">
        <v>44438</v>
      </c>
      <c r="Q1111" s="26" t="str">
        <f>IFERROR(UPPER(TEXT(MONTH(Tabla1[[#This Row],[FECHA RADICADO SALIDA]]),"MMM")),"")</f>
        <v>ENE</v>
      </c>
      <c r="R1111" s="10">
        <f t="shared" si="73"/>
        <v>-6</v>
      </c>
      <c r="S1111" s="10" t="s">
        <v>2145</v>
      </c>
      <c r="T1111" s="10" t="s">
        <v>4179</v>
      </c>
      <c r="U1111" s="10" t="s">
        <v>4141</v>
      </c>
      <c r="V1111" s="20">
        <v>43606</v>
      </c>
      <c r="W1111" s="10" t="s">
        <v>38</v>
      </c>
      <c r="X1111" s="10">
        <v>0</v>
      </c>
      <c r="Y1111" s="10">
        <f>IFERROR(INT(Tabla1[[#This Row],[CANTIDAD UND FARMACEUTICAS]]/(VLOOKUP(Tabla1[[#This Row],[MEDICAMENTO]],TAB_REF!$K$3:$L$27,2,0))),"")</f>
        <v>0</v>
      </c>
      <c r="Z1111" s="10" t="str">
        <f>IFERROR(VLOOKUP(Tabla1[[#This Row],[MEDICAMENTO]],TAB_REF!$B$3:$F$27,2,0), "")</f>
        <v xml:space="preserve">Hidromorfona HCl </v>
      </c>
      <c r="AA1111" s="10" t="str">
        <f>IFERROR(VLOOKUP(Tabla1[[#This Row],[MEDICAMENTO]],TAB_REF!$B$3:$F$27,3,0), "")</f>
        <v xml:space="preserve">2,5 mg </v>
      </c>
      <c r="AB1111" s="10" t="str">
        <f>IFERROR(VLOOKUP(Tabla1[[#This Row],[MEDICAMENTO]],TAB_REF!$B$3:$F$27,4,0), "")</f>
        <v>Tabletas</v>
      </c>
      <c r="AC1111" s="10" t="str">
        <f>IFERROR(VLOOKUP(Tabla1[[#This Row],[MEDICAMENTO]],TAB_REF!$B$3:$F$27,5,0), "")</f>
        <v>Caja x 20 unidades</v>
      </c>
      <c r="AD1111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112" spans="2:30" x14ac:dyDescent="0.25">
      <c r="B1112" s="10">
        <v>463</v>
      </c>
      <c r="C1112" s="10" t="s">
        <v>4135</v>
      </c>
      <c r="D1112" s="10" t="s">
        <v>2182</v>
      </c>
      <c r="E1112" s="10" t="s">
        <v>4136</v>
      </c>
      <c r="F1112" s="10" t="s">
        <v>4137</v>
      </c>
      <c r="G1112" s="10" t="s">
        <v>4138</v>
      </c>
      <c r="H1112" s="10" t="s">
        <v>4139</v>
      </c>
      <c r="I1112" s="10" t="s">
        <v>2113</v>
      </c>
      <c r="J1112" s="10" t="s">
        <v>1442</v>
      </c>
      <c r="K1112" s="10" t="s">
        <v>4140</v>
      </c>
      <c r="L1112" s="11">
        <v>202124101559522</v>
      </c>
      <c r="M1112" s="20">
        <v>44432</v>
      </c>
      <c r="N1112" s="11" t="str">
        <f>UPPER(TEXT(Tabla1[[#This Row],[FECHA RADICADO ENTRADA]],"MMM"))</f>
        <v>AGO</v>
      </c>
      <c r="O1112" s="11">
        <v>202124111353611</v>
      </c>
      <c r="P1112" s="20">
        <v>44438</v>
      </c>
      <c r="Q1112" s="26" t="str">
        <f>IFERROR(UPPER(TEXT(MONTH(Tabla1[[#This Row],[FECHA RADICADO SALIDA]]),"MMM")),"")</f>
        <v>ENE</v>
      </c>
      <c r="R1112" s="10">
        <f t="shared" si="73"/>
        <v>-6</v>
      </c>
      <c r="S1112" s="10" t="s">
        <v>2154</v>
      </c>
      <c r="U1112" s="10" t="s">
        <v>4141</v>
      </c>
      <c r="V1112" s="20">
        <v>43606</v>
      </c>
      <c r="W1112" s="10" t="s">
        <v>28</v>
      </c>
      <c r="X1112" s="10">
        <v>4</v>
      </c>
      <c r="Y1112" s="10">
        <f>IFERROR(INT(Tabla1[[#This Row],[CANTIDAD UND FARMACEUTICAS]]/(VLOOKUP(Tabla1[[#This Row],[MEDICAMENTO]],TAB_REF!$K$3:$L$27,2,0))),"")</f>
        <v>4</v>
      </c>
      <c r="Z1112" s="10" t="str">
        <f>IFERROR(VLOOKUP(Tabla1[[#This Row],[MEDICAMENTO]],TAB_REF!$B$3:$F$27,2,0), "")</f>
        <v xml:space="preserve">Fenobarbital </v>
      </c>
      <c r="AA1112" s="10" t="str">
        <f>IFERROR(VLOOKUP(Tabla1[[#This Row],[MEDICAMENTO]],TAB_REF!$B$3:$F$27,3,0), "")</f>
        <v xml:space="preserve">0,4%. </v>
      </c>
      <c r="AB1112" s="10" t="str">
        <f>IFERROR(VLOOKUP(Tabla1[[#This Row],[MEDICAMENTO]],TAB_REF!$B$3:$F$27,4,0), "")</f>
        <v>Solución Oral</v>
      </c>
      <c r="AC1112" s="10" t="str">
        <f>IFERROR(VLOOKUP(Tabla1[[#This Row],[MEDICAMENTO]],TAB_REF!$B$3:$F$27,5,0), "")</f>
        <v>Frasco x 120 mL</v>
      </c>
      <c r="AD1112" s="10" t="str">
        <f>IFERROR(VLOOKUP(Tabla1[[#This Row],[CANTIDAD UND COMERCIALES]],TAB_REF!$H$3:$I$1003,2,0)&amp;" ("&amp;Tabla1[[#This Row],[CANTIDAD UND COMERCIALES]]&amp;")"&amp;"_"&amp;Tabla1[[#This Row],[CANTIDAD]],"")</f>
        <v>Cuatro (4)_Frasco x 120 mL</v>
      </c>
    </row>
    <row r="1113" spans="2:30" x14ac:dyDescent="0.25">
      <c r="B1113" s="10">
        <v>464</v>
      </c>
      <c r="C1113" s="10" t="s">
        <v>2764</v>
      </c>
      <c r="D1113" s="10" t="s">
        <v>2175</v>
      </c>
      <c r="E1113" s="10" t="s">
        <v>2765</v>
      </c>
      <c r="F1113" s="10" t="s">
        <v>2766</v>
      </c>
      <c r="G1113" s="10" t="s">
        <v>2737</v>
      </c>
      <c r="H1113" s="10" t="s">
        <v>2738</v>
      </c>
      <c r="I1113" s="10" t="s">
        <v>2113</v>
      </c>
      <c r="J1113" s="10" t="s">
        <v>1442</v>
      </c>
      <c r="K1113" t="s">
        <v>4142</v>
      </c>
      <c r="L1113" s="11">
        <v>202124101566522</v>
      </c>
      <c r="M1113" s="20">
        <v>44432</v>
      </c>
      <c r="N1113" s="11" t="str">
        <f>UPPER(TEXT(Tabla1[[#This Row],[FECHA RADICADO ENTRADA]],"MMM"))</f>
        <v>AGO</v>
      </c>
      <c r="O1113" s="48">
        <v>202124111374541</v>
      </c>
      <c r="P1113" s="47">
        <v>44440</v>
      </c>
      <c r="Q1113" s="26" t="str">
        <f>IFERROR(UPPER(TEXT(MONTH(Tabla1[[#This Row],[FECHA RADICADO SALIDA]]),"MMM")),"")</f>
        <v>ENE</v>
      </c>
      <c r="R1113" s="10">
        <f>_xlfn.DAYS(M1113,P1113)</f>
        <v>-8</v>
      </c>
      <c r="S1113" t="s">
        <v>2145</v>
      </c>
      <c r="T1113" t="s">
        <v>4192</v>
      </c>
      <c r="U1113" s="10" t="s">
        <v>2767</v>
      </c>
      <c r="V1113" s="20">
        <v>44223</v>
      </c>
      <c r="W1113" s="10" t="s">
        <v>36</v>
      </c>
      <c r="X1113" s="10">
        <v>0</v>
      </c>
      <c r="Y1113" s="10">
        <f>IFERROR(INT(Tabla1[[#This Row],[CANTIDAD UND FARMACEUTICAS]]/(VLOOKUP(Tabla1[[#This Row],[MEDICAMENTO]],TAB_REF!$K$3:$L$27,2,0))),"")</f>
        <v>0</v>
      </c>
      <c r="Z1113" s="10" t="str">
        <f>IFERROR(VLOOKUP(Tabla1[[#This Row],[MEDICAMENTO]],TAB_REF!$B$3:$F$27,2,0), "")</f>
        <v xml:space="preserve">Fenobarbital Sódico </v>
      </c>
      <c r="AA1113" s="10" t="str">
        <f>IFERROR(VLOOKUP(Tabla1[[#This Row],[MEDICAMENTO]],TAB_REF!$B$3:$F$27,3,0), "")</f>
        <v xml:space="preserve">40 mg/mL </v>
      </c>
      <c r="AB1113" s="10" t="str">
        <f>IFERROR(VLOOKUP(Tabla1[[#This Row],[MEDICAMENTO]],TAB_REF!$B$3:$F$27,4,0), "")</f>
        <v>Solución Inyectable</v>
      </c>
      <c r="AC1113" s="10" t="str">
        <f>IFERROR(VLOOKUP(Tabla1[[#This Row],[MEDICAMENTO]],TAB_REF!$B$3:$F$27,5,0), "")</f>
        <v>Caja x 10 unidades</v>
      </c>
      <c r="AD1113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114" spans="2:30" x14ac:dyDescent="0.25">
      <c r="B1114" s="10">
        <v>464</v>
      </c>
      <c r="C1114" s="10" t="s">
        <v>2764</v>
      </c>
      <c r="D1114" s="10" t="s">
        <v>2175</v>
      </c>
      <c r="E1114" s="10" t="s">
        <v>2765</v>
      </c>
      <c r="F1114" s="10" t="s">
        <v>2766</v>
      </c>
      <c r="G1114" s="10" t="s">
        <v>2737</v>
      </c>
      <c r="H1114" s="10" t="s">
        <v>2738</v>
      </c>
      <c r="I1114" s="10" t="s">
        <v>2113</v>
      </c>
      <c r="J1114" s="10" t="s">
        <v>1442</v>
      </c>
      <c r="K1114" t="s">
        <v>4142</v>
      </c>
      <c r="L1114" s="11">
        <v>202124101566522</v>
      </c>
      <c r="M1114" s="20">
        <v>44432</v>
      </c>
      <c r="N1114" s="11" t="str">
        <f>UPPER(TEXT(Tabla1[[#This Row],[FECHA RADICADO ENTRADA]],"MMM"))</f>
        <v>AGO</v>
      </c>
      <c r="O1114" s="48">
        <v>202124111374541</v>
      </c>
      <c r="P1114" s="47">
        <v>44440</v>
      </c>
      <c r="Q1114" s="26" t="str">
        <f>IFERROR(UPPER(TEXT(MONTH(Tabla1[[#This Row],[FECHA RADICADO SALIDA]]),"MMM")),"")</f>
        <v>ENE</v>
      </c>
      <c r="R1114" s="10">
        <f t="shared" ref="R1114" si="74">_xlfn.DAYS(M1114,P1114)</f>
        <v>-8</v>
      </c>
      <c r="S1114" t="s">
        <v>2154</v>
      </c>
      <c r="T1114"/>
      <c r="U1114" s="10" t="s">
        <v>2767</v>
      </c>
      <c r="V1114" s="20">
        <v>44223</v>
      </c>
      <c r="W1114" s="10" t="s">
        <v>63</v>
      </c>
      <c r="X1114" s="10">
        <v>1000</v>
      </c>
      <c r="Y1114" s="10">
        <f>IFERROR(INT(Tabla1[[#This Row],[CANTIDAD UND FARMACEUTICAS]]/(VLOOKUP(Tabla1[[#This Row],[MEDICAMENTO]],TAB_REF!$K$3:$L$27,2,0))),"")</f>
        <v>100</v>
      </c>
      <c r="Z1114" s="10" t="str">
        <f>IFERROR(VLOOKUP(Tabla1[[#This Row],[MEDICAMENTO]],TAB_REF!$B$3:$F$27,2,0), "")</f>
        <v xml:space="preserve">Morfina HCl </v>
      </c>
      <c r="AA1114" s="10" t="str">
        <f>IFERROR(VLOOKUP(Tabla1[[#This Row],[MEDICAMENTO]],TAB_REF!$B$3:$F$27,3,0), "")</f>
        <v xml:space="preserve">10 mg/mL </v>
      </c>
      <c r="AB1114" s="10" t="str">
        <f>IFERROR(VLOOKUP(Tabla1[[#This Row],[MEDICAMENTO]],TAB_REF!$B$3:$F$27,4,0), "")</f>
        <v>Solución Inyectable</v>
      </c>
      <c r="AC1114" s="10" t="str">
        <f>IFERROR(VLOOKUP(Tabla1[[#This Row],[MEDICAMENTO]],TAB_REF!$B$3:$F$27,5,0), "")</f>
        <v>Caja x 10 unidades</v>
      </c>
      <c r="AD1114" s="10" t="str">
        <f>IFERROR(VLOOKUP(Tabla1[[#This Row],[CANTIDAD UND COMERCIALES]],TAB_REF!$H$3:$I$1003,2,0)&amp;" ("&amp;Tabla1[[#This Row],[CANTIDAD UND COMERCIALES]]&amp;")"&amp;"_"&amp;Tabla1[[#This Row],[CANTIDAD]],"")</f>
        <v>Cien (100)_Caja x 10 unidades</v>
      </c>
    </row>
    <row r="1115" spans="2:30" x14ac:dyDescent="0.25">
      <c r="B1115" s="10">
        <v>465</v>
      </c>
      <c r="C1115" s="10" t="s">
        <v>3144</v>
      </c>
      <c r="D1115" s="10" t="s">
        <v>3076</v>
      </c>
      <c r="E1115" s="10" t="s">
        <v>4144</v>
      </c>
      <c r="F1115" s="10" t="s">
        <v>3962</v>
      </c>
      <c r="G1115" s="50" t="s">
        <v>3963</v>
      </c>
      <c r="H1115" t="s">
        <v>4143</v>
      </c>
      <c r="I1115" s="10" t="s">
        <v>2122</v>
      </c>
      <c r="J1115" t="s">
        <v>1742</v>
      </c>
      <c r="K1115" t="s">
        <v>2391</v>
      </c>
      <c r="L1115" s="11">
        <v>202124101574732</v>
      </c>
      <c r="M1115" s="20">
        <v>44433</v>
      </c>
      <c r="N1115" s="11" t="str">
        <f>UPPER(TEXT(Tabla1[[#This Row],[FECHA RADICADO ENTRADA]],"MMM"))</f>
        <v>AGO</v>
      </c>
      <c r="O1115" s="48">
        <v>202124111353771</v>
      </c>
      <c r="P1115" s="47">
        <v>44438</v>
      </c>
      <c r="Q1115" s="26" t="str">
        <f>IFERROR(UPPER(TEXT(MONTH(Tabla1[[#This Row],[FECHA RADICADO SALIDA]]),"MMM")),"")</f>
        <v>ENE</v>
      </c>
      <c r="R1115" s="10">
        <f>_xlfn.DAYS(M1115,P1115)</f>
        <v>-5</v>
      </c>
      <c r="S1115" t="s">
        <v>2154</v>
      </c>
      <c r="T1115"/>
      <c r="U1115" t="s">
        <v>3965</v>
      </c>
      <c r="V1115" s="47">
        <v>43776</v>
      </c>
      <c r="W1115" s="10" t="s">
        <v>41</v>
      </c>
      <c r="X1115" s="10">
        <v>300</v>
      </c>
      <c r="Y1115" s="10">
        <f>IFERROR(INT(Tabla1[[#This Row],[CANTIDAD UND FARMACEUTICAS]]/(VLOOKUP(Tabla1[[#This Row],[MEDICAMENTO]],TAB_REF!$K$3:$L$27,2,0))),"")</f>
        <v>30</v>
      </c>
      <c r="Z1115" s="10" t="str">
        <f>IFERROR(VLOOKUP(Tabla1[[#This Row],[MEDICAMENTO]],TAB_REF!$B$3:$F$27,2,0), "")</f>
        <v xml:space="preserve">Meperidina HCl </v>
      </c>
      <c r="AA1115" s="10" t="str">
        <f>IFERROR(VLOOKUP(Tabla1[[#This Row],[MEDICAMENTO]],TAB_REF!$B$3:$F$27,3,0), "")</f>
        <v xml:space="preserve">100 mg/2mL </v>
      </c>
      <c r="AB1115" s="10" t="str">
        <f>IFERROR(VLOOKUP(Tabla1[[#This Row],[MEDICAMENTO]],TAB_REF!$B$3:$F$27,4,0), "")</f>
        <v>Solución Inyectable</v>
      </c>
      <c r="AC1115" s="10" t="str">
        <f>IFERROR(VLOOKUP(Tabla1[[#This Row],[MEDICAMENTO]],TAB_REF!$B$3:$F$27,5,0), "")</f>
        <v>Caja 10 ampollas</v>
      </c>
      <c r="AD1115" s="10" t="str">
        <f>IFERROR(VLOOKUP(Tabla1[[#This Row],[CANTIDAD UND COMERCIALES]],TAB_REF!$H$3:$I$1003,2,0)&amp;" ("&amp;Tabla1[[#This Row],[CANTIDAD UND COMERCIALES]]&amp;")"&amp;"_"&amp;Tabla1[[#This Row],[CANTIDAD]],"")</f>
        <v>Treinta (30)_Caja 10 ampollas</v>
      </c>
    </row>
    <row r="1116" spans="2:30" x14ac:dyDescent="0.25">
      <c r="B1116" s="10">
        <v>466</v>
      </c>
      <c r="C1116" s="10" t="s">
        <v>3977</v>
      </c>
      <c r="D1116" s="10" t="s">
        <v>2175</v>
      </c>
      <c r="E1116" s="10" t="s">
        <v>3978</v>
      </c>
      <c r="F1116" s="10" t="s">
        <v>3886</v>
      </c>
      <c r="G1116" s="10" t="s">
        <v>3979</v>
      </c>
      <c r="H1116" s="10" t="s">
        <v>3980</v>
      </c>
      <c r="I1116" s="10" t="s">
        <v>2128</v>
      </c>
      <c r="J1116" s="10" t="s">
        <v>1918</v>
      </c>
      <c r="K1116" s="10" t="s">
        <v>4145</v>
      </c>
      <c r="L1116" s="11">
        <v>202124101577612</v>
      </c>
      <c r="M1116" s="20">
        <v>44433</v>
      </c>
      <c r="N1116" s="11" t="str">
        <f>UPPER(TEXT(Tabla1[[#This Row],[FECHA RADICADO ENTRADA]],"MMM"))</f>
        <v>AGO</v>
      </c>
      <c r="O1116" s="11">
        <v>202124111353801</v>
      </c>
      <c r="P1116" s="20">
        <v>44438</v>
      </c>
      <c r="Q1116" s="26" t="str">
        <f>IFERROR(UPPER(TEXT(MONTH(Tabla1[[#This Row],[FECHA RADICADO SALIDA]]),"MMM")),"")</f>
        <v>ENE</v>
      </c>
      <c r="R1116" s="10">
        <f t="shared" ref="R1116:R1127" si="75">_xlfn.DAYS(M1116,P1116)</f>
        <v>-5</v>
      </c>
      <c r="S1116" s="10" t="s">
        <v>2154</v>
      </c>
      <c r="U1116" s="10" t="s">
        <v>3982</v>
      </c>
      <c r="V1116" s="20">
        <v>44364</v>
      </c>
      <c r="W1116" s="10" t="s">
        <v>28</v>
      </c>
      <c r="X1116" s="10">
        <v>20</v>
      </c>
      <c r="Y1116" s="10">
        <f>IFERROR(INT(Tabla1[[#This Row],[CANTIDAD UND FARMACEUTICAS]]/(VLOOKUP(Tabla1[[#This Row],[MEDICAMENTO]],TAB_REF!$K$3:$L$27,2,0))),"")</f>
        <v>20</v>
      </c>
      <c r="Z1116" s="10" t="str">
        <f>IFERROR(VLOOKUP(Tabla1[[#This Row],[MEDICAMENTO]],TAB_REF!$B$3:$F$27,2,0), "")</f>
        <v xml:space="preserve">Fenobarbital </v>
      </c>
      <c r="AA1116" s="10" t="str">
        <f>IFERROR(VLOOKUP(Tabla1[[#This Row],[MEDICAMENTO]],TAB_REF!$B$3:$F$27,3,0), "")</f>
        <v xml:space="preserve">0,4%. </v>
      </c>
      <c r="AB1116" s="10" t="str">
        <f>IFERROR(VLOOKUP(Tabla1[[#This Row],[MEDICAMENTO]],TAB_REF!$B$3:$F$27,4,0), "")</f>
        <v>Solución Oral</v>
      </c>
      <c r="AC1116" s="10" t="str">
        <f>IFERROR(VLOOKUP(Tabla1[[#This Row],[MEDICAMENTO]],TAB_REF!$B$3:$F$27,5,0), "")</f>
        <v>Frasco x 120 mL</v>
      </c>
      <c r="AD1116" s="10" t="str">
        <f>IFERROR(VLOOKUP(Tabla1[[#This Row],[CANTIDAD UND COMERCIALES]],TAB_REF!$H$3:$I$1003,2,0)&amp;" ("&amp;Tabla1[[#This Row],[CANTIDAD UND COMERCIALES]]&amp;")"&amp;"_"&amp;Tabla1[[#This Row],[CANTIDAD]],"")</f>
        <v>Veinte (20)_Frasco x 120 mL</v>
      </c>
    </row>
    <row r="1117" spans="2:30" x14ac:dyDescent="0.25">
      <c r="B1117" s="10">
        <v>466</v>
      </c>
      <c r="C1117" s="10" t="s">
        <v>3977</v>
      </c>
      <c r="D1117" s="10" t="s">
        <v>2175</v>
      </c>
      <c r="E1117" s="10" t="s">
        <v>3978</v>
      </c>
      <c r="F1117" s="10" t="s">
        <v>3886</v>
      </c>
      <c r="G1117" s="10" t="s">
        <v>3979</v>
      </c>
      <c r="H1117" s="10" t="s">
        <v>3980</v>
      </c>
      <c r="I1117" s="10" t="s">
        <v>2128</v>
      </c>
      <c r="J1117" s="10" t="s">
        <v>1918</v>
      </c>
      <c r="K1117" s="10" t="s">
        <v>4145</v>
      </c>
      <c r="L1117" s="11">
        <v>202124101577612</v>
      </c>
      <c r="M1117" s="20">
        <v>44433</v>
      </c>
      <c r="N1117" s="11" t="str">
        <f>UPPER(TEXT(Tabla1[[#This Row],[FECHA RADICADO ENTRADA]],"MMM"))</f>
        <v>AGO</v>
      </c>
      <c r="O1117" s="11">
        <v>202124111353801</v>
      </c>
      <c r="P1117" s="20">
        <v>44438</v>
      </c>
      <c r="Q1117" s="26" t="str">
        <f>IFERROR(UPPER(TEXT(MONTH(Tabla1[[#This Row],[FECHA RADICADO SALIDA]]),"MMM")),"")</f>
        <v>ENE</v>
      </c>
      <c r="R1117" s="10">
        <f t="shared" ref="R1117" si="76">_xlfn.DAYS(M1117,P1117)</f>
        <v>-5</v>
      </c>
      <c r="S1117" s="10" t="s">
        <v>2154</v>
      </c>
      <c r="U1117" s="10" t="s">
        <v>3982</v>
      </c>
      <c r="V1117" s="20">
        <v>44364</v>
      </c>
      <c r="W1117" s="10" t="s">
        <v>45</v>
      </c>
      <c r="X1117" s="10">
        <v>150</v>
      </c>
      <c r="Y1117" s="10">
        <f>IFERROR(INT(Tabla1[[#This Row],[CANTIDAD UND FARMACEUTICAS]]/(VLOOKUP(Tabla1[[#This Row],[MEDICAMENTO]],TAB_REF!$K$3:$L$27,2,0))),"")</f>
        <v>5</v>
      </c>
      <c r="Z1117" s="10" t="str">
        <f>IFERROR(VLOOKUP(Tabla1[[#This Row],[MEDICAMENTO]],TAB_REF!$B$3:$F$27,2,0), "")</f>
        <v xml:space="preserve">Metadona HCl </v>
      </c>
      <c r="AA1117" s="10" t="str">
        <f>IFERROR(VLOOKUP(Tabla1[[#This Row],[MEDICAMENTO]],TAB_REF!$B$3:$F$27,3,0), "")</f>
        <v xml:space="preserve">10 mg </v>
      </c>
      <c r="AB1117" s="10" t="str">
        <f>IFERROR(VLOOKUP(Tabla1[[#This Row],[MEDICAMENTO]],TAB_REF!$B$3:$F$27,4,0), "")</f>
        <v>Tabletas NACIONAL</v>
      </c>
      <c r="AC1117" s="10" t="str">
        <f>IFERROR(VLOOKUP(Tabla1[[#This Row],[MEDICAMENTO]],TAB_REF!$B$3:$F$27,5,0), "")</f>
        <v>Caja x 30 unidades</v>
      </c>
      <c r="AD1117" s="10" t="str">
        <f>IFERROR(VLOOKUP(Tabla1[[#This Row],[CANTIDAD UND COMERCIALES]],TAB_REF!$H$3:$I$1003,2,0)&amp;" ("&amp;Tabla1[[#This Row],[CANTIDAD UND COMERCIALES]]&amp;")"&amp;"_"&amp;Tabla1[[#This Row],[CANTIDAD]],"")</f>
        <v>Cinco (5)_Caja x 30 unidades</v>
      </c>
    </row>
    <row r="1118" spans="2:30" x14ac:dyDescent="0.25">
      <c r="B1118" s="10">
        <v>467</v>
      </c>
      <c r="C1118" s="10" t="s">
        <v>2318</v>
      </c>
      <c r="D1118" s="10" t="s">
        <v>2175</v>
      </c>
      <c r="E1118" s="10" t="s">
        <v>2319</v>
      </c>
      <c r="F1118" s="10" t="s">
        <v>3886</v>
      </c>
      <c r="G1118" s="10" t="s">
        <v>2321</v>
      </c>
      <c r="H1118" s="10" t="s">
        <v>2322</v>
      </c>
      <c r="I1118" s="10" t="s">
        <v>2107</v>
      </c>
      <c r="J1118" s="10" t="s">
        <v>1212</v>
      </c>
      <c r="K1118" s="10" t="s">
        <v>4078</v>
      </c>
      <c r="L1118" s="11">
        <v>202124101581842</v>
      </c>
      <c r="M1118" s="20">
        <v>44434</v>
      </c>
      <c r="N1118" s="11" t="str">
        <f>UPPER(TEXT(Tabla1[[#This Row],[FECHA RADICADO ENTRADA]],"MMM"))</f>
        <v>AGO</v>
      </c>
      <c r="O1118" s="11">
        <v>202124111353851</v>
      </c>
      <c r="P1118" s="20">
        <v>44438</v>
      </c>
      <c r="Q1118" s="26" t="str">
        <f>IFERROR(UPPER(TEXT(MONTH(Tabla1[[#This Row],[FECHA RADICADO SALIDA]]),"MMM")),"")</f>
        <v>ENE</v>
      </c>
      <c r="R1118" s="10">
        <f t="shared" si="75"/>
        <v>-4</v>
      </c>
      <c r="S1118" s="10" t="s">
        <v>2145</v>
      </c>
      <c r="T1118" s="10" t="s">
        <v>4058</v>
      </c>
      <c r="V1118" s="20"/>
      <c r="Y1118" s="10" t="str">
        <f>IFERROR(INT(Tabla1[[#This Row],[CANTIDAD UND FARMACEUTICAS]]/(VLOOKUP(Tabla1[[#This Row],[MEDICAMENTO]],TAB_REF!$K$3:$L$27,2,0))),"")</f>
        <v/>
      </c>
      <c r="Z1118" s="10" t="str">
        <f>IFERROR(VLOOKUP(Tabla1[[#This Row],[MEDICAMENTO]],TAB_REF!$B$3:$F$27,2,0), "")</f>
        <v/>
      </c>
      <c r="AA1118" s="10" t="str">
        <f>IFERROR(VLOOKUP(Tabla1[[#This Row],[MEDICAMENTO]],TAB_REF!$B$3:$F$27,3,0), "")</f>
        <v/>
      </c>
      <c r="AB1118" s="10" t="str">
        <f>IFERROR(VLOOKUP(Tabla1[[#This Row],[MEDICAMENTO]],TAB_REF!$B$3:$F$27,4,0), "")</f>
        <v/>
      </c>
      <c r="AC1118" s="10" t="str">
        <f>IFERROR(VLOOKUP(Tabla1[[#This Row],[MEDICAMENTO]],TAB_REF!$B$3:$F$27,5,0), "")</f>
        <v/>
      </c>
      <c r="AD1118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119" spans="2:30" x14ac:dyDescent="0.25">
      <c r="B1119" s="10">
        <v>468</v>
      </c>
      <c r="C1119" s="10" t="s">
        <v>3596</v>
      </c>
      <c r="D1119" s="10" t="s">
        <v>3329</v>
      </c>
      <c r="E1119" s="10" t="s">
        <v>2856</v>
      </c>
      <c r="F1119" s="10" t="s">
        <v>2567</v>
      </c>
      <c r="G1119" s="10" t="s">
        <v>4146</v>
      </c>
      <c r="H1119" s="10" t="s">
        <v>2569</v>
      </c>
      <c r="I1119" s="10" t="s">
        <v>2110</v>
      </c>
      <c r="J1119" s="10" t="s">
        <v>1235</v>
      </c>
      <c r="K1119" s="10" t="s">
        <v>4147</v>
      </c>
      <c r="L1119" s="11">
        <v>202124101587012</v>
      </c>
      <c r="M1119" s="20">
        <v>44434</v>
      </c>
      <c r="N1119" s="11" t="str">
        <f>UPPER(TEXT(Tabla1[[#This Row],[FECHA RADICADO ENTRADA]],"MMM"))</f>
        <v>AGO</v>
      </c>
      <c r="O1119" s="11">
        <v>202124141375691</v>
      </c>
      <c r="P1119" s="20">
        <v>44440</v>
      </c>
      <c r="Q1119" s="26" t="str">
        <f>IFERROR(UPPER(TEXT(MONTH(Tabla1[[#This Row],[FECHA RADICADO SALIDA]]),"MMM")),"")</f>
        <v>ENE</v>
      </c>
      <c r="R1119" s="10">
        <f t="shared" si="75"/>
        <v>-6</v>
      </c>
      <c r="S1119" s="10" t="s">
        <v>2145</v>
      </c>
      <c r="T1119" s="10" t="s">
        <v>4193</v>
      </c>
      <c r="U1119" s="10" t="s">
        <v>3598</v>
      </c>
      <c r="V1119" s="20">
        <v>44018</v>
      </c>
      <c r="W1119" s="10" t="s">
        <v>2362</v>
      </c>
      <c r="X1119" s="10">
        <v>0</v>
      </c>
      <c r="Y1119" s="10">
        <f>IFERROR(INT(Tabla1[[#This Row],[CANTIDAD UND FARMACEUTICAS]]/(VLOOKUP(Tabla1[[#This Row],[MEDICAMENTO]],TAB_REF!$K$3:$L$27,2,0))),"")</f>
        <v>0</v>
      </c>
      <c r="Z1119" s="10" t="str">
        <f>IFERROR(VLOOKUP(Tabla1[[#This Row],[MEDICAMENTO]],TAB_REF!$B$3:$F$27,2,0), "")</f>
        <v xml:space="preserve">Hidromorfona HCl </v>
      </c>
      <c r="AA1119" s="10" t="str">
        <f>IFERROR(VLOOKUP(Tabla1[[#This Row],[MEDICAMENTO]],TAB_REF!$B$3:$F$27,3,0), "")</f>
        <v xml:space="preserve">5 mg </v>
      </c>
      <c r="AB1119" s="10" t="str">
        <f>IFERROR(VLOOKUP(Tabla1[[#This Row],[MEDICAMENTO]],TAB_REF!$B$3:$F$27,4,0), "")</f>
        <v>Tableta</v>
      </c>
      <c r="AC1119" s="10" t="str">
        <f>IFERROR(VLOOKUP(Tabla1[[#This Row],[MEDICAMENTO]],TAB_REF!$B$3:$F$27,5,0), "")</f>
        <v>Caja X 20 unidades c/u</v>
      </c>
      <c r="AD1119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120" spans="2:30" x14ac:dyDescent="0.25">
      <c r="B1120" s="10">
        <v>468</v>
      </c>
      <c r="C1120" s="10" t="s">
        <v>3596</v>
      </c>
      <c r="D1120" s="10" t="s">
        <v>3329</v>
      </c>
      <c r="E1120" s="10" t="s">
        <v>2856</v>
      </c>
      <c r="F1120" s="10" t="s">
        <v>2567</v>
      </c>
      <c r="G1120" s="10" t="s">
        <v>4146</v>
      </c>
      <c r="H1120" s="10" t="s">
        <v>2569</v>
      </c>
      <c r="I1120" s="10" t="s">
        <v>2110</v>
      </c>
      <c r="J1120" s="10" t="s">
        <v>1235</v>
      </c>
      <c r="K1120" s="10" t="s">
        <v>4147</v>
      </c>
      <c r="L1120" s="11">
        <v>202124101587012</v>
      </c>
      <c r="M1120" s="20">
        <v>44434</v>
      </c>
      <c r="N1120" s="11" t="str">
        <f>UPPER(TEXT(Tabla1[[#This Row],[FECHA RADICADO ENTRADA]],"MMM"))</f>
        <v>AGO</v>
      </c>
      <c r="O1120" s="11">
        <v>202124141375691</v>
      </c>
      <c r="P1120" s="20">
        <v>44440</v>
      </c>
      <c r="Q1120" s="26" t="str">
        <f>IFERROR(UPPER(TEXT(MONTH(Tabla1[[#This Row],[FECHA RADICADO SALIDA]]),"MMM")),"")</f>
        <v>ENE</v>
      </c>
      <c r="R1120" s="10">
        <f t="shared" ref="R1120" si="77">_xlfn.DAYS(M1120,P1120)</f>
        <v>-6</v>
      </c>
      <c r="S1120" s="10" t="s">
        <v>2145</v>
      </c>
      <c r="T1120" s="10" t="s">
        <v>4193</v>
      </c>
      <c r="U1120" s="10" t="s">
        <v>3598</v>
      </c>
      <c r="V1120" s="20">
        <v>44018</v>
      </c>
      <c r="W1120" s="10" t="s">
        <v>63</v>
      </c>
      <c r="X1120" s="10">
        <v>0</v>
      </c>
      <c r="Y1120" s="10">
        <f>IFERROR(INT(Tabla1[[#This Row],[CANTIDAD UND FARMACEUTICAS]]/(VLOOKUP(Tabla1[[#This Row],[MEDICAMENTO]],TAB_REF!$K$3:$L$27,2,0))),"")</f>
        <v>0</v>
      </c>
      <c r="Z1120" s="10" t="str">
        <f>IFERROR(VLOOKUP(Tabla1[[#This Row],[MEDICAMENTO]],TAB_REF!$B$3:$F$27,2,0), "")</f>
        <v xml:space="preserve">Morfina HCl </v>
      </c>
      <c r="AA1120" s="10" t="str">
        <f>IFERROR(VLOOKUP(Tabla1[[#This Row],[MEDICAMENTO]],TAB_REF!$B$3:$F$27,3,0), "")</f>
        <v xml:space="preserve">10 mg/mL </v>
      </c>
      <c r="AB1120" s="10" t="str">
        <f>IFERROR(VLOOKUP(Tabla1[[#This Row],[MEDICAMENTO]],TAB_REF!$B$3:$F$27,4,0), "")</f>
        <v>Solución Inyectable</v>
      </c>
      <c r="AC1120" s="10" t="str">
        <f>IFERROR(VLOOKUP(Tabla1[[#This Row],[MEDICAMENTO]],TAB_REF!$B$3:$F$27,5,0), "")</f>
        <v>Caja x 10 unidades</v>
      </c>
      <c r="AD1120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121" spans="2:30" x14ac:dyDescent="0.25">
      <c r="B1121" s="10">
        <v>469</v>
      </c>
      <c r="C1121" s="10" t="s">
        <v>4148</v>
      </c>
      <c r="D1121" t="s">
        <v>4149</v>
      </c>
      <c r="E1121" t="s">
        <v>4150</v>
      </c>
      <c r="G1121" t="s">
        <v>4151</v>
      </c>
      <c r="H1121" t="s">
        <v>4152</v>
      </c>
      <c r="I1121" s="10" t="s">
        <v>2107</v>
      </c>
      <c r="J1121" s="10" t="s">
        <v>1212</v>
      </c>
      <c r="K1121" s="10" t="s">
        <v>4153</v>
      </c>
      <c r="L1121" s="11">
        <v>202124101587152</v>
      </c>
      <c r="M1121" s="20">
        <v>44434</v>
      </c>
      <c r="N1121" s="11" t="str">
        <f>UPPER(TEXT(Tabla1[[#This Row],[FECHA RADICADO ENTRADA]],"MMM"))</f>
        <v>AGO</v>
      </c>
      <c r="O1121" s="11">
        <v>202124111364501</v>
      </c>
      <c r="P1121" s="20">
        <v>44439</v>
      </c>
      <c r="Q1121" s="26" t="str">
        <f>IFERROR(UPPER(TEXT(MONTH(Tabla1[[#This Row],[FECHA RADICADO SALIDA]]),"MMM")),"")</f>
        <v>ENE</v>
      </c>
      <c r="R1121" s="10">
        <f t="shared" si="75"/>
        <v>-5</v>
      </c>
      <c r="S1121" s="10" t="s">
        <v>2145</v>
      </c>
      <c r="T1121" s="10" t="s">
        <v>4058</v>
      </c>
      <c r="V1121" s="20"/>
      <c r="W1121" s="10" t="s">
        <v>63</v>
      </c>
      <c r="X1121" s="10">
        <v>0</v>
      </c>
      <c r="Y1121" s="10">
        <f>IFERROR(INT(Tabla1[[#This Row],[CANTIDAD UND FARMACEUTICAS]]/(VLOOKUP(Tabla1[[#This Row],[MEDICAMENTO]],TAB_REF!$K$3:$L$27,2,0))),"")</f>
        <v>0</v>
      </c>
      <c r="Z1121" s="10" t="str">
        <f>IFERROR(VLOOKUP(Tabla1[[#This Row],[MEDICAMENTO]],TAB_REF!$B$3:$F$27,2,0), "")</f>
        <v xml:space="preserve">Morfina HCl </v>
      </c>
      <c r="AA1121" s="10" t="str">
        <f>IFERROR(VLOOKUP(Tabla1[[#This Row],[MEDICAMENTO]],TAB_REF!$B$3:$F$27,3,0), "")</f>
        <v xml:space="preserve">10 mg/mL </v>
      </c>
      <c r="AB1121" s="10" t="str">
        <f>IFERROR(VLOOKUP(Tabla1[[#This Row],[MEDICAMENTO]],TAB_REF!$B$3:$F$27,4,0), "")</f>
        <v>Solución Inyectable</v>
      </c>
      <c r="AC1121" s="10" t="str">
        <f>IFERROR(VLOOKUP(Tabla1[[#This Row],[MEDICAMENTO]],TAB_REF!$B$3:$F$27,5,0), "")</f>
        <v>Caja x 10 unidades</v>
      </c>
      <c r="AD1121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122" spans="2:30" x14ac:dyDescent="0.25">
      <c r="B1122" s="10">
        <v>469</v>
      </c>
      <c r="C1122" s="10" t="s">
        <v>4148</v>
      </c>
      <c r="D1122" t="s">
        <v>4149</v>
      </c>
      <c r="E1122" t="s">
        <v>4150</v>
      </c>
      <c r="G1122" t="s">
        <v>4151</v>
      </c>
      <c r="H1122" t="s">
        <v>4152</v>
      </c>
      <c r="I1122" s="10" t="s">
        <v>2107</v>
      </c>
      <c r="J1122" s="10" t="s">
        <v>1212</v>
      </c>
      <c r="K1122" s="10" t="s">
        <v>4153</v>
      </c>
      <c r="L1122" s="11">
        <v>202124101587152</v>
      </c>
      <c r="M1122" s="20">
        <v>44434</v>
      </c>
      <c r="N1122" s="11" t="str">
        <f>UPPER(TEXT(Tabla1[[#This Row],[FECHA RADICADO ENTRADA]],"MMM"))</f>
        <v>AGO</v>
      </c>
      <c r="O1122" s="11">
        <v>202124111364501</v>
      </c>
      <c r="P1122" s="20">
        <v>44439</v>
      </c>
      <c r="Q1122" s="26" t="str">
        <f>IFERROR(UPPER(TEXT(MONTH(Tabla1[[#This Row],[FECHA RADICADO SALIDA]]),"MMM")),"")</f>
        <v>ENE</v>
      </c>
      <c r="R1122" s="10">
        <f t="shared" ref="R1122" si="78">_xlfn.DAYS(M1122,P1122)</f>
        <v>-5</v>
      </c>
      <c r="S1122" s="10" t="s">
        <v>2145</v>
      </c>
      <c r="T1122" s="10" t="s">
        <v>4058</v>
      </c>
      <c r="V1122" s="20"/>
      <c r="W1122" s="10" t="s">
        <v>41</v>
      </c>
      <c r="X1122" s="10">
        <v>0</v>
      </c>
      <c r="Y1122" s="10">
        <f>IFERROR(INT(Tabla1[[#This Row],[CANTIDAD UND FARMACEUTICAS]]/(VLOOKUP(Tabla1[[#This Row],[MEDICAMENTO]],TAB_REF!$K$3:$L$27,2,0))),"")</f>
        <v>0</v>
      </c>
      <c r="Z1122" s="10" t="str">
        <f>IFERROR(VLOOKUP(Tabla1[[#This Row],[MEDICAMENTO]],TAB_REF!$B$3:$F$27,2,0), "")</f>
        <v xml:space="preserve">Meperidina HCl </v>
      </c>
      <c r="AA1122" s="10" t="str">
        <f>IFERROR(VLOOKUP(Tabla1[[#This Row],[MEDICAMENTO]],TAB_REF!$B$3:$F$27,3,0), "")</f>
        <v xml:space="preserve">100 mg/2mL </v>
      </c>
      <c r="AB1122" s="10" t="str">
        <f>IFERROR(VLOOKUP(Tabla1[[#This Row],[MEDICAMENTO]],TAB_REF!$B$3:$F$27,4,0), "")</f>
        <v>Solución Inyectable</v>
      </c>
      <c r="AC1122" s="10" t="str">
        <f>IFERROR(VLOOKUP(Tabla1[[#This Row],[MEDICAMENTO]],TAB_REF!$B$3:$F$27,5,0), "")</f>
        <v>Caja 10 ampollas</v>
      </c>
      <c r="AD1122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123" spans="2:30" x14ac:dyDescent="0.25">
      <c r="B1123" s="10">
        <v>470</v>
      </c>
      <c r="C1123" s="10" t="s">
        <v>4054</v>
      </c>
      <c r="D1123" s="10" t="s">
        <v>2507</v>
      </c>
      <c r="E1123" s="10" t="s">
        <v>4055</v>
      </c>
      <c r="F1123" s="10" t="s">
        <v>4154</v>
      </c>
      <c r="G1123" s="10" t="s">
        <v>4056</v>
      </c>
      <c r="H1123" s="10" t="s">
        <v>4056</v>
      </c>
      <c r="I1123" s="10" t="s">
        <v>2107</v>
      </c>
      <c r="J1123" s="10" t="s">
        <v>1212</v>
      </c>
      <c r="K1123" s="10" t="s">
        <v>4132</v>
      </c>
      <c r="L1123" s="11">
        <v>202124101587532</v>
      </c>
      <c r="M1123" s="20">
        <v>44434</v>
      </c>
      <c r="N1123" s="11" t="str">
        <f>UPPER(TEXT(Tabla1[[#This Row],[FECHA RADICADO ENTRADA]],"MMM"))</f>
        <v>AGO</v>
      </c>
      <c r="O1123" s="11">
        <v>202124111364531</v>
      </c>
      <c r="P1123" s="20">
        <v>44439</v>
      </c>
      <c r="Q1123" s="26" t="str">
        <f>IFERROR(UPPER(TEXT(MONTH(Tabla1[[#This Row],[FECHA RADICADO SALIDA]]),"MMM")),"")</f>
        <v>ENE</v>
      </c>
      <c r="R1123" s="10">
        <f t="shared" si="75"/>
        <v>-5</v>
      </c>
      <c r="S1123" s="10" t="s">
        <v>2154</v>
      </c>
      <c r="U1123" s="10" t="s">
        <v>4155</v>
      </c>
      <c r="V1123" s="20">
        <v>44209</v>
      </c>
      <c r="W1123" s="10" t="s">
        <v>63</v>
      </c>
      <c r="X1123" s="10">
        <v>260</v>
      </c>
      <c r="Y1123" s="10">
        <f>IFERROR(INT(Tabla1[[#This Row],[CANTIDAD UND FARMACEUTICAS]]/(VLOOKUP(Tabla1[[#This Row],[MEDICAMENTO]],TAB_REF!$K$3:$L$27,2,0))),"")</f>
        <v>26</v>
      </c>
      <c r="Z1123" s="10" t="str">
        <f>IFERROR(VLOOKUP(Tabla1[[#This Row],[MEDICAMENTO]],TAB_REF!$B$3:$F$27,2,0), "")</f>
        <v xml:space="preserve">Morfina HCl </v>
      </c>
      <c r="AA1123" s="10" t="str">
        <f>IFERROR(VLOOKUP(Tabla1[[#This Row],[MEDICAMENTO]],TAB_REF!$B$3:$F$27,3,0), "")</f>
        <v xml:space="preserve">10 mg/mL </v>
      </c>
      <c r="AB1123" s="10" t="str">
        <f>IFERROR(VLOOKUP(Tabla1[[#This Row],[MEDICAMENTO]],TAB_REF!$B$3:$F$27,4,0), "")</f>
        <v>Solución Inyectable</v>
      </c>
      <c r="AC1123" s="10" t="str">
        <f>IFERROR(VLOOKUP(Tabla1[[#This Row],[MEDICAMENTO]],TAB_REF!$B$3:$F$27,5,0), "")</f>
        <v>Caja x 10 unidades</v>
      </c>
      <c r="AD1123" s="10" t="str">
        <f>IFERROR(VLOOKUP(Tabla1[[#This Row],[CANTIDAD UND COMERCIALES]],TAB_REF!$H$3:$I$1003,2,0)&amp;" ("&amp;Tabla1[[#This Row],[CANTIDAD UND COMERCIALES]]&amp;")"&amp;"_"&amp;Tabla1[[#This Row],[CANTIDAD]],"")</f>
        <v>Veintiseis (26)_Caja x 10 unidades</v>
      </c>
    </row>
    <row r="1124" spans="2:30" x14ac:dyDescent="0.25">
      <c r="B1124" s="10">
        <v>470</v>
      </c>
      <c r="C1124" s="10" t="s">
        <v>4054</v>
      </c>
      <c r="D1124" s="10" t="s">
        <v>2507</v>
      </c>
      <c r="E1124" s="10" t="s">
        <v>4055</v>
      </c>
      <c r="F1124" s="10" t="s">
        <v>4154</v>
      </c>
      <c r="G1124" s="10" t="s">
        <v>4056</v>
      </c>
      <c r="H1124" s="10" t="s">
        <v>4056</v>
      </c>
      <c r="I1124" s="10" t="s">
        <v>2107</v>
      </c>
      <c r="J1124" s="10" t="s">
        <v>1212</v>
      </c>
      <c r="K1124" s="10" t="s">
        <v>4132</v>
      </c>
      <c r="L1124" s="11">
        <v>202124101587532</v>
      </c>
      <c r="M1124" s="20">
        <v>44434</v>
      </c>
      <c r="N1124" s="11" t="str">
        <f>UPPER(TEXT(Tabla1[[#This Row],[FECHA RADICADO ENTRADA]],"MMM"))</f>
        <v>AGO</v>
      </c>
      <c r="O1124" s="11">
        <v>202124111364531</v>
      </c>
      <c r="P1124" s="20">
        <v>44439</v>
      </c>
      <c r="Q1124" s="26" t="str">
        <f>IFERROR(UPPER(TEXT(MONTH(Tabla1[[#This Row],[FECHA RADICADO SALIDA]]),"MMM")),"")</f>
        <v>ENE</v>
      </c>
      <c r="R1124" s="10">
        <f t="shared" ref="R1124" si="79">_xlfn.DAYS(M1124,P1124)</f>
        <v>-5</v>
      </c>
      <c r="S1124" s="10" t="s">
        <v>2154</v>
      </c>
      <c r="U1124" s="10" t="s">
        <v>4155</v>
      </c>
      <c r="V1124" s="20">
        <v>44209</v>
      </c>
      <c r="W1124" s="10" t="s">
        <v>60</v>
      </c>
      <c r="X1124" s="10">
        <v>1</v>
      </c>
      <c r="Y1124" s="10">
        <f>IFERROR(INT(Tabla1[[#This Row],[CANTIDAD UND FARMACEUTICAS]]/(VLOOKUP(Tabla1[[#This Row],[MEDICAMENTO]],TAB_REF!$K$3:$L$27,2,0))),"")</f>
        <v>1</v>
      </c>
      <c r="Z1124" s="10" t="str">
        <f>IFERROR(VLOOKUP(Tabla1[[#This Row],[MEDICAMENTO]],TAB_REF!$B$3:$F$27,2,0), "")</f>
        <v xml:space="preserve">Morfina HCl </v>
      </c>
      <c r="AA1124" s="10" t="str">
        <f>IFERROR(VLOOKUP(Tabla1[[#This Row],[MEDICAMENTO]],TAB_REF!$B$3:$F$27,3,0), "")</f>
        <v xml:space="preserve">3%. </v>
      </c>
      <c r="AB1124" s="10" t="str">
        <f>IFERROR(VLOOKUP(Tabla1[[#This Row],[MEDICAMENTO]],TAB_REF!$B$3:$F$27,4,0), "")</f>
        <v>Solución Oral</v>
      </c>
      <c r="AC1124" s="10" t="str">
        <f>IFERROR(VLOOKUP(Tabla1[[#This Row],[MEDICAMENTO]],TAB_REF!$B$3:$F$27,5,0), "")</f>
        <v>Frasco x 30 mL</v>
      </c>
      <c r="AD1124" s="10" t="str">
        <f>IFERROR(VLOOKUP(Tabla1[[#This Row],[CANTIDAD UND COMERCIALES]],TAB_REF!$H$3:$I$1003,2,0)&amp;" ("&amp;Tabla1[[#This Row],[CANTIDAD UND COMERCIALES]]&amp;")"&amp;"_"&amp;Tabla1[[#This Row],[CANTIDAD]],"")</f>
        <v>Uno (1)_Frasco x 30 mL</v>
      </c>
    </row>
    <row r="1125" spans="2:30" x14ac:dyDescent="0.25">
      <c r="B1125" s="10">
        <v>471</v>
      </c>
      <c r="C1125" s="10" t="s">
        <v>2355</v>
      </c>
      <c r="D1125" s="10" t="s">
        <v>3076</v>
      </c>
      <c r="E1125" s="10" t="s">
        <v>2356</v>
      </c>
      <c r="F1125" s="10" t="s">
        <v>2357</v>
      </c>
      <c r="G1125" s="10" t="s">
        <v>2358</v>
      </c>
      <c r="H1125" s="10" t="s">
        <v>2359</v>
      </c>
      <c r="I1125" s="10" t="s">
        <v>2122</v>
      </c>
      <c r="J1125" s="10" t="s">
        <v>1742</v>
      </c>
      <c r="K1125" s="10" t="s">
        <v>4156</v>
      </c>
      <c r="L1125" s="11">
        <v>202124101587722</v>
      </c>
      <c r="M1125" s="20">
        <v>44434</v>
      </c>
      <c r="N1125" s="11" t="str">
        <f>UPPER(TEXT(Tabla1[[#This Row],[FECHA RADICADO ENTRADA]],"MMM"))</f>
        <v>AGO</v>
      </c>
      <c r="O1125" s="11">
        <v>202124111364591</v>
      </c>
      <c r="P1125" s="20">
        <v>44439</v>
      </c>
      <c r="Q1125" s="26" t="str">
        <f>IFERROR(UPPER(TEXT(MONTH(Tabla1[[#This Row],[FECHA RADICADO SALIDA]]),"MMM")),"")</f>
        <v>ENE</v>
      </c>
      <c r="R1125" s="10">
        <f t="shared" si="75"/>
        <v>-5</v>
      </c>
      <c r="S1125" s="10" t="s">
        <v>2154</v>
      </c>
      <c r="U1125" s="10" t="s">
        <v>2361</v>
      </c>
      <c r="V1125" s="20">
        <v>43376</v>
      </c>
      <c r="W1125" s="10" t="s">
        <v>44</v>
      </c>
      <c r="X1125" s="10">
        <v>120</v>
      </c>
      <c r="Y1125" s="10">
        <f>IFERROR(INT(Tabla1[[#This Row],[CANTIDAD UND FARMACEUTICAS]]/(VLOOKUP(Tabla1[[#This Row],[MEDICAMENTO]],TAB_REF!$K$3:$L$27,2,0))),"")</f>
        <v>6</v>
      </c>
      <c r="Z1125" s="10" t="str">
        <f>IFERROR(VLOOKUP(Tabla1[[#This Row],[MEDICAMENTO]],TAB_REF!$B$3:$F$27,2,0), "")</f>
        <v xml:space="preserve">Metadona HCl </v>
      </c>
      <c r="AA1125" s="10" t="str">
        <f>IFERROR(VLOOKUP(Tabla1[[#This Row],[MEDICAMENTO]],TAB_REF!$B$3:$F$27,3,0), "")</f>
        <v xml:space="preserve">10 mg </v>
      </c>
      <c r="AB1125" s="10" t="str">
        <f>IFERROR(VLOOKUP(Tabla1[[#This Row],[MEDICAMENTO]],TAB_REF!$B$3:$F$27,4,0), "")</f>
        <v>Tabletas IMPORTADA</v>
      </c>
      <c r="AC1125" s="10" t="str">
        <f>IFERROR(VLOOKUP(Tabla1[[#This Row],[MEDICAMENTO]],TAB_REF!$B$3:$F$27,5,0), "")</f>
        <v>Frasco x 20 unidades</v>
      </c>
      <c r="AD1125" s="10" t="str">
        <f>IFERROR(VLOOKUP(Tabla1[[#This Row],[CANTIDAD UND COMERCIALES]],TAB_REF!$H$3:$I$1003,2,0)&amp;" ("&amp;Tabla1[[#This Row],[CANTIDAD UND COMERCIALES]]&amp;")"&amp;"_"&amp;Tabla1[[#This Row],[CANTIDAD]],"")</f>
        <v>Seis (6)_Frasco x 20 unidades</v>
      </c>
    </row>
    <row r="1126" spans="2:30" x14ac:dyDescent="0.25">
      <c r="B1126" s="10">
        <v>471</v>
      </c>
      <c r="C1126" s="10" t="s">
        <v>2355</v>
      </c>
      <c r="D1126" s="10" t="s">
        <v>3076</v>
      </c>
      <c r="E1126" s="10" t="s">
        <v>2356</v>
      </c>
      <c r="F1126" s="10" t="s">
        <v>2357</v>
      </c>
      <c r="G1126" s="10" t="s">
        <v>2358</v>
      </c>
      <c r="H1126" s="10" t="s">
        <v>2359</v>
      </c>
      <c r="I1126" s="10" t="s">
        <v>2122</v>
      </c>
      <c r="J1126" s="10" t="s">
        <v>1742</v>
      </c>
      <c r="K1126" s="10" t="s">
        <v>4156</v>
      </c>
      <c r="L1126" s="11">
        <v>202124101587722</v>
      </c>
      <c r="M1126" s="20">
        <v>44434</v>
      </c>
      <c r="N1126" s="11" t="str">
        <f>UPPER(TEXT(Tabla1[[#This Row],[FECHA RADICADO ENTRADA]],"MMM"))</f>
        <v>AGO</v>
      </c>
      <c r="O1126" s="11">
        <v>202124111364591</v>
      </c>
      <c r="P1126" s="20">
        <v>44439</v>
      </c>
      <c r="Q1126" s="26" t="str">
        <f>IFERROR(UPPER(TEXT(MONTH(Tabla1[[#This Row],[FECHA RADICADO SALIDA]]),"MMM")),"")</f>
        <v>ENE</v>
      </c>
      <c r="R1126" s="10">
        <f t="shared" si="75"/>
        <v>-5</v>
      </c>
      <c r="S1126" s="10" t="s">
        <v>2154</v>
      </c>
      <c r="U1126" s="10" t="s">
        <v>2361</v>
      </c>
      <c r="V1126" s="20">
        <v>43376</v>
      </c>
      <c r="W1126" s="10" t="s">
        <v>32</v>
      </c>
      <c r="X1126" s="10">
        <v>900</v>
      </c>
      <c r="Y1126" s="10">
        <f>IFERROR(INT(Tabla1[[#This Row],[CANTIDAD UND FARMACEUTICAS]]/(VLOOKUP(Tabla1[[#This Row],[MEDICAMENTO]],TAB_REF!$K$3:$L$27,2,0))),"")</f>
        <v>30</v>
      </c>
      <c r="Z1126" s="10" t="str">
        <f>IFERROR(VLOOKUP(Tabla1[[#This Row],[MEDICAMENTO]],TAB_REF!$B$3:$F$27,2,0), "")</f>
        <v xml:space="preserve">Fenobarbital </v>
      </c>
      <c r="AA1126" s="10" t="str">
        <f>IFERROR(VLOOKUP(Tabla1[[#This Row],[MEDICAMENTO]],TAB_REF!$B$3:$F$27,3,0), "")</f>
        <v xml:space="preserve">100 mg </v>
      </c>
      <c r="AB1126" s="10" t="str">
        <f>IFERROR(VLOOKUP(Tabla1[[#This Row],[MEDICAMENTO]],TAB_REF!$B$3:$F$27,4,0), "")</f>
        <v>Tabletas</v>
      </c>
      <c r="AC1126" s="10" t="str">
        <f>IFERROR(VLOOKUP(Tabla1[[#This Row],[MEDICAMENTO]],TAB_REF!$B$3:$F$27,5,0), "")</f>
        <v>Caja x 30 unidades</v>
      </c>
      <c r="AD1126" s="10" t="str">
        <f>IFERROR(VLOOKUP(Tabla1[[#This Row],[CANTIDAD UND COMERCIALES]],TAB_REF!$H$3:$I$1003,2,0)&amp;" ("&amp;Tabla1[[#This Row],[CANTIDAD UND COMERCIALES]]&amp;")"&amp;"_"&amp;Tabla1[[#This Row],[CANTIDAD]],"")</f>
        <v>Treinta (30)_Caja x 30 unidades</v>
      </c>
    </row>
    <row r="1127" spans="2:30" x14ac:dyDescent="0.25">
      <c r="B1127" s="10">
        <v>471</v>
      </c>
      <c r="C1127" s="10" t="s">
        <v>2355</v>
      </c>
      <c r="D1127" s="10" t="s">
        <v>3076</v>
      </c>
      <c r="E1127" s="10" t="s">
        <v>2356</v>
      </c>
      <c r="F1127" s="10" t="s">
        <v>2357</v>
      </c>
      <c r="G1127" s="10" t="s">
        <v>2358</v>
      </c>
      <c r="H1127" s="10" t="s">
        <v>2359</v>
      </c>
      <c r="I1127" s="10" t="s">
        <v>2122</v>
      </c>
      <c r="J1127" s="10" t="s">
        <v>1742</v>
      </c>
      <c r="K1127" s="10" t="s">
        <v>4156</v>
      </c>
      <c r="L1127" s="11">
        <v>202124101587722</v>
      </c>
      <c r="M1127" s="20">
        <v>44434</v>
      </c>
      <c r="N1127" s="11" t="str">
        <f>UPPER(TEXT(Tabla1[[#This Row],[FECHA RADICADO ENTRADA]],"MMM"))</f>
        <v>AGO</v>
      </c>
      <c r="O1127" s="11">
        <v>202124111364591</v>
      </c>
      <c r="P1127" s="20">
        <v>44439</v>
      </c>
      <c r="Q1127" s="26" t="str">
        <f>IFERROR(UPPER(TEXT(MONTH(Tabla1[[#This Row],[FECHA RADICADO SALIDA]]),"MMM")),"")</f>
        <v>ENE</v>
      </c>
      <c r="R1127" s="10">
        <f t="shared" si="75"/>
        <v>-5</v>
      </c>
      <c r="S1127" s="10" t="s">
        <v>2154</v>
      </c>
      <c r="U1127" s="10" t="s">
        <v>2361</v>
      </c>
      <c r="V1127" s="20">
        <v>43376</v>
      </c>
      <c r="W1127" s="10" t="s">
        <v>48</v>
      </c>
      <c r="X1127" s="10">
        <v>300</v>
      </c>
      <c r="Y1127" s="10">
        <f>IFERROR(INT(Tabla1[[#This Row],[CANTIDAD UND FARMACEUTICAS]]/(VLOOKUP(Tabla1[[#This Row],[MEDICAMENTO]],TAB_REF!$K$3:$L$27,2,0))),"")</f>
        <v>10</v>
      </c>
      <c r="Z1127" s="10" t="str">
        <f>IFERROR(VLOOKUP(Tabla1[[#This Row],[MEDICAMENTO]],TAB_REF!$B$3:$F$27,2,0), "")</f>
        <v xml:space="preserve">Metilfenidato HCl </v>
      </c>
      <c r="AA1127" s="10" t="str">
        <f>IFERROR(VLOOKUP(Tabla1[[#This Row],[MEDICAMENTO]],TAB_REF!$B$3:$F$27,3,0), "")</f>
        <v xml:space="preserve">10 mg </v>
      </c>
      <c r="AB1127" s="10" t="str">
        <f>IFERROR(VLOOKUP(Tabla1[[#This Row],[MEDICAMENTO]],TAB_REF!$B$3:$F$27,4,0), "")</f>
        <v>Comprimidos</v>
      </c>
      <c r="AC1127" s="10" t="str">
        <f>IFERROR(VLOOKUP(Tabla1[[#This Row],[MEDICAMENTO]],TAB_REF!$B$3:$F$27,5,0), "")</f>
        <v>Caja x 30 unidades</v>
      </c>
      <c r="AD1127" s="10" t="str">
        <f>IFERROR(VLOOKUP(Tabla1[[#This Row],[CANTIDAD UND COMERCIALES]],TAB_REF!$H$3:$I$1003,2,0)&amp;" ("&amp;Tabla1[[#This Row],[CANTIDAD UND COMERCIALES]]&amp;")"&amp;"_"&amp;Tabla1[[#This Row],[CANTIDAD]],"")</f>
        <v>Diez (10)_Caja x 30 unidades</v>
      </c>
    </row>
    <row r="1128" spans="2:30" x14ac:dyDescent="0.25">
      <c r="B1128" s="10">
        <v>472</v>
      </c>
      <c r="C1128" s="10" t="s">
        <v>4157</v>
      </c>
      <c r="D1128" s="10" t="s">
        <v>4158</v>
      </c>
      <c r="E1128" s="10" t="s">
        <v>4163</v>
      </c>
      <c r="F1128" s="10" t="s">
        <v>3890</v>
      </c>
      <c r="G1128" s="10" t="s">
        <v>4159</v>
      </c>
      <c r="H1128" s="10" t="s">
        <v>4160</v>
      </c>
      <c r="I1128" s="10" t="s">
        <v>2128</v>
      </c>
      <c r="J1128" s="10" t="s">
        <v>1918</v>
      </c>
      <c r="K1128" s="10" t="s">
        <v>4161</v>
      </c>
      <c r="L1128" s="11">
        <v>202124101594672</v>
      </c>
      <c r="M1128" s="20">
        <v>44435</v>
      </c>
      <c r="N1128" s="11" t="str">
        <f>UPPER(TEXT(Tabla1[[#This Row],[FECHA RADICADO ENTRADA]],"MMM"))</f>
        <v>AGO</v>
      </c>
      <c r="O1128" s="11">
        <v>202124111364631</v>
      </c>
      <c r="P1128" s="20">
        <v>44439</v>
      </c>
      <c r="Q1128" s="26" t="str">
        <f>IFERROR(UPPER(TEXT(MONTH(Tabla1[[#This Row],[FECHA RADICADO SALIDA]]),"MMM")),"")</f>
        <v>ENE</v>
      </c>
      <c r="R1128" s="10">
        <f t="shared" ref="R1128:R1132" si="80">_xlfn.DAYS(M1128,P1128)</f>
        <v>-4</v>
      </c>
      <c r="S1128" s="10" t="s">
        <v>2154</v>
      </c>
      <c r="U1128" s="10" t="s">
        <v>4162</v>
      </c>
      <c r="V1128" s="20">
        <v>43745</v>
      </c>
      <c r="W1128" s="10" t="s">
        <v>44</v>
      </c>
      <c r="X1128" s="10">
        <v>520</v>
      </c>
      <c r="Y1128" s="10">
        <f>IFERROR(INT(Tabla1[[#This Row],[CANTIDAD UND FARMACEUTICAS]]/(VLOOKUP(Tabla1[[#This Row],[MEDICAMENTO]],TAB_REF!$K$3:$L$27,2,0))),"")</f>
        <v>26</v>
      </c>
      <c r="Z1128" s="10" t="str">
        <f>IFERROR(VLOOKUP(Tabla1[[#This Row],[MEDICAMENTO]],TAB_REF!$B$3:$F$27,2,0), "")</f>
        <v xml:space="preserve">Metadona HCl </v>
      </c>
      <c r="AA1128" s="10" t="str">
        <f>IFERROR(VLOOKUP(Tabla1[[#This Row],[MEDICAMENTO]],TAB_REF!$B$3:$F$27,3,0), "")</f>
        <v xml:space="preserve">10 mg </v>
      </c>
      <c r="AB1128" s="10" t="str">
        <f>IFERROR(VLOOKUP(Tabla1[[#This Row],[MEDICAMENTO]],TAB_REF!$B$3:$F$27,4,0), "")</f>
        <v>Tabletas IMPORTADA</v>
      </c>
      <c r="AC1128" s="10" t="str">
        <f>IFERROR(VLOOKUP(Tabla1[[#This Row],[MEDICAMENTO]],TAB_REF!$B$3:$F$27,5,0), "")</f>
        <v>Frasco x 20 unidades</v>
      </c>
      <c r="AD1128" s="10" t="str">
        <f>IFERROR(VLOOKUP(Tabla1[[#This Row],[CANTIDAD UND COMERCIALES]],TAB_REF!$H$3:$I$1003,2,0)&amp;" ("&amp;Tabla1[[#This Row],[CANTIDAD UND COMERCIALES]]&amp;")"&amp;"_"&amp;Tabla1[[#This Row],[CANTIDAD]],"")</f>
        <v>Veintiseis (26)_Frasco x 20 unidades</v>
      </c>
    </row>
    <row r="1129" spans="2:30" x14ac:dyDescent="0.25">
      <c r="B1129" s="10">
        <v>473</v>
      </c>
      <c r="C1129" s="10" t="s">
        <v>4164</v>
      </c>
      <c r="D1129" s="10" t="s">
        <v>2617</v>
      </c>
      <c r="E1129" s="10" t="s">
        <v>4165</v>
      </c>
      <c r="F1129" s="10" t="s">
        <v>4166</v>
      </c>
      <c r="G1129" s="10" t="s">
        <v>4167</v>
      </c>
      <c r="H1129" s="10" t="s">
        <v>4168</v>
      </c>
      <c r="I1129" s="10" t="s">
        <v>2107</v>
      </c>
      <c r="J1129" s="10" t="s">
        <v>1212</v>
      </c>
      <c r="K1129" s="10" t="s">
        <v>4169</v>
      </c>
      <c r="L1129" s="11">
        <v>202124101601272</v>
      </c>
      <c r="M1129" s="20">
        <v>44438</v>
      </c>
      <c r="N1129" s="11" t="str">
        <f>UPPER(TEXT(Tabla1[[#This Row],[FECHA RADICADO ENTRADA]],"MMM"))</f>
        <v>AGO</v>
      </c>
      <c r="O1129" s="11">
        <v>202124111364601</v>
      </c>
      <c r="P1129" s="20">
        <v>44439</v>
      </c>
      <c r="Q1129" s="26" t="str">
        <f>IFERROR(UPPER(TEXT(MONTH(Tabla1[[#This Row],[FECHA RADICADO SALIDA]]),"MMM")),"")</f>
        <v>ENE</v>
      </c>
      <c r="R1129" s="10">
        <f t="shared" si="80"/>
        <v>-1</v>
      </c>
      <c r="S1129" s="10" t="s">
        <v>2154</v>
      </c>
      <c r="U1129" s="10" t="s">
        <v>4170</v>
      </c>
      <c r="V1129" s="20">
        <v>43175</v>
      </c>
      <c r="W1129" s="10" t="s">
        <v>63</v>
      </c>
      <c r="X1129" s="10">
        <v>500</v>
      </c>
      <c r="Y1129" s="10">
        <f>IFERROR(INT(Tabla1[[#This Row],[CANTIDAD UND FARMACEUTICAS]]/(VLOOKUP(Tabla1[[#This Row],[MEDICAMENTO]],TAB_REF!$K$3:$L$27,2,0))),"")</f>
        <v>50</v>
      </c>
      <c r="Z1129" s="10" t="str">
        <f>IFERROR(VLOOKUP(Tabla1[[#This Row],[MEDICAMENTO]],TAB_REF!$B$3:$F$27,2,0), "")</f>
        <v xml:space="preserve">Morfina HCl </v>
      </c>
      <c r="AA1129" s="10" t="str">
        <f>IFERROR(VLOOKUP(Tabla1[[#This Row],[MEDICAMENTO]],TAB_REF!$B$3:$F$27,3,0), "")</f>
        <v xml:space="preserve">10 mg/mL </v>
      </c>
      <c r="AB1129" s="10" t="str">
        <f>IFERROR(VLOOKUP(Tabla1[[#This Row],[MEDICAMENTO]],TAB_REF!$B$3:$F$27,4,0), "")</f>
        <v>Solución Inyectable</v>
      </c>
      <c r="AC1129" s="10" t="str">
        <f>IFERROR(VLOOKUP(Tabla1[[#This Row],[MEDICAMENTO]],TAB_REF!$B$3:$F$27,5,0), "")</f>
        <v>Caja x 10 unidades</v>
      </c>
      <c r="AD1129" s="10" t="str">
        <f>IFERROR(VLOOKUP(Tabla1[[#This Row],[CANTIDAD UND COMERCIALES]],TAB_REF!$H$3:$I$1003,2,0)&amp;" ("&amp;Tabla1[[#This Row],[CANTIDAD UND COMERCIALES]]&amp;")"&amp;"_"&amp;Tabla1[[#This Row],[CANTIDAD]],"")</f>
        <v>Cincuenta (50)_Caja x 10 unidades</v>
      </c>
    </row>
    <row r="1130" spans="2:30" x14ac:dyDescent="0.25">
      <c r="B1130" s="10">
        <v>474</v>
      </c>
      <c r="C1130" s="10" t="s">
        <v>2593</v>
      </c>
      <c r="D1130" s="10" t="s">
        <v>2575</v>
      </c>
      <c r="E1130" s="10" t="s">
        <v>2594</v>
      </c>
      <c r="F1130" s="10" t="s">
        <v>2603</v>
      </c>
      <c r="G1130" s="10" t="s">
        <v>2595</v>
      </c>
      <c r="H1130" s="10" t="s">
        <v>2596</v>
      </c>
      <c r="I1130" s="10" t="s">
        <v>2122</v>
      </c>
      <c r="J1130" s="10" t="s">
        <v>1742</v>
      </c>
      <c r="K1130" s="10" t="s">
        <v>4171</v>
      </c>
      <c r="L1130" s="11">
        <v>202124101601342</v>
      </c>
      <c r="M1130" s="20">
        <v>44438</v>
      </c>
      <c r="N1130" s="11" t="str">
        <f>UPPER(TEXT(Tabla1[[#This Row],[FECHA RADICADO ENTRADA]],"MMM"))</f>
        <v>AGO</v>
      </c>
      <c r="O1130" s="11">
        <v>202124111364671</v>
      </c>
      <c r="P1130" s="20">
        <v>44439</v>
      </c>
      <c r="Q1130" s="26" t="str">
        <f>IFERROR(UPPER(TEXT(MONTH(Tabla1[[#This Row],[FECHA RADICADO SALIDA]]),"MMM")),"")</f>
        <v>ENE</v>
      </c>
      <c r="R1130" s="10">
        <f t="shared" si="80"/>
        <v>-1</v>
      </c>
      <c r="S1130" s="10" t="s">
        <v>2154</v>
      </c>
      <c r="U1130" s="10" t="s">
        <v>2623</v>
      </c>
      <c r="V1130" s="20">
        <v>44099</v>
      </c>
      <c r="W1130" s="10" t="s">
        <v>32</v>
      </c>
      <c r="X1130" s="10">
        <v>7260</v>
      </c>
      <c r="Y1130" s="10">
        <f>IFERROR(INT(Tabla1[[#This Row],[CANTIDAD UND FARMACEUTICAS]]/(VLOOKUP(Tabla1[[#This Row],[MEDICAMENTO]],TAB_REF!$K$3:$L$27,2,0))),"")</f>
        <v>242</v>
      </c>
      <c r="Z1130" s="10" t="str">
        <f>IFERROR(VLOOKUP(Tabla1[[#This Row],[MEDICAMENTO]],TAB_REF!$B$3:$F$27,2,0), "")</f>
        <v xml:space="preserve">Fenobarbital </v>
      </c>
      <c r="AA1130" s="10" t="str">
        <f>IFERROR(VLOOKUP(Tabla1[[#This Row],[MEDICAMENTO]],TAB_REF!$B$3:$F$27,3,0), "")</f>
        <v xml:space="preserve">100 mg </v>
      </c>
      <c r="AB1130" s="10" t="str">
        <f>IFERROR(VLOOKUP(Tabla1[[#This Row],[MEDICAMENTO]],TAB_REF!$B$3:$F$27,4,0), "")</f>
        <v>Tabletas</v>
      </c>
      <c r="AC1130" s="10" t="str">
        <f>IFERROR(VLOOKUP(Tabla1[[#This Row],[MEDICAMENTO]],TAB_REF!$B$3:$F$27,5,0), "")</f>
        <v>Caja x 30 unidades</v>
      </c>
      <c r="AD1130" s="10" t="str">
        <f>IFERROR(VLOOKUP(Tabla1[[#This Row],[CANTIDAD UND COMERCIALES]],TAB_REF!$H$3:$I$1003,2,0)&amp;" ("&amp;Tabla1[[#This Row],[CANTIDAD UND COMERCIALES]]&amp;")"&amp;"_"&amp;Tabla1[[#This Row],[CANTIDAD]],"")</f>
        <v>Doscientos Cuarenta Y Dos (242)_Caja x 30 unidades</v>
      </c>
    </row>
    <row r="1131" spans="2:30" x14ac:dyDescent="0.25">
      <c r="B1131" s="10">
        <v>474</v>
      </c>
      <c r="C1131" s="10" t="s">
        <v>2593</v>
      </c>
      <c r="D1131" s="10" t="s">
        <v>2575</v>
      </c>
      <c r="E1131" s="10" t="s">
        <v>2594</v>
      </c>
      <c r="F1131" s="10" t="s">
        <v>2603</v>
      </c>
      <c r="G1131" s="10" t="s">
        <v>2595</v>
      </c>
      <c r="H1131" s="10" t="s">
        <v>2596</v>
      </c>
      <c r="I1131" s="10" t="s">
        <v>2122</v>
      </c>
      <c r="J1131" s="10" t="s">
        <v>1742</v>
      </c>
      <c r="K1131" s="10" t="s">
        <v>4171</v>
      </c>
      <c r="L1131" s="11">
        <v>202124101601342</v>
      </c>
      <c r="M1131" s="20">
        <v>44438</v>
      </c>
      <c r="N1131" s="11" t="str">
        <f>UPPER(TEXT(Tabla1[[#This Row],[FECHA RADICADO ENTRADA]],"MMM"))</f>
        <v>AGO</v>
      </c>
      <c r="O1131" s="11">
        <v>202124111364671</v>
      </c>
      <c r="P1131" s="20">
        <v>44439</v>
      </c>
      <c r="Q1131" s="26" t="str">
        <f>IFERROR(UPPER(TEXT(MONTH(Tabla1[[#This Row],[FECHA RADICADO SALIDA]]),"MMM")),"")</f>
        <v>ENE</v>
      </c>
      <c r="R1131" s="10">
        <f t="shared" si="80"/>
        <v>-1</v>
      </c>
      <c r="S1131" s="10" t="s">
        <v>2154</v>
      </c>
      <c r="U1131" s="10" t="s">
        <v>2623</v>
      </c>
      <c r="V1131" s="20">
        <v>44099</v>
      </c>
      <c r="W1131" s="10" t="s">
        <v>60</v>
      </c>
      <c r="X1131" s="10">
        <v>5</v>
      </c>
      <c r="Y1131" s="10">
        <f>IFERROR(INT(Tabla1[[#This Row],[CANTIDAD UND FARMACEUTICAS]]/(VLOOKUP(Tabla1[[#This Row],[MEDICAMENTO]],TAB_REF!$K$3:$L$27,2,0))),"")</f>
        <v>5</v>
      </c>
      <c r="Z1131" s="10" t="str">
        <f>IFERROR(VLOOKUP(Tabla1[[#This Row],[MEDICAMENTO]],TAB_REF!$B$3:$F$27,2,0), "")</f>
        <v xml:space="preserve">Morfina HCl </v>
      </c>
      <c r="AA1131" s="10" t="str">
        <f>IFERROR(VLOOKUP(Tabla1[[#This Row],[MEDICAMENTO]],TAB_REF!$B$3:$F$27,3,0), "")</f>
        <v xml:space="preserve">3%. </v>
      </c>
      <c r="AB1131" s="10" t="str">
        <f>IFERROR(VLOOKUP(Tabla1[[#This Row],[MEDICAMENTO]],TAB_REF!$B$3:$F$27,4,0), "")</f>
        <v>Solución Oral</v>
      </c>
      <c r="AC1131" s="10" t="str">
        <f>IFERROR(VLOOKUP(Tabla1[[#This Row],[MEDICAMENTO]],TAB_REF!$B$3:$F$27,5,0), "")</f>
        <v>Frasco x 30 mL</v>
      </c>
      <c r="AD1131" s="10" t="str">
        <f>IFERROR(VLOOKUP(Tabla1[[#This Row],[CANTIDAD UND COMERCIALES]],TAB_REF!$H$3:$I$1003,2,0)&amp;" ("&amp;Tabla1[[#This Row],[CANTIDAD UND COMERCIALES]]&amp;")"&amp;"_"&amp;Tabla1[[#This Row],[CANTIDAD]],"")</f>
        <v>Cinco (5)_Frasco x 30 mL</v>
      </c>
    </row>
    <row r="1132" spans="2:30" x14ac:dyDescent="0.25">
      <c r="B1132" s="10">
        <v>475</v>
      </c>
      <c r="C1132" s="10" t="s">
        <v>4172</v>
      </c>
      <c r="D1132" s="10" t="s">
        <v>4173</v>
      </c>
      <c r="E1132" s="10" t="s">
        <v>4174</v>
      </c>
      <c r="F1132" s="10" t="s">
        <v>2582</v>
      </c>
      <c r="G1132" s="10" t="s">
        <v>4113</v>
      </c>
      <c r="H1132" s="10" t="s">
        <v>4175</v>
      </c>
      <c r="I1132" s="10" t="s">
        <v>2107</v>
      </c>
      <c r="J1132" s="10" t="s">
        <v>1212</v>
      </c>
      <c r="K1132" s="10" t="s">
        <v>2947</v>
      </c>
      <c r="L1132" s="11">
        <v>202124101601382</v>
      </c>
      <c r="M1132" s="20">
        <v>44438</v>
      </c>
      <c r="N1132" s="11" t="str">
        <f>UPPER(TEXT(Tabla1[[#This Row],[FECHA RADICADO ENTRADA]],"MMM"))</f>
        <v>AGO</v>
      </c>
      <c r="O1132" s="11">
        <v>202124111364681</v>
      </c>
      <c r="P1132" s="20">
        <v>44439</v>
      </c>
      <c r="Q1132" s="26" t="str">
        <f>IFERROR(UPPER(TEXT(MONTH(Tabla1[[#This Row],[FECHA RADICADO SALIDA]]),"MMM")),"")</f>
        <v>ENE</v>
      </c>
      <c r="R1132" s="10">
        <f t="shared" si="80"/>
        <v>-1</v>
      </c>
      <c r="S1132" s="10" t="s">
        <v>2145</v>
      </c>
      <c r="T1132" s="10" t="s">
        <v>4177</v>
      </c>
      <c r="U1132" s="10" t="s">
        <v>4176</v>
      </c>
      <c r="V1132" s="20">
        <v>44335</v>
      </c>
      <c r="W1132" s="10" t="s">
        <v>60</v>
      </c>
      <c r="X1132" s="10">
        <v>50</v>
      </c>
      <c r="Y1132" s="10">
        <f>IFERROR(INT(Tabla1[[#This Row],[CANTIDAD UND FARMACEUTICAS]]/(VLOOKUP(Tabla1[[#This Row],[MEDICAMENTO]],TAB_REF!$K$3:$L$27,2,0))),"")</f>
        <v>50</v>
      </c>
      <c r="Z1132" s="10" t="str">
        <f>IFERROR(VLOOKUP(Tabla1[[#This Row],[MEDICAMENTO]],TAB_REF!$B$3:$F$27,2,0), "")</f>
        <v xml:space="preserve">Morfina HCl </v>
      </c>
      <c r="AA1132" s="10" t="str">
        <f>IFERROR(VLOOKUP(Tabla1[[#This Row],[MEDICAMENTO]],TAB_REF!$B$3:$F$27,3,0), "")</f>
        <v xml:space="preserve">3%. </v>
      </c>
      <c r="AB1132" s="10" t="str">
        <f>IFERROR(VLOOKUP(Tabla1[[#This Row],[MEDICAMENTO]],TAB_REF!$B$3:$F$27,4,0), "")</f>
        <v>Solución Oral</v>
      </c>
      <c r="AC1132" s="10" t="str">
        <f>IFERROR(VLOOKUP(Tabla1[[#This Row],[MEDICAMENTO]],TAB_REF!$B$3:$F$27,5,0), "")</f>
        <v>Frasco x 30 mL</v>
      </c>
      <c r="AD1132" s="10" t="str">
        <f>IFERROR(VLOOKUP(Tabla1[[#This Row],[CANTIDAD UND COMERCIALES]],TAB_REF!$H$3:$I$1003,2,0)&amp;" ("&amp;Tabla1[[#This Row],[CANTIDAD UND COMERCIALES]]&amp;")"&amp;"_"&amp;Tabla1[[#This Row],[CANTIDAD]],"")</f>
        <v>Cincuenta (50)_Frasco x 30 mL</v>
      </c>
    </row>
    <row r="1133" spans="2:30" x14ac:dyDescent="0.25">
      <c r="B1133" s="10">
        <v>476</v>
      </c>
      <c r="C1133" s="10" t="s">
        <v>2217</v>
      </c>
      <c r="D1133" s="10" t="s">
        <v>2162</v>
      </c>
      <c r="E1133" s="10" t="s">
        <v>2946</v>
      </c>
      <c r="F1133" s="10" t="s">
        <v>2273</v>
      </c>
      <c r="G1133" s="10" t="s">
        <v>2676</v>
      </c>
      <c r="H1133" s="10" t="s">
        <v>2677</v>
      </c>
      <c r="I1133" s="10" t="s">
        <v>2122</v>
      </c>
      <c r="J1133" s="10" t="s">
        <v>1742</v>
      </c>
      <c r="K1133" s="10" t="s">
        <v>4178</v>
      </c>
      <c r="L1133" s="11">
        <v>202124101604492</v>
      </c>
      <c r="M1133" s="20">
        <v>44438</v>
      </c>
      <c r="N1133" s="11" t="str">
        <f>UPPER(TEXT(Tabla1[[#This Row],[FECHA RADICADO ENTRADA]],"MMM"))</f>
        <v>AGO</v>
      </c>
      <c r="O1133" s="11">
        <v>202124111364711</v>
      </c>
      <c r="P1133" s="20">
        <v>44439</v>
      </c>
      <c r="Q1133" s="26" t="str">
        <f>IFERROR(UPPER(TEXT(MONTH(Tabla1[[#This Row],[FECHA RADICADO SALIDA]]),"MMM")),"")</f>
        <v>ENE</v>
      </c>
      <c r="R1133" s="10">
        <f t="shared" ref="R1133:R1134" si="81">_xlfn.DAYS(M1133,P1133)</f>
        <v>-1</v>
      </c>
      <c r="S1133" s="10" t="s">
        <v>2154</v>
      </c>
      <c r="U1133" s="10" t="s">
        <v>2679</v>
      </c>
      <c r="V1133" s="20">
        <v>43767</v>
      </c>
      <c r="W1133" s="10" t="s">
        <v>48</v>
      </c>
      <c r="X1133" s="10">
        <v>90</v>
      </c>
      <c r="Y1133" s="10">
        <f>IFERROR(INT(Tabla1[[#This Row],[CANTIDAD UND FARMACEUTICAS]]/(VLOOKUP(Tabla1[[#This Row],[MEDICAMENTO]],TAB_REF!$K$3:$L$27,2,0))),"")</f>
        <v>3</v>
      </c>
      <c r="Z1133" s="10" t="str">
        <f>IFERROR(VLOOKUP(Tabla1[[#This Row],[MEDICAMENTO]],TAB_REF!$B$3:$F$27,2,0), "")</f>
        <v xml:space="preserve">Metilfenidato HCl </v>
      </c>
      <c r="AA1133" s="10" t="str">
        <f>IFERROR(VLOOKUP(Tabla1[[#This Row],[MEDICAMENTO]],TAB_REF!$B$3:$F$27,3,0), "")</f>
        <v xml:space="preserve">10 mg </v>
      </c>
      <c r="AB1133" s="10" t="str">
        <f>IFERROR(VLOOKUP(Tabla1[[#This Row],[MEDICAMENTO]],TAB_REF!$B$3:$F$27,4,0), "")</f>
        <v>Comprimidos</v>
      </c>
      <c r="AC1133" s="10" t="str">
        <f>IFERROR(VLOOKUP(Tabla1[[#This Row],[MEDICAMENTO]],TAB_REF!$B$3:$F$27,5,0), "")</f>
        <v>Caja x 30 unidades</v>
      </c>
      <c r="AD1133" s="10" t="str">
        <f>IFERROR(VLOOKUP(Tabla1[[#This Row],[CANTIDAD UND COMERCIALES]],TAB_REF!$H$3:$I$1003,2,0)&amp;" ("&amp;Tabla1[[#This Row],[CANTIDAD UND COMERCIALES]]&amp;")"&amp;"_"&amp;Tabla1[[#This Row],[CANTIDAD]],"")</f>
        <v>Tres (3)_Caja x 30 unidades</v>
      </c>
    </row>
    <row r="1134" spans="2:30" x14ac:dyDescent="0.25">
      <c r="B1134" s="10">
        <v>476</v>
      </c>
      <c r="C1134" s="10" t="s">
        <v>2217</v>
      </c>
      <c r="D1134" s="10" t="s">
        <v>2162</v>
      </c>
      <c r="E1134" s="10" t="s">
        <v>2946</v>
      </c>
      <c r="F1134" s="10" t="s">
        <v>2273</v>
      </c>
      <c r="G1134" s="10" t="s">
        <v>2676</v>
      </c>
      <c r="H1134" s="10" t="s">
        <v>2677</v>
      </c>
      <c r="I1134" s="10" t="s">
        <v>2122</v>
      </c>
      <c r="J1134" s="10" t="s">
        <v>1742</v>
      </c>
      <c r="K1134" s="10" t="s">
        <v>4178</v>
      </c>
      <c r="L1134" s="11">
        <v>202124101604492</v>
      </c>
      <c r="M1134" s="20">
        <v>44438</v>
      </c>
      <c r="N1134" s="11" t="str">
        <f>UPPER(TEXT(Tabla1[[#This Row],[FECHA RADICADO ENTRADA]],"MMM"))</f>
        <v>AGO</v>
      </c>
      <c r="O1134" s="11">
        <v>202124111364711</v>
      </c>
      <c r="P1134" s="20">
        <v>44439</v>
      </c>
      <c r="Q1134" s="26" t="str">
        <f>IFERROR(UPPER(TEXT(MONTH(Tabla1[[#This Row],[FECHA RADICADO SALIDA]]),"MMM")),"")</f>
        <v>ENE</v>
      </c>
      <c r="R1134" s="10">
        <f t="shared" si="81"/>
        <v>-1</v>
      </c>
      <c r="S1134" s="10" t="s">
        <v>2154</v>
      </c>
      <c r="U1134" s="10" t="s">
        <v>2679</v>
      </c>
      <c r="V1134" s="20">
        <v>43767</v>
      </c>
      <c r="W1134" s="10" t="s">
        <v>60</v>
      </c>
      <c r="X1134" s="10">
        <v>6</v>
      </c>
      <c r="Y1134" s="10">
        <f>IFERROR(INT(Tabla1[[#This Row],[CANTIDAD UND FARMACEUTICAS]]/(VLOOKUP(Tabla1[[#This Row],[MEDICAMENTO]],TAB_REF!$K$3:$L$27,2,0))),"")</f>
        <v>6</v>
      </c>
      <c r="Z1134" s="10" t="str">
        <f>IFERROR(VLOOKUP(Tabla1[[#This Row],[MEDICAMENTO]],TAB_REF!$B$3:$F$27,2,0), "")</f>
        <v xml:space="preserve">Morfina HCl </v>
      </c>
      <c r="AA1134" s="10" t="str">
        <f>IFERROR(VLOOKUP(Tabla1[[#This Row],[MEDICAMENTO]],TAB_REF!$B$3:$F$27,3,0), "")</f>
        <v xml:space="preserve">3%. </v>
      </c>
      <c r="AB1134" s="10" t="str">
        <f>IFERROR(VLOOKUP(Tabla1[[#This Row],[MEDICAMENTO]],TAB_REF!$B$3:$F$27,4,0), "")</f>
        <v>Solución Oral</v>
      </c>
      <c r="AC1134" s="10" t="str">
        <f>IFERROR(VLOOKUP(Tabla1[[#This Row],[MEDICAMENTO]],TAB_REF!$B$3:$F$27,5,0), "")</f>
        <v>Frasco x 30 mL</v>
      </c>
      <c r="AD1134" s="10" t="str">
        <f>IFERROR(VLOOKUP(Tabla1[[#This Row],[CANTIDAD UND COMERCIALES]],TAB_REF!$H$3:$I$1003,2,0)&amp;" ("&amp;Tabla1[[#This Row],[CANTIDAD UND COMERCIALES]]&amp;")"&amp;"_"&amp;Tabla1[[#This Row],[CANTIDAD]],"")</f>
        <v>Seis (6)_Frasco x 30 mL</v>
      </c>
    </row>
    <row r="1135" spans="2:30" x14ac:dyDescent="0.25">
      <c r="B1135" s="10">
        <v>477</v>
      </c>
      <c r="C1135" s="10" t="s">
        <v>4135</v>
      </c>
      <c r="D1135" s="10" t="s">
        <v>2182</v>
      </c>
      <c r="E1135" s="10" t="s">
        <v>4136</v>
      </c>
      <c r="F1135" s="10" t="s">
        <v>4137</v>
      </c>
      <c r="G1135" s="10" t="s">
        <v>4138</v>
      </c>
      <c r="H1135" s="10" t="s">
        <v>4139</v>
      </c>
      <c r="I1135" s="10" t="s">
        <v>2113</v>
      </c>
      <c r="J1135" s="10" t="s">
        <v>1442</v>
      </c>
      <c r="K1135" s="10" t="s">
        <v>4140</v>
      </c>
      <c r="L1135" s="11">
        <v>202124101559522</v>
      </c>
      <c r="M1135" s="20">
        <v>44432</v>
      </c>
      <c r="N1135" s="11" t="str">
        <f>UPPER(TEXT(Tabla1[[#This Row],[FECHA RADICADO ENTRADA]],"MMM"))</f>
        <v>AGO</v>
      </c>
      <c r="O1135" s="11">
        <v>202124111353611</v>
      </c>
      <c r="P1135" s="20">
        <v>44438</v>
      </c>
      <c r="Q1135" s="26" t="str">
        <f>IFERROR(UPPER(TEXT(MONTH(Tabla1[[#This Row],[FECHA RADICADO SALIDA]]),"MMM")),"")</f>
        <v>ENE</v>
      </c>
      <c r="R1135" s="10">
        <f t="shared" ref="R1135:R1150" si="82">_xlfn.DAYS(M1135,P1135)</f>
        <v>-6</v>
      </c>
      <c r="S1135" s="10" t="s">
        <v>2154</v>
      </c>
      <c r="U1135" s="10" t="s">
        <v>4141</v>
      </c>
      <c r="V1135" s="20">
        <v>43606</v>
      </c>
      <c r="W1135" s="10" t="s">
        <v>32</v>
      </c>
      <c r="X1135" s="10">
        <v>3000</v>
      </c>
      <c r="Y1135" s="10">
        <f>IFERROR(INT(Tabla1[[#This Row],[CANTIDAD UND FARMACEUTICAS]]/(VLOOKUP(Tabla1[[#This Row],[MEDICAMENTO]],TAB_REF!$K$3:$L$27,2,0))),"")</f>
        <v>100</v>
      </c>
      <c r="Z1135" s="10" t="str">
        <f>IFERROR(VLOOKUP(Tabla1[[#This Row],[MEDICAMENTO]],TAB_REF!$B$3:$F$27,2,0), "")</f>
        <v xml:space="preserve">Fenobarbital </v>
      </c>
      <c r="AA1135" s="10" t="str">
        <f>IFERROR(VLOOKUP(Tabla1[[#This Row],[MEDICAMENTO]],TAB_REF!$B$3:$F$27,3,0), "")</f>
        <v xml:space="preserve">100 mg </v>
      </c>
      <c r="AB1135" s="10" t="str">
        <f>IFERROR(VLOOKUP(Tabla1[[#This Row],[MEDICAMENTO]],TAB_REF!$B$3:$F$27,4,0), "")</f>
        <v>Tabletas</v>
      </c>
      <c r="AC1135" s="10" t="str">
        <f>IFERROR(VLOOKUP(Tabla1[[#This Row],[MEDICAMENTO]],TAB_REF!$B$3:$F$27,5,0), "")</f>
        <v>Caja x 30 unidades</v>
      </c>
      <c r="AD1135" s="10" t="str">
        <f>IFERROR(VLOOKUP(Tabla1[[#This Row],[CANTIDAD UND COMERCIALES]],TAB_REF!$H$3:$I$1003,2,0)&amp;" ("&amp;Tabla1[[#This Row],[CANTIDAD UND COMERCIALES]]&amp;")"&amp;"_"&amp;Tabla1[[#This Row],[CANTIDAD]],"")</f>
        <v>Cien (100)_Caja x 30 unidades</v>
      </c>
    </row>
    <row r="1136" spans="2:30" x14ac:dyDescent="0.25">
      <c r="B1136" s="10">
        <v>477</v>
      </c>
      <c r="C1136" s="10" t="s">
        <v>4135</v>
      </c>
      <c r="D1136" s="10" t="s">
        <v>2182</v>
      </c>
      <c r="E1136" s="10" t="s">
        <v>4136</v>
      </c>
      <c r="F1136" s="10" t="s">
        <v>4137</v>
      </c>
      <c r="G1136" s="10" t="s">
        <v>4138</v>
      </c>
      <c r="H1136" s="10" t="s">
        <v>4139</v>
      </c>
      <c r="I1136" s="10" t="s">
        <v>2113</v>
      </c>
      <c r="J1136" s="10" t="s">
        <v>1442</v>
      </c>
      <c r="K1136" s="10" t="s">
        <v>4140</v>
      </c>
      <c r="L1136" s="11">
        <v>202124101559522</v>
      </c>
      <c r="M1136" s="20">
        <v>44432</v>
      </c>
      <c r="N1136" s="11" t="str">
        <f>UPPER(TEXT(Tabla1[[#This Row],[FECHA RADICADO ENTRADA]],"MMM"))</f>
        <v>AGO</v>
      </c>
      <c r="O1136" s="11">
        <v>202124111353611</v>
      </c>
      <c r="P1136" s="20">
        <v>44438</v>
      </c>
      <c r="Q1136" s="26" t="str">
        <f>IFERROR(UPPER(TEXT(MONTH(Tabla1[[#This Row],[FECHA RADICADO SALIDA]]),"MMM")),"")</f>
        <v>ENE</v>
      </c>
      <c r="R1136" s="10">
        <f t="shared" si="82"/>
        <v>-6</v>
      </c>
      <c r="S1136" s="10" t="s">
        <v>2154</v>
      </c>
      <c r="U1136" s="10" t="s">
        <v>4141</v>
      </c>
      <c r="V1136" s="20">
        <v>43606</v>
      </c>
      <c r="W1136" s="10" t="s">
        <v>60</v>
      </c>
      <c r="X1136" s="10">
        <v>20</v>
      </c>
      <c r="Y1136" s="10">
        <f>IFERROR(INT(Tabla1[[#This Row],[CANTIDAD UND FARMACEUTICAS]]/(VLOOKUP(Tabla1[[#This Row],[MEDICAMENTO]],TAB_REF!$K$3:$L$27,2,0))),"")</f>
        <v>20</v>
      </c>
      <c r="Z1136" s="10" t="str">
        <f>IFERROR(VLOOKUP(Tabla1[[#This Row],[MEDICAMENTO]],TAB_REF!$B$3:$F$27,2,0), "")</f>
        <v xml:space="preserve">Morfina HCl </v>
      </c>
      <c r="AA1136" s="10" t="str">
        <f>IFERROR(VLOOKUP(Tabla1[[#This Row],[MEDICAMENTO]],TAB_REF!$B$3:$F$27,3,0), "")</f>
        <v xml:space="preserve">3%. </v>
      </c>
      <c r="AB1136" s="10" t="str">
        <f>IFERROR(VLOOKUP(Tabla1[[#This Row],[MEDICAMENTO]],TAB_REF!$B$3:$F$27,4,0), "")</f>
        <v>Solución Oral</v>
      </c>
      <c r="AC1136" s="10" t="str">
        <f>IFERROR(VLOOKUP(Tabla1[[#This Row],[MEDICAMENTO]],TAB_REF!$B$3:$F$27,5,0), "")</f>
        <v>Frasco x 30 mL</v>
      </c>
      <c r="AD1136" s="10" t="str">
        <f>IFERROR(VLOOKUP(Tabla1[[#This Row],[CANTIDAD UND COMERCIALES]],TAB_REF!$H$3:$I$1003,2,0)&amp;" ("&amp;Tabla1[[#This Row],[CANTIDAD UND COMERCIALES]]&amp;")"&amp;"_"&amp;Tabla1[[#This Row],[CANTIDAD]],"")</f>
        <v>Veinte (20)_Frasco x 30 mL</v>
      </c>
    </row>
    <row r="1137" spans="2:30" x14ac:dyDescent="0.25">
      <c r="B1137" s="10">
        <v>477</v>
      </c>
      <c r="C1137" s="10" t="s">
        <v>4135</v>
      </c>
      <c r="D1137" s="10" t="s">
        <v>2182</v>
      </c>
      <c r="E1137" s="10" t="s">
        <v>4136</v>
      </c>
      <c r="F1137" s="10" t="s">
        <v>4137</v>
      </c>
      <c r="G1137" s="10" t="s">
        <v>4138</v>
      </c>
      <c r="H1137" s="10" t="s">
        <v>4139</v>
      </c>
      <c r="I1137" s="10" t="s">
        <v>2113</v>
      </c>
      <c r="J1137" s="10" t="s">
        <v>1442</v>
      </c>
      <c r="K1137" s="10" t="s">
        <v>4140</v>
      </c>
      <c r="L1137" s="11">
        <v>202124101559522</v>
      </c>
      <c r="M1137" s="20">
        <v>44432</v>
      </c>
      <c r="N1137" s="11" t="str">
        <f>UPPER(TEXT(Tabla1[[#This Row],[FECHA RADICADO ENTRADA]],"MMM"))</f>
        <v>AGO</v>
      </c>
      <c r="O1137" s="11">
        <v>202124111353611</v>
      </c>
      <c r="P1137" s="20">
        <v>44438</v>
      </c>
      <c r="Q1137" s="26" t="str">
        <f>IFERROR(UPPER(TEXT(MONTH(Tabla1[[#This Row],[FECHA RADICADO SALIDA]]),"MMM")),"")</f>
        <v>ENE</v>
      </c>
      <c r="R1137" s="10">
        <f t="shared" si="82"/>
        <v>-6</v>
      </c>
      <c r="S1137" s="10" t="s">
        <v>2145</v>
      </c>
      <c r="T1137" s="51" t="s">
        <v>4179</v>
      </c>
      <c r="U1137" s="10" t="s">
        <v>4141</v>
      </c>
      <c r="V1137" s="20">
        <v>43606</v>
      </c>
      <c r="W1137" s="10" t="s">
        <v>38</v>
      </c>
      <c r="X1137" s="10">
        <v>0</v>
      </c>
      <c r="Y1137" s="10">
        <f>IFERROR(INT(Tabla1[[#This Row],[CANTIDAD UND FARMACEUTICAS]]/(VLOOKUP(Tabla1[[#This Row],[MEDICAMENTO]],TAB_REF!$K$3:$L$27,2,0))),"")</f>
        <v>0</v>
      </c>
      <c r="Z1137" s="10" t="str">
        <f>IFERROR(VLOOKUP(Tabla1[[#This Row],[MEDICAMENTO]],TAB_REF!$B$3:$F$27,2,0), "")</f>
        <v xml:space="preserve">Hidromorfona HCl </v>
      </c>
      <c r="AA1137" s="10" t="str">
        <f>IFERROR(VLOOKUP(Tabla1[[#This Row],[MEDICAMENTO]],TAB_REF!$B$3:$F$27,3,0), "")</f>
        <v xml:space="preserve">2,5 mg </v>
      </c>
      <c r="AB1137" s="10" t="str">
        <f>IFERROR(VLOOKUP(Tabla1[[#This Row],[MEDICAMENTO]],TAB_REF!$B$3:$F$27,4,0), "")</f>
        <v>Tabletas</v>
      </c>
      <c r="AC1137" s="10" t="str">
        <f>IFERROR(VLOOKUP(Tabla1[[#This Row],[MEDICAMENTO]],TAB_REF!$B$3:$F$27,5,0), "")</f>
        <v>Caja x 20 unidades</v>
      </c>
      <c r="AD1137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138" spans="2:30" x14ac:dyDescent="0.25">
      <c r="B1138" s="10">
        <v>477</v>
      </c>
      <c r="C1138" s="10" t="s">
        <v>4135</v>
      </c>
      <c r="D1138" s="10" t="s">
        <v>2182</v>
      </c>
      <c r="E1138" s="10" t="s">
        <v>4136</v>
      </c>
      <c r="F1138" s="10" t="s">
        <v>4137</v>
      </c>
      <c r="G1138" s="10" t="s">
        <v>4138</v>
      </c>
      <c r="H1138" s="10" t="s">
        <v>4139</v>
      </c>
      <c r="I1138" s="10" t="s">
        <v>2113</v>
      </c>
      <c r="J1138" s="10" t="s">
        <v>1442</v>
      </c>
      <c r="K1138" s="10" t="s">
        <v>4140</v>
      </c>
      <c r="L1138" s="11">
        <v>202124101559522</v>
      </c>
      <c r="M1138" s="20">
        <v>44432</v>
      </c>
      <c r="N1138" s="11" t="str">
        <f>UPPER(TEXT(Tabla1[[#This Row],[FECHA RADICADO ENTRADA]],"MMM"))</f>
        <v>AGO</v>
      </c>
      <c r="O1138" s="11">
        <v>202124111353611</v>
      </c>
      <c r="P1138" s="20">
        <v>44438</v>
      </c>
      <c r="Q1138" s="26" t="str">
        <f>IFERROR(UPPER(TEXT(MONTH(Tabla1[[#This Row],[FECHA RADICADO SALIDA]]),"MMM")),"")</f>
        <v>ENE</v>
      </c>
      <c r="R1138" s="10">
        <f t="shared" si="82"/>
        <v>-6</v>
      </c>
      <c r="S1138" s="10" t="s">
        <v>2154</v>
      </c>
      <c r="U1138" s="10" t="s">
        <v>4141</v>
      </c>
      <c r="V1138" s="20">
        <v>43606</v>
      </c>
      <c r="W1138" s="10" t="s">
        <v>28</v>
      </c>
      <c r="X1138" s="10">
        <v>12</v>
      </c>
      <c r="Y1138" s="10">
        <f>IFERROR(INT(Tabla1[[#This Row],[CANTIDAD UND FARMACEUTICAS]]/(VLOOKUP(Tabla1[[#This Row],[MEDICAMENTO]],TAB_REF!$K$3:$L$27,2,0))),"")</f>
        <v>12</v>
      </c>
      <c r="Z1138" s="10" t="str">
        <f>IFERROR(VLOOKUP(Tabla1[[#This Row],[MEDICAMENTO]],TAB_REF!$B$3:$F$27,2,0), "")</f>
        <v xml:space="preserve">Fenobarbital </v>
      </c>
      <c r="AA1138" s="10" t="str">
        <f>IFERROR(VLOOKUP(Tabla1[[#This Row],[MEDICAMENTO]],TAB_REF!$B$3:$F$27,3,0), "")</f>
        <v xml:space="preserve">0,4%. </v>
      </c>
      <c r="AB1138" s="10" t="str">
        <f>IFERROR(VLOOKUP(Tabla1[[#This Row],[MEDICAMENTO]],TAB_REF!$B$3:$F$27,4,0), "")</f>
        <v>Solución Oral</v>
      </c>
      <c r="AC1138" s="10" t="str">
        <f>IFERROR(VLOOKUP(Tabla1[[#This Row],[MEDICAMENTO]],TAB_REF!$B$3:$F$27,5,0), "")</f>
        <v>Frasco x 120 mL</v>
      </c>
      <c r="AD1138" s="10" t="str">
        <f>IFERROR(VLOOKUP(Tabla1[[#This Row],[CANTIDAD UND COMERCIALES]],TAB_REF!$H$3:$I$1003,2,0)&amp;" ("&amp;Tabla1[[#This Row],[CANTIDAD UND COMERCIALES]]&amp;")"&amp;"_"&amp;Tabla1[[#This Row],[CANTIDAD]],"")</f>
        <v>Doce (12)_Frasco x 120 mL</v>
      </c>
    </row>
    <row r="1139" spans="2:30" x14ac:dyDescent="0.25">
      <c r="B1139" s="10">
        <v>477</v>
      </c>
      <c r="C1139" s="10" t="s">
        <v>4135</v>
      </c>
      <c r="D1139" s="10" t="s">
        <v>2182</v>
      </c>
      <c r="E1139" s="10" t="s">
        <v>4136</v>
      </c>
      <c r="F1139" s="10" t="s">
        <v>4137</v>
      </c>
      <c r="G1139" s="10" t="s">
        <v>4138</v>
      </c>
      <c r="H1139" s="10" t="s">
        <v>4139</v>
      </c>
      <c r="I1139" s="10" t="s">
        <v>2113</v>
      </c>
      <c r="J1139" s="10" t="s">
        <v>1442</v>
      </c>
      <c r="K1139" s="10" t="s">
        <v>4140</v>
      </c>
      <c r="L1139" s="11">
        <v>202124101559522</v>
      </c>
      <c r="M1139" s="20">
        <v>44432</v>
      </c>
      <c r="N1139" s="11" t="str">
        <f>UPPER(TEXT(Tabla1[[#This Row],[FECHA RADICADO ENTRADA]],"MMM"))</f>
        <v>AGO</v>
      </c>
      <c r="O1139" s="11">
        <v>202124111353611</v>
      </c>
      <c r="P1139" s="20">
        <v>44438</v>
      </c>
      <c r="Q1139" s="26" t="str">
        <f>IFERROR(UPPER(TEXT(MONTH(Tabla1[[#This Row],[FECHA RADICADO SALIDA]]),"MMM")),"")</f>
        <v>ENE</v>
      </c>
      <c r="R1139" s="10">
        <f t="shared" si="82"/>
        <v>-6</v>
      </c>
      <c r="S1139" s="10" t="s">
        <v>2145</v>
      </c>
      <c r="T1139" s="51" t="s">
        <v>4180</v>
      </c>
      <c r="U1139" s="10" t="s">
        <v>4141</v>
      </c>
      <c r="V1139" s="20">
        <v>43606</v>
      </c>
      <c r="W1139" s="10" t="s">
        <v>48</v>
      </c>
      <c r="X1139" s="10">
        <v>0</v>
      </c>
      <c r="Y1139" s="10">
        <f>IFERROR(INT(Tabla1[[#This Row],[CANTIDAD UND FARMACEUTICAS]]/(VLOOKUP(Tabla1[[#This Row],[MEDICAMENTO]],TAB_REF!$K$3:$L$27,2,0))),"")</f>
        <v>0</v>
      </c>
      <c r="Z1139" s="10" t="str">
        <f>IFERROR(VLOOKUP(Tabla1[[#This Row],[MEDICAMENTO]],TAB_REF!$B$3:$F$27,2,0), "")</f>
        <v xml:space="preserve">Metilfenidato HCl </v>
      </c>
      <c r="AA1139" s="10" t="str">
        <f>IFERROR(VLOOKUP(Tabla1[[#This Row],[MEDICAMENTO]],TAB_REF!$B$3:$F$27,3,0), "")</f>
        <v xml:space="preserve">10 mg </v>
      </c>
      <c r="AB1139" s="10" t="str">
        <f>IFERROR(VLOOKUP(Tabla1[[#This Row],[MEDICAMENTO]],TAB_REF!$B$3:$F$27,4,0), "")</f>
        <v>Comprimidos</v>
      </c>
      <c r="AC1139" s="10" t="str">
        <f>IFERROR(VLOOKUP(Tabla1[[#This Row],[MEDICAMENTO]],TAB_REF!$B$3:$F$27,5,0), "")</f>
        <v>Caja x 30 unidades</v>
      </c>
      <c r="AD1139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140" spans="2:30" x14ac:dyDescent="0.25">
      <c r="B1140" s="10">
        <v>477</v>
      </c>
      <c r="C1140" s="10" t="s">
        <v>4135</v>
      </c>
      <c r="D1140" s="10" t="s">
        <v>2182</v>
      </c>
      <c r="E1140" s="10" t="s">
        <v>4136</v>
      </c>
      <c r="F1140" s="10" t="s">
        <v>4137</v>
      </c>
      <c r="G1140" s="10" t="s">
        <v>4138</v>
      </c>
      <c r="H1140" s="10" t="s">
        <v>4139</v>
      </c>
      <c r="I1140" s="10" t="s">
        <v>2113</v>
      </c>
      <c r="J1140" s="10" t="s">
        <v>1442</v>
      </c>
      <c r="K1140" s="10" t="s">
        <v>4140</v>
      </c>
      <c r="L1140" s="11">
        <v>202124101559522</v>
      </c>
      <c r="M1140" s="20">
        <v>44432</v>
      </c>
      <c r="N1140" s="11" t="str">
        <f>UPPER(TEXT(Tabla1[[#This Row],[FECHA RADICADO ENTRADA]],"MMM"))</f>
        <v>AGO</v>
      </c>
      <c r="O1140" s="11">
        <v>202124111353611</v>
      </c>
      <c r="P1140" s="20">
        <v>44438</v>
      </c>
      <c r="Q1140" s="26" t="str">
        <f>IFERROR(UPPER(TEXT(MONTH(Tabla1[[#This Row],[FECHA RADICADO SALIDA]]),"MMM")),"")</f>
        <v>ENE</v>
      </c>
      <c r="R1140" s="10">
        <f t="shared" si="82"/>
        <v>-6</v>
      </c>
      <c r="S1140" s="10" t="s">
        <v>2154</v>
      </c>
      <c r="U1140" s="10" t="s">
        <v>4141</v>
      </c>
      <c r="V1140" s="20">
        <v>43606</v>
      </c>
      <c r="W1140" s="10" t="s">
        <v>33</v>
      </c>
      <c r="X1140" s="10">
        <v>150</v>
      </c>
      <c r="Y1140" s="10">
        <f>IFERROR(INT(Tabla1[[#This Row],[CANTIDAD UND FARMACEUTICAS]]/(VLOOKUP(Tabla1[[#This Row],[MEDICAMENTO]],TAB_REF!$K$3:$L$27,2,0))),"")</f>
        <v>5</v>
      </c>
      <c r="Z1140" s="10" t="str">
        <f>IFERROR(VLOOKUP(Tabla1[[#This Row],[MEDICAMENTO]],TAB_REF!$B$3:$F$27,2,0), "")</f>
        <v xml:space="preserve">Fenobarbital </v>
      </c>
      <c r="AA1140" s="10" t="str">
        <f>IFERROR(VLOOKUP(Tabla1[[#This Row],[MEDICAMENTO]],TAB_REF!$B$3:$F$27,3,0), "")</f>
        <v xml:space="preserve">50 mg </v>
      </c>
      <c r="AB1140" s="10" t="str">
        <f>IFERROR(VLOOKUP(Tabla1[[#This Row],[MEDICAMENTO]],TAB_REF!$B$3:$F$27,4,0), "")</f>
        <v>Tabletas</v>
      </c>
      <c r="AC1140" s="10" t="str">
        <f>IFERROR(VLOOKUP(Tabla1[[#This Row],[MEDICAMENTO]],TAB_REF!$B$3:$F$27,5,0), "")</f>
        <v>Caja x 30 unidades</v>
      </c>
      <c r="AD1140" s="10" t="str">
        <f>IFERROR(VLOOKUP(Tabla1[[#This Row],[CANTIDAD UND COMERCIALES]],TAB_REF!$H$3:$I$1003,2,0)&amp;" ("&amp;Tabla1[[#This Row],[CANTIDAD UND COMERCIALES]]&amp;")"&amp;"_"&amp;Tabla1[[#This Row],[CANTIDAD]],"")</f>
        <v>Cinco (5)_Caja x 30 unidades</v>
      </c>
    </row>
    <row r="1141" spans="2:30" x14ac:dyDescent="0.25">
      <c r="B1141" s="10">
        <v>477</v>
      </c>
      <c r="C1141" s="10" t="s">
        <v>4135</v>
      </c>
      <c r="D1141" s="10" t="s">
        <v>2182</v>
      </c>
      <c r="E1141" s="10" t="s">
        <v>4136</v>
      </c>
      <c r="F1141" s="10" t="s">
        <v>4137</v>
      </c>
      <c r="G1141" s="10" t="s">
        <v>4138</v>
      </c>
      <c r="H1141" s="10" t="s">
        <v>4139</v>
      </c>
      <c r="I1141" s="10" t="s">
        <v>2113</v>
      </c>
      <c r="J1141" s="10" t="s">
        <v>1442</v>
      </c>
      <c r="K1141" s="10" t="s">
        <v>4140</v>
      </c>
      <c r="L1141" s="11">
        <v>202124101559522</v>
      </c>
      <c r="M1141" s="20">
        <v>44432</v>
      </c>
      <c r="N1141" s="11" t="str">
        <f>UPPER(TEXT(Tabla1[[#This Row],[FECHA RADICADO ENTRADA]],"MMM"))</f>
        <v>AGO</v>
      </c>
      <c r="O1141" s="11">
        <v>202124111353611</v>
      </c>
      <c r="P1141" s="20">
        <v>44438</v>
      </c>
      <c r="Q1141" s="26" t="str">
        <f>IFERROR(UPPER(TEXT(MONTH(Tabla1[[#This Row],[FECHA RADICADO SALIDA]]),"MMM")),"")</f>
        <v>ENE</v>
      </c>
      <c r="R1141" s="10">
        <f t="shared" si="82"/>
        <v>-6</v>
      </c>
      <c r="S1141" s="10" t="s">
        <v>2154</v>
      </c>
      <c r="U1141" s="10" t="s">
        <v>4141</v>
      </c>
      <c r="V1141" s="20">
        <v>43606</v>
      </c>
      <c r="W1141" s="10" t="s">
        <v>30</v>
      </c>
      <c r="X1141" s="10">
        <v>150</v>
      </c>
      <c r="Y1141" s="10">
        <f>IFERROR(INT(Tabla1[[#This Row],[CANTIDAD UND FARMACEUTICAS]]/(VLOOKUP(Tabla1[[#This Row],[MEDICAMENTO]],TAB_REF!$K$3:$L$27,2,0))),"")</f>
        <v>5</v>
      </c>
      <c r="Z1141" s="10" t="str">
        <f>IFERROR(VLOOKUP(Tabla1[[#This Row],[MEDICAMENTO]],TAB_REF!$B$3:$F$27,2,0), "")</f>
        <v xml:space="preserve">Fenobarbital </v>
      </c>
      <c r="AA1141" s="10" t="str">
        <f>IFERROR(VLOOKUP(Tabla1[[#This Row],[MEDICAMENTO]],TAB_REF!$B$3:$F$27,3,0), "")</f>
        <v xml:space="preserve">10 mg </v>
      </c>
      <c r="AB1141" s="10" t="str">
        <f>IFERROR(VLOOKUP(Tabla1[[#This Row],[MEDICAMENTO]],TAB_REF!$B$3:$F$27,4,0), "")</f>
        <v>Tabletas</v>
      </c>
      <c r="AC1141" s="10" t="str">
        <f>IFERROR(VLOOKUP(Tabla1[[#This Row],[MEDICAMENTO]],TAB_REF!$B$3:$F$27,5,0), "")</f>
        <v>Caja x 30 unidades</v>
      </c>
      <c r="AD1141" s="10" t="str">
        <f>IFERROR(VLOOKUP(Tabla1[[#This Row],[CANTIDAD UND COMERCIALES]],TAB_REF!$H$3:$I$1003,2,0)&amp;" ("&amp;Tabla1[[#This Row],[CANTIDAD UND COMERCIALES]]&amp;")"&amp;"_"&amp;Tabla1[[#This Row],[CANTIDAD]],"")</f>
        <v>Cinco (5)_Caja x 30 unidades</v>
      </c>
    </row>
    <row r="1142" spans="2:30" x14ac:dyDescent="0.25">
      <c r="B1142" s="10">
        <v>478</v>
      </c>
      <c r="C1142" s="10" t="s">
        <v>4181</v>
      </c>
      <c r="D1142" s="10" t="s">
        <v>2182</v>
      </c>
      <c r="E1142" s="10" t="s">
        <v>4182</v>
      </c>
      <c r="F1142" s="10" t="s">
        <v>4183</v>
      </c>
      <c r="G1142" s="10" t="s">
        <v>4184</v>
      </c>
      <c r="H1142" s="10" t="s">
        <v>4185</v>
      </c>
      <c r="I1142" s="10" t="s">
        <v>2129</v>
      </c>
      <c r="J1142" s="10" t="s">
        <v>2040</v>
      </c>
      <c r="K1142" s="10" t="s">
        <v>4186</v>
      </c>
      <c r="L1142" s="11">
        <v>202124101606582</v>
      </c>
      <c r="M1142" s="20">
        <v>44438</v>
      </c>
      <c r="N1142" s="11" t="str">
        <f>UPPER(TEXT(Tabla1[[#This Row],[FECHA RADICADO ENTRADA]],"MMM"))</f>
        <v>AGO</v>
      </c>
      <c r="O1142" s="11">
        <v>202124111374561</v>
      </c>
      <c r="P1142" s="20">
        <v>44440</v>
      </c>
      <c r="Q1142" s="26" t="str">
        <f>IFERROR(UPPER(TEXT(MONTH(Tabla1[[#This Row],[FECHA RADICADO SALIDA]]),"MMM")),"")</f>
        <v>ENE</v>
      </c>
      <c r="R1142" s="10">
        <f t="shared" si="82"/>
        <v>-2</v>
      </c>
      <c r="S1142" s="10" t="s">
        <v>2154</v>
      </c>
      <c r="U1142" s="10" t="s">
        <v>4187</v>
      </c>
      <c r="V1142" s="20">
        <v>43518</v>
      </c>
      <c r="W1142" s="10" t="s">
        <v>63</v>
      </c>
      <c r="X1142" s="10">
        <v>30</v>
      </c>
      <c r="Y1142" s="10">
        <f>IFERROR(INT(Tabla1[[#This Row],[CANTIDAD UND FARMACEUTICAS]]/(VLOOKUP(Tabla1[[#This Row],[MEDICAMENTO]],TAB_REF!$K$3:$L$27,2,0))),"")</f>
        <v>3</v>
      </c>
      <c r="Z1142" s="10" t="str">
        <f>IFERROR(VLOOKUP(Tabla1[[#This Row],[MEDICAMENTO]],TAB_REF!$B$3:$F$27,2,0), "")</f>
        <v xml:space="preserve">Morfina HCl </v>
      </c>
      <c r="AA1142" s="10" t="str">
        <f>IFERROR(VLOOKUP(Tabla1[[#This Row],[MEDICAMENTO]],TAB_REF!$B$3:$F$27,3,0), "")</f>
        <v xml:space="preserve">10 mg/mL </v>
      </c>
      <c r="AB1142" s="10" t="str">
        <f>IFERROR(VLOOKUP(Tabla1[[#This Row],[MEDICAMENTO]],TAB_REF!$B$3:$F$27,4,0), "")</f>
        <v>Solución Inyectable</v>
      </c>
      <c r="AC1142" s="10" t="str">
        <f>IFERROR(VLOOKUP(Tabla1[[#This Row],[MEDICAMENTO]],TAB_REF!$B$3:$F$27,5,0), "")</f>
        <v>Caja x 10 unidades</v>
      </c>
      <c r="AD1142" s="10" t="str">
        <f>IFERROR(VLOOKUP(Tabla1[[#This Row],[CANTIDAD UND COMERCIALES]],TAB_REF!$H$3:$I$1003,2,0)&amp;" ("&amp;Tabla1[[#This Row],[CANTIDAD UND COMERCIALES]]&amp;")"&amp;"_"&amp;Tabla1[[#This Row],[CANTIDAD]],"")</f>
        <v>Tres (3)_Caja x 10 unidades</v>
      </c>
    </row>
    <row r="1143" spans="2:30" x14ac:dyDescent="0.25">
      <c r="B1143" s="10">
        <v>479</v>
      </c>
      <c r="C1143" s="10" t="s">
        <v>4188</v>
      </c>
      <c r="D1143" s="10" t="s">
        <v>2175</v>
      </c>
      <c r="E1143" s="10" t="s">
        <v>3032</v>
      </c>
      <c r="F1143" s="10" t="s">
        <v>3910</v>
      </c>
      <c r="G1143" s="10" t="s">
        <v>3034</v>
      </c>
      <c r="H1143" s="10" t="s">
        <v>3035</v>
      </c>
      <c r="I1143" s="10" t="s">
        <v>2123</v>
      </c>
      <c r="J1143" s="10" t="s">
        <v>1132</v>
      </c>
      <c r="K1143" s="10" t="s">
        <v>3911</v>
      </c>
      <c r="L1143" s="11">
        <v>202124101613002</v>
      </c>
      <c r="M1143" s="20">
        <v>44439</v>
      </c>
      <c r="N1143" s="11" t="str">
        <f>UPPER(TEXT(Tabla1[[#This Row],[FECHA RADICADO ENTRADA]],"MMM"))</f>
        <v>AGO</v>
      </c>
      <c r="O1143" s="11">
        <v>202124111374721</v>
      </c>
      <c r="P1143" s="20">
        <v>44440</v>
      </c>
      <c r="Q1143" s="26" t="str">
        <f>IFERROR(UPPER(TEXT(MONTH(Tabla1[[#This Row],[FECHA RADICADO SALIDA]]),"MMM")),"")</f>
        <v>ENE</v>
      </c>
      <c r="R1143" s="10">
        <f t="shared" si="82"/>
        <v>-1</v>
      </c>
      <c r="S1143" s="10" t="s">
        <v>2145</v>
      </c>
      <c r="T1143" s="10" t="s">
        <v>4192</v>
      </c>
      <c r="U1143" s="10" t="s">
        <v>3912</v>
      </c>
      <c r="V1143" s="20">
        <v>42649</v>
      </c>
      <c r="W1143" s="10" t="s">
        <v>36</v>
      </c>
      <c r="X1143" s="10">
        <v>0</v>
      </c>
      <c r="Y1143" s="10">
        <f>IFERROR(INT(Tabla1[[#This Row],[CANTIDAD UND FARMACEUTICAS]]/(VLOOKUP(Tabla1[[#This Row],[MEDICAMENTO]],TAB_REF!$K$3:$L$27,2,0))),"")</f>
        <v>0</v>
      </c>
      <c r="Z1143" s="10" t="str">
        <f>IFERROR(VLOOKUP(Tabla1[[#This Row],[MEDICAMENTO]],TAB_REF!$B$3:$F$27,2,0), "")</f>
        <v xml:space="preserve">Fenobarbital Sódico </v>
      </c>
      <c r="AA1143" s="10" t="str">
        <f>IFERROR(VLOOKUP(Tabla1[[#This Row],[MEDICAMENTO]],TAB_REF!$B$3:$F$27,3,0), "")</f>
        <v xml:space="preserve">40 mg/mL </v>
      </c>
      <c r="AB1143" s="10" t="str">
        <f>IFERROR(VLOOKUP(Tabla1[[#This Row],[MEDICAMENTO]],TAB_REF!$B$3:$F$27,4,0), "")</f>
        <v>Solución Inyectable</v>
      </c>
      <c r="AC1143" s="10" t="str">
        <f>IFERROR(VLOOKUP(Tabla1[[#This Row],[MEDICAMENTO]],TAB_REF!$B$3:$F$27,5,0), "")</f>
        <v>Caja x 10 unidades</v>
      </c>
      <c r="AD1143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144" spans="2:30" x14ac:dyDescent="0.25">
      <c r="B1144" s="10">
        <v>480</v>
      </c>
      <c r="C1144" s="10" t="s">
        <v>3144</v>
      </c>
      <c r="D1144" s="10" t="s">
        <v>3076</v>
      </c>
      <c r="E1144" s="10" t="s">
        <v>4144</v>
      </c>
      <c r="F1144" s="10" t="s">
        <v>3962</v>
      </c>
      <c r="G1144" s="10" t="s">
        <v>3963</v>
      </c>
      <c r="H1144" t="s">
        <v>4143</v>
      </c>
      <c r="I1144" s="10" t="s">
        <v>2122</v>
      </c>
      <c r="J1144" s="10" t="s">
        <v>1742</v>
      </c>
      <c r="K1144" s="10" t="s">
        <v>2391</v>
      </c>
      <c r="L1144" s="11">
        <v>202124101618222</v>
      </c>
      <c r="M1144" s="20">
        <v>44439</v>
      </c>
      <c r="N1144" s="11" t="str">
        <f>UPPER(TEXT(Tabla1[[#This Row],[FECHA RADICADO ENTRADA]],"MMM"))</f>
        <v>AGO</v>
      </c>
      <c r="O1144" s="11">
        <v>202124111374731</v>
      </c>
      <c r="P1144" s="20">
        <v>44440</v>
      </c>
      <c r="Q1144" s="26" t="str">
        <f>IFERROR(UPPER(TEXT(MONTH(Tabla1[[#This Row],[FECHA RADICADO SALIDA]]),"MMM")),"")</f>
        <v>ENE</v>
      </c>
      <c r="R1144" s="10">
        <f t="shared" si="82"/>
        <v>-1</v>
      </c>
      <c r="S1144" s="10" t="s">
        <v>2154</v>
      </c>
      <c r="U1144" s="10" t="s">
        <v>3965</v>
      </c>
      <c r="V1144" s="20">
        <v>43776</v>
      </c>
      <c r="W1144" s="10" t="s">
        <v>41</v>
      </c>
      <c r="X1144" s="10">
        <v>30</v>
      </c>
      <c r="Y1144" s="10">
        <f>IFERROR(INT(Tabla1[[#This Row],[CANTIDAD UND FARMACEUTICAS]]/(VLOOKUP(Tabla1[[#This Row],[MEDICAMENTO]],TAB_REF!$K$3:$L$27,2,0))),"")</f>
        <v>3</v>
      </c>
      <c r="Z1144" s="10" t="str">
        <f>IFERROR(VLOOKUP(Tabla1[[#This Row],[MEDICAMENTO]],TAB_REF!$B$3:$F$27,2,0), "")</f>
        <v xml:space="preserve">Meperidina HCl </v>
      </c>
      <c r="AA1144" s="10" t="str">
        <f>IFERROR(VLOOKUP(Tabla1[[#This Row],[MEDICAMENTO]],TAB_REF!$B$3:$F$27,3,0), "")</f>
        <v xml:space="preserve">100 mg/2mL </v>
      </c>
      <c r="AB1144" s="10" t="str">
        <f>IFERROR(VLOOKUP(Tabla1[[#This Row],[MEDICAMENTO]],TAB_REF!$B$3:$F$27,4,0), "")</f>
        <v>Solución Inyectable</v>
      </c>
      <c r="AC1144" s="10" t="str">
        <f>IFERROR(VLOOKUP(Tabla1[[#This Row],[MEDICAMENTO]],TAB_REF!$B$3:$F$27,5,0), "")</f>
        <v>Caja 10 ampollas</v>
      </c>
      <c r="AD1144" s="10" t="str">
        <f>IFERROR(VLOOKUP(Tabla1[[#This Row],[CANTIDAD UND COMERCIALES]],TAB_REF!$H$3:$I$1003,2,0)&amp;" ("&amp;Tabla1[[#This Row],[CANTIDAD UND COMERCIALES]]&amp;")"&amp;"_"&amp;Tabla1[[#This Row],[CANTIDAD]],"")</f>
        <v>Tres (3)_Caja 10 ampollas</v>
      </c>
    </row>
    <row r="1145" spans="2:30" x14ac:dyDescent="0.25">
      <c r="B1145" s="10">
        <v>481</v>
      </c>
      <c r="C1145" s="10" t="s">
        <v>2347</v>
      </c>
      <c r="D1145" s="10" t="s">
        <v>4194</v>
      </c>
      <c r="E1145" s="10" t="s">
        <v>4195</v>
      </c>
      <c r="F1145" s="10" t="s">
        <v>4196</v>
      </c>
      <c r="G1145" s="10" t="s">
        <v>2351</v>
      </c>
      <c r="H1145" s="10" t="s">
        <v>4197</v>
      </c>
      <c r="I1145" s="10" t="s">
        <v>2122</v>
      </c>
      <c r="J1145" s="10" t="s">
        <v>1752</v>
      </c>
      <c r="K1145" s="10" t="s">
        <v>4198</v>
      </c>
      <c r="L1145" s="11">
        <v>202124101642672</v>
      </c>
      <c r="M1145" s="20">
        <v>44441</v>
      </c>
      <c r="N1145" s="11" t="str">
        <f>UPPER(TEXT(Tabla1[[#This Row],[FECHA RADICADO ENTRADA]],"MMM"))</f>
        <v>SEP</v>
      </c>
      <c r="O1145" s="11"/>
      <c r="Q1145" s="26" t="str">
        <f>IFERROR(UPPER(TEXT(MONTH(Tabla1[[#This Row],[FECHA RADICADO SALIDA]]),"MMM")),"")</f>
        <v>ENE</v>
      </c>
      <c r="R1145" s="10">
        <f t="shared" si="82"/>
        <v>44441</v>
      </c>
      <c r="S1145" s="10" t="s">
        <v>2154</v>
      </c>
      <c r="U1145" s="10" t="s">
        <v>2354</v>
      </c>
      <c r="V1145" s="20">
        <v>43441</v>
      </c>
      <c r="W1145" s="10" t="s">
        <v>63</v>
      </c>
      <c r="X1145" s="10">
        <v>20</v>
      </c>
      <c r="Y1145" s="10">
        <f>IFERROR(INT(Tabla1[[#This Row],[CANTIDAD UND FARMACEUTICAS]]/(VLOOKUP(Tabla1[[#This Row],[MEDICAMENTO]],TAB_REF!$K$3:$L$27,2,0))),"")</f>
        <v>2</v>
      </c>
      <c r="Z1145" s="10" t="str">
        <f>IFERROR(VLOOKUP(Tabla1[[#This Row],[MEDICAMENTO]],TAB_REF!$B$3:$F$27,2,0), "")</f>
        <v xml:space="preserve">Morfina HCl </v>
      </c>
      <c r="AA1145" s="10" t="str">
        <f>IFERROR(VLOOKUP(Tabla1[[#This Row],[MEDICAMENTO]],TAB_REF!$B$3:$F$27,3,0), "")</f>
        <v xml:space="preserve">10 mg/mL </v>
      </c>
      <c r="AB1145" s="10" t="str">
        <f>IFERROR(VLOOKUP(Tabla1[[#This Row],[MEDICAMENTO]],TAB_REF!$B$3:$F$27,4,0), "")</f>
        <v>Solución Inyectable</v>
      </c>
      <c r="AC1145" s="10" t="str">
        <f>IFERROR(VLOOKUP(Tabla1[[#This Row],[MEDICAMENTO]],TAB_REF!$B$3:$F$27,5,0), "")</f>
        <v>Caja x 10 unidades</v>
      </c>
      <c r="AD1145" s="10" t="str">
        <f>IFERROR(VLOOKUP(Tabla1[[#This Row],[CANTIDAD UND COMERCIALES]],TAB_REF!$H$3:$I$1003,2,0)&amp;" ("&amp;Tabla1[[#This Row],[CANTIDAD UND COMERCIALES]]&amp;")"&amp;"_"&amp;Tabla1[[#This Row],[CANTIDAD]],"")</f>
        <v>Dos (2)_Caja x 10 unidades</v>
      </c>
    </row>
    <row r="1146" spans="2:30" x14ac:dyDescent="0.25">
      <c r="B1146" s="10">
        <v>481</v>
      </c>
      <c r="C1146" s="10" t="s">
        <v>2347</v>
      </c>
      <c r="D1146" s="10" t="s">
        <v>4194</v>
      </c>
      <c r="E1146" s="10" t="s">
        <v>4195</v>
      </c>
      <c r="F1146" s="10" t="s">
        <v>4196</v>
      </c>
      <c r="G1146" s="10" t="s">
        <v>2351</v>
      </c>
      <c r="H1146" s="10" t="s">
        <v>4197</v>
      </c>
      <c r="I1146" s="10" t="s">
        <v>2122</v>
      </c>
      <c r="J1146" s="10" t="s">
        <v>1752</v>
      </c>
      <c r="K1146" s="10" t="s">
        <v>4198</v>
      </c>
      <c r="L1146" s="11">
        <v>202124101642672</v>
      </c>
      <c r="M1146" s="20">
        <v>44441</v>
      </c>
      <c r="N1146" s="11" t="str">
        <f>UPPER(TEXT(Tabla1[[#This Row],[FECHA RADICADO ENTRADA]],"MMM"))</f>
        <v>SEP</v>
      </c>
      <c r="O1146" s="11"/>
      <c r="Q1146" s="26" t="str">
        <f>IFERROR(UPPER(TEXT(MONTH(Tabla1[[#This Row],[FECHA RADICADO SALIDA]]),"MMM")),"")</f>
        <v>ENE</v>
      </c>
      <c r="R1146" s="10">
        <f t="shared" si="82"/>
        <v>44441</v>
      </c>
      <c r="S1146" s="10" t="s">
        <v>2154</v>
      </c>
      <c r="U1146" s="10" t="s">
        <v>2354</v>
      </c>
      <c r="V1146" s="20">
        <v>43441</v>
      </c>
      <c r="W1146" s="10" t="s">
        <v>41</v>
      </c>
      <c r="X1146" s="10">
        <v>20</v>
      </c>
      <c r="Y1146" s="10">
        <f>IFERROR(INT(Tabla1[[#This Row],[CANTIDAD UND FARMACEUTICAS]]/(VLOOKUP(Tabla1[[#This Row],[MEDICAMENTO]],TAB_REF!$K$3:$L$27,2,0))),"")</f>
        <v>2</v>
      </c>
      <c r="Z1146" s="10" t="str">
        <f>IFERROR(VLOOKUP(Tabla1[[#This Row],[MEDICAMENTO]],TAB_REF!$B$3:$F$27,2,0), "")</f>
        <v xml:space="preserve">Meperidina HCl </v>
      </c>
      <c r="AA1146" s="10" t="str">
        <f>IFERROR(VLOOKUP(Tabla1[[#This Row],[MEDICAMENTO]],TAB_REF!$B$3:$F$27,3,0), "")</f>
        <v xml:space="preserve">100 mg/2mL </v>
      </c>
      <c r="AB1146" s="10" t="str">
        <f>IFERROR(VLOOKUP(Tabla1[[#This Row],[MEDICAMENTO]],TAB_REF!$B$3:$F$27,4,0), "")</f>
        <v>Solución Inyectable</v>
      </c>
      <c r="AC1146" s="10" t="str">
        <f>IFERROR(VLOOKUP(Tabla1[[#This Row],[MEDICAMENTO]],TAB_REF!$B$3:$F$27,5,0), "")</f>
        <v>Caja 10 ampollas</v>
      </c>
      <c r="AD1146" s="10" t="str">
        <f>IFERROR(VLOOKUP(Tabla1[[#This Row],[CANTIDAD UND COMERCIALES]],TAB_REF!$H$3:$I$1003,2,0)&amp;" ("&amp;Tabla1[[#This Row],[CANTIDAD UND COMERCIALES]]&amp;")"&amp;"_"&amp;Tabla1[[#This Row],[CANTIDAD]],"")</f>
        <v>Dos (2)_Caja 10 ampollas</v>
      </c>
    </row>
    <row r="1147" spans="2:30" x14ac:dyDescent="0.25">
      <c r="B1147" s="10">
        <v>482</v>
      </c>
      <c r="C1147" s="10" t="s">
        <v>3706</v>
      </c>
      <c r="D1147" s="10" t="s">
        <v>2182</v>
      </c>
      <c r="E1147" s="10" t="s">
        <v>3707</v>
      </c>
      <c r="F1147" s="10" t="s">
        <v>3678</v>
      </c>
      <c r="G1147" s="10" t="s">
        <v>3708</v>
      </c>
      <c r="H1147" s="10" t="s">
        <v>4199</v>
      </c>
      <c r="I1147" s="10" t="s">
        <v>2123</v>
      </c>
      <c r="J1147" s="10" t="s">
        <v>1770</v>
      </c>
      <c r="K1147" s="10" t="s">
        <v>4200</v>
      </c>
      <c r="L1147" s="11">
        <v>202124101643272</v>
      </c>
      <c r="M1147" s="20">
        <v>44441</v>
      </c>
      <c r="N1147" s="11" t="str">
        <f>UPPER(TEXT(Tabla1[[#This Row],[FECHA RADICADO ENTRADA]],"MMM"))</f>
        <v>SEP</v>
      </c>
      <c r="O1147" s="11"/>
      <c r="Q1147" s="26" t="str">
        <f>IFERROR(UPPER(TEXT(MONTH(Tabla1[[#This Row],[FECHA RADICADO SALIDA]]),"MMM")),"")</f>
        <v>ENE</v>
      </c>
      <c r="R1147" s="10">
        <f t="shared" si="82"/>
        <v>44441</v>
      </c>
      <c r="S1147" s="10" t="s">
        <v>2154</v>
      </c>
      <c r="U1147" s="10" t="s">
        <v>3121</v>
      </c>
      <c r="V1147" s="20">
        <v>44281</v>
      </c>
      <c r="W1147" s="10" t="s">
        <v>32</v>
      </c>
      <c r="X1147" s="10">
        <v>300</v>
      </c>
      <c r="Y1147" s="10">
        <f>IFERROR(INT(Tabla1[[#This Row],[CANTIDAD UND FARMACEUTICAS]]/(VLOOKUP(Tabla1[[#This Row],[MEDICAMENTO]],TAB_REF!$K$3:$L$27,2,0))),"")</f>
        <v>10</v>
      </c>
      <c r="Z1147" s="10" t="str">
        <f>IFERROR(VLOOKUP(Tabla1[[#This Row],[MEDICAMENTO]],TAB_REF!$B$3:$F$27,2,0), "")</f>
        <v xml:space="preserve">Fenobarbital </v>
      </c>
      <c r="AA1147" s="10" t="str">
        <f>IFERROR(VLOOKUP(Tabla1[[#This Row],[MEDICAMENTO]],TAB_REF!$B$3:$F$27,3,0), "")</f>
        <v xml:space="preserve">100 mg </v>
      </c>
      <c r="AB1147" s="10" t="str">
        <f>IFERROR(VLOOKUP(Tabla1[[#This Row],[MEDICAMENTO]],TAB_REF!$B$3:$F$27,4,0), "")</f>
        <v>Tabletas</v>
      </c>
      <c r="AC1147" s="10" t="str">
        <f>IFERROR(VLOOKUP(Tabla1[[#This Row],[MEDICAMENTO]],TAB_REF!$B$3:$F$27,5,0), "")</f>
        <v>Caja x 30 unidades</v>
      </c>
      <c r="AD1147" s="10" t="str">
        <f>IFERROR(VLOOKUP(Tabla1[[#This Row],[CANTIDAD UND COMERCIALES]],TAB_REF!$H$3:$I$1003,2,0)&amp;" ("&amp;Tabla1[[#This Row],[CANTIDAD UND COMERCIALES]]&amp;")"&amp;"_"&amp;Tabla1[[#This Row],[CANTIDAD]],"")</f>
        <v>Diez (10)_Caja x 30 unidades</v>
      </c>
    </row>
    <row r="1148" spans="2:30" x14ac:dyDescent="0.25">
      <c r="B1148" s="10">
        <v>483</v>
      </c>
      <c r="C1148" s="10" t="s">
        <v>3151</v>
      </c>
      <c r="D1148" s="10" t="s">
        <v>3807</v>
      </c>
      <c r="E1148" s="10" t="s">
        <v>3294</v>
      </c>
      <c r="F1148" s="10" t="s">
        <v>3808</v>
      </c>
      <c r="G1148" s="10" t="s">
        <v>3153</v>
      </c>
      <c r="H1148" s="10" t="s">
        <v>4203</v>
      </c>
      <c r="I1148" s="10" t="s">
        <v>2116</v>
      </c>
      <c r="J1148" s="10" t="s">
        <v>1550</v>
      </c>
      <c r="K1148" s="10" t="s">
        <v>4201</v>
      </c>
      <c r="L1148" s="11">
        <v>202124101643972</v>
      </c>
      <c r="M1148" s="20">
        <v>44441</v>
      </c>
      <c r="N1148" s="11" t="str">
        <f>UPPER(TEXT(Tabla1[[#This Row],[FECHA RADICADO ENTRADA]],"MMM"))</f>
        <v>SEP</v>
      </c>
      <c r="O1148" s="11"/>
      <c r="Q1148" s="26" t="str">
        <f>IFERROR(UPPER(TEXT(MONTH(Tabla1[[#This Row],[FECHA RADICADO SALIDA]]),"MMM")),"")</f>
        <v>ENE</v>
      </c>
      <c r="R1148" s="10">
        <f t="shared" si="82"/>
        <v>44441</v>
      </c>
      <c r="S1148" s="10" t="s">
        <v>2154</v>
      </c>
      <c r="U1148" s="10" t="s">
        <v>4206</v>
      </c>
      <c r="V1148" s="20">
        <v>42854</v>
      </c>
      <c r="W1148" s="10" t="s">
        <v>41</v>
      </c>
      <c r="X1148" s="10">
        <v>20</v>
      </c>
      <c r="Y1148" s="10">
        <f>IFERROR(INT(Tabla1[[#This Row],[CANTIDAD UND FARMACEUTICAS]]/(VLOOKUP(Tabla1[[#This Row],[MEDICAMENTO]],TAB_REF!$K$3:$L$27,2,0))),"")</f>
        <v>2</v>
      </c>
      <c r="Z1148" s="10" t="str">
        <f>IFERROR(VLOOKUP(Tabla1[[#This Row],[MEDICAMENTO]],TAB_REF!$B$3:$F$27,2,0), "")</f>
        <v xml:space="preserve">Meperidina HCl </v>
      </c>
      <c r="AA1148" s="10" t="str">
        <f>IFERROR(VLOOKUP(Tabla1[[#This Row],[MEDICAMENTO]],TAB_REF!$B$3:$F$27,3,0), "")</f>
        <v xml:space="preserve">100 mg/2mL </v>
      </c>
      <c r="AB1148" s="10" t="str">
        <f>IFERROR(VLOOKUP(Tabla1[[#This Row],[MEDICAMENTO]],TAB_REF!$B$3:$F$27,4,0), "")</f>
        <v>Solución Inyectable</v>
      </c>
      <c r="AC1148" s="10" t="str">
        <f>IFERROR(VLOOKUP(Tabla1[[#This Row],[MEDICAMENTO]],TAB_REF!$B$3:$F$27,5,0), "")</f>
        <v>Caja 10 ampollas</v>
      </c>
      <c r="AD1148" s="10" t="str">
        <f>IFERROR(VLOOKUP(Tabla1[[#This Row],[CANTIDAD UND COMERCIALES]],TAB_REF!$H$3:$I$1003,2,0)&amp;" ("&amp;Tabla1[[#This Row],[CANTIDAD UND COMERCIALES]]&amp;")"&amp;"_"&amp;Tabla1[[#This Row],[CANTIDAD]],"")</f>
        <v>Dos (2)_Caja 10 ampollas</v>
      </c>
    </row>
    <row r="1149" spans="2:30" x14ac:dyDescent="0.25">
      <c r="B1149" s="10">
        <v>483</v>
      </c>
      <c r="C1149" s="10" t="s">
        <v>3151</v>
      </c>
      <c r="D1149" s="10" t="s">
        <v>3807</v>
      </c>
      <c r="E1149" s="10" t="s">
        <v>3294</v>
      </c>
      <c r="F1149" s="10" t="s">
        <v>3808</v>
      </c>
      <c r="G1149" s="10" t="s">
        <v>3153</v>
      </c>
      <c r="H1149" s="10" t="s">
        <v>4207</v>
      </c>
      <c r="I1149" s="10" t="s">
        <v>2116</v>
      </c>
      <c r="J1149" s="10" t="s">
        <v>1550</v>
      </c>
      <c r="K1149" s="10" t="s">
        <v>4201</v>
      </c>
      <c r="L1149" s="11">
        <v>202124101643972</v>
      </c>
      <c r="M1149" s="20">
        <v>44441</v>
      </c>
      <c r="N1149" s="11" t="str">
        <f>UPPER(TEXT(Tabla1[[#This Row],[FECHA RADICADO ENTRADA]],"MMM"))</f>
        <v>SEP</v>
      </c>
      <c r="O1149" s="11"/>
      <c r="Q1149" s="26" t="str">
        <f>IFERROR(UPPER(TEXT(MONTH(Tabla1[[#This Row],[FECHA RADICADO SALIDA]]),"MMM")),"")</f>
        <v>ENE</v>
      </c>
      <c r="R1149" s="10">
        <f>_xlfn.DAYS(M1149,P1149)</f>
        <v>44441</v>
      </c>
      <c r="S1149" s="10" t="s">
        <v>2154</v>
      </c>
      <c r="U1149" s="10" t="s">
        <v>3811</v>
      </c>
      <c r="V1149" s="20">
        <v>42900</v>
      </c>
      <c r="W1149" s="10" t="s">
        <v>41</v>
      </c>
      <c r="X1149" s="10">
        <v>20</v>
      </c>
      <c r="Y1149" s="10">
        <f>IFERROR(INT(Tabla1[[#This Row],[CANTIDAD UND FARMACEUTICAS]]/(VLOOKUP(Tabla1[[#This Row],[MEDICAMENTO]],TAB_REF!$K$3:$L$27,2,0))),"")</f>
        <v>2</v>
      </c>
      <c r="Z1149" s="10" t="str">
        <f>IFERROR(VLOOKUP(Tabla1[[#This Row],[MEDICAMENTO]],TAB_REF!$B$3:$F$27,2,0), "")</f>
        <v xml:space="preserve">Meperidina HCl </v>
      </c>
      <c r="AA1149" s="10" t="str">
        <f>IFERROR(VLOOKUP(Tabla1[[#This Row],[MEDICAMENTO]],TAB_REF!$B$3:$F$27,3,0), "")</f>
        <v xml:space="preserve">100 mg/2mL </v>
      </c>
      <c r="AB1149" s="10" t="str">
        <f>IFERROR(VLOOKUP(Tabla1[[#This Row],[MEDICAMENTO]],TAB_REF!$B$3:$F$27,4,0), "")</f>
        <v>Solución Inyectable</v>
      </c>
      <c r="AC1149" s="10" t="str">
        <f>IFERROR(VLOOKUP(Tabla1[[#This Row],[MEDICAMENTO]],TAB_REF!$B$3:$F$27,5,0), "")</f>
        <v>Caja 10 ampollas</v>
      </c>
      <c r="AD1149" s="10" t="str">
        <f>IFERROR(VLOOKUP(Tabla1[[#This Row],[CANTIDAD UND COMERCIALES]],TAB_REF!$H$3:$I$1003,2,0)&amp;" ("&amp;Tabla1[[#This Row],[CANTIDAD UND COMERCIALES]]&amp;")"&amp;"_"&amp;Tabla1[[#This Row],[CANTIDAD]],"")</f>
        <v>Dos (2)_Caja 10 ampollas</v>
      </c>
    </row>
    <row r="1150" spans="2:30" x14ac:dyDescent="0.25">
      <c r="B1150" s="10">
        <v>484</v>
      </c>
      <c r="C1150" s="10" t="s">
        <v>3457</v>
      </c>
      <c r="D1150" s="10" t="s">
        <v>2182</v>
      </c>
      <c r="E1150" s="10" t="s">
        <v>3458</v>
      </c>
      <c r="F1150" s="10" t="s">
        <v>4202</v>
      </c>
      <c r="G1150" s="10" t="s">
        <v>3460</v>
      </c>
      <c r="H1150" s="10" t="s">
        <v>3986</v>
      </c>
      <c r="I1150" s="10" t="s">
        <v>2128</v>
      </c>
      <c r="J1150" s="10" t="s">
        <v>1918</v>
      </c>
      <c r="K1150" s="10" t="s">
        <v>3462</v>
      </c>
      <c r="L1150" s="11">
        <v>202124101644862</v>
      </c>
      <c r="M1150" s="20">
        <v>44441</v>
      </c>
      <c r="N1150" s="11" t="str">
        <f>UPPER(TEXT(Tabla1[[#This Row],[FECHA RADICADO ENTRADA]],"MMM"))</f>
        <v>SEP</v>
      </c>
      <c r="O1150" s="11"/>
      <c r="Q1150" s="26" t="str">
        <f>IFERROR(UPPER(TEXT(MONTH(Tabla1[[#This Row],[FECHA RADICADO SALIDA]]),"MMM")),"")</f>
        <v>ENE</v>
      </c>
      <c r="R1150" s="10">
        <f t="shared" si="82"/>
        <v>44441</v>
      </c>
      <c r="S1150" s="10" t="s">
        <v>2154</v>
      </c>
      <c r="U1150" s="10" t="s">
        <v>3463</v>
      </c>
      <c r="V1150" s="20">
        <v>43394</v>
      </c>
      <c r="W1150" s="10" t="s">
        <v>45</v>
      </c>
      <c r="X1150" s="10">
        <v>600</v>
      </c>
      <c r="Y1150" s="10">
        <f>IFERROR(INT(Tabla1[[#This Row],[CANTIDAD UND FARMACEUTICAS]]/(VLOOKUP(Tabla1[[#This Row],[MEDICAMENTO]],TAB_REF!$K$3:$L$27,2,0))),"")</f>
        <v>20</v>
      </c>
      <c r="Z1150" s="10" t="str">
        <f>IFERROR(VLOOKUP(Tabla1[[#This Row],[MEDICAMENTO]],TAB_REF!$B$3:$F$27,2,0), "")</f>
        <v xml:space="preserve">Metadona HCl </v>
      </c>
      <c r="AA1150" s="10" t="str">
        <f>IFERROR(VLOOKUP(Tabla1[[#This Row],[MEDICAMENTO]],TAB_REF!$B$3:$F$27,3,0), "")</f>
        <v xml:space="preserve">10 mg </v>
      </c>
      <c r="AB1150" s="10" t="str">
        <f>IFERROR(VLOOKUP(Tabla1[[#This Row],[MEDICAMENTO]],TAB_REF!$B$3:$F$27,4,0), "")</f>
        <v>Tabletas NACIONAL</v>
      </c>
      <c r="AC1150" s="10" t="str">
        <f>IFERROR(VLOOKUP(Tabla1[[#This Row],[MEDICAMENTO]],TAB_REF!$B$3:$F$27,5,0), "")</f>
        <v>Caja x 30 unidades</v>
      </c>
      <c r="AD1150" s="10" t="str">
        <f>IFERROR(VLOOKUP(Tabla1[[#This Row],[CANTIDAD UND COMERCIALES]],TAB_REF!$H$3:$I$1003,2,0)&amp;" ("&amp;Tabla1[[#This Row],[CANTIDAD UND COMERCIALES]]&amp;")"&amp;"_"&amp;Tabla1[[#This Row],[CANTIDAD]],"")</f>
        <v>Veinte (20)_Caja x 30 unidades</v>
      </c>
    </row>
    <row r="1151" spans="2:30" x14ac:dyDescent="0.25">
      <c r="B1151" s="10">
        <v>485</v>
      </c>
      <c r="C1151" s="10" t="s">
        <v>4081</v>
      </c>
      <c r="D1151" s="10" t="s">
        <v>4082</v>
      </c>
      <c r="E1151" s="10" t="s">
        <v>4083</v>
      </c>
      <c r="F1151" s="10" t="s">
        <v>4084</v>
      </c>
      <c r="G1151" s="10" t="s">
        <v>4086</v>
      </c>
      <c r="H1151" s="10" t="s">
        <v>4204</v>
      </c>
      <c r="I1151" s="10" t="s">
        <v>2107</v>
      </c>
      <c r="J1151" s="10" t="s">
        <v>1212</v>
      </c>
      <c r="K1151" s="10" t="s">
        <v>4205</v>
      </c>
      <c r="L1151" s="11">
        <v>202124101651942</v>
      </c>
      <c r="M1151" s="20">
        <v>44442</v>
      </c>
      <c r="N1151" s="11" t="str">
        <f>UPPER(TEXT(Tabla1[[#This Row],[FECHA RADICADO ENTRADA]],"MMM"))</f>
        <v>SEP</v>
      </c>
      <c r="O1151" s="11"/>
      <c r="P1151" s="20"/>
      <c r="Q1151" s="26" t="str">
        <f>IFERROR(UPPER(TEXT(MONTH(Tabla1[[#This Row],[FECHA RADICADO SALIDA]]),"MMM")),"")</f>
        <v>ENE</v>
      </c>
      <c r="R1151" s="10">
        <f>_xlfn.DAYS(M1151,P1151)</f>
        <v>44442</v>
      </c>
      <c r="S1151" s="10" t="s">
        <v>2154</v>
      </c>
      <c r="U1151" s="10" t="s">
        <v>4088</v>
      </c>
      <c r="V1151" s="20">
        <v>44419</v>
      </c>
      <c r="W1151" s="10" t="s">
        <v>63</v>
      </c>
      <c r="X1151" s="10">
        <v>450</v>
      </c>
      <c r="Y1151" s="10">
        <f>IFERROR(INT(Tabla1[[#This Row],[CANTIDAD UND FARMACEUTICAS]]/(VLOOKUP(Tabla1[[#This Row],[MEDICAMENTO]],TAB_REF!$K$3:$L$27,2,0))),"")</f>
        <v>45</v>
      </c>
      <c r="Z1151" s="10" t="str">
        <f>IFERROR(VLOOKUP(Tabla1[[#This Row],[MEDICAMENTO]],TAB_REF!$B$3:$F$27,2,0), "")</f>
        <v xml:space="preserve">Morfina HCl </v>
      </c>
      <c r="AA1151" s="10" t="str">
        <f>IFERROR(VLOOKUP(Tabla1[[#This Row],[MEDICAMENTO]],TAB_REF!$B$3:$F$27,3,0), "")</f>
        <v xml:space="preserve">10 mg/mL </v>
      </c>
      <c r="AB1151" s="10" t="str">
        <f>IFERROR(VLOOKUP(Tabla1[[#This Row],[MEDICAMENTO]],TAB_REF!$B$3:$F$27,4,0), "")</f>
        <v>Solución Inyectable</v>
      </c>
      <c r="AC1151" s="10" t="str">
        <f>IFERROR(VLOOKUP(Tabla1[[#This Row],[MEDICAMENTO]],TAB_REF!$B$3:$F$27,5,0), "")</f>
        <v>Caja x 10 unidades</v>
      </c>
      <c r="AD1151" s="10" t="str">
        <f>IFERROR(VLOOKUP(Tabla1[[#This Row],[CANTIDAD UND COMERCIALES]],TAB_REF!$H$3:$I$1003,2,0)&amp;" ("&amp;Tabla1[[#This Row],[CANTIDAD UND COMERCIALES]]&amp;")"&amp;"_"&amp;Tabla1[[#This Row],[CANTIDAD]],"")</f>
        <v>Cuarenta Y Cinco (45)_Caja x 10 unidades</v>
      </c>
    </row>
    <row r="1152" spans="2:30" x14ac:dyDescent="0.25">
      <c r="B1152" s="10">
        <v>486</v>
      </c>
      <c r="C1152" s="10" t="s">
        <v>4172</v>
      </c>
      <c r="D1152" s="10" t="s">
        <v>4173</v>
      </c>
      <c r="E1152" s="10" t="s">
        <v>4174</v>
      </c>
      <c r="F1152" s="10" t="s">
        <v>2582</v>
      </c>
      <c r="G1152" s="10" t="s">
        <v>4113</v>
      </c>
      <c r="H1152" s="10" t="s">
        <v>4208</v>
      </c>
      <c r="I1152" s="10" t="s">
        <v>2107</v>
      </c>
      <c r="J1152" s="10" t="s">
        <v>1212</v>
      </c>
      <c r="K1152" s="10" t="s">
        <v>2947</v>
      </c>
      <c r="L1152" s="11">
        <v>202124101672492</v>
      </c>
      <c r="M1152" s="20">
        <v>44446</v>
      </c>
      <c r="N1152" s="11" t="str">
        <f>UPPER(TEXT(Tabla1[[#This Row],[FECHA RADICADO ENTRADA]],"MMM"))</f>
        <v>SEP</v>
      </c>
      <c r="O1152" s="11"/>
      <c r="P1152" s="20"/>
      <c r="Q1152" s="26" t="str">
        <f>IFERROR(UPPER(TEXT(MONTH(Tabla1[[#This Row],[FECHA RADICADO SALIDA]]),"MMM")),"")</f>
        <v>ENE</v>
      </c>
      <c r="R1152" s="10">
        <f>_xlfn.DAYS(M1152,P1152)</f>
        <v>44446</v>
      </c>
      <c r="S1152" s="10" t="s">
        <v>2154</v>
      </c>
      <c r="U1152" s="10" t="s">
        <v>4209</v>
      </c>
      <c r="V1152" s="20">
        <v>44335</v>
      </c>
      <c r="W1152" s="10" t="s">
        <v>60</v>
      </c>
      <c r="X1152" s="10">
        <v>50</v>
      </c>
      <c r="Y1152" s="10">
        <f>IFERROR(INT(Tabla1[[#This Row],[CANTIDAD UND FARMACEUTICAS]]/(VLOOKUP(Tabla1[[#This Row],[MEDICAMENTO]],TAB_REF!$K$3:$L$27,2,0))),"")</f>
        <v>50</v>
      </c>
      <c r="Z1152" s="10" t="str">
        <f>IFERROR(VLOOKUP(Tabla1[[#This Row],[MEDICAMENTO]],TAB_REF!$B$3:$F$27,2,0), "")</f>
        <v xml:space="preserve">Morfina HCl </v>
      </c>
      <c r="AA1152" s="10" t="str">
        <f>IFERROR(VLOOKUP(Tabla1[[#This Row],[MEDICAMENTO]],TAB_REF!$B$3:$F$27,3,0), "")</f>
        <v xml:space="preserve">3%. </v>
      </c>
      <c r="AB1152" s="10" t="str">
        <f>IFERROR(VLOOKUP(Tabla1[[#This Row],[MEDICAMENTO]],TAB_REF!$B$3:$F$27,4,0), "")</f>
        <v>Solución Oral</v>
      </c>
      <c r="AC1152" s="10" t="str">
        <f>IFERROR(VLOOKUP(Tabla1[[#This Row],[MEDICAMENTO]],TAB_REF!$B$3:$F$27,5,0), "")</f>
        <v>Frasco x 30 mL</v>
      </c>
      <c r="AD1152" s="10" t="str">
        <f>IFERROR(VLOOKUP(Tabla1[[#This Row],[CANTIDAD UND COMERCIALES]],TAB_REF!$H$3:$I$1003,2,0)&amp;" ("&amp;Tabla1[[#This Row],[CANTIDAD UND COMERCIALES]]&amp;")"&amp;"_"&amp;Tabla1[[#This Row],[CANTIDAD]],"")</f>
        <v>Cincuenta (50)_Frasco x 30 mL</v>
      </c>
    </row>
    <row r="1153" spans="2:30" x14ac:dyDescent="0.25">
      <c r="B1153" s="10">
        <v>487</v>
      </c>
      <c r="C1153" s="10" t="s">
        <v>3412</v>
      </c>
      <c r="D1153" s="10" t="s">
        <v>2507</v>
      </c>
      <c r="E1153" s="10" t="s">
        <v>3413</v>
      </c>
      <c r="F1153" s="10" t="s">
        <v>3414</v>
      </c>
      <c r="G1153" s="10" t="s">
        <v>3415</v>
      </c>
      <c r="H1153" s="10" t="s">
        <v>4210</v>
      </c>
      <c r="I1153" s="10" t="s">
        <v>2128</v>
      </c>
      <c r="J1153" s="10" t="s">
        <v>1918</v>
      </c>
      <c r="K1153" s="10" t="s">
        <v>4211</v>
      </c>
      <c r="L1153" s="11">
        <v>202124101674042</v>
      </c>
      <c r="M1153" s="20">
        <v>44446</v>
      </c>
      <c r="N1153" s="11" t="str">
        <f>UPPER(TEXT(Tabla1[[#This Row],[FECHA RADICADO ENTRADA]],"MMM"))</f>
        <v>SEP</v>
      </c>
      <c r="O1153" s="11"/>
      <c r="P1153" s="20"/>
      <c r="Q1153" s="26" t="str">
        <f>IFERROR(UPPER(TEXT(MONTH(Tabla1[[#This Row],[FECHA RADICADO SALIDA]]),"MMM")),"")</f>
        <v>ENE</v>
      </c>
      <c r="R1153" s="10">
        <f t="shared" ref="R1153:R1158" si="83">_xlfn.DAYS(M1153,P1153)</f>
        <v>44446</v>
      </c>
      <c r="S1153" s="10" t="s">
        <v>2154</v>
      </c>
      <c r="U1153" s="10" t="s">
        <v>3535</v>
      </c>
      <c r="V1153" s="20">
        <v>43564</v>
      </c>
      <c r="W1153" s="10" t="s">
        <v>45</v>
      </c>
      <c r="X1153" s="10">
        <v>900</v>
      </c>
      <c r="Y1153" s="10">
        <f>IFERROR(INT(Tabla1[[#This Row],[CANTIDAD UND FARMACEUTICAS]]/(VLOOKUP(Tabla1[[#This Row],[MEDICAMENTO]],TAB_REF!$K$3:$L$27,2,0))),"")</f>
        <v>30</v>
      </c>
      <c r="Z1153" s="10" t="str">
        <f>IFERROR(VLOOKUP(Tabla1[[#This Row],[MEDICAMENTO]],TAB_REF!$B$3:$F$27,2,0), "")</f>
        <v xml:space="preserve">Metadona HCl </v>
      </c>
      <c r="AA1153" s="10" t="str">
        <f>IFERROR(VLOOKUP(Tabla1[[#This Row],[MEDICAMENTO]],TAB_REF!$B$3:$F$27,3,0), "")</f>
        <v xml:space="preserve">10 mg </v>
      </c>
      <c r="AB1153" s="10" t="str">
        <f>IFERROR(VLOOKUP(Tabla1[[#This Row],[MEDICAMENTO]],TAB_REF!$B$3:$F$27,4,0), "")</f>
        <v>Tabletas NACIONAL</v>
      </c>
      <c r="AC1153" s="10" t="str">
        <f>IFERROR(VLOOKUP(Tabla1[[#This Row],[MEDICAMENTO]],TAB_REF!$B$3:$F$27,5,0), "")</f>
        <v>Caja x 30 unidades</v>
      </c>
      <c r="AD1153" s="10" t="str">
        <f>IFERROR(VLOOKUP(Tabla1[[#This Row],[CANTIDAD UND COMERCIALES]],TAB_REF!$H$3:$I$1003,2,0)&amp;" ("&amp;Tabla1[[#This Row],[CANTIDAD UND COMERCIALES]]&amp;")"&amp;"_"&amp;Tabla1[[#This Row],[CANTIDAD]],"")</f>
        <v>Treinta (30)_Caja x 30 unidades</v>
      </c>
    </row>
    <row r="1154" spans="2:30" x14ac:dyDescent="0.25">
      <c r="B1154" s="10">
        <v>488</v>
      </c>
      <c r="C1154" s="10" t="s">
        <v>2340</v>
      </c>
      <c r="D1154" s="10" t="s">
        <v>4212</v>
      </c>
      <c r="E1154" s="10" t="s">
        <v>2341</v>
      </c>
      <c r="F1154" s="10" t="s">
        <v>2342</v>
      </c>
      <c r="G1154" s="10" t="s">
        <v>2343</v>
      </c>
      <c r="H1154" s="10" t="s">
        <v>4213</v>
      </c>
      <c r="I1154" s="10" t="s">
        <v>2114</v>
      </c>
      <c r="J1154" s="10" t="s">
        <v>1459</v>
      </c>
      <c r="K1154" s="10" t="s">
        <v>4214</v>
      </c>
      <c r="L1154" s="11">
        <v>202124101675592</v>
      </c>
      <c r="M1154" s="20">
        <v>44446</v>
      </c>
      <c r="N1154" s="11" t="str">
        <f>UPPER(TEXT(Tabla1[[#This Row],[FECHA RADICADO ENTRADA]],"MMM"))</f>
        <v>SEP</v>
      </c>
      <c r="O1154" s="11"/>
      <c r="P1154" s="20"/>
      <c r="Q1154" s="26" t="str">
        <f>IFERROR(UPPER(TEXT(MONTH(Tabla1[[#This Row],[FECHA RADICADO SALIDA]]),"MMM")),"")</f>
        <v>ENE</v>
      </c>
      <c r="R1154" s="10">
        <f t="shared" si="83"/>
        <v>44446</v>
      </c>
      <c r="S1154" s="10" t="s">
        <v>2154</v>
      </c>
      <c r="U1154" s="10" t="s">
        <v>3483</v>
      </c>
      <c r="V1154" s="20">
        <v>43784</v>
      </c>
      <c r="W1154" s="10" t="s">
        <v>28</v>
      </c>
      <c r="X1154" s="10">
        <v>80</v>
      </c>
      <c r="Y1154" s="10">
        <f>IFERROR(INT(Tabla1[[#This Row],[CANTIDAD UND FARMACEUTICAS]]/(VLOOKUP(Tabla1[[#This Row],[MEDICAMENTO]],TAB_REF!$K$3:$L$27,2,0))),"")</f>
        <v>80</v>
      </c>
      <c r="Z1154" s="10" t="str">
        <f>IFERROR(VLOOKUP(Tabla1[[#This Row],[MEDICAMENTO]],TAB_REF!$B$3:$F$27,2,0), "")</f>
        <v xml:space="preserve">Fenobarbital </v>
      </c>
      <c r="AA1154" s="10" t="str">
        <f>IFERROR(VLOOKUP(Tabla1[[#This Row],[MEDICAMENTO]],TAB_REF!$B$3:$F$27,3,0), "")</f>
        <v xml:space="preserve">0,4%. </v>
      </c>
      <c r="AB1154" s="10" t="str">
        <f>IFERROR(VLOOKUP(Tabla1[[#This Row],[MEDICAMENTO]],TAB_REF!$B$3:$F$27,4,0), "")</f>
        <v>Solución Oral</v>
      </c>
      <c r="AC1154" s="10" t="str">
        <f>IFERROR(VLOOKUP(Tabla1[[#This Row],[MEDICAMENTO]],TAB_REF!$B$3:$F$27,5,0), "")</f>
        <v>Frasco x 120 mL</v>
      </c>
      <c r="AD1154" s="10" t="str">
        <f>IFERROR(VLOOKUP(Tabla1[[#This Row],[CANTIDAD UND COMERCIALES]],TAB_REF!$H$3:$I$1003,2,0)&amp;" ("&amp;Tabla1[[#This Row],[CANTIDAD UND COMERCIALES]]&amp;")"&amp;"_"&amp;Tabla1[[#This Row],[CANTIDAD]],"")</f>
        <v>Ochenta (80)_Frasco x 120 mL</v>
      </c>
    </row>
    <row r="1155" spans="2:30" x14ac:dyDescent="0.25">
      <c r="B1155" s="10">
        <v>488</v>
      </c>
      <c r="C1155" s="10" t="s">
        <v>2340</v>
      </c>
      <c r="D1155" s="10" t="s">
        <v>4212</v>
      </c>
      <c r="E1155" s="10" t="s">
        <v>2341</v>
      </c>
      <c r="F1155" s="10" t="s">
        <v>2342</v>
      </c>
      <c r="G1155" s="10" t="s">
        <v>2343</v>
      </c>
      <c r="H1155" s="10" t="s">
        <v>4213</v>
      </c>
      <c r="I1155" s="10" t="s">
        <v>2114</v>
      </c>
      <c r="J1155" s="10" t="s">
        <v>1459</v>
      </c>
      <c r="K1155" s="10" t="s">
        <v>4214</v>
      </c>
      <c r="L1155" s="11">
        <v>202124101675592</v>
      </c>
      <c r="M1155" s="20">
        <v>44446</v>
      </c>
      <c r="N1155" s="11" t="str">
        <f>UPPER(TEXT(Tabla1[[#This Row],[FECHA RADICADO ENTRADA]],"MMM"))</f>
        <v>SEP</v>
      </c>
      <c r="O1155" s="11"/>
      <c r="P1155" s="20"/>
      <c r="Q1155" s="26" t="str">
        <f>IFERROR(UPPER(TEXT(MONTH(Tabla1[[#This Row],[FECHA RADICADO SALIDA]]),"MMM")),"")</f>
        <v>ENE</v>
      </c>
      <c r="R1155" s="10">
        <f t="shared" ref="R1155:R1156" si="84">_xlfn.DAYS(M1155,P1155)</f>
        <v>44446</v>
      </c>
      <c r="S1155" s="10" t="s">
        <v>2154</v>
      </c>
      <c r="U1155" s="10" t="s">
        <v>3483</v>
      </c>
      <c r="V1155" s="20">
        <v>43784</v>
      </c>
      <c r="W1155" s="10" t="s">
        <v>60</v>
      </c>
      <c r="X1155" s="10">
        <v>80</v>
      </c>
      <c r="Y1155" s="10">
        <f>IFERROR(INT(Tabla1[[#This Row],[CANTIDAD UND FARMACEUTICAS]]/(VLOOKUP(Tabla1[[#This Row],[MEDICAMENTO]],TAB_REF!$K$3:$L$27,2,0))),"")</f>
        <v>80</v>
      </c>
      <c r="Z1155" s="10" t="str">
        <f>IFERROR(VLOOKUP(Tabla1[[#This Row],[MEDICAMENTO]],TAB_REF!$B$3:$F$27,2,0), "")</f>
        <v xml:space="preserve">Morfina HCl </v>
      </c>
      <c r="AA1155" s="10" t="str">
        <f>IFERROR(VLOOKUP(Tabla1[[#This Row],[MEDICAMENTO]],TAB_REF!$B$3:$F$27,3,0), "")</f>
        <v xml:space="preserve">3%. </v>
      </c>
      <c r="AB1155" s="10" t="str">
        <f>IFERROR(VLOOKUP(Tabla1[[#This Row],[MEDICAMENTO]],TAB_REF!$B$3:$F$27,4,0), "")</f>
        <v>Solución Oral</v>
      </c>
      <c r="AC1155" s="10" t="str">
        <f>IFERROR(VLOOKUP(Tabla1[[#This Row],[MEDICAMENTO]],TAB_REF!$B$3:$F$27,5,0), "")</f>
        <v>Frasco x 30 mL</v>
      </c>
      <c r="AD1155" s="10" t="str">
        <f>IFERROR(VLOOKUP(Tabla1[[#This Row],[CANTIDAD UND COMERCIALES]],TAB_REF!$H$3:$I$1003,2,0)&amp;" ("&amp;Tabla1[[#This Row],[CANTIDAD UND COMERCIALES]]&amp;")"&amp;"_"&amp;Tabla1[[#This Row],[CANTIDAD]],"")</f>
        <v>Ochenta (80)_Frasco x 30 mL</v>
      </c>
    </row>
    <row r="1156" spans="2:30" x14ac:dyDescent="0.25">
      <c r="B1156" s="10">
        <v>488</v>
      </c>
      <c r="C1156" s="10" t="s">
        <v>2340</v>
      </c>
      <c r="D1156" s="10" t="s">
        <v>4212</v>
      </c>
      <c r="E1156" s="10" t="s">
        <v>2341</v>
      </c>
      <c r="F1156" s="10" t="s">
        <v>2342</v>
      </c>
      <c r="G1156" s="10" t="s">
        <v>2343</v>
      </c>
      <c r="H1156" s="10" t="s">
        <v>4213</v>
      </c>
      <c r="I1156" s="10" t="s">
        <v>2114</v>
      </c>
      <c r="J1156" s="10" t="s">
        <v>1459</v>
      </c>
      <c r="K1156" s="10" t="s">
        <v>4214</v>
      </c>
      <c r="L1156" s="11">
        <v>202124101675592</v>
      </c>
      <c r="M1156" s="20">
        <v>44446</v>
      </c>
      <c r="N1156" s="11" t="str">
        <f>UPPER(TEXT(Tabla1[[#This Row],[FECHA RADICADO ENTRADA]],"MMM"))</f>
        <v>SEP</v>
      </c>
      <c r="O1156" s="11"/>
      <c r="P1156" s="20"/>
      <c r="Q1156" s="26" t="str">
        <f>IFERROR(UPPER(TEXT(MONTH(Tabla1[[#This Row],[FECHA RADICADO SALIDA]]),"MMM")),"")</f>
        <v>ENE</v>
      </c>
      <c r="R1156" s="10">
        <f t="shared" si="84"/>
        <v>44446</v>
      </c>
      <c r="S1156" s="10" t="s">
        <v>2154</v>
      </c>
      <c r="U1156" s="10" t="s">
        <v>3483</v>
      </c>
      <c r="V1156" s="20">
        <v>43784</v>
      </c>
      <c r="W1156" s="10" t="s">
        <v>48</v>
      </c>
      <c r="X1156" s="10">
        <v>1200</v>
      </c>
      <c r="Y1156" s="10">
        <f>IFERROR(INT(Tabla1[[#This Row],[CANTIDAD UND FARMACEUTICAS]]/(VLOOKUP(Tabla1[[#This Row],[MEDICAMENTO]],TAB_REF!$K$3:$L$27,2,0))),"")</f>
        <v>40</v>
      </c>
      <c r="Z1156" s="10" t="str">
        <f>IFERROR(VLOOKUP(Tabla1[[#This Row],[MEDICAMENTO]],TAB_REF!$B$3:$F$27,2,0), "")</f>
        <v xml:space="preserve">Metilfenidato HCl </v>
      </c>
      <c r="AA1156" s="10" t="str">
        <f>IFERROR(VLOOKUP(Tabla1[[#This Row],[MEDICAMENTO]],TAB_REF!$B$3:$F$27,3,0), "")</f>
        <v xml:space="preserve">10 mg </v>
      </c>
      <c r="AB1156" s="10" t="str">
        <f>IFERROR(VLOOKUP(Tabla1[[#This Row],[MEDICAMENTO]],TAB_REF!$B$3:$F$27,4,0), "")</f>
        <v>Comprimidos</v>
      </c>
      <c r="AC1156" s="10" t="str">
        <f>IFERROR(VLOOKUP(Tabla1[[#This Row],[MEDICAMENTO]],TAB_REF!$B$3:$F$27,5,0), "")</f>
        <v>Caja x 30 unidades</v>
      </c>
      <c r="AD1156" s="10" t="str">
        <f>IFERROR(VLOOKUP(Tabla1[[#This Row],[CANTIDAD UND COMERCIALES]],TAB_REF!$H$3:$I$1003,2,0)&amp;" ("&amp;Tabla1[[#This Row],[CANTIDAD UND COMERCIALES]]&amp;")"&amp;"_"&amp;Tabla1[[#This Row],[CANTIDAD]],"")</f>
        <v>Cuarenta (40)_Caja x 30 unidades</v>
      </c>
    </row>
    <row r="1157" spans="2:30" x14ac:dyDescent="0.25">
      <c r="B1157" s="10">
        <v>489</v>
      </c>
      <c r="C1157" s="10" t="s">
        <v>4215</v>
      </c>
      <c r="D1157" s="10" t="s">
        <v>2182</v>
      </c>
      <c r="E1157" s="10" t="s">
        <v>3707</v>
      </c>
      <c r="F1157" s="10" t="s">
        <v>3678</v>
      </c>
      <c r="G1157" s="10" t="s">
        <v>3708</v>
      </c>
      <c r="H1157" s="10" t="s">
        <v>4002</v>
      </c>
      <c r="I1157" s="10" t="s">
        <v>2123</v>
      </c>
      <c r="J1157" s="10" t="s">
        <v>1770</v>
      </c>
      <c r="K1157" s="10" t="s">
        <v>2504</v>
      </c>
      <c r="L1157" s="11">
        <v>202124101675822</v>
      </c>
      <c r="M1157" s="20">
        <v>44446</v>
      </c>
      <c r="N1157" s="11" t="str">
        <f>UPPER(TEXT(Tabla1[[#This Row],[FECHA RADICADO ENTRADA]],"MMM"))</f>
        <v>SEP</v>
      </c>
      <c r="O1157" s="11"/>
      <c r="P1157" s="20"/>
      <c r="Q1157" s="26" t="str">
        <f>IFERROR(UPPER(TEXT(MONTH(Tabla1[[#This Row],[FECHA RADICADO SALIDA]]),"MMM")),"")</f>
        <v>ENE</v>
      </c>
      <c r="R1157" s="10">
        <f t="shared" si="83"/>
        <v>44446</v>
      </c>
      <c r="S1157" s="10" t="s">
        <v>2154</v>
      </c>
      <c r="T1157" s="51"/>
      <c r="U1157" s="10" t="s">
        <v>3121</v>
      </c>
      <c r="V1157" s="20">
        <v>44281</v>
      </c>
      <c r="W1157" s="10" t="s">
        <v>32</v>
      </c>
      <c r="X1157" s="10">
        <v>360</v>
      </c>
      <c r="Y1157" s="10">
        <f>IFERROR(INT(Tabla1[[#This Row],[CANTIDAD UND FARMACEUTICAS]]/(VLOOKUP(Tabla1[[#This Row],[MEDICAMENTO]],TAB_REF!$K$3:$L$27,2,0))),"")</f>
        <v>12</v>
      </c>
      <c r="Z1157" s="10" t="str">
        <f>IFERROR(VLOOKUP(Tabla1[[#This Row],[MEDICAMENTO]],TAB_REF!$B$3:$F$27,2,0), "")</f>
        <v xml:space="preserve">Fenobarbital </v>
      </c>
      <c r="AA1157" s="10" t="str">
        <f>IFERROR(VLOOKUP(Tabla1[[#This Row],[MEDICAMENTO]],TAB_REF!$B$3:$F$27,3,0), "")</f>
        <v xml:space="preserve">100 mg </v>
      </c>
      <c r="AB1157" s="10" t="str">
        <f>IFERROR(VLOOKUP(Tabla1[[#This Row],[MEDICAMENTO]],TAB_REF!$B$3:$F$27,4,0), "")</f>
        <v>Tabletas</v>
      </c>
      <c r="AC1157" s="10" t="str">
        <f>IFERROR(VLOOKUP(Tabla1[[#This Row],[MEDICAMENTO]],TAB_REF!$B$3:$F$27,5,0), "")</f>
        <v>Caja x 30 unidades</v>
      </c>
      <c r="AD1157" s="10" t="str">
        <f>IFERROR(VLOOKUP(Tabla1[[#This Row],[CANTIDAD UND COMERCIALES]],TAB_REF!$H$3:$I$1003,2,0)&amp;" ("&amp;Tabla1[[#This Row],[CANTIDAD UND COMERCIALES]]&amp;")"&amp;"_"&amp;Tabla1[[#This Row],[CANTIDAD]],"")</f>
        <v>Doce (12)_Caja x 30 unidades</v>
      </c>
    </row>
    <row r="1158" spans="2:30" x14ac:dyDescent="0.25">
      <c r="B1158" s="10">
        <v>490</v>
      </c>
      <c r="C1158" s="10" t="s">
        <v>4148</v>
      </c>
      <c r="D1158" t="s">
        <v>4149</v>
      </c>
      <c r="E1158" t="s">
        <v>4150</v>
      </c>
      <c r="F1158" s="10" t="s">
        <v>4216</v>
      </c>
      <c r="G1158" s="10" t="s">
        <v>4151</v>
      </c>
      <c r="H1158" t="s">
        <v>4152</v>
      </c>
      <c r="I1158" s="10" t="s">
        <v>2107</v>
      </c>
      <c r="J1158" s="10" t="s">
        <v>1212</v>
      </c>
      <c r="K1158" s="10" t="s">
        <v>4217</v>
      </c>
      <c r="L1158" s="11">
        <v>202124101684372</v>
      </c>
      <c r="M1158" s="20">
        <v>44447</v>
      </c>
      <c r="N1158" s="11" t="str">
        <f>UPPER(TEXT(Tabla1[[#This Row],[FECHA RADICADO ENTRADA]],"MMM"))</f>
        <v>SEP</v>
      </c>
      <c r="O1158" s="11"/>
      <c r="P1158" s="20"/>
      <c r="Q1158" s="26" t="str">
        <f>IFERROR(UPPER(TEXT(MONTH(Tabla1[[#This Row],[FECHA RADICADO SALIDA]]),"MMM")),"")</f>
        <v>ENE</v>
      </c>
      <c r="R1158" s="10">
        <f t="shared" si="83"/>
        <v>44447</v>
      </c>
      <c r="S1158" s="10" t="s">
        <v>2154</v>
      </c>
      <c r="U1158" s="10" t="s">
        <v>4218</v>
      </c>
      <c r="V1158" s="20">
        <v>42990</v>
      </c>
      <c r="W1158" s="10" t="s">
        <v>63</v>
      </c>
      <c r="X1158" s="10">
        <v>20</v>
      </c>
      <c r="Y1158" s="10">
        <f>IFERROR(INT(Tabla1[[#This Row],[CANTIDAD UND FARMACEUTICAS]]/(VLOOKUP(Tabla1[[#This Row],[MEDICAMENTO]],TAB_REF!$K$3:$L$27,2,0))),"")</f>
        <v>2</v>
      </c>
      <c r="Z1158" s="10" t="str">
        <f>IFERROR(VLOOKUP(Tabla1[[#This Row],[MEDICAMENTO]],TAB_REF!$B$3:$F$27,2,0), "")</f>
        <v xml:space="preserve">Morfina HCl </v>
      </c>
      <c r="AA1158" s="10" t="str">
        <f>IFERROR(VLOOKUP(Tabla1[[#This Row],[MEDICAMENTO]],TAB_REF!$B$3:$F$27,3,0), "")</f>
        <v xml:space="preserve">10 mg/mL </v>
      </c>
      <c r="AB1158" s="10" t="str">
        <f>IFERROR(VLOOKUP(Tabla1[[#This Row],[MEDICAMENTO]],TAB_REF!$B$3:$F$27,4,0), "")</f>
        <v>Solución Inyectable</v>
      </c>
      <c r="AC1158" s="10" t="str">
        <f>IFERROR(VLOOKUP(Tabla1[[#This Row],[MEDICAMENTO]],TAB_REF!$B$3:$F$27,5,0), "")</f>
        <v>Caja x 10 unidades</v>
      </c>
      <c r="AD1158" s="10" t="str">
        <f>IFERROR(VLOOKUP(Tabla1[[#This Row],[CANTIDAD UND COMERCIALES]],TAB_REF!$H$3:$I$1003,2,0)&amp;" ("&amp;Tabla1[[#This Row],[CANTIDAD UND COMERCIALES]]&amp;")"&amp;"_"&amp;Tabla1[[#This Row],[CANTIDAD]],"")</f>
        <v>Dos (2)_Caja x 10 unidades</v>
      </c>
    </row>
    <row r="1159" spans="2:30" x14ac:dyDescent="0.25">
      <c r="B1159" s="10">
        <v>490</v>
      </c>
      <c r="C1159" s="10" t="s">
        <v>4148</v>
      </c>
      <c r="D1159" t="s">
        <v>4149</v>
      </c>
      <c r="E1159" t="s">
        <v>4150</v>
      </c>
      <c r="F1159" s="10" t="s">
        <v>4216</v>
      </c>
      <c r="G1159" s="10" t="s">
        <v>4151</v>
      </c>
      <c r="H1159" t="s">
        <v>4152</v>
      </c>
      <c r="I1159" s="10" t="s">
        <v>2107</v>
      </c>
      <c r="J1159" s="10" t="s">
        <v>1212</v>
      </c>
      <c r="K1159" s="10" t="s">
        <v>4217</v>
      </c>
      <c r="L1159" s="11">
        <v>202124101684372</v>
      </c>
      <c r="M1159" s="20">
        <v>44447</v>
      </c>
      <c r="N1159" s="11" t="str">
        <f>UPPER(TEXT(Tabla1[[#This Row],[FECHA RADICADO ENTRADA]],"MMM"))</f>
        <v>SEP</v>
      </c>
      <c r="O1159" s="11"/>
      <c r="P1159" s="20"/>
      <c r="Q1159" s="26" t="str">
        <f>IFERROR(UPPER(TEXT(MONTH(Tabla1[[#This Row],[FECHA RADICADO SALIDA]]),"MMM")),"")</f>
        <v>ENE</v>
      </c>
      <c r="R1159" s="10">
        <f t="shared" ref="R1159" si="85">_xlfn.DAYS(M1159,P1159)</f>
        <v>44447</v>
      </c>
      <c r="S1159" s="10" t="s">
        <v>2154</v>
      </c>
      <c r="U1159" s="10" t="s">
        <v>4218</v>
      </c>
      <c r="V1159" s="20">
        <v>42990</v>
      </c>
      <c r="W1159" s="10" t="s">
        <v>41</v>
      </c>
      <c r="X1159" s="10">
        <v>10</v>
      </c>
      <c r="Y1159" s="10">
        <f>IFERROR(INT(Tabla1[[#This Row],[CANTIDAD UND FARMACEUTICAS]]/(VLOOKUP(Tabla1[[#This Row],[MEDICAMENTO]],TAB_REF!$K$3:$L$27,2,0))),"")</f>
        <v>1</v>
      </c>
      <c r="Z1159" s="10" t="str">
        <f>IFERROR(VLOOKUP(Tabla1[[#This Row],[MEDICAMENTO]],TAB_REF!$B$3:$F$27,2,0), "")</f>
        <v xml:space="preserve">Meperidina HCl </v>
      </c>
      <c r="AA1159" s="10" t="str">
        <f>IFERROR(VLOOKUP(Tabla1[[#This Row],[MEDICAMENTO]],TAB_REF!$B$3:$F$27,3,0), "")</f>
        <v xml:space="preserve">100 mg/2mL </v>
      </c>
      <c r="AB1159" s="10" t="str">
        <f>IFERROR(VLOOKUP(Tabla1[[#This Row],[MEDICAMENTO]],TAB_REF!$B$3:$F$27,4,0), "")</f>
        <v>Solución Inyectable</v>
      </c>
      <c r="AC1159" s="10" t="str">
        <f>IFERROR(VLOOKUP(Tabla1[[#This Row],[MEDICAMENTO]],TAB_REF!$B$3:$F$27,5,0), "")</f>
        <v>Caja 10 ampollas</v>
      </c>
      <c r="AD1159" s="10" t="str">
        <f>IFERROR(VLOOKUP(Tabla1[[#This Row],[CANTIDAD UND COMERCIALES]],TAB_REF!$H$3:$I$1003,2,0)&amp;" ("&amp;Tabla1[[#This Row],[CANTIDAD UND COMERCIALES]]&amp;")"&amp;"_"&amp;Tabla1[[#This Row],[CANTIDAD]],"")</f>
        <v>Uno (1)_Caja 10 ampollas</v>
      </c>
    </row>
    <row r="1160" spans="2:30" x14ac:dyDescent="0.25">
      <c r="B1160" s="10">
        <v>491</v>
      </c>
      <c r="C1160" s="10" t="s">
        <v>3412</v>
      </c>
      <c r="D1160" s="10" t="s">
        <v>2507</v>
      </c>
      <c r="E1160" s="10" t="s">
        <v>3413</v>
      </c>
      <c r="F1160" s="10" t="s">
        <v>3414</v>
      </c>
      <c r="G1160" s="10" t="s">
        <v>3415</v>
      </c>
      <c r="H1160" s="10" t="s">
        <v>4219</v>
      </c>
      <c r="I1160" s="10" t="s">
        <v>2128</v>
      </c>
      <c r="J1160" s="10" t="s">
        <v>1975</v>
      </c>
      <c r="K1160" s="10" t="s">
        <v>4220</v>
      </c>
      <c r="L1160" s="11">
        <v>202124101701132</v>
      </c>
      <c r="M1160" s="20">
        <v>44449</v>
      </c>
      <c r="N1160" s="11" t="str">
        <f>UPPER(TEXT(Tabla1[[#This Row],[FECHA RADICADO ENTRADA]],"MMM"))</f>
        <v>SEP</v>
      </c>
      <c r="O1160" s="11"/>
      <c r="P1160" s="20"/>
      <c r="Q1160" s="26" t="str">
        <f>IFERROR(UPPER(TEXT(MONTH(Tabla1[[#This Row],[FECHA RADICADO SALIDA]]),"MMM")),"")</f>
        <v>ENE</v>
      </c>
      <c r="R1160" s="10">
        <f t="shared" ref="R1160:R1169" si="86">_xlfn.DAYS(M1160,P1160)</f>
        <v>44449</v>
      </c>
      <c r="S1160" s="10" t="s">
        <v>2154</v>
      </c>
      <c r="U1160" s="10" t="s">
        <v>4221</v>
      </c>
      <c r="V1160" s="20">
        <v>44176</v>
      </c>
      <c r="W1160" s="10" t="s">
        <v>60</v>
      </c>
      <c r="X1160" s="10">
        <v>6</v>
      </c>
      <c r="Y1160" s="10">
        <f>IFERROR(INT(Tabla1[[#This Row],[CANTIDAD UND FARMACEUTICAS]]/(VLOOKUP(Tabla1[[#This Row],[MEDICAMENTO]],TAB_REF!$K$3:$L$27,2,0))),"")</f>
        <v>6</v>
      </c>
      <c r="Z1160" s="10" t="str">
        <f>IFERROR(VLOOKUP(Tabla1[[#This Row],[MEDICAMENTO]],TAB_REF!$B$3:$F$27,2,0), "")</f>
        <v xml:space="preserve">Morfina HCl </v>
      </c>
      <c r="AA1160" s="10" t="str">
        <f>IFERROR(VLOOKUP(Tabla1[[#This Row],[MEDICAMENTO]],TAB_REF!$B$3:$F$27,3,0), "")</f>
        <v xml:space="preserve">3%. </v>
      </c>
      <c r="AB1160" s="10" t="str">
        <f>IFERROR(VLOOKUP(Tabla1[[#This Row],[MEDICAMENTO]],TAB_REF!$B$3:$F$27,4,0), "")</f>
        <v>Solución Oral</v>
      </c>
      <c r="AC1160" s="10" t="str">
        <f>IFERROR(VLOOKUP(Tabla1[[#This Row],[MEDICAMENTO]],TAB_REF!$B$3:$F$27,5,0), "")</f>
        <v>Frasco x 30 mL</v>
      </c>
      <c r="AD1160" s="10" t="str">
        <f>IFERROR(VLOOKUP(Tabla1[[#This Row],[CANTIDAD UND COMERCIALES]],TAB_REF!$H$3:$I$1003,2,0)&amp;" ("&amp;Tabla1[[#This Row],[CANTIDAD UND COMERCIALES]]&amp;")"&amp;"_"&amp;Tabla1[[#This Row],[CANTIDAD]],"")</f>
        <v>Seis (6)_Frasco x 30 mL</v>
      </c>
    </row>
    <row r="1161" spans="2:30" x14ac:dyDescent="0.25">
      <c r="B1161" s="10">
        <v>492</v>
      </c>
      <c r="C1161" s="10" t="s">
        <v>4222</v>
      </c>
      <c r="D1161" s="10" t="s">
        <v>3162</v>
      </c>
      <c r="E1161" s="10" t="s">
        <v>2711</v>
      </c>
      <c r="F1161" s="10" t="s">
        <v>3660</v>
      </c>
      <c r="G1161" s="10" t="s">
        <v>2418</v>
      </c>
      <c r="H1161" s="10" t="s">
        <v>4223</v>
      </c>
      <c r="I1161" s="10" t="s">
        <v>2128</v>
      </c>
      <c r="J1161" s="10" t="s">
        <v>1942</v>
      </c>
      <c r="K1161" s="10" t="s">
        <v>2449</v>
      </c>
      <c r="L1161" s="11">
        <v>202124101721642</v>
      </c>
      <c r="M1161" s="20">
        <v>44452</v>
      </c>
      <c r="N1161" s="11" t="str">
        <f>UPPER(TEXT(Tabla1[[#This Row],[FECHA RADICADO ENTRADA]],"MMM"))</f>
        <v>SEP</v>
      </c>
      <c r="O1161" s="11"/>
      <c r="P1161" s="20"/>
      <c r="Q1161" s="26" t="str">
        <f>IFERROR(UPPER(TEXT(MONTH(Tabla1[[#This Row],[FECHA RADICADO SALIDA]]),"MMM")),"")</f>
        <v>ENE</v>
      </c>
      <c r="R1161" s="10">
        <f t="shared" si="86"/>
        <v>44452</v>
      </c>
      <c r="S1161" s="10" t="s">
        <v>2154</v>
      </c>
      <c r="U1161" s="10" t="s">
        <v>2435</v>
      </c>
      <c r="V1161" s="20">
        <v>43381</v>
      </c>
      <c r="W1161" s="10" t="s">
        <v>63</v>
      </c>
      <c r="X1161" s="10">
        <v>3000</v>
      </c>
      <c r="Y1161" s="10">
        <f>IFERROR(INT(Tabla1[[#This Row],[CANTIDAD UND FARMACEUTICAS]]/(VLOOKUP(Tabla1[[#This Row],[MEDICAMENTO]],TAB_REF!$K$3:$L$27,2,0))),"")</f>
        <v>300</v>
      </c>
      <c r="Z1161" s="10" t="str">
        <f>IFERROR(VLOOKUP(Tabla1[[#This Row],[MEDICAMENTO]],TAB_REF!$B$3:$F$27,2,0), "")</f>
        <v xml:space="preserve">Morfina HCl </v>
      </c>
      <c r="AA1161" s="10" t="str">
        <f>IFERROR(VLOOKUP(Tabla1[[#This Row],[MEDICAMENTO]],TAB_REF!$B$3:$F$27,3,0), "")</f>
        <v xml:space="preserve">10 mg/mL </v>
      </c>
      <c r="AB1161" s="10" t="str">
        <f>IFERROR(VLOOKUP(Tabla1[[#This Row],[MEDICAMENTO]],TAB_REF!$B$3:$F$27,4,0), "")</f>
        <v>Solución Inyectable</v>
      </c>
      <c r="AC1161" s="10" t="str">
        <f>IFERROR(VLOOKUP(Tabla1[[#This Row],[MEDICAMENTO]],TAB_REF!$B$3:$F$27,5,0), "")</f>
        <v>Caja x 10 unidades</v>
      </c>
      <c r="AD1161" s="10" t="str">
        <f>IFERROR(VLOOKUP(Tabla1[[#This Row],[CANTIDAD UND COMERCIALES]],TAB_REF!$H$3:$I$1003,2,0)&amp;" ("&amp;Tabla1[[#This Row],[CANTIDAD UND COMERCIALES]]&amp;")"&amp;"_"&amp;Tabla1[[#This Row],[CANTIDAD]],"")</f>
        <v>Trescientos (300)_Caja x 10 unidades</v>
      </c>
    </row>
    <row r="1162" spans="2:30" x14ac:dyDescent="0.25">
      <c r="B1162" s="10">
        <v>492</v>
      </c>
      <c r="C1162" s="10" t="s">
        <v>4222</v>
      </c>
      <c r="D1162" s="10" t="s">
        <v>3162</v>
      </c>
      <c r="E1162" s="10" t="s">
        <v>2711</v>
      </c>
      <c r="F1162" s="10" t="s">
        <v>3660</v>
      </c>
      <c r="G1162" s="10" t="s">
        <v>2418</v>
      </c>
      <c r="H1162" s="10" t="s">
        <v>4223</v>
      </c>
      <c r="I1162" s="10" t="s">
        <v>2128</v>
      </c>
      <c r="J1162" s="10" t="s">
        <v>1942</v>
      </c>
      <c r="K1162" s="10" t="s">
        <v>2449</v>
      </c>
      <c r="L1162" s="11">
        <v>202124101721642</v>
      </c>
      <c r="M1162" s="20">
        <v>44452</v>
      </c>
      <c r="N1162" s="11" t="str">
        <f>UPPER(TEXT(Tabla1[[#This Row],[FECHA RADICADO ENTRADA]],"MMM"))</f>
        <v>SEP</v>
      </c>
      <c r="O1162" s="11"/>
      <c r="P1162" s="20"/>
      <c r="Q1162" s="26" t="str">
        <f>IFERROR(UPPER(TEXT(MONTH(Tabla1[[#This Row],[FECHA RADICADO SALIDA]]),"MMM")),"")</f>
        <v>ENE</v>
      </c>
      <c r="R1162" s="10">
        <f t="shared" si="86"/>
        <v>44452</v>
      </c>
      <c r="S1162" s="10" t="s">
        <v>2154</v>
      </c>
      <c r="U1162" s="10" t="s">
        <v>2435</v>
      </c>
      <c r="V1162" s="20">
        <v>43381</v>
      </c>
      <c r="W1162" s="10" t="s">
        <v>64</v>
      </c>
      <c r="X1162" s="10">
        <v>3000</v>
      </c>
      <c r="Y1162" s="10">
        <f>IFERROR(INT(Tabla1[[#This Row],[CANTIDAD UND FARMACEUTICAS]]/(VLOOKUP(Tabla1[[#This Row],[MEDICAMENTO]],TAB_REF!$K$3:$L$27,2,0))),"")</f>
        <v>300</v>
      </c>
      <c r="Z1162" s="10" t="str">
        <f>IFERROR(VLOOKUP(Tabla1[[#This Row],[MEDICAMENTO]],TAB_REF!$B$3:$F$27,2,0), "")</f>
        <v xml:space="preserve">Morfina HCl </v>
      </c>
      <c r="AA1162" s="10" t="str">
        <f>IFERROR(VLOOKUP(Tabla1[[#This Row],[MEDICAMENTO]],TAB_REF!$B$3:$F$27,3,0), "")</f>
        <v xml:space="preserve">10 (50mg/5mL) </v>
      </c>
      <c r="AB1162" s="10" t="str">
        <f>IFERROR(VLOOKUP(Tabla1[[#This Row],[MEDICAMENTO]],TAB_REF!$B$3:$F$27,4,0), "")</f>
        <v>Solución Inyectable</v>
      </c>
      <c r="AC1162" s="10" t="str">
        <f>IFERROR(VLOOKUP(Tabla1[[#This Row],[MEDICAMENTO]],TAB_REF!$B$3:$F$27,5,0), "")</f>
        <v>Caja x 5 unidades</v>
      </c>
      <c r="AD1162" s="10" t="str">
        <f>IFERROR(VLOOKUP(Tabla1[[#This Row],[CANTIDAD UND COMERCIALES]],TAB_REF!$H$3:$I$1003,2,0)&amp;" ("&amp;Tabla1[[#This Row],[CANTIDAD UND COMERCIALES]]&amp;")"&amp;"_"&amp;Tabla1[[#This Row],[CANTIDAD]],"")</f>
        <v>Trescientos (300)_Caja x 5 unidades</v>
      </c>
    </row>
    <row r="1163" spans="2:30" x14ac:dyDescent="0.25">
      <c r="B1163" s="10">
        <v>492</v>
      </c>
      <c r="C1163" s="10" t="s">
        <v>4222</v>
      </c>
      <c r="D1163" s="10" t="s">
        <v>3162</v>
      </c>
      <c r="E1163" s="10" t="s">
        <v>2711</v>
      </c>
      <c r="F1163" s="10" t="s">
        <v>3660</v>
      </c>
      <c r="G1163" s="10" t="s">
        <v>2418</v>
      </c>
      <c r="H1163" s="10" t="s">
        <v>4223</v>
      </c>
      <c r="I1163" s="10" t="s">
        <v>2128</v>
      </c>
      <c r="J1163" s="10" t="s">
        <v>1942</v>
      </c>
      <c r="K1163" s="10" t="s">
        <v>2449</v>
      </c>
      <c r="L1163" s="11">
        <v>202124101721642</v>
      </c>
      <c r="M1163" s="20">
        <v>44452</v>
      </c>
      <c r="N1163" s="11" t="str">
        <f>UPPER(TEXT(Tabla1[[#This Row],[FECHA RADICADO ENTRADA]],"MMM"))</f>
        <v>SEP</v>
      </c>
      <c r="O1163" s="11"/>
      <c r="P1163" s="20"/>
      <c r="Q1163" s="26" t="str">
        <f>IFERROR(UPPER(TEXT(MONTH(Tabla1[[#This Row],[FECHA RADICADO SALIDA]]),"MMM")),"")</f>
        <v>ENE</v>
      </c>
      <c r="R1163" s="10">
        <f t="shared" si="86"/>
        <v>44452</v>
      </c>
      <c r="S1163" s="10" t="s">
        <v>2154</v>
      </c>
      <c r="U1163" s="10" t="s">
        <v>2435</v>
      </c>
      <c r="V1163" s="20">
        <v>43381</v>
      </c>
      <c r="W1163" s="10" t="s">
        <v>45</v>
      </c>
      <c r="X1163" s="10">
        <v>3000</v>
      </c>
      <c r="Y1163" s="10">
        <f>IFERROR(INT(Tabla1[[#This Row],[CANTIDAD UND FARMACEUTICAS]]/(VLOOKUP(Tabla1[[#This Row],[MEDICAMENTO]],TAB_REF!$K$3:$L$27,2,0))),"")</f>
        <v>100</v>
      </c>
      <c r="Z1163" s="10" t="str">
        <f>IFERROR(VLOOKUP(Tabla1[[#This Row],[MEDICAMENTO]],TAB_REF!$B$3:$F$27,2,0), "")</f>
        <v xml:space="preserve">Metadona HCl </v>
      </c>
      <c r="AA1163" s="10" t="str">
        <f>IFERROR(VLOOKUP(Tabla1[[#This Row],[MEDICAMENTO]],TAB_REF!$B$3:$F$27,3,0), "")</f>
        <v xml:space="preserve">10 mg </v>
      </c>
      <c r="AB1163" s="10" t="str">
        <f>IFERROR(VLOOKUP(Tabla1[[#This Row],[MEDICAMENTO]],TAB_REF!$B$3:$F$27,4,0), "")</f>
        <v>Tabletas NACIONAL</v>
      </c>
      <c r="AC1163" s="10" t="str">
        <f>IFERROR(VLOOKUP(Tabla1[[#This Row],[MEDICAMENTO]],TAB_REF!$B$3:$F$27,5,0), "")</f>
        <v>Caja x 30 unidades</v>
      </c>
      <c r="AD1163" s="10" t="str">
        <f>IFERROR(VLOOKUP(Tabla1[[#This Row],[CANTIDAD UND COMERCIALES]],TAB_REF!$H$3:$I$1003,2,0)&amp;" ("&amp;Tabla1[[#This Row],[CANTIDAD UND COMERCIALES]]&amp;")"&amp;"_"&amp;Tabla1[[#This Row],[CANTIDAD]],"")</f>
        <v>Cien (100)_Caja x 30 unidades</v>
      </c>
    </row>
    <row r="1164" spans="2:30" x14ac:dyDescent="0.25">
      <c r="B1164" s="10">
        <v>493</v>
      </c>
      <c r="C1164" s="10" t="s">
        <v>4172</v>
      </c>
      <c r="D1164" s="10" t="s">
        <v>3076</v>
      </c>
      <c r="E1164" s="10" t="s">
        <v>4174</v>
      </c>
      <c r="F1164" s="10" t="s">
        <v>4224</v>
      </c>
      <c r="G1164" s="10" t="s">
        <v>2583</v>
      </c>
      <c r="H1164" s="10" t="s">
        <v>4208</v>
      </c>
      <c r="I1164" s="10" t="s">
        <v>2107</v>
      </c>
      <c r="J1164" s="10" t="s">
        <v>1212</v>
      </c>
      <c r="K1164" s="10" t="s">
        <v>4225</v>
      </c>
      <c r="L1164" s="11">
        <v>202124101722232</v>
      </c>
      <c r="M1164" s="20">
        <v>44452</v>
      </c>
      <c r="N1164" s="11" t="str">
        <f>UPPER(TEXT(Tabla1[[#This Row],[FECHA RADICADO ENTRADA]],"MMM"))</f>
        <v>SEP</v>
      </c>
      <c r="O1164" s="11"/>
      <c r="Q1164" s="26" t="str">
        <f>IFERROR(UPPER(TEXT(MONTH(Tabla1[[#This Row],[FECHA RADICADO SALIDA]]),"MMM")),"")</f>
        <v>ENE</v>
      </c>
      <c r="R1164" s="10">
        <f t="shared" si="86"/>
        <v>44452</v>
      </c>
      <c r="S1164" s="10" t="s">
        <v>2154</v>
      </c>
      <c r="U1164" s="10" t="s">
        <v>4209</v>
      </c>
      <c r="V1164" s="20">
        <v>44335</v>
      </c>
      <c r="W1164" s="10" t="s">
        <v>60</v>
      </c>
      <c r="X1164" s="10">
        <v>50</v>
      </c>
      <c r="Y1164" s="10">
        <f>IFERROR(INT(Tabla1[[#This Row],[CANTIDAD UND FARMACEUTICAS]]/(VLOOKUP(Tabla1[[#This Row],[MEDICAMENTO]],TAB_REF!$K$3:$L$27,2,0))),"")</f>
        <v>50</v>
      </c>
      <c r="Z1164" s="10" t="str">
        <f>IFERROR(VLOOKUP(Tabla1[[#This Row],[MEDICAMENTO]],TAB_REF!$B$3:$F$27,2,0), "")</f>
        <v xml:space="preserve">Morfina HCl </v>
      </c>
      <c r="AA1164" s="10" t="str">
        <f>IFERROR(VLOOKUP(Tabla1[[#This Row],[MEDICAMENTO]],TAB_REF!$B$3:$F$27,3,0), "")</f>
        <v xml:space="preserve">3%. </v>
      </c>
      <c r="AB1164" s="10" t="str">
        <f>IFERROR(VLOOKUP(Tabla1[[#This Row],[MEDICAMENTO]],TAB_REF!$B$3:$F$27,4,0), "")</f>
        <v>Solución Oral</v>
      </c>
      <c r="AC1164" s="10" t="str">
        <f>IFERROR(VLOOKUP(Tabla1[[#This Row],[MEDICAMENTO]],TAB_REF!$B$3:$F$27,5,0), "")</f>
        <v>Frasco x 30 mL</v>
      </c>
      <c r="AD1164" s="10" t="str">
        <f>IFERROR(VLOOKUP(Tabla1[[#This Row],[CANTIDAD UND COMERCIALES]],TAB_REF!$H$3:$I$1003,2,0)&amp;" ("&amp;Tabla1[[#This Row],[CANTIDAD UND COMERCIALES]]&amp;")"&amp;"_"&amp;Tabla1[[#This Row],[CANTIDAD]],"")</f>
        <v>Cincuenta (50)_Frasco x 30 mL</v>
      </c>
    </row>
    <row r="1165" spans="2:30" x14ac:dyDescent="0.25">
      <c r="B1165" s="10">
        <v>494</v>
      </c>
      <c r="C1165" s="10" t="s">
        <v>3671</v>
      </c>
      <c r="D1165" s="10" t="s">
        <v>2312</v>
      </c>
      <c r="E1165" s="10" t="s">
        <v>3672</v>
      </c>
      <c r="F1165" s="10" t="s">
        <v>3673</v>
      </c>
      <c r="G1165" s="10" t="s">
        <v>2974</v>
      </c>
      <c r="H1165" s="10" t="s">
        <v>3675</v>
      </c>
      <c r="I1165" s="10" t="s">
        <v>2123</v>
      </c>
      <c r="J1165" s="10" t="s">
        <v>1770</v>
      </c>
      <c r="K1165" s="10" t="s">
        <v>2976</v>
      </c>
      <c r="L1165" s="11">
        <v>202124101724412</v>
      </c>
      <c r="M1165" s="20">
        <v>44453</v>
      </c>
      <c r="N1165" s="11" t="str">
        <f>UPPER(TEXT(Tabla1[[#This Row],[FECHA RADICADO ENTRADA]],"MMM"))</f>
        <v>SEP</v>
      </c>
      <c r="O1165" s="11"/>
      <c r="Q1165" s="26" t="str">
        <f>IFERROR(UPPER(TEXT(MONTH(Tabla1[[#This Row],[FECHA RADICADO SALIDA]]),"MMM")),"")</f>
        <v>ENE</v>
      </c>
      <c r="R1165" s="10">
        <f t="shared" si="86"/>
        <v>44453</v>
      </c>
      <c r="S1165" s="10" t="s">
        <v>2154</v>
      </c>
      <c r="U1165" s="10" t="s">
        <v>2977</v>
      </c>
      <c r="V1165" s="20">
        <v>43844</v>
      </c>
      <c r="W1165" s="10" t="s">
        <v>36</v>
      </c>
      <c r="X1165" s="10">
        <v>100</v>
      </c>
      <c r="Y1165" s="10">
        <f>IFERROR(INT(Tabla1[[#This Row],[CANTIDAD UND FARMACEUTICAS]]/(VLOOKUP(Tabla1[[#This Row],[MEDICAMENTO]],TAB_REF!$K$3:$L$27,2,0))),"")</f>
        <v>10</v>
      </c>
      <c r="Z1165" s="10" t="str">
        <f>IFERROR(VLOOKUP(Tabla1[[#This Row],[MEDICAMENTO]],TAB_REF!$B$3:$F$27,2,0), "")</f>
        <v xml:space="preserve">Fenobarbital Sódico </v>
      </c>
      <c r="AA1165" s="10" t="str">
        <f>IFERROR(VLOOKUP(Tabla1[[#This Row],[MEDICAMENTO]],TAB_REF!$B$3:$F$27,3,0), "")</f>
        <v xml:space="preserve">40 mg/mL </v>
      </c>
      <c r="AB1165" s="10" t="str">
        <f>IFERROR(VLOOKUP(Tabla1[[#This Row],[MEDICAMENTO]],TAB_REF!$B$3:$F$27,4,0), "")</f>
        <v>Solución Inyectable</v>
      </c>
      <c r="AC1165" s="10" t="str">
        <f>IFERROR(VLOOKUP(Tabla1[[#This Row],[MEDICAMENTO]],TAB_REF!$B$3:$F$27,5,0), "")</f>
        <v>Caja x 10 unidades</v>
      </c>
      <c r="AD1165" s="10" t="str">
        <f>IFERROR(VLOOKUP(Tabla1[[#This Row],[CANTIDAD UND COMERCIALES]],TAB_REF!$H$3:$I$1003,2,0)&amp;" ("&amp;Tabla1[[#This Row],[CANTIDAD UND COMERCIALES]]&amp;")"&amp;"_"&amp;Tabla1[[#This Row],[CANTIDAD]],"")</f>
        <v>Diez (10)_Caja x 10 unidades</v>
      </c>
    </row>
    <row r="1166" spans="2:30" x14ac:dyDescent="0.25">
      <c r="B1166" s="10">
        <v>494</v>
      </c>
      <c r="C1166" s="10" t="s">
        <v>3671</v>
      </c>
      <c r="D1166" s="10" t="s">
        <v>2312</v>
      </c>
      <c r="E1166" s="10" t="s">
        <v>3672</v>
      </c>
      <c r="F1166" s="10" t="s">
        <v>3673</v>
      </c>
      <c r="G1166" s="10" t="s">
        <v>2974</v>
      </c>
      <c r="H1166" s="10" t="s">
        <v>3675</v>
      </c>
      <c r="I1166" s="10" t="s">
        <v>2123</v>
      </c>
      <c r="J1166" s="10" t="s">
        <v>1770</v>
      </c>
      <c r="K1166" s="10" t="s">
        <v>2976</v>
      </c>
      <c r="L1166" s="11">
        <v>202124101724412</v>
      </c>
      <c r="M1166" s="20">
        <v>44453</v>
      </c>
      <c r="N1166" s="11" t="str">
        <f>UPPER(TEXT(Tabla1[[#This Row],[FECHA RADICADO ENTRADA]],"MMM"))</f>
        <v>SEP</v>
      </c>
      <c r="O1166" s="11"/>
      <c r="Q1166" s="26" t="str">
        <f>IFERROR(UPPER(TEXT(MONTH(Tabla1[[#This Row],[FECHA RADICADO SALIDA]]),"MMM")),"")</f>
        <v>ENE</v>
      </c>
      <c r="R1166" s="10">
        <f t="shared" si="86"/>
        <v>44453</v>
      </c>
      <c r="S1166" s="10" t="s">
        <v>2154</v>
      </c>
      <c r="U1166" s="10" t="s">
        <v>2977</v>
      </c>
      <c r="V1166" s="20">
        <v>43844</v>
      </c>
      <c r="W1166" s="10" t="s">
        <v>41</v>
      </c>
      <c r="X1166" s="10">
        <v>500</v>
      </c>
      <c r="Y1166" s="10">
        <f>IFERROR(INT(Tabla1[[#This Row],[CANTIDAD UND FARMACEUTICAS]]/(VLOOKUP(Tabla1[[#This Row],[MEDICAMENTO]],TAB_REF!$K$3:$L$27,2,0))),"")</f>
        <v>50</v>
      </c>
      <c r="Z1166" s="10" t="str">
        <f>IFERROR(VLOOKUP(Tabla1[[#This Row],[MEDICAMENTO]],TAB_REF!$B$3:$F$27,2,0), "")</f>
        <v xml:space="preserve">Meperidina HCl </v>
      </c>
      <c r="AA1166" s="10" t="str">
        <f>IFERROR(VLOOKUP(Tabla1[[#This Row],[MEDICAMENTO]],TAB_REF!$B$3:$F$27,3,0), "")</f>
        <v xml:space="preserve">100 mg/2mL </v>
      </c>
      <c r="AB1166" s="10" t="str">
        <f>IFERROR(VLOOKUP(Tabla1[[#This Row],[MEDICAMENTO]],TAB_REF!$B$3:$F$27,4,0), "")</f>
        <v>Solución Inyectable</v>
      </c>
      <c r="AC1166" s="10" t="str">
        <f>IFERROR(VLOOKUP(Tabla1[[#This Row],[MEDICAMENTO]],TAB_REF!$B$3:$F$27,5,0), "")</f>
        <v>Caja 10 ampollas</v>
      </c>
      <c r="AD1166" s="10" t="str">
        <f>IFERROR(VLOOKUP(Tabla1[[#This Row],[CANTIDAD UND COMERCIALES]],TAB_REF!$H$3:$I$1003,2,0)&amp;" ("&amp;Tabla1[[#This Row],[CANTIDAD UND COMERCIALES]]&amp;")"&amp;"_"&amp;Tabla1[[#This Row],[CANTIDAD]],"")</f>
        <v>Cincuenta (50)_Caja 10 ampollas</v>
      </c>
    </row>
    <row r="1167" spans="2:30" x14ac:dyDescent="0.25">
      <c r="B1167" s="10">
        <v>494</v>
      </c>
      <c r="C1167" s="10" t="s">
        <v>3671</v>
      </c>
      <c r="D1167" s="10" t="s">
        <v>2312</v>
      </c>
      <c r="E1167" s="10" t="s">
        <v>3672</v>
      </c>
      <c r="F1167" s="10" t="s">
        <v>3673</v>
      </c>
      <c r="G1167" s="10" t="s">
        <v>2974</v>
      </c>
      <c r="H1167" s="10" t="s">
        <v>3675</v>
      </c>
      <c r="I1167" s="10" t="s">
        <v>2123</v>
      </c>
      <c r="J1167" s="10" t="s">
        <v>1770</v>
      </c>
      <c r="K1167" s="10" t="s">
        <v>2976</v>
      </c>
      <c r="L1167" s="11">
        <v>202124101724412</v>
      </c>
      <c r="M1167" s="20">
        <v>44453</v>
      </c>
      <c r="N1167" s="11" t="str">
        <f>UPPER(TEXT(Tabla1[[#This Row],[FECHA RADICADO ENTRADA]],"MMM"))</f>
        <v>SEP</v>
      </c>
      <c r="O1167" s="11"/>
      <c r="Q1167" s="26" t="str">
        <f>IFERROR(UPPER(TEXT(MONTH(Tabla1[[#This Row],[FECHA RADICADO SALIDA]]),"MMM")),"")</f>
        <v>ENE</v>
      </c>
      <c r="R1167" s="10">
        <f t="shared" si="86"/>
        <v>44453</v>
      </c>
      <c r="S1167" s="10" t="s">
        <v>2154</v>
      </c>
      <c r="U1167" s="10" t="s">
        <v>2977</v>
      </c>
      <c r="V1167" s="20">
        <v>43844</v>
      </c>
      <c r="W1167" s="10" t="s">
        <v>34</v>
      </c>
      <c r="X1167" s="10">
        <v>20</v>
      </c>
      <c r="Y1167" s="10">
        <f>IFERROR(INT(Tabla1[[#This Row],[CANTIDAD UND FARMACEUTICAS]]/(VLOOKUP(Tabla1[[#This Row],[MEDICAMENTO]],TAB_REF!$K$3:$L$27,2,0))),"")</f>
        <v>2</v>
      </c>
      <c r="Z1167" s="10" t="str">
        <f>IFERROR(VLOOKUP(Tabla1[[#This Row],[MEDICAMENTO]],TAB_REF!$B$3:$F$27,2,0), "")</f>
        <v xml:space="preserve">Fenobarbital Sódico </v>
      </c>
      <c r="AA1167" s="10" t="str">
        <f>IFERROR(VLOOKUP(Tabla1[[#This Row],[MEDICAMENTO]],TAB_REF!$B$3:$F$27,3,0), "")</f>
        <v xml:space="preserve">200 mg/Ml </v>
      </c>
      <c r="AB1167" s="10" t="str">
        <f>IFERROR(VLOOKUP(Tabla1[[#This Row],[MEDICAMENTO]],TAB_REF!$B$3:$F$27,4,0), "")</f>
        <v>Solución Inyectable</v>
      </c>
      <c r="AC1167" s="10" t="str">
        <f>IFERROR(VLOOKUP(Tabla1[[#This Row],[MEDICAMENTO]],TAB_REF!$B$3:$F$27,5,0), "")</f>
        <v>Caja x 10 unidades</v>
      </c>
      <c r="AD1167" s="10" t="str">
        <f>IFERROR(VLOOKUP(Tabla1[[#This Row],[CANTIDAD UND COMERCIALES]],TAB_REF!$H$3:$I$1003,2,0)&amp;" ("&amp;Tabla1[[#This Row],[CANTIDAD UND COMERCIALES]]&amp;")"&amp;"_"&amp;Tabla1[[#This Row],[CANTIDAD]],"")</f>
        <v>Dos (2)_Caja x 10 unidades</v>
      </c>
    </row>
    <row r="1168" spans="2:30" x14ac:dyDescent="0.25">
      <c r="B1168" s="10">
        <v>494</v>
      </c>
      <c r="C1168" s="10" t="s">
        <v>3671</v>
      </c>
      <c r="D1168" s="10" t="s">
        <v>2312</v>
      </c>
      <c r="E1168" s="10" t="s">
        <v>3672</v>
      </c>
      <c r="F1168" s="10" t="s">
        <v>3673</v>
      </c>
      <c r="G1168" s="10" t="s">
        <v>2974</v>
      </c>
      <c r="H1168" s="10" t="s">
        <v>3675</v>
      </c>
      <c r="I1168" s="10" t="s">
        <v>2123</v>
      </c>
      <c r="J1168" s="10" t="s">
        <v>1770</v>
      </c>
      <c r="K1168" s="10" t="s">
        <v>2976</v>
      </c>
      <c r="L1168" s="11">
        <v>202124101724412</v>
      </c>
      <c r="M1168" s="20">
        <v>44453</v>
      </c>
      <c r="N1168" s="11" t="str">
        <f>UPPER(TEXT(Tabla1[[#This Row],[FECHA RADICADO ENTRADA]],"MMM"))</f>
        <v>SEP</v>
      </c>
      <c r="O1168" s="11"/>
      <c r="Q1168" s="26" t="str">
        <f>IFERROR(UPPER(TEXT(MONTH(Tabla1[[#This Row],[FECHA RADICADO SALIDA]]),"MMM")),"")</f>
        <v>ENE</v>
      </c>
      <c r="R1168" s="10">
        <f t="shared" si="86"/>
        <v>44453</v>
      </c>
      <c r="S1168" s="10" t="s">
        <v>2154</v>
      </c>
      <c r="U1168" s="10" t="s">
        <v>2977</v>
      </c>
      <c r="V1168" s="20">
        <v>43844</v>
      </c>
      <c r="W1168" s="10" t="s">
        <v>63</v>
      </c>
      <c r="X1168" s="10">
        <v>1000</v>
      </c>
      <c r="Y1168" s="10">
        <f>IFERROR(INT(Tabla1[[#This Row],[CANTIDAD UND FARMACEUTICAS]]/(VLOOKUP(Tabla1[[#This Row],[MEDICAMENTO]],TAB_REF!$K$3:$L$27,2,0))),"")</f>
        <v>100</v>
      </c>
      <c r="Z1168" s="10" t="str">
        <f>IFERROR(VLOOKUP(Tabla1[[#This Row],[MEDICAMENTO]],TAB_REF!$B$3:$F$27,2,0), "")</f>
        <v xml:space="preserve">Morfina HCl </v>
      </c>
      <c r="AA1168" s="10" t="str">
        <f>IFERROR(VLOOKUP(Tabla1[[#This Row],[MEDICAMENTO]],TAB_REF!$B$3:$F$27,3,0), "")</f>
        <v xml:space="preserve">10 mg/mL </v>
      </c>
      <c r="AB1168" s="10" t="str">
        <f>IFERROR(VLOOKUP(Tabla1[[#This Row],[MEDICAMENTO]],TAB_REF!$B$3:$F$27,4,0), "")</f>
        <v>Solución Inyectable</v>
      </c>
      <c r="AC1168" s="10" t="str">
        <f>IFERROR(VLOOKUP(Tabla1[[#This Row],[MEDICAMENTO]],TAB_REF!$B$3:$F$27,5,0), "")</f>
        <v>Caja x 10 unidades</v>
      </c>
      <c r="AD1168" s="10" t="str">
        <f>IFERROR(VLOOKUP(Tabla1[[#This Row],[CANTIDAD UND COMERCIALES]],TAB_REF!$H$3:$I$1003,2,0)&amp;" ("&amp;Tabla1[[#This Row],[CANTIDAD UND COMERCIALES]]&amp;")"&amp;"_"&amp;Tabla1[[#This Row],[CANTIDAD]],"")</f>
        <v>Cien (100)_Caja x 10 unidades</v>
      </c>
    </row>
    <row r="1169" spans="2:30" x14ac:dyDescent="0.25">
      <c r="B1169" s="10">
        <v>495</v>
      </c>
      <c r="C1169" s="10" t="s">
        <v>4226</v>
      </c>
      <c r="D1169" s="10" t="s">
        <v>4227</v>
      </c>
      <c r="E1169" s="10" t="s">
        <v>4228</v>
      </c>
      <c r="F1169" s="10" t="s">
        <v>4229</v>
      </c>
      <c r="G1169" s="10" t="s">
        <v>4230</v>
      </c>
      <c r="H1169" s="10" t="s">
        <v>4231</v>
      </c>
      <c r="I1169" s="10" t="s">
        <v>2113</v>
      </c>
      <c r="J1169" s="10" t="s">
        <v>1442</v>
      </c>
      <c r="K1169" s="10" t="s">
        <v>4232</v>
      </c>
      <c r="L1169" s="11">
        <v>202124101731352</v>
      </c>
      <c r="M1169" s="20">
        <v>44453</v>
      </c>
      <c r="N1169" s="11" t="str">
        <f>UPPER(TEXT(Tabla1[[#This Row],[FECHA RADICADO ENTRADA]],"MMM"))</f>
        <v>SEP</v>
      </c>
      <c r="Q1169" s="20" t="str">
        <f>IFERROR(UPPER(TEXT(MONTH(Tabla1[[#This Row],[FECHA RADICADO SALIDA]]),"MMM")),"")</f>
        <v>ENE</v>
      </c>
      <c r="R1169" s="26">
        <f t="shared" si="86"/>
        <v>44453</v>
      </c>
      <c r="S1169" s="10" t="s">
        <v>2154</v>
      </c>
      <c r="U1169" s="10" t="s">
        <v>4233</v>
      </c>
      <c r="V1169" s="20">
        <v>43700</v>
      </c>
      <c r="W1169" s="10" t="s">
        <v>38</v>
      </c>
      <c r="X1169" s="10">
        <v>180</v>
      </c>
      <c r="Y1169" s="11">
        <f>IFERROR(INT(Tabla1[[#This Row],[CANTIDAD UND FARMACEUTICAS]]/(VLOOKUP(Tabla1[[#This Row],[MEDICAMENTO]],TAB_REF!$K$3:$L$27,2,0))),"")</f>
        <v>9</v>
      </c>
      <c r="Z1169" s="26" t="str">
        <f>IFERROR(VLOOKUP(Tabla1[[#This Row],[MEDICAMENTO]],TAB_REF!$B$3:$F$27,2,0), "")</f>
        <v xml:space="preserve">Hidromorfona HCl </v>
      </c>
      <c r="AA1169" s="26" t="str">
        <f>IFERROR(VLOOKUP(Tabla1[[#This Row],[MEDICAMENTO]],TAB_REF!$B$3:$F$27,3,0), "")</f>
        <v xml:space="preserve">2,5 mg </v>
      </c>
      <c r="AB1169" s="26" t="str">
        <f>IFERROR(VLOOKUP(Tabla1[[#This Row],[MEDICAMENTO]],TAB_REF!$B$3:$F$27,4,0), "")</f>
        <v>Tabletas</v>
      </c>
      <c r="AC1169" s="26" t="str">
        <f>IFERROR(VLOOKUP(Tabla1[[#This Row],[MEDICAMENTO]],TAB_REF!$B$3:$F$27,5,0), "")</f>
        <v>Caja x 20 unidades</v>
      </c>
      <c r="AD1169" s="26" t="str">
        <f>IFERROR(VLOOKUP(Tabla1[[#This Row],[CANTIDAD UND COMERCIALES]],TAB_REF!$H$3:$I$1003,2,0)&amp;" ("&amp;Tabla1[[#This Row],[CANTIDAD UND COMERCIALES]]&amp;")"&amp;"_"&amp;Tabla1[[#This Row],[CANTIDAD]],"")</f>
        <v>Nueve (9)_Caja x 20 unidades</v>
      </c>
    </row>
    <row r="1170" spans="2:30" x14ac:dyDescent="0.25">
      <c r="B1170" s="10">
        <v>495</v>
      </c>
      <c r="C1170" s="10" t="s">
        <v>4226</v>
      </c>
      <c r="D1170" s="10" t="s">
        <v>4227</v>
      </c>
      <c r="E1170" s="10" t="s">
        <v>4228</v>
      </c>
      <c r="F1170" s="10" t="s">
        <v>4229</v>
      </c>
      <c r="G1170" s="10" t="s">
        <v>4230</v>
      </c>
      <c r="H1170" s="10" t="s">
        <v>4231</v>
      </c>
      <c r="I1170" s="10" t="s">
        <v>2113</v>
      </c>
      <c r="J1170" s="10" t="s">
        <v>1442</v>
      </c>
      <c r="K1170" s="10" t="s">
        <v>4232</v>
      </c>
      <c r="L1170" s="11">
        <v>202124101731352</v>
      </c>
      <c r="M1170" s="20">
        <v>44453</v>
      </c>
      <c r="N1170" s="20" t="str">
        <f>UPPER(TEXT(Tabla1[[#This Row],[FECHA RADICADO ENTRADA]],"MMM"))</f>
        <v>SEP</v>
      </c>
      <c r="Q1170" s="20" t="str">
        <f>IFERROR(UPPER(TEXT(MONTH(Tabla1[[#This Row],[FECHA RADICADO SALIDA]]),"MMM")),"")</f>
        <v>ENE</v>
      </c>
      <c r="R1170" s="26">
        <f t="shared" ref="R1170:R1173" si="87">_xlfn.DAYS(M1170,P1170)</f>
        <v>44453</v>
      </c>
      <c r="S1170" s="10" t="s">
        <v>2154</v>
      </c>
      <c r="U1170" s="10" t="s">
        <v>4233</v>
      </c>
      <c r="V1170" s="20">
        <v>43700</v>
      </c>
      <c r="W1170" s="10" t="s">
        <v>32</v>
      </c>
      <c r="X1170" s="10">
        <v>120</v>
      </c>
      <c r="Y1170" s="11">
        <f>IFERROR(INT(Tabla1[[#This Row],[CANTIDAD UND FARMACEUTICAS]]/(VLOOKUP(Tabla1[[#This Row],[MEDICAMENTO]],TAB_REF!$K$3:$L$27,2,0))),"")</f>
        <v>4</v>
      </c>
      <c r="Z1170" s="26" t="str">
        <f>IFERROR(VLOOKUP(Tabla1[[#This Row],[MEDICAMENTO]],TAB_REF!$B$3:$F$27,2,0), "")</f>
        <v xml:space="preserve">Fenobarbital </v>
      </c>
      <c r="AA1170" s="26" t="str">
        <f>IFERROR(VLOOKUP(Tabla1[[#This Row],[MEDICAMENTO]],TAB_REF!$B$3:$F$27,3,0), "")</f>
        <v xml:space="preserve">100 mg </v>
      </c>
      <c r="AB1170" s="26" t="str">
        <f>IFERROR(VLOOKUP(Tabla1[[#This Row],[MEDICAMENTO]],TAB_REF!$B$3:$F$27,4,0), "")</f>
        <v>Tabletas</v>
      </c>
      <c r="AC1170" s="26" t="str">
        <f>IFERROR(VLOOKUP(Tabla1[[#This Row],[MEDICAMENTO]],TAB_REF!$B$3:$F$27,5,0), "")</f>
        <v>Caja x 30 unidades</v>
      </c>
      <c r="AD1170" s="26" t="str">
        <f>IFERROR(VLOOKUP(Tabla1[[#This Row],[CANTIDAD UND COMERCIALES]],TAB_REF!$H$3:$I$1003,2,0)&amp;" ("&amp;Tabla1[[#This Row],[CANTIDAD UND COMERCIALES]]&amp;")"&amp;"_"&amp;Tabla1[[#This Row],[CANTIDAD]],"")</f>
        <v>Cuatro (4)_Caja x 30 unidades</v>
      </c>
    </row>
    <row r="1171" spans="2:30" x14ac:dyDescent="0.25">
      <c r="B1171" s="10">
        <v>495</v>
      </c>
      <c r="C1171" s="10" t="s">
        <v>4226</v>
      </c>
      <c r="D1171" s="10" t="s">
        <v>4227</v>
      </c>
      <c r="E1171" s="10" t="s">
        <v>4228</v>
      </c>
      <c r="F1171" s="10" t="s">
        <v>4229</v>
      </c>
      <c r="G1171" s="10" t="s">
        <v>4230</v>
      </c>
      <c r="H1171" s="10" t="s">
        <v>4231</v>
      </c>
      <c r="I1171" s="10" t="s">
        <v>2113</v>
      </c>
      <c r="J1171" s="10" t="s">
        <v>1442</v>
      </c>
      <c r="K1171" s="10" t="s">
        <v>4232</v>
      </c>
      <c r="L1171" s="11">
        <v>202124101731352</v>
      </c>
      <c r="M1171" s="20">
        <v>44453</v>
      </c>
      <c r="N1171" s="20" t="str">
        <f>UPPER(TEXT(Tabla1[[#This Row],[FECHA RADICADO ENTRADA]],"MMM"))</f>
        <v>SEP</v>
      </c>
      <c r="Q1171" s="20" t="str">
        <f>IFERROR(UPPER(TEXT(MONTH(Tabla1[[#This Row],[FECHA RADICADO SALIDA]]),"MMM")),"")</f>
        <v>ENE</v>
      </c>
      <c r="R1171" s="26">
        <f t="shared" si="87"/>
        <v>44453</v>
      </c>
      <c r="S1171" s="10" t="s">
        <v>2154</v>
      </c>
      <c r="U1171" s="10" t="s">
        <v>4233</v>
      </c>
      <c r="V1171" s="20">
        <v>43700</v>
      </c>
      <c r="W1171" s="10" t="s">
        <v>63</v>
      </c>
      <c r="X1171" s="10">
        <v>120</v>
      </c>
      <c r="Y1171" s="11">
        <f>IFERROR(INT(Tabla1[[#This Row],[CANTIDAD UND FARMACEUTICAS]]/(VLOOKUP(Tabla1[[#This Row],[MEDICAMENTO]],TAB_REF!$K$3:$L$27,2,0))),"")</f>
        <v>12</v>
      </c>
      <c r="Z1171" s="26" t="str">
        <f>IFERROR(VLOOKUP(Tabla1[[#This Row],[MEDICAMENTO]],TAB_REF!$B$3:$F$27,2,0), "")</f>
        <v xml:space="preserve">Morfina HCl </v>
      </c>
      <c r="AA1171" s="26" t="str">
        <f>IFERROR(VLOOKUP(Tabla1[[#This Row],[MEDICAMENTO]],TAB_REF!$B$3:$F$27,3,0), "")</f>
        <v xml:space="preserve">10 mg/mL </v>
      </c>
      <c r="AB1171" s="26" t="str">
        <f>IFERROR(VLOOKUP(Tabla1[[#This Row],[MEDICAMENTO]],TAB_REF!$B$3:$F$27,4,0), "")</f>
        <v>Solución Inyectable</v>
      </c>
      <c r="AC1171" s="26" t="str">
        <f>IFERROR(VLOOKUP(Tabla1[[#This Row],[MEDICAMENTO]],TAB_REF!$B$3:$F$27,5,0), "")</f>
        <v>Caja x 10 unidades</v>
      </c>
      <c r="AD1171" s="26" t="str">
        <f>IFERROR(VLOOKUP(Tabla1[[#This Row],[CANTIDAD UND COMERCIALES]],TAB_REF!$H$3:$I$1003,2,0)&amp;" ("&amp;Tabla1[[#This Row],[CANTIDAD UND COMERCIALES]]&amp;")"&amp;"_"&amp;Tabla1[[#This Row],[CANTIDAD]],"")</f>
        <v>Doce (12)_Caja x 10 unidades</v>
      </c>
    </row>
    <row r="1172" spans="2:30" x14ac:dyDescent="0.25">
      <c r="B1172" s="10">
        <v>495</v>
      </c>
      <c r="C1172" s="10" t="s">
        <v>4226</v>
      </c>
      <c r="D1172" s="10" t="s">
        <v>4227</v>
      </c>
      <c r="E1172" s="10" t="s">
        <v>4228</v>
      </c>
      <c r="F1172" s="10" t="s">
        <v>4229</v>
      </c>
      <c r="G1172" s="10" t="s">
        <v>4230</v>
      </c>
      <c r="H1172" s="10" t="s">
        <v>4231</v>
      </c>
      <c r="I1172" s="10" t="s">
        <v>2113</v>
      </c>
      <c r="J1172" s="10" t="s">
        <v>1442</v>
      </c>
      <c r="K1172" s="10" t="s">
        <v>4232</v>
      </c>
      <c r="L1172" s="11">
        <v>202124101731352</v>
      </c>
      <c r="M1172" s="20">
        <v>44453</v>
      </c>
      <c r="N1172" s="20" t="str">
        <f>UPPER(TEXT(Tabla1[[#This Row],[FECHA RADICADO ENTRADA]],"MMM"))</f>
        <v>SEP</v>
      </c>
      <c r="Q1172" s="20" t="str">
        <f>IFERROR(UPPER(TEXT(MONTH(Tabla1[[#This Row],[FECHA RADICADO SALIDA]]),"MMM")),"")</f>
        <v>ENE</v>
      </c>
      <c r="R1172" s="26">
        <f t="shared" si="87"/>
        <v>44453</v>
      </c>
      <c r="S1172" s="10" t="s">
        <v>2154</v>
      </c>
      <c r="U1172" s="10" t="s">
        <v>4233</v>
      </c>
      <c r="V1172" s="20">
        <v>43700</v>
      </c>
      <c r="W1172" s="10" t="s">
        <v>60</v>
      </c>
      <c r="X1172" s="10">
        <v>2</v>
      </c>
      <c r="Y1172" s="11">
        <f>IFERROR(INT(Tabla1[[#This Row],[CANTIDAD UND FARMACEUTICAS]]/(VLOOKUP(Tabla1[[#This Row],[MEDICAMENTO]],TAB_REF!$K$3:$L$27,2,0))),"")</f>
        <v>2</v>
      </c>
      <c r="Z1172" s="26" t="str">
        <f>IFERROR(VLOOKUP(Tabla1[[#This Row],[MEDICAMENTO]],TAB_REF!$B$3:$F$27,2,0), "")</f>
        <v xml:space="preserve">Morfina HCl </v>
      </c>
      <c r="AA1172" s="26" t="str">
        <f>IFERROR(VLOOKUP(Tabla1[[#This Row],[MEDICAMENTO]],TAB_REF!$B$3:$F$27,3,0), "")</f>
        <v xml:space="preserve">3%. </v>
      </c>
      <c r="AB1172" s="26" t="str">
        <f>IFERROR(VLOOKUP(Tabla1[[#This Row],[MEDICAMENTO]],TAB_REF!$B$3:$F$27,4,0), "")</f>
        <v>Solución Oral</v>
      </c>
      <c r="AC1172" s="26" t="str">
        <f>IFERROR(VLOOKUP(Tabla1[[#This Row],[MEDICAMENTO]],TAB_REF!$B$3:$F$27,5,0), "")</f>
        <v>Frasco x 30 mL</v>
      </c>
      <c r="AD1172" s="26" t="str">
        <f>IFERROR(VLOOKUP(Tabla1[[#This Row],[CANTIDAD UND COMERCIALES]],TAB_REF!$H$3:$I$1003,2,0)&amp;" ("&amp;Tabla1[[#This Row],[CANTIDAD UND COMERCIALES]]&amp;")"&amp;"_"&amp;Tabla1[[#This Row],[CANTIDAD]],"")</f>
        <v>Dos (2)_Frasco x 30 mL</v>
      </c>
    </row>
    <row r="1173" spans="2:30" x14ac:dyDescent="0.25">
      <c r="B1173" s="10">
        <v>495</v>
      </c>
      <c r="C1173" s="10" t="s">
        <v>4226</v>
      </c>
      <c r="D1173" s="10" t="s">
        <v>4227</v>
      </c>
      <c r="E1173" s="10" t="s">
        <v>4228</v>
      </c>
      <c r="F1173" s="10" t="s">
        <v>4229</v>
      </c>
      <c r="G1173" s="10" t="s">
        <v>4230</v>
      </c>
      <c r="H1173" s="10" t="s">
        <v>4231</v>
      </c>
      <c r="I1173" s="10" t="s">
        <v>2113</v>
      </c>
      <c r="J1173" s="10" t="s">
        <v>1442</v>
      </c>
      <c r="K1173" s="10" t="s">
        <v>4232</v>
      </c>
      <c r="L1173" s="11">
        <v>202124101731352</v>
      </c>
      <c r="M1173" s="20">
        <v>44453</v>
      </c>
      <c r="N1173" s="20" t="str">
        <f>UPPER(TEXT(Tabla1[[#This Row],[FECHA RADICADO ENTRADA]],"MMM"))</f>
        <v>SEP</v>
      </c>
      <c r="Q1173" s="20" t="str">
        <f>IFERROR(UPPER(TEXT(MONTH(Tabla1[[#This Row],[FECHA RADICADO SALIDA]]),"MMM")),"")</f>
        <v>ENE</v>
      </c>
      <c r="R1173" s="26">
        <f t="shared" si="87"/>
        <v>44453</v>
      </c>
      <c r="S1173" s="10" t="s">
        <v>2154</v>
      </c>
      <c r="U1173" s="10" t="s">
        <v>4233</v>
      </c>
      <c r="V1173" s="20">
        <v>43700</v>
      </c>
      <c r="W1173" s="10" t="s">
        <v>48</v>
      </c>
      <c r="X1173" s="10">
        <v>60</v>
      </c>
      <c r="Y1173" s="11">
        <f>IFERROR(INT(Tabla1[[#This Row],[CANTIDAD UND FARMACEUTICAS]]/(VLOOKUP(Tabla1[[#This Row],[MEDICAMENTO]],TAB_REF!$K$3:$L$27,2,0))),"")</f>
        <v>2</v>
      </c>
      <c r="Z1173" s="26" t="str">
        <f>IFERROR(VLOOKUP(Tabla1[[#This Row],[MEDICAMENTO]],TAB_REF!$B$3:$F$27,2,0), "")</f>
        <v xml:space="preserve">Metilfenidato HCl </v>
      </c>
      <c r="AA1173" s="26" t="str">
        <f>IFERROR(VLOOKUP(Tabla1[[#This Row],[MEDICAMENTO]],TAB_REF!$B$3:$F$27,3,0), "")</f>
        <v xml:space="preserve">10 mg </v>
      </c>
      <c r="AB1173" s="26" t="str">
        <f>IFERROR(VLOOKUP(Tabla1[[#This Row],[MEDICAMENTO]],TAB_REF!$B$3:$F$27,4,0), "")</f>
        <v>Comprimidos</v>
      </c>
      <c r="AC1173" s="26" t="str">
        <f>IFERROR(VLOOKUP(Tabla1[[#This Row],[MEDICAMENTO]],TAB_REF!$B$3:$F$27,5,0), "")</f>
        <v>Caja x 30 unidades</v>
      </c>
      <c r="AD1173" s="26" t="str">
        <f>IFERROR(VLOOKUP(Tabla1[[#This Row],[CANTIDAD UND COMERCIALES]],TAB_REF!$H$3:$I$1003,2,0)&amp;" ("&amp;Tabla1[[#This Row],[CANTIDAD UND COMERCIALES]]&amp;")"&amp;"_"&amp;Tabla1[[#This Row],[CANTIDAD]],"")</f>
        <v>Dos (2)_Caja x 30 unidades</v>
      </c>
    </row>
    <row r="1174" spans="2:30" x14ac:dyDescent="0.25">
      <c r="B1174" s="10">
        <v>496</v>
      </c>
      <c r="C1174" s="10" t="s">
        <v>2217</v>
      </c>
      <c r="D1174" s="10" t="s">
        <v>2162</v>
      </c>
      <c r="E1174" s="10" t="s">
        <v>2946</v>
      </c>
      <c r="F1174" s="10" t="s">
        <v>2273</v>
      </c>
      <c r="G1174" s="10" t="s">
        <v>2219</v>
      </c>
      <c r="H1174" s="10" t="s">
        <v>4028</v>
      </c>
      <c r="I1174" s="10" t="s">
        <v>2122</v>
      </c>
      <c r="J1174" s="10" t="s">
        <v>1748</v>
      </c>
      <c r="K1174" s="10" t="s">
        <v>3167</v>
      </c>
      <c r="L1174" s="11">
        <v>202124101733562</v>
      </c>
      <c r="M1174" s="20">
        <v>44453</v>
      </c>
      <c r="N1174" s="11" t="str">
        <f>UPPER(TEXT(Tabla1[[#This Row],[FECHA RADICADO ENTRADA]],"MMM"))</f>
        <v>SEP</v>
      </c>
      <c r="O1174" s="11"/>
      <c r="P1174" s="20"/>
      <c r="Q1174" s="26" t="str">
        <f>IFERROR(UPPER(TEXT(MONTH(Tabla1[[#This Row],[FECHA RADICADO SALIDA]]),"MMM")),"")</f>
        <v>ENE</v>
      </c>
      <c r="R1174" s="10">
        <f t="shared" ref="R1174" si="88">_xlfn.DAYS(M1174,P1174)</f>
        <v>44453</v>
      </c>
      <c r="S1174" s="10" t="s">
        <v>2154</v>
      </c>
      <c r="U1174" s="10" t="s">
        <v>2274</v>
      </c>
      <c r="V1174" s="20">
        <v>43751</v>
      </c>
      <c r="W1174" s="10" t="s">
        <v>41</v>
      </c>
      <c r="X1174" s="10">
        <v>20</v>
      </c>
      <c r="Y1174" s="10">
        <f>IFERROR(INT(Tabla1[[#This Row],[CANTIDAD UND FARMACEUTICAS]]/(VLOOKUP(Tabla1[[#This Row],[MEDICAMENTO]],TAB_REF!$K$3:$L$27,2,0))),"")</f>
        <v>2</v>
      </c>
      <c r="Z1174" s="10" t="str">
        <f>IFERROR(VLOOKUP(Tabla1[[#This Row],[MEDICAMENTO]],TAB_REF!$B$3:$F$27,2,0), "")</f>
        <v xml:space="preserve">Meperidina HCl </v>
      </c>
      <c r="AA1174" s="10" t="str">
        <f>IFERROR(VLOOKUP(Tabla1[[#This Row],[MEDICAMENTO]],TAB_REF!$B$3:$F$27,3,0), "")</f>
        <v xml:space="preserve">100 mg/2mL </v>
      </c>
      <c r="AB1174" s="10" t="str">
        <f>IFERROR(VLOOKUP(Tabla1[[#This Row],[MEDICAMENTO]],TAB_REF!$B$3:$F$27,4,0), "")</f>
        <v>Solución Inyectable</v>
      </c>
      <c r="AC1174" s="10" t="str">
        <f>IFERROR(VLOOKUP(Tabla1[[#This Row],[MEDICAMENTO]],TAB_REF!$B$3:$F$27,5,0), "")</f>
        <v>Caja 10 ampollas</v>
      </c>
      <c r="AD1174" s="10" t="str">
        <f>IFERROR(VLOOKUP(Tabla1[[#This Row],[CANTIDAD UND COMERCIALES]],TAB_REF!$H$3:$I$1003,2,0)&amp;" ("&amp;Tabla1[[#This Row],[CANTIDAD UND COMERCIALES]]&amp;")"&amp;"_"&amp;Tabla1[[#This Row],[CANTIDAD]],"")</f>
        <v>Dos (2)_Caja 10 ampollas</v>
      </c>
    </row>
    <row r="1175" spans="2:30" x14ac:dyDescent="0.25">
      <c r="B1175" s="10">
        <v>496</v>
      </c>
      <c r="C1175" s="10" t="s">
        <v>2217</v>
      </c>
      <c r="D1175" s="10" t="s">
        <v>2162</v>
      </c>
      <c r="E1175" s="10" t="s">
        <v>2946</v>
      </c>
      <c r="F1175" s="10" t="s">
        <v>2273</v>
      </c>
      <c r="G1175" s="10" t="s">
        <v>2219</v>
      </c>
      <c r="H1175" s="10" t="s">
        <v>4028</v>
      </c>
      <c r="I1175" s="10" t="s">
        <v>2122</v>
      </c>
      <c r="J1175" s="10" t="s">
        <v>1748</v>
      </c>
      <c r="K1175" s="10" t="s">
        <v>3167</v>
      </c>
      <c r="L1175" s="11">
        <v>202124101733562</v>
      </c>
      <c r="M1175" s="20">
        <v>44453</v>
      </c>
      <c r="N1175" s="11" t="str">
        <f>UPPER(TEXT(Tabla1[[#This Row],[FECHA RADICADO ENTRADA]],"MMM"))</f>
        <v>SEP</v>
      </c>
      <c r="O1175" s="11"/>
      <c r="P1175" s="20"/>
      <c r="Q1175" s="26" t="str">
        <f>IFERROR(UPPER(TEXT(MONTH(Tabla1[[#This Row],[FECHA RADICADO SALIDA]]),"MMM")),"")</f>
        <v>ENE</v>
      </c>
      <c r="R1175" s="10">
        <f t="shared" ref="R1175:R1197" si="89">_xlfn.DAYS(M1175,P1175)</f>
        <v>44453</v>
      </c>
      <c r="S1175" s="10" t="s">
        <v>2154</v>
      </c>
      <c r="U1175" s="10" t="s">
        <v>2274</v>
      </c>
      <c r="V1175" s="20">
        <v>43751</v>
      </c>
      <c r="W1175" s="10" t="s">
        <v>63</v>
      </c>
      <c r="X1175" s="10">
        <v>10</v>
      </c>
      <c r="Y1175" s="10">
        <f>IFERROR(INT(Tabla1[[#This Row],[CANTIDAD UND FARMACEUTICAS]]/(VLOOKUP(Tabla1[[#This Row],[MEDICAMENTO]],TAB_REF!$K$3:$L$27,2,0))),"")</f>
        <v>1</v>
      </c>
      <c r="Z1175" s="10" t="str">
        <f>IFERROR(VLOOKUP(Tabla1[[#This Row],[MEDICAMENTO]],TAB_REF!$B$3:$F$27,2,0), "")</f>
        <v xml:space="preserve">Morfina HCl </v>
      </c>
      <c r="AA1175" s="10" t="str">
        <f>IFERROR(VLOOKUP(Tabla1[[#This Row],[MEDICAMENTO]],TAB_REF!$B$3:$F$27,3,0), "")</f>
        <v xml:space="preserve">10 mg/mL </v>
      </c>
      <c r="AB1175" s="10" t="str">
        <f>IFERROR(VLOOKUP(Tabla1[[#This Row],[MEDICAMENTO]],TAB_REF!$B$3:$F$27,4,0), "")</f>
        <v>Solución Inyectable</v>
      </c>
      <c r="AC1175" s="10" t="str">
        <f>IFERROR(VLOOKUP(Tabla1[[#This Row],[MEDICAMENTO]],TAB_REF!$B$3:$F$27,5,0), "")</f>
        <v>Caja x 10 unidades</v>
      </c>
      <c r="AD1175" s="10" t="str">
        <f>IFERROR(VLOOKUP(Tabla1[[#This Row],[CANTIDAD UND COMERCIALES]],TAB_REF!$H$3:$I$1003,2,0)&amp;" ("&amp;Tabla1[[#This Row],[CANTIDAD UND COMERCIALES]]&amp;")"&amp;"_"&amp;Tabla1[[#This Row],[CANTIDAD]],"")</f>
        <v>Uno (1)_Caja x 10 unidades</v>
      </c>
    </row>
    <row r="1176" spans="2:30" x14ac:dyDescent="0.25">
      <c r="B1176" s="10">
        <v>496</v>
      </c>
      <c r="C1176" s="10" t="s">
        <v>2217</v>
      </c>
      <c r="D1176" s="10" t="s">
        <v>2162</v>
      </c>
      <c r="E1176" s="10" t="s">
        <v>2946</v>
      </c>
      <c r="F1176" s="10" t="s">
        <v>2273</v>
      </c>
      <c r="G1176" s="10" t="s">
        <v>2219</v>
      </c>
      <c r="H1176" s="10" t="s">
        <v>4028</v>
      </c>
      <c r="I1176" s="10" t="s">
        <v>2122</v>
      </c>
      <c r="J1176" s="10" t="s">
        <v>1748</v>
      </c>
      <c r="K1176" s="10" t="s">
        <v>3167</v>
      </c>
      <c r="L1176" s="11">
        <v>202124101733562</v>
      </c>
      <c r="M1176" s="20">
        <v>44453</v>
      </c>
      <c r="N1176" s="11" t="str">
        <f>UPPER(TEXT(Tabla1[[#This Row],[FECHA RADICADO ENTRADA]],"MMM"))</f>
        <v>SEP</v>
      </c>
      <c r="O1176" s="11"/>
      <c r="P1176" s="20"/>
      <c r="Q1176" s="26" t="str">
        <f>IFERROR(UPPER(TEXT(MONTH(Tabla1[[#This Row],[FECHA RADICADO SALIDA]]),"MMM")),"")</f>
        <v>ENE</v>
      </c>
      <c r="R1176" s="10">
        <f t="shared" si="89"/>
        <v>44453</v>
      </c>
      <c r="S1176" s="10" t="s">
        <v>2145</v>
      </c>
      <c r="T1176" s="10" t="s">
        <v>4249</v>
      </c>
      <c r="U1176" s="10" t="s">
        <v>2274</v>
      </c>
      <c r="V1176" s="20">
        <v>43751</v>
      </c>
      <c r="W1176" s="10" t="s">
        <v>36</v>
      </c>
      <c r="X1176" s="10">
        <v>0</v>
      </c>
      <c r="Y1176" s="10">
        <f>IFERROR(INT(Tabla1[[#This Row],[CANTIDAD UND FARMACEUTICAS]]/(VLOOKUP(Tabla1[[#This Row],[MEDICAMENTO]],TAB_REF!$K$3:$L$27,2,0))),"")</f>
        <v>0</v>
      </c>
      <c r="Z1176" s="10" t="str">
        <f>IFERROR(VLOOKUP(Tabla1[[#This Row],[MEDICAMENTO]],TAB_REF!$B$3:$F$27,2,0), "")</f>
        <v xml:space="preserve">Fenobarbital Sódico </v>
      </c>
      <c r="AA1176" s="10" t="str">
        <f>IFERROR(VLOOKUP(Tabla1[[#This Row],[MEDICAMENTO]],TAB_REF!$B$3:$F$27,3,0), "")</f>
        <v xml:space="preserve">40 mg/mL </v>
      </c>
      <c r="AB1176" s="10" t="str">
        <f>IFERROR(VLOOKUP(Tabla1[[#This Row],[MEDICAMENTO]],TAB_REF!$B$3:$F$27,4,0), "")</f>
        <v>Solución Inyectable</v>
      </c>
      <c r="AC1176" s="10" t="str">
        <f>IFERROR(VLOOKUP(Tabla1[[#This Row],[MEDICAMENTO]],TAB_REF!$B$3:$F$27,5,0), "")</f>
        <v>Caja x 10 unidades</v>
      </c>
      <c r="AD1176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177" spans="2:30" x14ac:dyDescent="0.25">
      <c r="B1177" s="10">
        <v>496</v>
      </c>
      <c r="C1177" s="10" t="s">
        <v>2217</v>
      </c>
      <c r="D1177" s="10" t="s">
        <v>2162</v>
      </c>
      <c r="E1177" s="10" t="s">
        <v>2946</v>
      </c>
      <c r="F1177" s="10" t="s">
        <v>2273</v>
      </c>
      <c r="G1177" s="10" t="s">
        <v>2219</v>
      </c>
      <c r="H1177" s="10" t="s">
        <v>4028</v>
      </c>
      <c r="I1177" s="10" t="s">
        <v>2122</v>
      </c>
      <c r="J1177" s="10" t="s">
        <v>1748</v>
      </c>
      <c r="K1177" s="10" t="s">
        <v>3167</v>
      </c>
      <c r="L1177" s="11">
        <v>202124101733562</v>
      </c>
      <c r="M1177" s="20">
        <v>44453</v>
      </c>
      <c r="N1177" s="11" t="str">
        <f>UPPER(TEXT(Tabla1[[#This Row],[FECHA RADICADO ENTRADA]],"MMM"))</f>
        <v>SEP</v>
      </c>
      <c r="O1177" s="11"/>
      <c r="P1177" s="20"/>
      <c r="Q1177" s="26" t="str">
        <f>IFERROR(UPPER(TEXT(MONTH(Tabla1[[#This Row],[FECHA RADICADO SALIDA]]),"MMM")),"")</f>
        <v>ENE</v>
      </c>
      <c r="R1177" s="10">
        <f t="shared" si="89"/>
        <v>44453</v>
      </c>
      <c r="S1177" s="10" t="s">
        <v>2154</v>
      </c>
      <c r="U1177" s="10" t="s">
        <v>2274</v>
      </c>
      <c r="V1177" s="20">
        <v>43751</v>
      </c>
      <c r="W1177" s="10" t="s">
        <v>60</v>
      </c>
      <c r="X1177" s="10">
        <v>3</v>
      </c>
      <c r="Y1177" s="10">
        <f>IFERROR(INT(Tabla1[[#This Row],[CANTIDAD UND FARMACEUTICAS]]/(VLOOKUP(Tabla1[[#This Row],[MEDICAMENTO]],TAB_REF!$K$3:$L$27,2,0))),"")</f>
        <v>3</v>
      </c>
      <c r="Z1177" s="10" t="str">
        <f>IFERROR(VLOOKUP(Tabla1[[#This Row],[MEDICAMENTO]],TAB_REF!$B$3:$F$27,2,0), "")</f>
        <v xml:space="preserve">Morfina HCl </v>
      </c>
      <c r="AA1177" s="10" t="str">
        <f>IFERROR(VLOOKUP(Tabla1[[#This Row],[MEDICAMENTO]],TAB_REF!$B$3:$F$27,3,0), "")</f>
        <v xml:space="preserve">3%. </v>
      </c>
      <c r="AB1177" s="10" t="str">
        <f>IFERROR(VLOOKUP(Tabla1[[#This Row],[MEDICAMENTO]],TAB_REF!$B$3:$F$27,4,0), "")</f>
        <v>Solución Oral</v>
      </c>
      <c r="AC1177" s="10" t="str">
        <f>IFERROR(VLOOKUP(Tabla1[[#This Row],[MEDICAMENTO]],TAB_REF!$B$3:$F$27,5,0), "")</f>
        <v>Frasco x 30 mL</v>
      </c>
      <c r="AD1177" s="10" t="str">
        <f>IFERROR(VLOOKUP(Tabla1[[#This Row],[CANTIDAD UND COMERCIALES]],TAB_REF!$H$3:$I$1003,2,0)&amp;" ("&amp;Tabla1[[#This Row],[CANTIDAD UND COMERCIALES]]&amp;")"&amp;"_"&amp;Tabla1[[#This Row],[CANTIDAD]],"")</f>
        <v>Tres (3)_Frasco x 30 mL</v>
      </c>
    </row>
    <row r="1178" spans="2:30" x14ac:dyDescent="0.25">
      <c r="B1178" s="10">
        <v>497</v>
      </c>
      <c r="C1178" s="10" t="s">
        <v>3087</v>
      </c>
      <c r="D1178" s="10" t="s">
        <v>2546</v>
      </c>
      <c r="E1178" s="10" t="s">
        <v>3088</v>
      </c>
      <c r="F1178" s="10" t="s">
        <v>4234</v>
      </c>
      <c r="G1178" s="10" t="s">
        <v>3090</v>
      </c>
      <c r="H1178" t="s">
        <v>4235</v>
      </c>
      <c r="I1178" s="10" t="s">
        <v>2113</v>
      </c>
      <c r="J1178" s="10" t="s">
        <v>1442</v>
      </c>
      <c r="K1178" s="10" t="s">
        <v>3092</v>
      </c>
      <c r="L1178" s="11">
        <v>202124101739132</v>
      </c>
      <c r="M1178" s="20">
        <v>44454</v>
      </c>
      <c r="N1178" s="20" t="str">
        <f>UPPER(TEXT(Tabla1[[#This Row],[FECHA RADICADO ENTRADA]],"MMM"))</f>
        <v>SEP</v>
      </c>
      <c r="O1178" s="11"/>
      <c r="P1178" s="20"/>
      <c r="Q1178" s="20" t="str">
        <f>UPPER(TEXT(Tabla1[[#This Row],[FECHA RADICADO ENTRADA]],"MMM"))</f>
        <v>SEP</v>
      </c>
      <c r="R1178" s="10">
        <f t="shared" si="89"/>
        <v>44454</v>
      </c>
      <c r="S1178" s="10" t="s">
        <v>2145</v>
      </c>
      <c r="T1178" s="10" t="s">
        <v>4248</v>
      </c>
      <c r="U1178" s="10" t="s">
        <v>3094</v>
      </c>
      <c r="V1178" s="20">
        <v>44165</v>
      </c>
      <c r="W1178" s="10" t="s">
        <v>30</v>
      </c>
      <c r="X1178" s="10">
        <v>90</v>
      </c>
      <c r="Y1178" s="10">
        <f>IFERROR(INT(Tabla1[[#This Row],[CANTIDAD UND FARMACEUTICAS]]/(VLOOKUP(Tabla1[[#This Row],[MEDICAMENTO]],TAB_REF!$K$3:$L$27,2,0))),"")</f>
        <v>3</v>
      </c>
      <c r="Z1178" s="10" t="str">
        <f>IFERROR(VLOOKUP(Tabla1[[#This Row],[MEDICAMENTO]],TAB_REF!$B$3:$F$27,2,0), "")</f>
        <v xml:space="preserve">Fenobarbital </v>
      </c>
      <c r="AA1178" s="10" t="str">
        <f>IFERROR(VLOOKUP(Tabla1[[#This Row],[MEDICAMENTO]],TAB_REF!$B$3:$F$27,3,0), "")</f>
        <v xml:space="preserve">10 mg </v>
      </c>
      <c r="AB1178" s="10" t="str">
        <f>IFERROR(VLOOKUP(Tabla1[[#This Row],[MEDICAMENTO]],TAB_REF!$B$3:$F$27,4,0), "")</f>
        <v>Tabletas</v>
      </c>
      <c r="AC1178" s="10" t="str">
        <f>IFERROR(VLOOKUP(Tabla1[[#This Row],[MEDICAMENTO]],TAB_REF!$B$3:$F$27,5,0), "")</f>
        <v>Caja x 30 unidades</v>
      </c>
      <c r="AD1178" s="10" t="str">
        <f>IFERROR(VLOOKUP(Tabla1[[#This Row],[CANTIDAD UND COMERCIALES]],TAB_REF!$H$3:$I$1003,2,0)&amp;" ("&amp;Tabla1[[#This Row],[CANTIDAD UND COMERCIALES]]&amp;")"&amp;"_"&amp;Tabla1[[#This Row],[CANTIDAD]],"")</f>
        <v>Tres (3)_Caja x 30 unidades</v>
      </c>
    </row>
    <row r="1179" spans="2:30" x14ac:dyDescent="0.25">
      <c r="B1179" s="10">
        <v>497</v>
      </c>
      <c r="C1179" s="10" t="s">
        <v>3087</v>
      </c>
      <c r="D1179" s="10" t="s">
        <v>2546</v>
      </c>
      <c r="E1179" s="10" t="s">
        <v>3088</v>
      </c>
      <c r="F1179" s="10" t="s">
        <v>4234</v>
      </c>
      <c r="G1179" s="10" t="s">
        <v>3090</v>
      </c>
      <c r="H1179" t="s">
        <v>4235</v>
      </c>
      <c r="I1179" s="10" t="s">
        <v>2113</v>
      </c>
      <c r="J1179" s="10" t="s">
        <v>1442</v>
      </c>
      <c r="K1179" s="10" t="s">
        <v>3092</v>
      </c>
      <c r="L1179" s="11">
        <v>202124101739132</v>
      </c>
      <c r="M1179" s="20">
        <v>44454</v>
      </c>
      <c r="N1179" s="20" t="str">
        <f>UPPER(TEXT(Tabla1[[#This Row],[FECHA RADICADO ENTRADA]],"MMM"))</f>
        <v>SEP</v>
      </c>
      <c r="O1179" s="11"/>
      <c r="P1179" s="20"/>
      <c r="Q1179" s="20" t="str">
        <f>UPPER(TEXT(Tabla1[[#This Row],[FECHA RADICADO ENTRADA]],"MMM"))</f>
        <v>SEP</v>
      </c>
      <c r="R1179" s="10">
        <f t="shared" si="89"/>
        <v>44454</v>
      </c>
      <c r="S1179" s="10" t="s">
        <v>2145</v>
      </c>
      <c r="T1179" s="10" t="s">
        <v>4248</v>
      </c>
      <c r="U1179" s="10" t="s">
        <v>3094</v>
      </c>
      <c r="V1179" s="20">
        <v>44165</v>
      </c>
      <c r="W1179" s="10" t="s">
        <v>32</v>
      </c>
      <c r="X1179" s="10">
        <v>500</v>
      </c>
      <c r="Y1179" s="10">
        <f>IFERROR(INT(Tabla1[[#This Row],[CANTIDAD UND FARMACEUTICAS]]/(VLOOKUP(Tabla1[[#This Row],[MEDICAMENTO]],TAB_REF!$K$3:$L$27,2,0))),"")</f>
        <v>16</v>
      </c>
      <c r="Z1179" s="10" t="str">
        <f>IFERROR(VLOOKUP(Tabla1[[#This Row],[MEDICAMENTO]],TAB_REF!$B$3:$F$27,2,0), "")</f>
        <v xml:space="preserve">Fenobarbital </v>
      </c>
      <c r="AA1179" s="10" t="str">
        <f>IFERROR(VLOOKUP(Tabla1[[#This Row],[MEDICAMENTO]],TAB_REF!$B$3:$F$27,3,0), "")</f>
        <v xml:space="preserve">100 mg </v>
      </c>
      <c r="AB1179" s="10" t="str">
        <f>IFERROR(VLOOKUP(Tabla1[[#This Row],[MEDICAMENTO]],TAB_REF!$B$3:$F$27,4,0), "")</f>
        <v>Tabletas</v>
      </c>
      <c r="AC1179" s="10" t="str">
        <f>IFERROR(VLOOKUP(Tabla1[[#This Row],[MEDICAMENTO]],TAB_REF!$B$3:$F$27,5,0), "")</f>
        <v>Caja x 30 unidades</v>
      </c>
      <c r="AD1179" s="10" t="str">
        <f>IFERROR(VLOOKUP(Tabla1[[#This Row],[CANTIDAD UND COMERCIALES]],TAB_REF!$H$3:$I$1003,2,0)&amp;" ("&amp;Tabla1[[#This Row],[CANTIDAD UND COMERCIALES]]&amp;")"&amp;"_"&amp;Tabla1[[#This Row],[CANTIDAD]],"")</f>
        <v>Dieciseis (16)_Caja x 30 unidades</v>
      </c>
    </row>
    <row r="1180" spans="2:30" x14ac:dyDescent="0.25">
      <c r="B1180" s="10">
        <v>497</v>
      </c>
      <c r="C1180" s="10" t="s">
        <v>3087</v>
      </c>
      <c r="D1180" s="10" t="s">
        <v>2546</v>
      </c>
      <c r="E1180" s="10" t="s">
        <v>3088</v>
      </c>
      <c r="F1180" s="10" t="s">
        <v>4234</v>
      </c>
      <c r="G1180" s="10" t="s">
        <v>3090</v>
      </c>
      <c r="H1180" t="s">
        <v>4235</v>
      </c>
      <c r="I1180" s="10" t="s">
        <v>2113</v>
      </c>
      <c r="J1180" s="10" t="s">
        <v>1442</v>
      </c>
      <c r="K1180" s="10" t="s">
        <v>3092</v>
      </c>
      <c r="L1180" s="11">
        <v>202124101739132</v>
      </c>
      <c r="M1180" s="20">
        <v>44454</v>
      </c>
      <c r="N1180" s="20" t="str">
        <f>UPPER(TEXT(Tabla1[[#This Row],[FECHA RADICADO ENTRADA]],"MMM"))</f>
        <v>SEP</v>
      </c>
      <c r="O1180" s="11"/>
      <c r="P1180" s="20"/>
      <c r="Q1180" s="20" t="str">
        <f>UPPER(TEXT(Tabla1[[#This Row],[FECHA RADICADO ENTRADA]],"MMM"))</f>
        <v>SEP</v>
      </c>
      <c r="R1180" s="10">
        <f t="shared" si="89"/>
        <v>44454</v>
      </c>
      <c r="S1180" s="10" t="s">
        <v>2145</v>
      </c>
      <c r="T1180" s="10" t="s">
        <v>4248</v>
      </c>
      <c r="U1180" s="10" t="s">
        <v>3094</v>
      </c>
      <c r="V1180" s="20">
        <v>44165</v>
      </c>
      <c r="W1180" s="10" t="s">
        <v>48</v>
      </c>
      <c r="X1180" s="10">
        <v>180</v>
      </c>
      <c r="Y1180" s="10">
        <f>IFERROR(INT(Tabla1[[#This Row],[CANTIDAD UND FARMACEUTICAS]]/(VLOOKUP(Tabla1[[#This Row],[MEDICAMENTO]],TAB_REF!$K$3:$L$27,2,0))),"")</f>
        <v>6</v>
      </c>
      <c r="Z1180" s="10" t="str">
        <f>IFERROR(VLOOKUP(Tabla1[[#This Row],[MEDICAMENTO]],TAB_REF!$B$3:$F$27,2,0), "")</f>
        <v xml:space="preserve">Metilfenidato HCl </v>
      </c>
      <c r="AA1180" s="10" t="str">
        <f>IFERROR(VLOOKUP(Tabla1[[#This Row],[MEDICAMENTO]],TAB_REF!$B$3:$F$27,3,0), "")</f>
        <v xml:space="preserve">10 mg </v>
      </c>
      <c r="AB1180" s="10" t="str">
        <f>IFERROR(VLOOKUP(Tabla1[[#This Row],[MEDICAMENTO]],TAB_REF!$B$3:$F$27,4,0), "")</f>
        <v>Comprimidos</v>
      </c>
      <c r="AC1180" s="10" t="str">
        <f>IFERROR(VLOOKUP(Tabla1[[#This Row],[MEDICAMENTO]],TAB_REF!$B$3:$F$27,5,0), "")</f>
        <v>Caja x 30 unidades</v>
      </c>
      <c r="AD1180" s="10" t="str">
        <f>IFERROR(VLOOKUP(Tabla1[[#This Row],[CANTIDAD UND COMERCIALES]],TAB_REF!$H$3:$I$1003,2,0)&amp;" ("&amp;Tabla1[[#This Row],[CANTIDAD UND COMERCIALES]]&amp;")"&amp;"_"&amp;Tabla1[[#This Row],[CANTIDAD]],"")</f>
        <v>Seis (6)_Caja x 30 unidades</v>
      </c>
    </row>
    <row r="1181" spans="2:30" x14ac:dyDescent="0.25">
      <c r="B1181" s="10">
        <v>497</v>
      </c>
      <c r="C1181" s="10" t="s">
        <v>3087</v>
      </c>
      <c r="D1181" s="10" t="s">
        <v>2546</v>
      </c>
      <c r="E1181" s="10" t="s">
        <v>3088</v>
      </c>
      <c r="F1181" s="10" t="s">
        <v>4234</v>
      </c>
      <c r="G1181" s="10" t="s">
        <v>3090</v>
      </c>
      <c r="H1181" t="s">
        <v>4235</v>
      </c>
      <c r="I1181" s="10" t="s">
        <v>2113</v>
      </c>
      <c r="J1181" s="10" t="s">
        <v>1442</v>
      </c>
      <c r="K1181" s="10" t="s">
        <v>3092</v>
      </c>
      <c r="L1181" s="11">
        <v>202124101739132</v>
      </c>
      <c r="M1181" s="20">
        <v>44454</v>
      </c>
      <c r="N1181" s="20" t="str">
        <f>UPPER(TEXT(Tabla1[[#This Row],[FECHA RADICADO ENTRADA]],"MMM"))</f>
        <v>SEP</v>
      </c>
      <c r="O1181" s="11"/>
      <c r="P1181" s="20"/>
      <c r="Q1181" s="20" t="str">
        <f>UPPER(TEXT(Tabla1[[#This Row],[FECHA RADICADO ENTRADA]],"MMM"))</f>
        <v>SEP</v>
      </c>
      <c r="R1181" s="10">
        <f t="shared" si="89"/>
        <v>44454</v>
      </c>
      <c r="S1181" s="10" t="s">
        <v>2145</v>
      </c>
      <c r="T1181" s="10" t="s">
        <v>4248</v>
      </c>
      <c r="U1181" s="10" t="s">
        <v>3094</v>
      </c>
      <c r="V1181" s="20">
        <v>44165</v>
      </c>
      <c r="W1181" s="10" t="s">
        <v>58</v>
      </c>
      <c r="X1181" s="10">
        <v>6</v>
      </c>
      <c r="Y1181" s="10">
        <f>IFERROR(INT(Tabla1[[#This Row],[CANTIDAD UND FARMACEUTICAS]]/(VLOOKUP(Tabla1[[#This Row],[MEDICAMENTO]],TAB_REF!$K$3:$L$27,2,0))),"")</f>
        <v>6</v>
      </c>
      <c r="Z1181" s="10" t="str">
        <f>IFERROR(VLOOKUP(Tabla1[[#This Row],[MEDICAMENTO]],TAB_REF!$B$3:$F$27,2,0), "")</f>
        <v xml:space="preserve">Morfina HCl </v>
      </c>
      <c r="AA1181" s="10" t="str">
        <f>IFERROR(VLOOKUP(Tabla1[[#This Row],[MEDICAMENTO]],TAB_REF!$B$3:$F$27,3,0), "")</f>
        <v xml:space="preserve">3%. </v>
      </c>
      <c r="AB1181" s="10" t="str">
        <f>IFERROR(VLOOKUP(Tabla1[[#This Row],[MEDICAMENTO]],TAB_REF!$B$3:$F$27,4,0), "")</f>
        <v>Solución Inyectable</v>
      </c>
      <c r="AC1181" s="10" t="str">
        <f>IFERROR(VLOOKUP(Tabla1[[#This Row],[MEDICAMENTO]],TAB_REF!$B$3:$F$27,5,0), "")</f>
        <v>Vial X 20 mL c/u</v>
      </c>
      <c r="AD1181" s="10" t="str">
        <f>IFERROR(VLOOKUP(Tabla1[[#This Row],[CANTIDAD UND COMERCIALES]],TAB_REF!$H$3:$I$1003,2,0)&amp;" ("&amp;Tabla1[[#This Row],[CANTIDAD UND COMERCIALES]]&amp;")"&amp;"_"&amp;Tabla1[[#This Row],[CANTIDAD]],"")</f>
        <v>Seis (6)_Vial X 20 mL c/u</v>
      </c>
    </row>
    <row r="1182" spans="2:30" x14ac:dyDescent="0.25">
      <c r="B1182" s="10">
        <v>498</v>
      </c>
      <c r="C1182" s="10" t="s">
        <v>4236</v>
      </c>
      <c r="D1182" t="s">
        <v>4237</v>
      </c>
      <c r="E1182" t="s">
        <v>4238</v>
      </c>
      <c r="F1182" s="10" t="s">
        <v>4239</v>
      </c>
      <c r="G1182" s="10" t="s">
        <v>4240</v>
      </c>
      <c r="H1182" t="s">
        <v>4241</v>
      </c>
      <c r="I1182" s="10" t="s">
        <v>2107</v>
      </c>
      <c r="J1182" s="10" t="s">
        <v>1212</v>
      </c>
      <c r="K1182" s="10" t="s">
        <v>4242</v>
      </c>
      <c r="L1182" s="11">
        <v>202124101750932</v>
      </c>
      <c r="M1182" s="20">
        <v>44455</v>
      </c>
      <c r="N1182" s="20" t="str">
        <f>UPPER(TEXT(Tabla1[[#This Row],[FECHA RADICADO ENTRADA]],"MMM"))</f>
        <v>SEP</v>
      </c>
      <c r="O1182" s="11"/>
      <c r="P1182" s="20"/>
      <c r="Q1182" s="20" t="str">
        <f>UPPER(TEXT(Tabla1[[#This Row],[FECHA RADICADO ENTRADA]],"MMM"))</f>
        <v>SEP</v>
      </c>
      <c r="R1182" s="10">
        <f t="shared" si="89"/>
        <v>44455</v>
      </c>
      <c r="S1182" s="10" t="s">
        <v>2154</v>
      </c>
      <c r="U1182" s="10" t="s">
        <v>4243</v>
      </c>
      <c r="V1182" s="20">
        <v>42699</v>
      </c>
      <c r="W1182" s="10" t="s">
        <v>63</v>
      </c>
      <c r="X1182" s="10">
        <v>3000</v>
      </c>
      <c r="Y1182" s="10">
        <f>IFERROR(INT(Tabla1[[#This Row],[CANTIDAD UND FARMACEUTICAS]]/(VLOOKUP(Tabla1[[#This Row],[MEDICAMENTO]],TAB_REF!$K$3:$L$27,2,0))),"")</f>
        <v>300</v>
      </c>
      <c r="Z1182" s="10" t="str">
        <f>IFERROR(VLOOKUP(Tabla1[[#This Row],[MEDICAMENTO]],TAB_REF!$B$3:$F$27,2,0), "")</f>
        <v xml:space="preserve">Morfina HCl </v>
      </c>
      <c r="AA1182" s="10" t="str">
        <f>IFERROR(VLOOKUP(Tabla1[[#This Row],[MEDICAMENTO]],TAB_REF!$B$3:$F$27,3,0), "")</f>
        <v xml:space="preserve">10 mg/mL </v>
      </c>
      <c r="AB1182" s="10" t="str">
        <f>IFERROR(VLOOKUP(Tabla1[[#This Row],[MEDICAMENTO]],TAB_REF!$B$3:$F$27,4,0), "")</f>
        <v>Solución Inyectable</v>
      </c>
      <c r="AC1182" s="10" t="str">
        <f>IFERROR(VLOOKUP(Tabla1[[#This Row],[MEDICAMENTO]],TAB_REF!$B$3:$F$27,5,0), "")</f>
        <v>Caja x 10 unidades</v>
      </c>
      <c r="AD1182" s="10" t="str">
        <f>IFERROR(VLOOKUP(Tabla1[[#This Row],[CANTIDAD UND COMERCIALES]],TAB_REF!$H$3:$I$1003,2,0)&amp;" ("&amp;Tabla1[[#This Row],[CANTIDAD UND COMERCIALES]]&amp;")"&amp;"_"&amp;Tabla1[[#This Row],[CANTIDAD]],"")</f>
        <v>Trescientos (300)_Caja x 10 unidades</v>
      </c>
    </row>
    <row r="1183" spans="2:30" x14ac:dyDescent="0.25">
      <c r="B1183" s="10">
        <v>499</v>
      </c>
      <c r="C1183" s="10" t="s">
        <v>4244</v>
      </c>
      <c r="D1183" t="s">
        <v>2182</v>
      </c>
      <c r="E1183" s="10" t="s">
        <v>4245</v>
      </c>
      <c r="F1183" s="10" t="s">
        <v>4234</v>
      </c>
      <c r="G1183" s="10" t="s">
        <v>4246</v>
      </c>
      <c r="H1183" t="s">
        <v>4235</v>
      </c>
      <c r="I1183" s="10" t="s">
        <v>2113</v>
      </c>
      <c r="J1183" s="10" t="s">
        <v>1442</v>
      </c>
      <c r="K1183" s="10" t="s">
        <v>4247</v>
      </c>
      <c r="L1183" s="11">
        <v>202124101759182</v>
      </c>
      <c r="M1183" s="20">
        <v>44456</v>
      </c>
      <c r="N1183" s="20" t="str">
        <f>UPPER(TEXT(Tabla1[[#This Row],[FECHA RADICADO ENTRADA]],"MMM"))</f>
        <v>SEP</v>
      </c>
      <c r="O1183" s="11"/>
      <c r="P1183" s="20"/>
      <c r="Q1183" s="20" t="str">
        <f>UPPER(TEXT(Tabla1[[#This Row],[FECHA RADICADO ENTRADA]],"MMM"))</f>
        <v>SEP</v>
      </c>
      <c r="R1183" s="10">
        <f t="shared" si="89"/>
        <v>44456</v>
      </c>
      <c r="S1183" s="10" t="s">
        <v>2154</v>
      </c>
      <c r="U1183" s="10" t="s">
        <v>3094</v>
      </c>
      <c r="V1183" s="20">
        <v>44165</v>
      </c>
      <c r="W1183" s="10" t="s">
        <v>60</v>
      </c>
      <c r="X1183" s="10">
        <v>6</v>
      </c>
      <c r="Y1183" s="10">
        <f>IFERROR(INT(Tabla1[[#This Row],[CANTIDAD UND FARMACEUTICAS]]/(VLOOKUP(Tabla1[[#This Row],[MEDICAMENTO]],TAB_REF!$K$3:$L$27,2,0))),"")</f>
        <v>6</v>
      </c>
      <c r="Z1183" s="10" t="str">
        <f>IFERROR(VLOOKUP(Tabla1[[#This Row],[MEDICAMENTO]],TAB_REF!$B$3:$F$27,2,0), "")</f>
        <v xml:space="preserve">Morfina HCl </v>
      </c>
      <c r="AA1183" s="10" t="str">
        <f>IFERROR(VLOOKUP(Tabla1[[#This Row],[MEDICAMENTO]],TAB_REF!$B$3:$F$27,3,0), "")</f>
        <v xml:space="preserve">3%. </v>
      </c>
      <c r="AB1183" s="10" t="str">
        <f>IFERROR(VLOOKUP(Tabla1[[#This Row],[MEDICAMENTO]],TAB_REF!$B$3:$F$27,4,0), "")</f>
        <v>Solución Oral</v>
      </c>
      <c r="AC1183" s="10" t="str">
        <f>IFERROR(VLOOKUP(Tabla1[[#This Row],[MEDICAMENTO]],TAB_REF!$B$3:$F$27,5,0), "")</f>
        <v>Frasco x 30 mL</v>
      </c>
      <c r="AD1183" s="10" t="str">
        <f>IFERROR(VLOOKUP(Tabla1[[#This Row],[CANTIDAD UND COMERCIALES]],TAB_REF!$H$3:$I$1003,2,0)&amp;" ("&amp;Tabla1[[#This Row],[CANTIDAD UND COMERCIALES]]&amp;")"&amp;"_"&amp;Tabla1[[#This Row],[CANTIDAD]],"")</f>
        <v>Seis (6)_Frasco x 30 mL</v>
      </c>
    </row>
    <row r="1184" spans="2:30" x14ac:dyDescent="0.25">
      <c r="B1184" s="10">
        <v>499</v>
      </c>
      <c r="C1184" s="10" t="s">
        <v>4244</v>
      </c>
      <c r="D1184" t="s">
        <v>2182</v>
      </c>
      <c r="E1184" s="10" t="s">
        <v>4245</v>
      </c>
      <c r="F1184" s="10" t="s">
        <v>4234</v>
      </c>
      <c r="G1184" s="10" t="s">
        <v>4246</v>
      </c>
      <c r="H1184" t="s">
        <v>4235</v>
      </c>
      <c r="I1184" s="10" t="s">
        <v>2113</v>
      </c>
      <c r="J1184" s="10" t="s">
        <v>1442</v>
      </c>
      <c r="K1184" s="10" t="s">
        <v>4247</v>
      </c>
      <c r="L1184" s="11">
        <v>202124101759182</v>
      </c>
      <c r="M1184" s="20">
        <v>44456</v>
      </c>
      <c r="N1184" s="20" t="str">
        <f>UPPER(TEXT(Tabla1[[#This Row],[FECHA RADICADO ENTRADA]],"MMM"))</f>
        <v>SEP</v>
      </c>
      <c r="O1184" s="11"/>
      <c r="P1184" s="20"/>
      <c r="Q1184" s="20" t="str">
        <f>UPPER(TEXT(Tabla1[[#This Row],[FECHA RADICADO ENTRADA]],"MMM"))</f>
        <v>SEP</v>
      </c>
      <c r="R1184" s="10">
        <f t="shared" si="89"/>
        <v>44456</v>
      </c>
      <c r="S1184" s="10" t="s">
        <v>2154</v>
      </c>
      <c r="U1184" s="10" t="s">
        <v>3094</v>
      </c>
      <c r="V1184" s="20">
        <v>44165</v>
      </c>
      <c r="W1184" s="10" t="s">
        <v>32</v>
      </c>
      <c r="X1184" s="10">
        <v>600</v>
      </c>
      <c r="Y1184" s="10">
        <f>IFERROR(INT(Tabla1[[#This Row],[CANTIDAD UND FARMACEUTICAS]]/(VLOOKUP(Tabla1[[#This Row],[MEDICAMENTO]],TAB_REF!$K$3:$L$27,2,0))),"")</f>
        <v>20</v>
      </c>
      <c r="Z1184" s="10" t="str">
        <f>IFERROR(VLOOKUP(Tabla1[[#This Row],[MEDICAMENTO]],TAB_REF!$B$3:$F$27,2,0), "")</f>
        <v xml:space="preserve">Fenobarbital </v>
      </c>
      <c r="AA1184" s="10" t="str">
        <f>IFERROR(VLOOKUP(Tabla1[[#This Row],[MEDICAMENTO]],TAB_REF!$B$3:$F$27,3,0), "")</f>
        <v xml:space="preserve">100 mg </v>
      </c>
      <c r="AB1184" s="10" t="str">
        <f>IFERROR(VLOOKUP(Tabla1[[#This Row],[MEDICAMENTO]],TAB_REF!$B$3:$F$27,4,0), "")</f>
        <v>Tabletas</v>
      </c>
      <c r="AC1184" s="10" t="str">
        <f>IFERROR(VLOOKUP(Tabla1[[#This Row],[MEDICAMENTO]],TAB_REF!$B$3:$F$27,5,0), "")</f>
        <v>Caja x 30 unidades</v>
      </c>
      <c r="AD1184" s="10" t="str">
        <f>IFERROR(VLOOKUP(Tabla1[[#This Row],[CANTIDAD UND COMERCIALES]],TAB_REF!$H$3:$I$1003,2,0)&amp;" ("&amp;Tabla1[[#This Row],[CANTIDAD UND COMERCIALES]]&amp;")"&amp;"_"&amp;Tabla1[[#This Row],[CANTIDAD]],"")</f>
        <v>Veinte (20)_Caja x 30 unidades</v>
      </c>
    </row>
    <row r="1185" spans="2:30" x14ac:dyDescent="0.25">
      <c r="B1185" s="10">
        <v>499</v>
      </c>
      <c r="C1185" s="10" t="s">
        <v>4244</v>
      </c>
      <c r="D1185" t="s">
        <v>2182</v>
      </c>
      <c r="E1185" s="10" t="s">
        <v>4245</v>
      </c>
      <c r="F1185" s="10" t="s">
        <v>4234</v>
      </c>
      <c r="G1185" s="10" t="s">
        <v>4246</v>
      </c>
      <c r="H1185" t="s">
        <v>4235</v>
      </c>
      <c r="I1185" s="10" t="s">
        <v>2113</v>
      </c>
      <c r="J1185" s="10" t="s">
        <v>1442</v>
      </c>
      <c r="K1185" s="10" t="s">
        <v>4247</v>
      </c>
      <c r="L1185" s="11">
        <v>202124101759182</v>
      </c>
      <c r="M1185" s="20">
        <v>44456</v>
      </c>
      <c r="N1185" s="20" t="str">
        <f>UPPER(TEXT(Tabla1[[#This Row],[FECHA RADICADO ENTRADA]],"MMM"))</f>
        <v>SEP</v>
      </c>
      <c r="O1185" s="11"/>
      <c r="P1185" s="20"/>
      <c r="Q1185" s="20" t="str">
        <f>UPPER(TEXT(Tabla1[[#This Row],[FECHA RADICADO ENTRADA]],"MMM"))</f>
        <v>SEP</v>
      </c>
      <c r="R1185" s="10">
        <f t="shared" si="89"/>
        <v>44456</v>
      </c>
      <c r="S1185" s="10" t="s">
        <v>2154</v>
      </c>
      <c r="U1185" s="10" t="s">
        <v>3094</v>
      </c>
      <c r="V1185" s="20">
        <v>44165</v>
      </c>
      <c r="W1185" s="10" t="s">
        <v>48</v>
      </c>
      <c r="X1185" s="10">
        <v>210</v>
      </c>
      <c r="Y1185" s="10">
        <f>IFERROR(INT(Tabla1[[#This Row],[CANTIDAD UND FARMACEUTICAS]]/(VLOOKUP(Tabla1[[#This Row],[MEDICAMENTO]],TAB_REF!$K$3:$L$27,2,0))),"")</f>
        <v>7</v>
      </c>
      <c r="Z1185" s="10" t="str">
        <f>IFERROR(VLOOKUP(Tabla1[[#This Row],[MEDICAMENTO]],TAB_REF!$B$3:$F$27,2,0), "")</f>
        <v xml:space="preserve">Metilfenidato HCl </v>
      </c>
      <c r="AA1185" s="10" t="str">
        <f>IFERROR(VLOOKUP(Tabla1[[#This Row],[MEDICAMENTO]],TAB_REF!$B$3:$F$27,3,0), "")</f>
        <v xml:space="preserve">10 mg </v>
      </c>
      <c r="AB1185" s="10" t="str">
        <f>IFERROR(VLOOKUP(Tabla1[[#This Row],[MEDICAMENTO]],TAB_REF!$B$3:$F$27,4,0), "")</f>
        <v>Comprimidos</v>
      </c>
      <c r="AC1185" s="10" t="str">
        <f>IFERROR(VLOOKUP(Tabla1[[#This Row],[MEDICAMENTO]],TAB_REF!$B$3:$F$27,5,0), "")</f>
        <v>Caja x 30 unidades</v>
      </c>
      <c r="AD1185" s="10" t="str">
        <f>IFERROR(VLOOKUP(Tabla1[[#This Row],[CANTIDAD UND COMERCIALES]],TAB_REF!$H$3:$I$1003,2,0)&amp;" ("&amp;Tabla1[[#This Row],[CANTIDAD UND COMERCIALES]]&amp;")"&amp;"_"&amp;Tabla1[[#This Row],[CANTIDAD]],"")</f>
        <v>Siete (7)_Caja x 30 unidades</v>
      </c>
    </row>
    <row r="1186" spans="2:30" x14ac:dyDescent="0.25">
      <c r="B1186" s="10">
        <v>500</v>
      </c>
      <c r="C1186" s="10" t="s">
        <v>4226</v>
      </c>
      <c r="D1186" s="10" t="s">
        <v>4227</v>
      </c>
      <c r="E1186" s="10" t="s">
        <v>4250</v>
      </c>
      <c r="F1186" s="10" t="s">
        <v>4251</v>
      </c>
      <c r="G1186" s="10" t="s">
        <v>4230</v>
      </c>
      <c r="H1186" s="10" t="s">
        <v>4252</v>
      </c>
      <c r="I1186" s="10" t="s">
        <v>2122</v>
      </c>
      <c r="J1186" s="10" t="s">
        <v>1742</v>
      </c>
      <c r="K1186" s="10" t="s">
        <v>4253</v>
      </c>
      <c r="L1186" s="11">
        <v>202124101777912</v>
      </c>
      <c r="M1186" s="20">
        <v>44459</v>
      </c>
      <c r="N1186" s="20" t="str">
        <f>UPPER(TEXT(Tabla1[[#This Row],[FECHA RADICADO ENTRADA]],"MMM"))</f>
        <v>SEP</v>
      </c>
      <c r="O1186" s="11"/>
      <c r="P1186" s="20"/>
      <c r="Q1186" s="20" t="str">
        <f>UPPER(TEXT(Tabla1[[#This Row],[FECHA RADICADO ENTRADA]],"MMM"))</f>
        <v>SEP</v>
      </c>
      <c r="R1186" s="10">
        <f t="shared" si="89"/>
        <v>44459</v>
      </c>
      <c r="S1186" s="10" t="s">
        <v>2154</v>
      </c>
      <c r="U1186" s="10" t="s">
        <v>4254</v>
      </c>
      <c r="V1186" s="20">
        <v>43923</v>
      </c>
      <c r="W1186" s="10" t="s">
        <v>32</v>
      </c>
      <c r="X1186" s="10">
        <v>300</v>
      </c>
      <c r="Y1186" s="10">
        <f>IFERROR(INT(Tabla1[[#This Row],[CANTIDAD UND FARMACEUTICAS]]/(VLOOKUP(Tabla1[[#This Row],[MEDICAMENTO]],TAB_REF!$K$3:$L$27,2,0))),"")</f>
        <v>10</v>
      </c>
      <c r="Z1186" s="10" t="str">
        <f>IFERROR(VLOOKUP(Tabla1[[#This Row],[MEDICAMENTO]],TAB_REF!$B$3:$F$27,2,0), "")</f>
        <v xml:space="preserve">Fenobarbital </v>
      </c>
      <c r="AA1186" s="10" t="str">
        <f>IFERROR(VLOOKUP(Tabla1[[#This Row],[MEDICAMENTO]],TAB_REF!$B$3:$F$27,3,0), "")</f>
        <v xml:space="preserve">100 mg </v>
      </c>
      <c r="AB1186" s="10" t="str">
        <f>IFERROR(VLOOKUP(Tabla1[[#This Row],[MEDICAMENTO]],TAB_REF!$B$3:$F$27,4,0), "")</f>
        <v>Tabletas</v>
      </c>
      <c r="AC1186" s="10" t="str">
        <f>IFERROR(VLOOKUP(Tabla1[[#This Row],[MEDICAMENTO]],TAB_REF!$B$3:$F$27,5,0), "")</f>
        <v>Caja x 30 unidades</v>
      </c>
      <c r="AD1186" s="10" t="str">
        <f>IFERROR(VLOOKUP(Tabla1[[#This Row],[CANTIDAD UND COMERCIALES]],TAB_REF!$H$3:$I$1003,2,0)&amp;" ("&amp;Tabla1[[#This Row],[CANTIDAD UND COMERCIALES]]&amp;")"&amp;"_"&amp;Tabla1[[#This Row],[CANTIDAD]],"")</f>
        <v>Diez (10)_Caja x 30 unidades</v>
      </c>
    </row>
    <row r="1187" spans="2:30" x14ac:dyDescent="0.25">
      <c r="B1187" s="10">
        <v>501</v>
      </c>
      <c r="C1187" s="10" t="s">
        <v>2748</v>
      </c>
      <c r="D1187" s="10" t="s">
        <v>2175</v>
      </c>
      <c r="E1187" s="10" t="s">
        <v>2749</v>
      </c>
      <c r="F1187" s="10" t="s">
        <v>2751</v>
      </c>
      <c r="G1187" s="10" t="s">
        <v>4067</v>
      </c>
      <c r="H1187" s="10" t="s">
        <v>3940</v>
      </c>
      <c r="I1187" s="10" t="s">
        <v>2113</v>
      </c>
      <c r="J1187" s="10" t="s">
        <v>1442</v>
      </c>
      <c r="K1187" s="10" t="s">
        <v>3167</v>
      </c>
      <c r="L1187" s="11">
        <v>202124101783962</v>
      </c>
      <c r="M1187" s="20">
        <v>44460</v>
      </c>
      <c r="N1187" s="20" t="str">
        <f>UPPER(TEXT(Tabla1[[#This Row],[FECHA RADICADO ENTRADA]],"MMM"))</f>
        <v>SEP</v>
      </c>
      <c r="O1187" s="11"/>
      <c r="P1187" s="20"/>
      <c r="Q1187" s="20" t="str">
        <f>UPPER(TEXT(Tabla1[[#This Row],[FECHA RADICADO ENTRADA]],"MMM"))</f>
        <v>SEP</v>
      </c>
      <c r="R1187" s="10">
        <f t="shared" si="89"/>
        <v>44460</v>
      </c>
      <c r="S1187" s="10" t="s">
        <v>2154</v>
      </c>
      <c r="U1187" s="10" t="s">
        <v>2753</v>
      </c>
      <c r="V1187" s="20">
        <v>44223</v>
      </c>
      <c r="W1187" s="10" t="s">
        <v>32</v>
      </c>
      <c r="X1187" s="10">
        <v>2000</v>
      </c>
      <c r="Y1187" s="10">
        <f>IFERROR(INT(Tabla1[[#This Row],[CANTIDAD UND FARMACEUTICAS]]/(VLOOKUP(Tabla1[[#This Row],[MEDICAMENTO]],TAB_REF!$K$3:$L$27,2,0))),"")</f>
        <v>66</v>
      </c>
      <c r="Z1187" s="10" t="str">
        <f>IFERROR(VLOOKUP(Tabla1[[#This Row],[MEDICAMENTO]],TAB_REF!$B$3:$F$27,2,0), "")</f>
        <v xml:space="preserve">Fenobarbital </v>
      </c>
      <c r="AA1187" s="10" t="str">
        <f>IFERROR(VLOOKUP(Tabla1[[#This Row],[MEDICAMENTO]],TAB_REF!$B$3:$F$27,3,0), "")</f>
        <v xml:space="preserve">100 mg </v>
      </c>
      <c r="AB1187" s="10" t="str">
        <f>IFERROR(VLOOKUP(Tabla1[[#This Row],[MEDICAMENTO]],TAB_REF!$B$3:$F$27,4,0), "")</f>
        <v>Tabletas</v>
      </c>
      <c r="AC1187" s="10" t="str">
        <f>IFERROR(VLOOKUP(Tabla1[[#This Row],[MEDICAMENTO]],TAB_REF!$B$3:$F$27,5,0), "")</f>
        <v>Caja x 30 unidades</v>
      </c>
      <c r="AD1187" s="10" t="str">
        <f>IFERROR(VLOOKUP(Tabla1[[#This Row],[CANTIDAD UND COMERCIALES]],TAB_REF!$H$3:$I$1003,2,0)&amp;" ("&amp;Tabla1[[#This Row],[CANTIDAD UND COMERCIALES]]&amp;")"&amp;"_"&amp;Tabla1[[#This Row],[CANTIDAD]],"")</f>
        <v>Sesenta Y Seis (66)_Caja x 30 unidades</v>
      </c>
    </row>
    <row r="1188" spans="2:30" x14ac:dyDescent="0.25">
      <c r="B1188" s="10">
        <v>501</v>
      </c>
      <c r="C1188" s="10" t="s">
        <v>2748</v>
      </c>
      <c r="D1188" s="10" t="s">
        <v>2175</v>
      </c>
      <c r="E1188" s="10" t="s">
        <v>2749</v>
      </c>
      <c r="F1188" s="10" t="s">
        <v>2751</v>
      </c>
      <c r="G1188" s="10" t="s">
        <v>4067</v>
      </c>
      <c r="H1188" s="10" t="s">
        <v>3940</v>
      </c>
      <c r="I1188" s="10" t="s">
        <v>2113</v>
      </c>
      <c r="J1188" s="10" t="s">
        <v>1442</v>
      </c>
      <c r="K1188" s="10" t="s">
        <v>3167</v>
      </c>
      <c r="L1188" s="11">
        <v>202124101783962</v>
      </c>
      <c r="M1188" s="20">
        <v>44460</v>
      </c>
      <c r="N1188" s="20" t="str">
        <f>UPPER(TEXT(Tabla1[[#This Row],[FECHA RADICADO ENTRADA]],"MMM"))</f>
        <v>SEP</v>
      </c>
      <c r="O1188" s="11"/>
      <c r="P1188" s="20"/>
      <c r="Q1188" s="20" t="str">
        <f>UPPER(TEXT(Tabla1[[#This Row],[FECHA RADICADO ENTRADA]],"MMM"))</f>
        <v>SEP</v>
      </c>
      <c r="R1188" s="10">
        <f t="shared" si="89"/>
        <v>44460</v>
      </c>
      <c r="S1188" s="10" t="s">
        <v>2154</v>
      </c>
      <c r="U1188" s="10" t="s">
        <v>2753</v>
      </c>
      <c r="V1188" s="20">
        <v>44223</v>
      </c>
      <c r="W1188" s="10" t="s">
        <v>60</v>
      </c>
      <c r="X1188" s="10">
        <v>50</v>
      </c>
      <c r="Y1188" s="10">
        <f>IFERROR(INT(Tabla1[[#This Row],[CANTIDAD UND FARMACEUTICAS]]/(VLOOKUP(Tabla1[[#This Row],[MEDICAMENTO]],TAB_REF!$K$3:$L$27,2,0))),"")</f>
        <v>50</v>
      </c>
      <c r="Z1188" s="10" t="str">
        <f>IFERROR(VLOOKUP(Tabla1[[#This Row],[MEDICAMENTO]],TAB_REF!$B$3:$F$27,2,0), "")</f>
        <v xml:space="preserve">Morfina HCl </v>
      </c>
      <c r="AA1188" s="10" t="str">
        <f>IFERROR(VLOOKUP(Tabla1[[#This Row],[MEDICAMENTO]],TAB_REF!$B$3:$F$27,3,0), "")</f>
        <v xml:space="preserve">3%. </v>
      </c>
      <c r="AB1188" s="10" t="str">
        <f>IFERROR(VLOOKUP(Tabla1[[#This Row],[MEDICAMENTO]],TAB_REF!$B$3:$F$27,4,0), "")</f>
        <v>Solución Oral</v>
      </c>
      <c r="AC1188" s="10" t="str">
        <f>IFERROR(VLOOKUP(Tabla1[[#This Row],[MEDICAMENTO]],TAB_REF!$B$3:$F$27,5,0), "")</f>
        <v>Frasco x 30 mL</v>
      </c>
      <c r="AD1188" s="10" t="str">
        <f>IFERROR(VLOOKUP(Tabla1[[#This Row],[CANTIDAD UND COMERCIALES]],TAB_REF!$H$3:$I$1003,2,0)&amp;" ("&amp;Tabla1[[#This Row],[CANTIDAD UND COMERCIALES]]&amp;")"&amp;"_"&amp;Tabla1[[#This Row],[CANTIDAD]],"")</f>
        <v>Cincuenta (50)_Frasco x 30 mL</v>
      </c>
    </row>
    <row r="1189" spans="2:30" x14ac:dyDescent="0.25">
      <c r="B1189" s="10">
        <v>501</v>
      </c>
      <c r="C1189" s="10" t="s">
        <v>2748</v>
      </c>
      <c r="D1189" s="10" t="s">
        <v>2175</v>
      </c>
      <c r="E1189" s="10" t="s">
        <v>2749</v>
      </c>
      <c r="F1189" s="10" t="s">
        <v>2751</v>
      </c>
      <c r="G1189" s="10" t="s">
        <v>4067</v>
      </c>
      <c r="H1189" s="10" t="s">
        <v>3940</v>
      </c>
      <c r="I1189" s="10" t="s">
        <v>2113</v>
      </c>
      <c r="J1189" s="10" t="s">
        <v>1442</v>
      </c>
      <c r="K1189" s="10" t="s">
        <v>3167</v>
      </c>
      <c r="L1189" s="11">
        <v>202124101783962</v>
      </c>
      <c r="M1189" s="20">
        <v>44460</v>
      </c>
      <c r="N1189" s="20" t="str">
        <f>UPPER(TEXT(Tabla1[[#This Row],[FECHA RADICADO ENTRADA]],"MMM"))</f>
        <v>SEP</v>
      </c>
      <c r="O1189" s="11"/>
      <c r="P1189" s="20"/>
      <c r="Q1189" s="20" t="str">
        <f>UPPER(TEXT(Tabla1[[#This Row],[FECHA RADICADO ENTRADA]],"MMM"))</f>
        <v>SEP</v>
      </c>
      <c r="R1189" s="10">
        <f t="shared" si="89"/>
        <v>44460</v>
      </c>
      <c r="S1189" s="10" t="s">
        <v>2154</v>
      </c>
      <c r="U1189" s="10" t="s">
        <v>2753</v>
      </c>
      <c r="V1189" s="20">
        <v>44223</v>
      </c>
      <c r="W1189" s="10" t="s">
        <v>28</v>
      </c>
      <c r="X1189" s="10">
        <v>10</v>
      </c>
      <c r="Y1189" s="10">
        <f>IFERROR(INT(Tabla1[[#This Row],[CANTIDAD UND FARMACEUTICAS]]/(VLOOKUP(Tabla1[[#This Row],[MEDICAMENTO]],TAB_REF!$K$3:$L$27,2,0))),"")</f>
        <v>10</v>
      </c>
      <c r="Z1189" s="10" t="str">
        <f>IFERROR(VLOOKUP(Tabla1[[#This Row],[MEDICAMENTO]],TAB_REF!$B$3:$F$27,2,0), "")</f>
        <v xml:space="preserve">Fenobarbital </v>
      </c>
      <c r="AA1189" s="10" t="str">
        <f>IFERROR(VLOOKUP(Tabla1[[#This Row],[MEDICAMENTO]],TAB_REF!$B$3:$F$27,3,0), "")</f>
        <v xml:space="preserve">0,4%. </v>
      </c>
      <c r="AB1189" s="10" t="str">
        <f>IFERROR(VLOOKUP(Tabla1[[#This Row],[MEDICAMENTO]],TAB_REF!$B$3:$F$27,4,0), "")</f>
        <v>Solución Oral</v>
      </c>
      <c r="AC1189" s="10" t="str">
        <f>IFERROR(VLOOKUP(Tabla1[[#This Row],[MEDICAMENTO]],TAB_REF!$B$3:$F$27,5,0), "")</f>
        <v>Frasco x 120 mL</v>
      </c>
      <c r="AD1189" s="10" t="str">
        <f>IFERROR(VLOOKUP(Tabla1[[#This Row],[CANTIDAD UND COMERCIALES]],TAB_REF!$H$3:$I$1003,2,0)&amp;" ("&amp;Tabla1[[#This Row],[CANTIDAD UND COMERCIALES]]&amp;")"&amp;"_"&amp;Tabla1[[#This Row],[CANTIDAD]],"")</f>
        <v>Diez (10)_Frasco x 120 mL</v>
      </c>
    </row>
    <row r="1190" spans="2:30" x14ac:dyDescent="0.25">
      <c r="B1190" s="10">
        <v>501</v>
      </c>
      <c r="C1190" s="10" t="s">
        <v>2748</v>
      </c>
      <c r="D1190" s="10" t="s">
        <v>2175</v>
      </c>
      <c r="E1190" s="10" t="s">
        <v>2749</v>
      </c>
      <c r="F1190" s="10" t="s">
        <v>2751</v>
      </c>
      <c r="G1190" s="10" t="s">
        <v>4067</v>
      </c>
      <c r="H1190" s="10" t="s">
        <v>3940</v>
      </c>
      <c r="I1190" s="10" t="s">
        <v>2113</v>
      </c>
      <c r="J1190" s="10" t="s">
        <v>1442</v>
      </c>
      <c r="K1190" s="10" t="s">
        <v>3167</v>
      </c>
      <c r="L1190" s="11">
        <v>202124101783962</v>
      </c>
      <c r="M1190" s="20">
        <v>44460</v>
      </c>
      <c r="N1190" s="20" t="str">
        <f>UPPER(TEXT(Tabla1[[#This Row],[FECHA RADICADO ENTRADA]],"MMM"))</f>
        <v>SEP</v>
      </c>
      <c r="O1190" s="11"/>
      <c r="P1190" s="20"/>
      <c r="Q1190" s="20" t="str">
        <f>UPPER(TEXT(Tabla1[[#This Row],[FECHA RADICADO ENTRADA]],"MMM"))</f>
        <v>SEP</v>
      </c>
      <c r="R1190" s="10">
        <f t="shared" si="89"/>
        <v>44460</v>
      </c>
      <c r="S1190" s="10" t="s">
        <v>2154</v>
      </c>
      <c r="U1190" s="10" t="s">
        <v>2753</v>
      </c>
      <c r="V1190" s="20">
        <v>44223</v>
      </c>
      <c r="W1190" s="10" t="s">
        <v>45</v>
      </c>
      <c r="X1190" s="10">
        <v>90</v>
      </c>
      <c r="Y1190" s="10">
        <f>IFERROR(INT(Tabla1[[#This Row],[CANTIDAD UND FARMACEUTICAS]]/(VLOOKUP(Tabla1[[#This Row],[MEDICAMENTO]],TAB_REF!$K$3:$L$27,2,0))),"")</f>
        <v>3</v>
      </c>
      <c r="Z1190" s="10" t="str">
        <f>IFERROR(VLOOKUP(Tabla1[[#This Row],[MEDICAMENTO]],TAB_REF!$B$3:$F$27,2,0), "")</f>
        <v xml:space="preserve">Metadona HCl </v>
      </c>
      <c r="AA1190" s="10" t="str">
        <f>IFERROR(VLOOKUP(Tabla1[[#This Row],[MEDICAMENTO]],TAB_REF!$B$3:$F$27,3,0), "")</f>
        <v xml:space="preserve">10 mg </v>
      </c>
      <c r="AB1190" s="10" t="str">
        <f>IFERROR(VLOOKUP(Tabla1[[#This Row],[MEDICAMENTO]],TAB_REF!$B$3:$F$27,4,0), "")</f>
        <v>Tabletas NACIONAL</v>
      </c>
      <c r="AC1190" s="10" t="str">
        <f>IFERROR(VLOOKUP(Tabla1[[#This Row],[MEDICAMENTO]],TAB_REF!$B$3:$F$27,5,0), "")</f>
        <v>Caja x 30 unidades</v>
      </c>
      <c r="AD1190" s="10" t="str">
        <f>IFERROR(VLOOKUP(Tabla1[[#This Row],[CANTIDAD UND COMERCIALES]],TAB_REF!$H$3:$I$1003,2,0)&amp;" ("&amp;Tabla1[[#This Row],[CANTIDAD UND COMERCIALES]]&amp;")"&amp;"_"&amp;Tabla1[[#This Row],[CANTIDAD]],"")</f>
        <v>Tres (3)_Caja x 30 unidades</v>
      </c>
    </row>
    <row r="1191" spans="2:30" x14ac:dyDescent="0.25">
      <c r="B1191" s="10">
        <v>502</v>
      </c>
      <c r="C1191" s="10" t="s">
        <v>4255</v>
      </c>
      <c r="D1191" s="10" t="s">
        <v>3947</v>
      </c>
      <c r="E1191" s="10" t="s">
        <v>2799</v>
      </c>
      <c r="F1191" s="10" t="s">
        <v>3929</v>
      </c>
      <c r="G1191" s="10" t="s">
        <v>2698</v>
      </c>
      <c r="H1191" s="10" t="s">
        <v>4256</v>
      </c>
      <c r="I1191" s="10" t="s">
        <v>2122</v>
      </c>
      <c r="J1191" s="10" t="s">
        <v>1742</v>
      </c>
      <c r="K1191" s="10" t="s">
        <v>4257</v>
      </c>
      <c r="L1191" s="11">
        <v>202124101785522</v>
      </c>
      <c r="M1191" s="20">
        <v>44460</v>
      </c>
      <c r="N1191" s="20" t="str">
        <f>UPPER(TEXT(Tabla1[[#This Row],[FECHA RADICADO ENTRADA]],"MMM"))</f>
        <v>SEP</v>
      </c>
      <c r="O1191" s="11"/>
      <c r="Q1191" s="20" t="str">
        <f>UPPER(TEXT(Tabla1[[#This Row],[FECHA RADICADO ENTRADA]],"MMM"))</f>
        <v>SEP</v>
      </c>
      <c r="R1191" s="10">
        <f t="shared" si="89"/>
        <v>44460</v>
      </c>
      <c r="S1191" s="10" t="s">
        <v>2154</v>
      </c>
      <c r="U1191" s="10" t="s">
        <v>3083</v>
      </c>
      <c r="V1191" s="20">
        <v>44559</v>
      </c>
      <c r="W1191" s="10" t="s">
        <v>32</v>
      </c>
      <c r="X1191" s="10">
        <v>3000</v>
      </c>
      <c r="Y1191" s="10">
        <f>IFERROR(INT(Tabla1[[#This Row],[CANTIDAD UND FARMACEUTICAS]]/(VLOOKUP(Tabla1[[#This Row],[MEDICAMENTO]],TAB_REF!$K$3:$L$27,2,0))),"")</f>
        <v>100</v>
      </c>
      <c r="Z1191" s="10" t="str">
        <f>IFERROR(VLOOKUP(Tabla1[[#This Row],[MEDICAMENTO]],TAB_REF!$B$3:$F$27,2,0), "")</f>
        <v xml:space="preserve">Fenobarbital </v>
      </c>
      <c r="AA1191" s="10" t="str">
        <f>IFERROR(VLOOKUP(Tabla1[[#This Row],[MEDICAMENTO]],TAB_REF!$B$3:$F$27,3,0), "")</f>
        <v xml:space="preserve">100 mg </v>
      </c>
      <c r="AB1191" s="10" t="str">
        <f>IFERROR(VLOOKUP(Tabla1[[#This Row],[MEDICAMENTO]],TAB_REF!$B$3:$F$27,4,0), "")</f>
        <v>Tabletas</v>
      </c>
      <c r="AC1191" s="10" t="str">
        <f>IFERROR(VLOOKUP(Tabla1[[#This Row],[MEDICAMENTO]],TAB_REF!$B$3:$F$27,5,0), "")</f>
        <v>Caja x 30 unidades</v>
      </c>
      <c r="AD1191" s="10" t="str">
        <f>IFERROR(VLOOKUP(Tabla1[[#This Row],[CANTIDAD UND COMERCIALES]],TAB_REF!$H$3:$I$1003,2,0)&amp;" ("&amp;Tabla1[[#This Row],[CANTIDAD UND COMERCIALES]]&amp;")"&amp;"_"&amp;Tabla1[[#This Row],[CANTIDAD]],"")</f>
        <v>Cien (100)_Caja x 30 unidades</v>
      </c>
    </row>
    <row r="1192" spans="2:30" x14ac:dyDescent="0.25">
      <c r="B1192" s="10">
        <v>502</v>
      </c>
      <c r="C1192" s="10" t="s">
        <v>4255</v>
      </c>
      <c r="D1192" s="10" t="s">
        <v>3947</v>
      </c>
      <c r="E1192" s="10" t="s">
        <v>2799</v>
      </c>
      <c r="F1192" s="10" t="s">
        <v>3929</v>
      </c>
      <c r="G1192" s="10" t="s">
        <v>2698</v>
      </c>
      <c r="H1192" s="10" t="s">
        <v>4256</v>
      </c>
      <c r="I1192" s="10" t="s">
        <v>2122</v>
      </c>
      <c r="J1192" s="10" t="s">
        <v>1742</v>
      </c>
      <c r="K1192" s="10" t="s">
        <v>4257</v>
      </c>
      <c r="L1192" s="11">
        <v>202124101785522</v>
      </c>
      <c r="M1192" s="20">
        <v>44460</v>
      </c>
      <c r="N1192" s="20" t="str">
        <f>UPPER(TEXT(Tabla1[[#This Row],[FECHA RADICADO ENTRADA]],"MMM"))</f>
        <v>SEP</v>
      </c>
      <c r="O1192" s="11"/>
      <c r="Q1192" s="20" t="str">
        <f>UPPER(TEXT(Tabla1[[#This Row],[FECHA RADICADO ENTRADA]],"MMM"))</f>
        <v>SEP</v>
      </c>
      <c r="R1192" s="10">
        <f t="shared" si="89"/>
        <v>44460</v>
      </c>
      <c r="S1192" s="10" t="s">
        <v>2154</v>
      </c>
      <c r="U1192" s="10" t="s">
        <v>3083</v>
      </c>
      <c r="V1192" s="20">
        <v>44559</v>
      </c>
      <c r="W1192" s="10" t="s">
        <v>48</v>
      </c>
      <c r="X1192" s="10">
        <v>60</v>
      </c>
      <c r="Y1192" s="10">
        <f>IFERROR(INT(Tabla1[[#This Row],[CANTIDAD UND FARMACEUTICAS]]/(VLOOKUP(Tabla1[[#This Row],[MEDICAMENTO]],TAB_REF!$K$3:$L$27,2,0))),"")</f>
        <v>2</v>
      </c>
      <c r="Z1192" s="10" t="str">
        <f>IFERROR(VLOOKUP(Tabla1[[#This Row],[MEDICAMENTO]],TAB_REF!$B$3:$F$27,2,0), "")</f>
        <v xml:space="preserve">Metilfenidato HCl </v>
      </c>
      <c r="AA1192" s="10" t="str">
        <f>IFERROR(VLOOKUP(Tabla1[[#This Row],[MEDICAMENTO]],TAB_REF!$B$3:$F$27,3,0), "")</f>
        <v xml:space="preserve">10 mg </v>
      </c>
      <c r="AB1192" s="10" t="str">
        <f>IFERROR(VLOOKUP(Tabla1[[#This Row],[MEDICAMENTO]],TAB_REF!$B$3:$F$27,4,0), "")</f>
        <v>Comprimidos</v>
      </c>
      <c r="AC1192" s="10" t="str">
        <f>IFERROR(VLOOKUP(Tabla1[[#This Row],[MEDICAMENTO]],TAB_REF!$B$3:$F$27,5,0), "")</f>
        <v>Caja x 30 unidades</v>
      </c>
      <c r="AD1192" s="10" t="str">
        <f>IFERROR(VLOOKUP(Tabla1[[#This Row],[CANTIDAD UND COMERCIALES]],TAB_REF!$H$3:$I$1003,2,0)&amp;" ("&amp;Tabla1[[#This Row],[CANTIDAD UND COMERCIALES]]&amp;")"&amp;"_"&amp;Tabla1[[#This Row],[CANTIDAD]],"")</f>
        <v>Dos (2)_Caja x 30 unidades</v>
      </c>
    </row>
    <row r="1193" spans="2:30" x14ac:dyDescent="0.25">
      <c r="B1193" s="10">
        <v>503</v>
      </c>
      <c r="C1193" s="10" t="s">
        <v>4135</v>
      </c>
      <c r="D1193" s="10" t="s">
        <v>2182</v>
      </c>
      <c r="E1193" s="10" t="s">
        <v>4136</v>
      </c>
      <c r="F1193" s="10" t="s">
        <v>4258</v>
      </c>
      <c r="G1193" s="10" t="s">
        <v>4138</v>
      </c>
      <c r="H1193" s="10" t="s">
        <v>4139</v>
      </c>
      <c r="I1193" s="10" t="s">
        <v>2113</v>
      </c>
      <c r="J1193" s="10" t="s">
        <v>1442</v>
      </c>
      <c r="K1193" s="10" t="s">
        <v>4140</v>
      </c>
      <c r="L1193" s="11">
        <v>202124101627342</v>
      </c>
      <c r="M1193" s="20">
        <v>44440</v>
      </c>
      <c r="N1193" s="20" t="str">
        <f>UPPER(TEXT(Tabla1[[#This Row],[FECHA RADICADO ENTRADA]],"MMM"))</f>
        <v>SEP</v>
      </c>
      <c r="O1193" s="11"/>
      <c r="Q1193" s="20" t="str">
        <f>UPPER(TEXT(Tabla1[[#This Row],[FECHA RADICADO ENTRADA]],"MMM"))</f>
        <v>SEP</v>
      </c>
      <c r="R1193" s="10">
        <f t="shared" si="89"/>
        <v>44440</v>
      </c>
      <c r="S1193" s="10" t="s">
        <v>2154</v>
      </c>
      <c r="U1193" s="10" t="s">
        <v>4141</v>
      </c>
      <c r="V1193" s="20">
        <v>43606</v>
      </c>
      <c r="W1193" s="10" t="s">
        <v>32</v>
      </c>
      <c r="X1193" s="10">
        <v>1440</v>
      </c>
      <c r="Y1193" s="10">
        <f>IFERROR(INT(Tabla1[[#This Row],[CANTIDAD UND FARMACEUTICAS]]/(VLOOKUP(Tabla1[[#This Row],[MEDICAMENTO]],TAB_REF!$K$3:$L$27,2,0))),"")</f>
        <v>48</v>
      </c>
      <c r="Z1193" s="10" t="str">
        <f>IFERROR(VLOOKUP(Tabla1[[#This Row],[MEDICAMENTO]],TAB_REF!$B$3:$F$27,2,0), "")</f>
        <v xml:space="preserve">Fenobarbital </v>
      </c>
      <c r="AA1193" s="10" t="str">
        <f>IFERROR(VLOOKUP(Tabla1[[#This Row],[MEDICAMENTO]],TAB_REF!$B$3:$F$27,3,0), "")</f>
        <v xml:space="preserve">100 mg </v>
      </c>
      <c r="AB1193" s="10" t="str">
        <f>IFERROR(VLOOKUP(Tabla1[[#This Row],[MEDICAMENTO]],TAB_REF!$B$3:$F$27,4,0), "")</f>
        <v>Tabletas</v>
      </c>
      <c r="AC1193" s="10" t="str">
        <f>IFERROR(VLOOKUP(Tabla1[[#This Row],[MEDICAMENTO]],TAB_REF!$B$3:$F$27,5,0), "")</f>
        <v>Caja x 30 unidades</v>
      </c>
      <c r="AD1193" s="10" t="str">
        <f>IFERROR(VLOOKUP(Tabla1[[#This Row],[CANTIDAD UND COMERCIALES]],TAB_REF!$H$3:$I$1003,2,0)&amp;" ("&amp;Tabla1[[#This Row],[CANTIDAD UND COMERCIALES]]&amp;")"&amp;"_"&amp;Tabla1[[#This Row],[CANTIDAD]],"")</f>
        <v>Cuarenta Y Ocho (48)_Caja x 30 unidades</v>
      </c>
    </row>
    <row r="1194" spans="2:30" x14ac:dyDescent="0.25">
      <c r="B1194" s="10">
        <v>503</v>
      </c>
      <c r="C1194" s="10" t="s">
        <v>4135</v>
      </c>
      <c r="D1194" s="10" t="s">
        <v>2182</v>
      </c>
      <c r="E1194" s="10" t="s">
        <v>4136</v>
      </c>
      <c r="F1194" s="10" t="s">
        <v>4258</v>
      </c>
      <c r="G1194" s="10" t="s">
        <v>4138</v>
      </c>
      <c r="H1194" s="10" t="s">
        <v>4139</v>
      </c>
      <c r="I1194" s="10" t="s">
        <v>2113</v>
      </c>
      <c r="J1194" s="10" t="s">
        <v>1442</v>
      </c>
      <c r="K1194" s="10" t="s">
        <v>4140</v>
      </c>
      <c r="L1194" s="11">
        <v>202124101627342</v>
      </c>
      <c r="M1194" s="20">
        <v>44440</v>
      </c>
      <c r="N1194" s="20" t="str">
        <f>UPPER(TEXT(Tabla1[[#This Row],[FECHA RADICADO ENTRADA]],"MMM"))</f>
        <v>SEP</v>
      </c>
      <c r="O1194" s="11"/>
      <c r="Q1194" s="20" t="str">
        <f>UPPER(TEXT(Tabla1[[#This Row],[FECHA RADICADO ENTRADA]],"MMM"))</f>
        <v>SEP</v>
      </c>
      <c r="R1194" s="10">
        <f t="shared" si="89"/>
        <v>44440</v>
      </c>
      <c r="S1194" s="10" t="s">
        <v>2154</v>
      </c>
      <c r="U1194" s="10" t="s">
        <v>4141</v>
      </c>
      <c r="V1194" s="20">
        <v>43606</v>
      </c>
      <c r="W1194" s="10" t="s">
        <v>60</v>
      </c>
      <c r="X1194" s="10">
        <v>5</v>
      </c>
      <c r="Y1194" s="10">
        <f>IFERROR(INT(Tabla1[[#This Row],[CANTIDAD UND FARMACEUTICAS]]/(VLOOKUP(Tabla1[[#This Row],[MEDICAMENTO]],TAB_REF!$K$3:$L$27,2,0))),"")</f>
        <v>5</v>
      </c>
      <c r="Z1194" s="10" t="str">
        <f>IFERROR(VLOOKUP(Tabla1[[#This Row],[MEDICAMENTO]],TAB_REF!$B$3:$F$27,2,0), "")</f>
        <v xml:space="preserve">Morfina HCl </v>
      </c>
      <c r="AA1194" s="10" t="str">
        <f>IFERROR(VLOOKUP(Tabla1[[#This Row],[MEDICAMENTO]],TAB_REF!$B$3:$F$27,3,0), "")</f>
        <v xml:space="preserve">3%. </v>
      </c>
      <c r="AB1194" s="10" t="str">
        <f>IFERROR(VLOOKUP(Tabla1[[#This Row],[MEDICAMENTO]],TAB_REF!$B$3:$F$27,4,0), "")</f>
        <v>Solución Oral</v>
      </c>
      <c r="AC1194" s="10" t="str">
        <f>IFERROR(VLOOKUP(Tabla1[[#This Row],[MEDICAMENTO]],TAB_REF!$B$3:$F$27,5,0), "")</f>
        <v>Frasco x 30 mL</v>
      </c>
      <c r="AD1194" s="10" t="str">
        <f>IFERROR(VLOOKUP(Tabla1[[#This Row],[CANTIDAD UND COMERCIALES]],TAB_REF!$H$3:$I$1003,2,0)&amp;" ("&amp;Tabla1[[#This Row],[CANTIDAD UND COMERCIALES]]&amp;")"&amp;"_"&amp;Tabla1[[#This Row],[CANTIDAD]],"")</f>
        <v>Cinco (5)_Frasco x 30 mL</v>
      </c>
    </row>
    <row r="1195" spans="2:30" x14ac:dyDescent="0.25">
      <c r="B1195" s="10">
        <v>503</v>
      </c>
      <c r="C1195" s="10" t="s">
        <v>4135</v>
      </c>
      <c r="D1195" s="10" t="s">
        <v>2182</v>
      </c>
      <c r="E1195" s="10" t="s">
        <v>4136</v>
      </c>
      <c r="F1195" s="10" t="s">
        <v>4258</v>
      </c>
      <c r="G1195" s="10" t="s">
        <v>4138</v>
      </c>
      <c r="H1195" s="10" t="s">
        <v>4139</v>
      </c>
      <c r="I1195" s="10" t="s">
        <v>2113</v>
      </c>
      <c r="J1195" s="10" t="s">
        <v>1442</v>
      </c>
      <c r="K1195" s="10" t="s">
        <v>4140</v>
      </c>
      <c r="L1195" s="11">
        <v>202124101627342</v>
      </c>
      <c r="M1195" s="20">
        <v>44440</v>
      </c>
      <c r="N1195" s="20" t="str">
        <f>UPPER(TEXT(Tabla1[[#This Row],[FECHA RADICADO ENTRADA]],"MMM"))</f>
        <v>SEP</v>
      </c>
      <c r="O1195" s="11"/>
      <c r="Q1195" s="20" t="str">
        <f>UPPER(TEXT(Tabla1[[#This Row],[FECHA RADICADO ENTRADA]],"MMM"))</f>
        <v>SEP</v>
      </c>
      <c r="R1195" s="10">
        <f t="shared" si="89"/>
        <v>44440</v>
      </c>
      <c r="S1195" s="10" t="s">
        <v>2154</v>
      </c>
      <c r="U1195" s="10" t="s">
        <v>4141</v>
      </c>
      <c r="V1195" s="20">
        <v>43606</v>
      </c>
      <c r="W1195" s="10" t="s">
        <v>38</v>
      </c>
      <c r="X1195" s="10">
        <v>100</v>
      </c>
      <c r="Y1195" s="10">
        <f>IFERROR(INT(Tabla1[[#This Row],[CANTIDAD UND FARMACEUTICAS]]/(VLOOKUP(Tabla1[[#This Row],[MEDICAMENTO]],TAB_REF!$K$3:$L$27,2,0))),"")</f>
        <v>5</v>
      </c>
      <c r="Z1195" s="10" t="str">
        <f>IFERROR(VLOOKUP(Tabla1[[#This Row],[MEDICAMENTO]],TAB_REF!$B$3:$F$27,2,0), "")</f>
        <v xml:space="preserve">Hidromorfona HCl </v>
      </c>
      <c r="AA1195" s="10" t="str">
        <f>IFERROR(VLOOKUP(Tabla1[[#This Row],[MEDICAMENTO]],TAB_REF!$B$3:$F$27,3,0), "")</f>
        <v xml:space="preserve">2,5 mg </v>
      </c>
      <c r="AB1195" s="10" t="str">
        <f>IFERROR(VLOOKUP(Tabla1[[#This Row],[MEDICAMENTO]],TAB_REF!$B$3:$F$27,4,0), "")</f>
        <v>Tabletas</v>
      </c>
      <c r="AC1195" s="10" t="str">
        <f>IFERROR(VLOOKUP(Tabla1[[#This Row],[MEDICAMENTO]],TAB_REF!$B$3:$F$27,5,0), "")</f>
        <v>Caja x 20 unidades</v>
      </c>
      <c r="AD1195" s="10" t="str">
        <f>IFERROR(VLOOKUP(Tabla1[[#This Row],[CANTIDAD UND COMERCIALES]],TAB_REF!$H$3:$I$1003,2,0)&amp;" ("&amp;Tabla1[[#This Row],[CANTIDAD UND COMERCIALES]]&amp;")"&amp;"_"&amp;Tabla1[[#This Row],[CANTIDAD]],"")</f>
        <v>Cinco (5)_Caja x 20 unidades</v>
      </c>
    </row>
    <row r="1196" spans="2:30" x14ac:dyDescent="0.25">
      <c r="B1196" s="10">
        <v>503</v>
      </c>
      <c r="C1196" s="10" t="s">
        <v>4135</v>
      </c>
      <c r="D1196" s="10" t="s">
        <v>2182</v>
      </c>
      <c r="E1196" s="10" t="s">
        <v>4136</v>
      </c>
      <c r="F1196" s="10" t="s">
        <v>4258</v>
      </c>
      <c r="G1196" s="10" t="s">
        <v>4138</v>
      </c>
      <c r="H1196" s="10" t="s">
        <v>4139</v>
      </c>
      <c r="I1196" s="10" t="s">
        <v>2113</v>
      </c>
      <c r="J1196" s="10" t="s">
        <v>1442</v>
      </c>
      <c r="K1196" s="10" t="s">
        <v>4140</v>
      </c>
      <c r="L1196" s="11">
        <v>202124101627342</v>
      </c>
      <c r="M1196" s="20">
        <v>44440</v>
      </c>
      <c r="N1196" s="20" t="str">
        <f>UPPER(TEXT(Tabla1[[#This Row],[FECHA RADICADO ENTRADA]],"MMM"))</f>
        <v>SEP</v>
      </c>
      <c r="O1196" s="11"/>
      <c r="Q1196" s="20" t="str">
        <f>UPPER(TEXT(Tabla1[[#This Row],[FECHA RADICADO ENTRADA]],"MMM"))</f>
        <v>SEP</v>
      </c>
      <c r="R1196" s="10">
        <f t="shared" si="89"/>
        <v>44440</v>
      </c>
      <c r="S1196" s="10" t="s">
        <v>2154</v>
      </c>
      <c r="U1196" s="10" t="s">
        <v>4141</v>
      </c>
      <c r="V1196" s="20">
        <v>43606</v>
      </c>
      <c r="W1196" s="10" t="s">
        <v>28</v>
      </c>
      <c r="X1196" s="10">
        <v>4</v>
      </c>
      <c r="Y1196" s="10">
        <f>IFERROR(INT(Tabla1[[#This Row],[CANTIDAD UND FARMACEUTICAS]]/(VLOOKUP(Tabla1[[#This Row],[MEDICAMENTO]],TAB_REF!$K$3:$L$27,2,0))),"")</f>
        <v>4</v>
      </c>
      <c r="Z1196" s="10" t="str">
        <f>IFERROR(VLOOKUP(Tabla1[[#This Row],[MEDICAMENTO]],TAB_REF!$B$3:$F$27,2,0), "")</f>
        <v xml:space="preserve">Fenobarbital </v>
      </c>
      <c r="AA1196" s="10" t="str">
        <f>IFERROR(VLOOKUP(Tabla1[[#This Row],[MEDICAMENTO]],TAB_REF!$B$3:$F$27,3,0), "")</f>
        <v xml:space="preserve">0,4%. </v>
      </c>
      <c r="AB1196" s="10" t="str">
        <f>IFERROR(VLOOKUP(Tabla1[[#This Row],[MEDICAMENTO]],TAB_REF!$B$3:$F$27,4,0), "")</f>
        <v>Solución Oral</v>
      </c>
      <c r="AC1196" s="10" t="str">
        <f>IFERROR(VLOOKUP(Tabla1[[#This Row],[MEDICAMENTO]],TAB_REF!$B$3:$F$27,5,0), "")</f>
        <v>Frasco x 120 mL</v>
      </c>
      <c r="AD1196" s="10" t="str">
        <f>IFERROR(VLOOKUP(Tabla1[[#This Row],[CANTIDAD UND COMERCIALES]],TAB_REF!$H$3:$I$1003,2,0)&amp;" ("&amp;Tabla1[[#This Row],[CANTIDAD UND COMERCIALES]]&amp;")"&amp;"_"&amp;Tabla1[[#This Row],[CANTIDAD]],"")</f>
        <v>Cuatro (4)_Frasco x 120 mL</v>
      </c>
    </row>
    <row r="1197" spans="2:30" x14ac:dyDescent="0.25">
      <c r="B1197" s="10">
        <v>504</v>
      </c>
      <c r="C1197" s="10" t="s">
        <v>2318</v>
      </c>
      <c r="D1197" s="10" t="s">
        <v>2175</v>
      </c>
      <c r="E1197" s="10" t="s">
        <v>2319</v>
      </c>
      <c r="F1197" s="10" t="s">
        <v>3886</v>
      </c>
      <c r="G1197" s="10" t="s">
        <v>2321</v>
      </c>
      <c r="H1197" s="10" t="s">
        <v>2322</v>
      </c>
      <c r="I1197" s="10" t="s">
        <v>2107</v>
      </c>
      <c r="J1197" s="10" t="s">
        <v>1212</v>
      </c>
      <c r="K1197" s="10" t="s">
        <v>4259</v>
      </c>
      <c r="L1197" s="11">
        <v>202124101808522</v>
      </c>
      <c r="M1197" s="20">
        <v>44462</v>
      </c>
      <c r="N1197" s="20" t="str">
        <f>UPPER(TEXT(Tabla1[[#This Row],[FECHA RADICADO ENTRADA]],"MMM"))</f>
        <v>SEP</v>
      </c>
      <c r="Q1197" s="20" t="str">
        <f>UPPER(TEXT(Tabla1[[#This Row],[FECHA RADICADO ENTRADA]],"MMM"))</f>
        <v>SEP</v>
      </c>
      <c r="R1197" s="10">
        <f t="shared" si="89"/>
        <v>44462</v>
      </c>
      <c r="S1197" s="10" t="s">
        <v>2154</v>
      </c>
      <c r="U1197" s="10" t="s">
        <v>4079</v>
      </c>
      <c r="V1197" s="20">
        <v>44186</v>
      </c>
      <c r="W1197" s="10" t="s">
        <v>60</v>
      </c>
      <c r="X1197" s="10">
        <v>5</v>
      </c>
      <c r="Y1197" s="10">
        <f>IFERROR(INT(Tabla1[[#This Row],[CANTIDAD UND FARMACEUTICAS]]/(VLOOKUP(Tabla1[[#This Row],[MEDICAMENTO]],TAB_REF!$K$3:$L$27,2,0))),"")</f>
        <v>5</v>
      </c>
      <c r="Z1197" s="10" t="str">
        <f>IFERROR(VLOOKUP(Tabla1[[#This Row],[MEDICAMENTO]],TAB_REF!$B$3:$F$27,2,0), "")</f>
        <v xml:space="preserve">Morfina HCl </v>
      </c>
      <c r="AA1197" s="10" t="str">
        <f>IFERROR(VLOOKUP(Tabla1[[#This Row],[MEDICAMENTO]],TAB_REF!$B$3:$F$27,3,0), "")</f>
        <v xml:space="preserve">3%. </v>
      </c>
      <c r="AB1197" s="10" t="str">
        <f>IFERROR(VLOOKUP(Tabla1[[#This Row],[MEDICAMENTO]],TAB_REF!$B$3:$F$27,4,0), "")</f>
        <v>Solución Oral</v>
      </c>
      <c r="AC1197" s="10" t="str">
        <f>IFERROR(VLOOKUP(Tabla1[[#This Row],[MEDICAMENTO]],TAB_REF!$B$3:$F$27,5,0), "")</f>
        <v>Frasco x 30 mL</v>
      </c>
      <c r="AD1197" s="10" t="str">
        <f>IFERROR(VLOOKUP(Tabla1[[#This Row],[CANTIDAD UND COMERCIALES]],TAB_REF!$H$3:$I$1003,2,0)&amp;" ("&amp;Tabla1[[#This Row],[CANTIDAD UND COMERCIALES]]&amp;")"&amp;"_"&amp;Tabla1[[#This Row],[CANTIDAD]],"")</f>
        <v>Cinco (5)_Frasco x 30 mL</v>
      </c>
    </row>
    <row r="1198" spans="2:30" x14ac:dyDescent="0.25">
      <c r="B1198" s="10">
        <v>505</v>
      </c>
      <c r="C1198" s="10" t="s">
        <v>4260</v>
      </c>
      <c r="D1198" s="10" t="s">
        <v>4261</v>
      </c>
      <c r="E1198" s="10" t="s">
        <v>3524</v>
      </c>
      <c r="F1198" s="10" t="s">
        <v>3890</v>
      </c>
      <c r="G1198" s="10" t="s">
        <v>3525</v>
      </c>
      <c r="H1198" s="10" t="s">
        <v>3526</v>
      </c>
      <c r="I1198" s="10" t="s">
        <v>2128</v>
      </c>
      <c r="J1198" s="10" t="s">
        <v>1918</v>
      </c>
      <c r="K1198" s="10" t="s">
        <v>3527</v>
      </c>
      <c r="L1198" s="11">
        <v>202124101819032</v>
      </c>
      <c r="M1198" s="20">
        <v>44463</v>
      </c>
      <c r="N1198" s="20" t="str">
        <f>UPPER(TEXT(Tabla1[[#This Row],[FECHA RADICADO ENTRADA]],"MMM"))</f>
        <v>SEP</v>
      </c>
      <c r="O1198" s="11"/>
      <c r="P1198" s="20"/>
      <c r="Q1198" s="20" t="str">
        <f>UPPER(TEXT(Tabla1[[#This Row],[FECHA RADICADO ENTRADA]],"MMM"))</f>
        <v>SEP</v>
      </c>
      <c r="R1198" s="10">
        <f>_xlfn.DAYS(M1198,P1198)</f>
        <v>44463</v>
      </c>
      <c r="S1198" s="10" t="s">
        <v>2154</v>
      </c>
      <c r="U1198" s="10" t="s">
        <v>4262</v>
      </c>
      <c r="V1198" s="20">
        <v>44083</v>
      </c>
      <c r="W1198" s="10" t="s">
        <v>57</v>
      </c>
      <c r="X1198" s="10">
        <v>60</v>
      </c>
      <c r="Y1198" s="10">
        <f>IFERROR(INT(Tabla1[[#This Row],[CANTIDAD UND FARMACEUTICAS]]/(VLOOKUP(Tabla1[[#This Row],[MEDICAMENTO]],TAB_REF!$K$3:$L$27,2,0))),"")</f>
        <v>2</v>
      </c>
      <c r="Z1198" s="10" t="str">
        <f>IFERROR(VLOOKUP(Tabla1[[#This Row],[MEDICAMENTO]],TAB_REF!$B$3:$F$27,2,0), "")</f>
        <v xml:space="preserve">Metilfenidato HCl </v>
      </c>
      <c r="AA1198" s="10" t="str">
        <f>IFERROR(VLOOKUP(Tabla1[[#This Row],[MEDICAMENTO]],TAB_REF!$B$3:$F$27,3,0), "")</f>
        <v xml:space="preserve">36 mg </v>
      </c>
      <c r="AB1198" s="10" t="str">
        <f>IFERROR(VLOOKUP(Tabla1[[#This Row],[MEDICAMENTO]],TAB_REF!$B$3:$F$27,4,0), "")</f>
        <v>Tabletas de Liberación Prolongada</v>
      </c>
      <c r="AC1198" s="10" t="str">
        <f>IFERROR(VLOOKUP(Tabla1[[#This Row],[MEDICAMENTO]],TAB_REF!$B$3:$F$27,5,0), "")</f>
        <v>Frasco x 30 unidades</v>
      </c>
      <c r="AD1198" s="10" t="str">
        <f>IFERROR(VLOOKUP(Tabla1[[#This Row],[CANTIDAD UND COMERCIALES]],TAB_REF!$H$3:$I$1003,2,0)&amp;" ("&amp;Tabla1[[#This Row],[CANTIDAD UND COMERCIALES]]&amp;")"&amp;"_"&amp;Tabla1[[#This Row],[CANTIDAD]],"")</f>
        <v>Dos (2)_Frasco x 30 unidades</v>
      </c>
    </row>
    <row r="1199" spans="2:30" x14ac:dyDescent="0.25">
      <c r="B1199" s="10">
        <v>505</v>
      </c>
      <c r="C1199" s="10" t="s">
        <v>4260</v>
      </c>
      <c r="D1199" s="10" t="s">
        <v>4261</v>
      </c>
      <c r="E1199" s="10" t="s">
        <v>3524</v>
      </c>
      <c r="F1199" s="10" t="s">
        <v>3890</v>
      </c>
      <c r="G1199" s="10" t="s">
        <v>3525</v>
      </c>
      <c r="H1199" s="10" t="s">
        <v>3526</v>
      </c>
      <c r="I1199" s="10" t="s">
        <v>2128</v>
      </c>
      <c r="J1199" s="10" t="s">
        <v>1918</v>
      </c>
      <c r="K1199" s="10" t="s">
        <v>3527</v>
      </c>
      <c r="L1199" s="11">
        <v>202124101819032</v>
      </c>
      <c r="M1199" s="20">
        <v>44463</v>
      </c>
      <c r="N1199" s="20" t="str">
        <f>UPPER(TEXT(Tabla1[[#This Row],[FECHA RADICADO ENTRADA]],"MMM"))</f>
        <v>SEP</v>
      </c>
      <c r="O1199" s="11"/>
      <c r="P1199" s="20"/>
      <c r="Q1199" s="20" t="str">
        <f>UPPER(TEXT(Tabla1[[#This Row],[FECHA RADICADO ENTRADA]],"MMM"))</f>
        <v>SEP</v>
      </c>
      <c r="R1199" s="10">
        <f>_xlfn.DAYS(M1199,P1199)</f>
        <v>44463</v>
      </c>
      <c r="S1199" s="10" t="s">
        <v>2154</v>
      </c>
      <c r="U1199" s="10" t="s">
        <v>4262</v>
      </c>
      <c r="V1199" s="20">
        <v>44083</v>
      </c>
      <c r="W1199" s="10" t="s">
        <v>60</v>
      </c>
      <c r="X1199" s="10">
        <v>24</v>
      </c>
      <c r="Y1199" s="10">
        <f>IFERROR(INT(Tabla1[[#This Row],[CANTIDAD UND FARMACEUTICAS]]/(VLOOKUP(Tabla1[[#This Row],[MEDICAMENTO]],TAB_REF!$K$3:$L$27,2,0))),"")</f>
        <v>24</v>
      </c>
      <c r="Z1199" s="10" t="str">
        <f>IFERROR(VLOOKUP(Tabla1[[#This Row],[MEDICAMENTO]],TAB_REF!$B$3:$F$27,2,0), "")</f>
        <v xml:space="preserve">Morfina HCl </v>
      </c>
      <c r="AA1199" s="10" t="str">
        <f>IFERROR(VLOOKUP(Tabla1[[#This Row],[MEDICAMENTO]],TAB_REF!$B$3:$F$27,3,0), "")</f>
        <v xml:space="preserve">3%. </v>
      </c>
      <c r="AB1199" s="10" t="str">
        <f>IFERROR(VLOOKUP(Tabla1[[#This Row],[MEDICAMENTO]],TAB_REF!$B$3:$F$27,4,0), "")</f>
        <v>Solución Oral</v>
      </c>
      <c r="AC1199" s="10" t="str">
        <f>IFERROR(VLOOKUP(Tabla1[[#This Row],[MEDICAMENTO]],TAB_REF!$B$3:$F$27,5,0), "")</f>
        <v>Frasco x 30 mL</v>
      </c>
      <c r="AD1199" s="10" t="str">
        <f>IFERROR(VLOOKUP(Tabla1[[#This Row],[CANTIDAD UND COMERCIALES]],TAB_REF!$H$3:$I$1003,2,0)&amp;" ("&amp;Tabla1[[#This Row],[CANTIDAD UND COMERCIALES]]&amp;")"&amp;"_"&amp;Tabla1[[#This Row],[CANTIDAD]],"")</f>
        <v>Veinticuatro (24)_Frasco x 30 mL</v>
      </c>
    </row>
    <row r="1200" spans="2:30" x14ac:dyDescent="0.25">
      <c r="B1200" s="10">
        <v>506</v>
      </c>
      <c r="C1200" s="10" t="s">
        <v>2318</v>
      </c>
      <c r="D1200" s="10" t="s">
        <v>2175</v>
      </c>
      <c r="E1200" s="10" t="s">
        <v>2319</v>
      </c>
      <c r="F1200" s="10" t="s">
        <v>3886</v>
      </c>
      <c r="G1200" s="10" t="s">
        <v>2321</v>
      </c>
      <c r="H1200" s="10" t="s">
        <v>2322</v>
      </c>
      <c r="I1200" s="10" t="s">
        <v>2107</v>
      </c>
      <c r="J1200" s="10" t="s">
        <v>1212</v>
      </c>
      <c r="K1200" s="10" t="s">
        <v>4259</v>
      </c>
      <c r="L1200" s="11">
        <v>202124101825032</v>
      </c>
      <c r="M1200" s="20">
        <v>44466</v>
      </c>
      <c r="N1200" s="20" t="str">
        <f>UPPER(TEXT(Tabla1[[#This Row],[FECHA RADICADO ENTRADA]],"MMM"))</f>
        <v>SEP</v>
      </c>
      <c r="O1200" s="11"/>
      <c r="P1200" s="20"/>
      <c r="Q1200" s="20" t="str">
        <f>UPPER(TEXT(Tabla1[[#This Row],[FECHA RADICADO ENTRADA]],"MMM"))</f>
        <v>SEP</v>
      </c>
      <c r="R1200" s="10">
        <f t="shared" ref="R1200:R1212" si="90">_xlfn.DAYS(M1200,P1200)</f>
        <v>44466</v>
      </c>
      <c r="S1200" s="10" t="s">
        <v>2145</v>
      </c>
      <c r="T1200" s="10" t="s">
        <v>3383</v>
      </c>
      <c r="U1200" s="10" t="s">
        <v>4079</v>
      </c>
      <c r="V1200" s="20">
        <v>44186</v>
      </c>
      <c r="W1200" s="10" t="s">
        <v>60</v>
      </c>
      <c r="X1200" s="10">
        <v>0</v>
      </c>
      <c r="Y1200" s="10">
        <f>IFERROR(INT(Tabla1[[#This Row],[CANTIDAD UND FARMACEUTICAS]]/(VLOOKUP(Tabla1[[#This Row],[MEDICAMENTO]],TAB_REF!$K$3:$L$27,2,0))),"")</f>
        <v>0</v>
      </c>
      <c r="Z1200" s="10" t="str">
        <f>IFERROR(VLOOKUP(Tabla1[[#This Row],[MEDICAMENTO]],TAB_REF!$B$3:$F$27,2,0), "")</f>
        <v xml:space="preserve">Morfina HCl </v>
      </c>
      <c r="AA1200" s="10" t="str">
        <f>IFERROR(VLOOKUP(Tabla1[[#This Row],[MEDICAMENTO]],TAB_REF!$B$3:$F$27,3,0), "")</f>
        <v xml:space="preserve">3%. </v>
      </c>
      <c r="AB1200" s="10" t="str">
        <f>IFERROR(VLOOKUP(Tabla1[[#This Row],[MEDICAMENTO]],TAB_REF!$B$3:$F$27,4,0), "")</f>
        <v>Solución Oral</v>
      </c>
      <c r="AC1200" s="10" t="str">
        <f>IFERROR(VLOOKUP(Tabla1[[#This Row],[MEDICAMENTO]],TAB_REF!$B$3:$F$27,5,0), "")</f>
        <v>Frasco x 30 mL</v>
      </c>
      <c r="AD1200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201" spans="2:30" x14ac:dyDescent="0.25">
      <c r="B1201" s="10">
        <v>507</v>
      </c>
      <c r="C1201" s="10" t="s">
        <v>2217</v>
      </c>
      <c r="D1201" s="10" t="s">
        <v>2162</v>
      </c>
      <c r="E1201" s="10" t="s">
        <v>2674</v>
      </c>
      <c r="F1201" s="10" t="s">
        <v>4263</v>
      </c>
      <c r="G1201" s="10" t="s">
        <v>2219</v>
      </c>
      <c r="H1201" t="s">
        <v>2677</v>
      </c>
      <c r="I1201" s="10" t="s">
        <v>2122</v>
      </c>
      <c r="J1201" s="10" t="s">
        <v>1742</v>
      </c>
      <c r="K1201" s="10" t="s">
        <v>4264</v>
      </c>
      <c r="L1201" s="11">
        <v>202124101825502</v>
      </c>
      <c r="M1201" s="20">
        <v>44466</v>
      </c>
      <c r="N1201" s="20" t="str">
        <f>UPPER(TEXT(Tabla1[[#This Row],[FECHA RADICADO ENTRADA]],"MMM"))</f>
        <v>SEP</v>
      </c>
      <c r="O1201" s="11"/>
      <c r="P1201" s="20"/>
      <c r="Q1201" s="20" t="str">
        <f>UPPER(TEXT(Tabla1[[#This Row],[FECHA RADICADO ENTRADA]],"MMM"))</f>
        <v>SEP</v>
      </c>
      <c r="R1201" s="10">
        <f t="shared" si="90"/>
        <v>44466</v>
      </c>
      <c r="S1201" s="10" t="s">
        <v>2154</v>
      </c>
      <c r="U1201" s="10" t="s">
        <v>2679</v>
      </c>
      <c r="V1201" s="20">
        <v>44498</v>
      </c>
      <c r="W1201" s="10" t="s">
        <v>48</v>
      </c>
      <c r="X1201" s="10">
        <v>150</v>
      </c>
      <c r="Y1201" s="10">
        <f>IFERROR(INT(Tabla1[[#This Row],[CANTIDAD UND FARMACEUTICAS]]/(VLOOKUP(Tabla1[[#This Row],[MEDICAMENTO]],TAB_REF!$K$3:$L$27,2,0))),"")</f>
        <v>5</v>
      </c>
      <c r="Z1201" s="10" t="str">
        <f>IFERROR(VLOOKUP(Tabla1[[#This Row],[MEDICAMENTO]],TAB_REF!$B$3:$F$27,2,0), "")</f>
        <v xml:space="preserve">Metilfenidato HCl </v>
      </c>
      <c r="AA1201" s="10" t="str">
        <f>IFERROR(VLOOKUP(Tabla1[[#This Row],[MEDICAMENTO]],TAB_REF!$B$3:$F$27,3,0), "")</f>
        <v xml:space="preserve">10 mg </v>
      </c>
      <c r="AB1201" s="10" t="str">
        <f>IFERROR(VLOOKUP(Tabla1[[#This Row],[MEDICAMENTO]],TAB_REF!$B$3:$F$27,4,0), "")</f>
        <v>Comprimidos</v>
      </c>
      <c r="AC1201" s="10" t="str">
        <f>IFERROR(VLOOKUP(Tabla1[[#This Row],[MEDICAMENTO]],TAB_REF!$B$3:$F$27,5,0), "")</f>
        <v>Caja x 30 unidades</v>
      </c>
      <c r="AD1201" s="10" t="str">
        <f>IFERROR(VLOOKUP(Tabla1[[#This Row],[CANTIDAD UND COMERCIALES]],TAB_REF!$H$3:$I$1003,2,0)&amp;" ("&amp;Tabla1[[#This Row],[CANTIDAD UND COMERCIALES]]&amp;")"&amp;"_"&amp;Tabla1[[#This Row],[CANTIDAD]],"")</f>
        <v>Cinco (5)_Caja x 30 unidades</v>
      </c>
    </row>
    <row r="1202" spans="2:30" x14ac:dyDescent="0.25">
      <c r="B1202" s="10">
        <v>507</v>
      </c>
      <c r="C1202" s="10" t="s">
        <v>2217</v>
      </c>
      <c r="D1202" s="10" t="s">
        <v>2162</v>
      </c>
      <c r="E1202" s="10" t="s">
        <v>2674</v>
      </c>
      <c r="F1202" s="10" t="s">
        <v>4263</v>
      </c>
      <c r="G1202" s="10" t="s">
        <v>2219</v>
      </c>
      <c r="H1202" t="s">
        <v>2677</v>
      </c>
      <c r="I1202" s="10" t="s">
        <v>2122</v>
      </c>
      <c r="J1202" s="10" t="s">
        <v>1742</v>
      </c>
      <c r="K1202" s="10" t="s">
        <v>4264</v>
      </c>
      <c r="L1202" s="11">
        <v>202124101825502</v>
      </c>
      <c r="M1202" s="20">
        <v>44466</v>
      </c>
      <c r="N1202" s="20" t="str">
        <f>UPPER(TEXT(Tabla1[[#This Row],[FECHA RADICADO ENTRADA]],"MMM"))</f>
        <v>SEP</v>
      </c>
      <c r="O1202" s="11"/>
      <c r="P1202" s="20"/>
      <c r="Q1202" s="20" t="str">
        <f>UPPER(TEXT(Tabla1[[#This Row],[FECHA RADICADO ENTRADA]],"MMM"))</f>
        <v>SEP</v>
      </c>
      <c r="R1202" s="10">
        <f t="shared" ref="R1202" si="91">_xlfn.DAYS(M1202,P1202)</f>
        <v>44466</v>
      </c>
      <c r="S1202" s="10" t="s">
        <v>2154</v>
      </c>
      <c r="U1202" s="10" t="s">
        <v>2679</v>
      </c>
      <c r="V1202" s="20">
        <v>44498</v>
      </c>
      <c r="W1202" s="10" t="s">
        <v>33</v>
      </c>
      <c r="X1202" s="10">
        <v>30</v>
      </c>
      <c r="Y1202" s="10">
        <f>IFERROR(INT(Tabla1[[#This Row],[CANTIDAD UND FARMACEUTICAS]]/(VLOOKUP(Tabla1[[#This Row],[MEDICAMENTO]],TAB_REF!$K$3:$L$27,2,0))),"")</f>
        <v>1</v>
      </c>
      <c r="Z1202" s="10" t="str">
        <f>IFERROR(VLOOKUP(Tabla1[[#This Row],[MEDICAMENTO]],TAB_REF!$B$3:$F$27,2,0), "")</f>
        <v xml:space="preserve">Fenobarbital </v>
      </c>
      <c r="AA1202" s="10" t="str">
        <f>IFERROR(VLOOKUP(Tabla1[[#This Row],[MEDICAMENTO]],TAB_REF!$B$3:$F$27,3,0), "")</f>
        <v xml:space="preserve">50 mg </v>
      </c>
      <c r="AB1202" s="10" t="str">
        <f>IFERROR(VLOOKUP(Tabla1[[#This Row],[MEDICAMENTO]],TAB_REF!$B$3:$F$27,4,0), "")</f>
        <v>Tabletas</v>
      </c>
      <c r="AC1202" s="10" t="str">
        <f>IFERROR(VLOOKUP(Tabla1[[#This Row],[MEDICAMENTO]],TAB_REF!$B$3:$F$27,5,0), "")</f>
        <v>Caja x 30 unidades</v>
      </c>
      <c r="AD1202" s="10" t="str">
        <f>IFERROR(VLOOKUP(Tabla1[[#This Row],[CANTIDAD UND COMERCIALES]],TAB_REF!$H$3:$I$1003,2,0)&amp;" ("&amp;Tabla1[[#This Row],[CANTIDAD UND COMERCIALES]]&amp;")"&amp;"_"&amp;Tabla1[[#This Row],[CANTIDAD]],"")</f>
        <v>Uno (1)_Caja x 30 unidades</v>
      </c>
    </row>
    <row r="1203" spans="2:30" x14ac:dyDescent="0.25">
      <c r="B1203" s="10">
        <v>508</v>
      </c>
      <c r="C1203" s="10" t="s">
        <v>2499</v>
      </c>
      <c r="D1203" s="10" t="s">
        <v>2312</v>
      </c>
      <c r="E1203" s="10" t="s">
        <v>2500</v>
      </c>
      <c r="F1203" s="10" t="s">
        <v>4265</v>
      </c>
      <c r="G1203" s="10" t="s">
        <v>4266</v>
      </c>
      <c r="H1203" t="s">
        <v>4267</v>
      </c>
      <c r="I1203" s="10" t="s">
        <v>2123</v>
      </c>
      <c r="J1203" s="10" t="s">
        <v>1770</v>
      </c>
      <c r="K1203" s="10" t="s">
        <v>4268</v>
      </c>
      <c r="L1203" s="11">
        <v>202124101825602</v>
      </c>
      <c r="M1203" s="20">
        <v>44466</v>
      </c>
      <c r="N1203" s="20" t="str">
        <f>UPPER(TEXT(Tabla1[[#This Row],[FECHA RADICADO ENTRADA]],"MMM"))</f>
        <v>SEP</v>
      </c>
      <c r="O1203" s="11"/>
      <c r="P1203" s="20"/>
      <c r="Q1203" s="20" t="str">
        <f>UPPER(TEXT(Tabla1[[#This Row],[FECHA RADICADO ENTRADA]],"MMM"))</f>
        <v>SEP</v>
      </c>
      <c r="R1203" s="10">
        <f t="shared" si="90"/>
        <v>44466</v>
      </c>
      <c r="S1203" s="10" t="s">
        <v>2154</v>
      </c>
      <c r="U1203" s="10" t="s">
        <v>2505</v>
      </c>
      <c r="V1203" s="20">
        <v>44070</v>
      </c>
      <c r="W1203" s="10" t="s">
        <v>63</v>
      </c>
      <c r="X1203" s="10">
        <v>600</v>
      </c>
      <c r="Y1203" s="10">
        <f>IFERROR(INT(Tabla1[[#This Row],[CANTIDAD UND FARMACEUTICAS]]/(VLOOKUP(Tabla1[[#This Row],[MEDICAMENTO]],TAB_REF!$K$3:$L$27,2,0))),"")</f>
        <v>60</v>
      </c>
      <c r="Z1203" s="10" t="str">
        <f>IFERROR(VLOOKUP(Tabla1[[#This Row],[MEDICAMENTO]],TAB_REF!$B$3:$F$27,2,0), "")</f>
        <v xml:space="preserve">Morfina HCl </v>
      </c>
      <c r="AA1203" s="10" t="str">
        <f>IFERROR(VLOOKUP(Tabla1[[#This Row],[MEDICAMENTO]],TAB_REF!$B$3:$F$27,3,0), "")</f>
        <v xml:space="preserve">10 mg/mL </v>
      </c>
      <c r="AB1203" s="10" t="str">
        <f>IFERROR(VLOOKUP(Tabla1[[#This Row],[MEDICAMENTO]],TAB_REF!$B$3:$F$27,4,0), "")</f>
        <v>Solución Inyectable</v>
      </c>
      <c r="AC1203" s="10" t="str">
        <f>IFERROR(VLOOKUP(Tabla1[[#This Row],[MEDICAMENTO]],TAB_REF!$B$3:$F$27,5,0), "")</f>
        <v>Caja x 10 unidades</v>
      </c>
      <c r="AD1203" s="10" t="str">
        <f>IFERROR(VLOOKUP(Tabla1[[#This Row],[CANTIDAD UND COMERCIALES]],TAB_REF!$H$3:$I$1003,2,0)&amp;" ("&amp;Tabla1[[#This Row],[CANTIDAD UND COMERCIALES]]&amp;")"&amp;"_"&amp;Tabla1[[#This Row],[CANTIDAD]],"")</f>
        <v>Sesenta (60)_Caja x 10 unidades</v>
      </c>
    </row>
    <row r="1204" spans="2:30" x14ac:dyDescent="0.25">
      <c r="B1204" s="10">
        <v>509</v>
      </c>
      <c r="C1204" s="10" t="s">
        <v>4269</v>
      </c>
      <c r="D1204" s="10" t="s">
        <v>3076</v>
      </c>
      <c r="E1204" s="10" t="s">
        <v>4273</v>
      </c>
      <c r="F1204" s="10" t="s">
        <v>4270</v>
      </c>
      <c r="G1204" s="10" t="s">
        <v>4271</v>
      </c>
      <c r="H1204" t="s">
        <v>4272</v>
      </c>
      <c r="I1204" s="10" t="s">
        <v>2122</v>
      </c>
      <c r="J1204" s="10" t="s">
        <v>1742</v>
      </c>
      <c r="K1204" s="10" t="s">
        <v>3451</v>
      </c>
      <c r="L1204" s="11">
        <v>202124101830402</v>
      </c>
      <c r="M1204" s="20">
        <v>44466</v>
      </c>
      <c r="N1204" s="20" t="str">
        <f>UPPER(TEXT(Tabla1[[#This Row],[FECHA RADICADO ENTRADA]],"MMM"))</f>
        <v>SEP</v>
      </c>
      <c r="O1204" s="11"/>
      <c r="P1204" s="20"/>
      <c r="Q1204" s="20" t="str">
        <f>UPPER(TEXT(Tabla1[[#This Row],[FECHA RADICADO ENTRADA]],"MMM"))</f>
        <v>SEP</v>
      </c>
      <c r="R1204" s="10">
        <f t="shared" si="90"/>
        <v>44466</v>
      </c>
      <c r="S1204" s="10" t="s">
        <v>2145</v>
      </c>
      <c r="T1204" s="10" t="s">
        <v>4058</v>
      </c>
      <c r="V1204" s="20"/>
      <c r="W1204" s="10" t="s">
        <v>63</v>
      </c>
      <c r="X1204" s="10">
        <v>0</v>
      </c>
      <c r="Y1204" s="10">
        <f>IFERROR(INT(Tabla1[[#This Row],[CANTIDAD UND FARMACEUTICAS]]/(VLOOKUP(Tabla1[[#This Row],[MEDICAMENTO]],TAB_REF!$K$3:$L$27,2,0))),"")</f>
        <v>0</v>
      </c>
      <c r="Z1204" s="10" t="str">
        <f>IFERROR(VLOOKUP(Tabla1[[#This Row],[MEDICAMENTO]],TAB_REF!$B$3:$F$27,2,0), "")</f>
        <v xml:space="preserve">Morfina HCl </v>
      </c>
      <c r="AA1204" s="10" t="str">
        <f>IFERROR(VLOOKUP(Tabla1[[#This Row],[MEDICAMENTO]],TAB_REF!$B$3:$F$27,3,0), "")</f>
        <v xml:space="preserve">10 mg/mL </v>
      </c>
      <c r="AB1204" s="10" t="str">
        <f>IFERROR(VLOOKUP(Tabla1[[#This Row],[MEDICAMENTO]],TAB_REF!$B$3:$F$27,4,0), "")</f>
        <v>Solución Inyectable</v>
      </c>
      <c r="AC1204" s="10" t="str">
        <f>IFERROR(VLOOKUP(Tabla1[[#This Row],[MEDICAMENTO]],TAB_REF!$B$3:$F$27,5,0), "")</f>
        <v>Caja x 10 unidades</v>
      </c>
      <c r="AD1204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205" spans="2:30" x14ac:dyDescent="0.25">
      <c r="B1205" s="10">
        <v>509</v>
      </c>
      <c r="C1205" s="10" t="s">
        <v>4269</v>
      </c>
      <c r="D1205" s="10" t="s">
        <v>3076</v>
      </c>
      <c r="E1205" s="10" t="s">
        <v>4273</v>
      </c>
      <c r="F1205" s="10" t="s">
        <v>4270</v>
      </c>
      <c r="G1205" s="10" t="s">
        <v>4271</v>
      </c>
      <c r="H1205" t="s">
        <v>4272</v>
      </c>
      <c r="I1205" s="10" t="s">
        <v>2122</v>
      </c>
      <c r="J1205" s="10" t="s">
        <v>1742</v>
      </c>
      <c r="K1205" s="10" t="s">
        <v>3451</v>
      </c>
      <c r="L1205" s="11">
        <v>202124101830402</v>
      </c>
      <c r="M1205" s="20">
        <v>44466</v>
      </c>
      <c r="N1205" s="20" t="str">
        <f>UPPER(TEXT(Tabla1[[#This Row],[FECHA RADICADO ENTRADA]],"MMM"))</f>
        <v>SEP</v>
      </c>
      <c r="O1205" s="11"/>
      <c r="P1205" s="20"/>
      <c r="Q1205" s="20" t="str">
        <f>UPPER(TEXT(Tabla1[[#This Row],[FECHA RADICADO ENTRADA]],"MMM"))</f>
        <v>SEP</v>
      </c>
      <c r="R1205" s="10">
        <f t="shared" ref="R1205" si="92">_xlfn.DAYS(M1205,P1205)</f>
        <v>44466</v>
      </c>
      <c r="S1205" s="10" t="s">
        <v>2145</v>
      </c>
      <c r="T1205" s="10" t="s">
        <v>4058</v>
      </c>
      <c r="V1205" s="20"/>
      <c r="W1205" s="10" t="s">
        <v>41</v>
      </c>
      <c r="X1205" s="10">
        <v>0</v>
      </c>
      <c r="Y1205" s="10">
        <f>IFERROR(INT(Tabla1[[#This Row],[CANTIDAD UND FARMACEUTICAS]]/(VLOOKUP(Tabla1[[#This Row],[MEDICAMENTO]],TAB_REF!$K$3:$L$27,2,0))),"")</f>
        <v>0</v>
      </c>
      <c r="Z1205" s="10" t="str">
        <f>IFERROR(VLOOKUP(Tabla1[[#This Row],[MEDICAMENTO]],TAB_REF!$B$3:$F$27,2,0), "")</f>
        <v xml:space="preserve">Meperidina HCl </v>
      </c>
      <c r="AA1205" s="10" t="str">
        <f>IFERROR(VLOOKUP(Tabla1[[#This Row],[MEDICAMENTO]],TAB_REF!$B$3:$F$27,3,0), "")</f>
        <v xml:space="preserve">100 mg/2mL </v>
      </c>
      <c r="AB1205" s="10" t="str">
        <f>IFERROR(VLOOKUP(Tabla1[[#This Row],[MEDICAMENTO]],TAB_REF!$B$3:$F$27,4,0), "")</f>
        <v>Solución Inyectable</v>
      </c>
      <c r="AC1205" s="10" t="str">
        <f>IFERROR(VLOOKUP(Tabla1[[#This Row],[MEDICAMENTO]],TAB_REF!$B$3:$F$27,5,0), "")</f>
        <v>Caja 10 ampollas</v>
      </c>
      <c r="AD1205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206" spans="2:30" x14ac:dyDescent="0.25">
      <c r="B1206" s="10">
        <v>510</v>
      </c>
      <c r="D1206"/>
      <c r="E1206" s="10" t="s">
        <v>4274</v>
      </c>
      <c r="F1206" s="10" t="s">
        <v>3803</v>
      </c>
      <c r="G1206" s="10" t="s">
        <v>2259</v>
      </c>
      <c r="H1206" t="s">
        <v>4275</v>
      </c>
      <c r="I1206" s="10" t="s">
        <v>2122</v>
      </c>
      <c r="J1206" s="10" t="s">
        <v>1742</v>
      </c>
      <c r="K1206" s="10" t="s">
        <v>4276</v>
      </c>
      <c r="L1206" s="11">
        <v>202124101832442</v>
      </c>
      <c r="M1206" s="20">
        <v>44466</v>
      </c>
      <c r="N1206" s="20" t="str">
        <f>UPPER(TEXT(Tabla1[[#This Row],[FECHA RADICADO ENTRADA]],"MMM"))</f>
        <v>SEP</v>
      </c>
      <c r="O1206" s="11"/>
      <c r="P1206" s="20"/>
      <c r="Q1206" s="20" t="str">
        <f>UPPER(TEXT(Tabla1[[#This Row],[FECHA RADICADO ENTRADA]],"MMM"))</f>
        <v>SEP</v>
      </c>
      <c r="R1206" s="10">
        <f t="shared" si="90"/>
        <v>44466</v>
      </c>
      <c r="S1206" s="10" t="s">
        <v>2145</v>
      </c>
      <c r="T1206" s="10" t="s">
        <v>4192</v>
      </c>
      <c r="U1206" s="10" t="s">
        <v>2265</v>
      </c>
      <c r="V1206" s="20">
        <v>43796</v>
      </c>
      <c r="W1206" s="10" t="s">
        <v>36</v>
      </c>
      <c r="X1206" s="10">
        <v>0</v>
      </c>
      <c r="Y1206" s="10">
        <f>IFERROR(INT(Tabla1[[#This Row],[CANTIDAD UND FARMACEUTICAS]]/(VLOOKUP(Tabla1[[#This Row],[MEDICAMENTO]],TAB_REF!$K$3:$L$27,2,0))),"")</f>
        <v>0</v>
      </c>
      <c r="Z1206" s="10" t="str">
        <f>IFERROR(VLOOKUP(Tabla1[[#This Row],[MEDICAMENTO]],TAB_REF!$B$3:$F$27,2,0), "")</f>
        <v xml:space="preserve">Fenobarbital Sódico </v>
      </c>
      <c r="AA1206" s="10" t="str">
        <f>IFERROR(VLOOKUP(Tabla1[[#This Row],[MEDICAMENTO]],TAB_REF!$B$3:$F$27,3,0), "")</f>
        <v xml:space="preserve">40 mg/mL </v>
      </c>
      <c r="AB1206" s="10" t="str">
        <f>IFERROR(VLOOKUP(Tabla1[[#This Row],[MEDICAMENTO]],TAB_REF!$B$3:$F$27,4,0), "")</f>
        <v>Solución Inyectable</v>
      </c>
      <c r="AC1206" s="10" t="str">
        <f>IFERROR(VLOOKUP(Tabla1[[#This Row],[MEDICAMENTO]],TAB_REF!$B$3:$F$27,5,0), "")</f>
        <v>Caja x 10 unidades</v>
      </c>
      <c r="AD1206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207" spans="2:30" x14ac:dyDescent="0.25">
      <c r="B1207" s="10">
        <v>510</v>
      </c>
      <c r="D1207"/>
      <c r="E1207" s="10" t="s">
        <v>4274</v>
      </c>
      <c r="F1207" s="10" t="s">
        <v>3803</v>
      </c>
      <c r="G1207" s="10" t="s">
        <v>2259</v>
      </c>
      <c r="H1207" t="s">
        <v>4275</v>
      </c>
      <c r="I1207" s="10" t="s">
        <v>2122</v>
      </c>
      <c r="J1207" s="10" t="s">
        <v>1742</v>
      </c>
      <c r="K1207" s="10" t="s">
        <v>4276</v>
      </c>
      <c r="L1207" s="11">
        <v>202124101832442</v>
      </c>
      <c r="M1207" s="20">
        <v>44466</v>
      </c>
      <c r="N1207" s="20" t="str">
        <f>UPPER(TEXT(Tabla1[[#This Row],[FECHA RADICADO ENTRADA]],"MMM"))</f>
        <v>SEP</v>
      </c>
      <c r="O1207" s="11"/>
      <c r="P1207" s="20"/>
      <c r="Q1207" s="20" t="str">
        <f>UPPER(TEXT(Tabla1[[#This Row],[FECHA RADICADO ENTRADA]],"MMM"))</f>
        <v>SEP</v>
      </c>
      <c r="R1207" s="10">
        <f t="shared" ref="R1207:R1208" si="93">_xlfn.DAYS(M1207,P1207)</f>
        <v>44466</v>
      </c>
      <c r="S1207" s="10" t="s">
        <v>2154</v>
      </c>
      <c r="U1207" s="10" t="s">
        <v>2265</v>
      </c>
      <c r="V1207" s="20">
        <v>43796</v>
      </c>
      <c r="W1207" s="10" t="s">
        <v>63</v>
      </c>
      <c r="X1207" s="10">
        <v>120</v>
      </c>
      <c r="Y1207" s="10">
        <f>IFERROR(INT(Tabla1[[#This Row],[CANTIDAD UND FARMACEUTICAS]]/(VLOOKUP(Tabla1[[#This Row],[MEDICAMENTO]],TAB_REF!$K$3:$L$27,2,0))),"")</f>
        <v>12</v>
      </c>
      <c r="Z1207" s="10" t="str">
        <f>IFERROR(VLOOKUP(Tabla1[[#This Row],[MEDICAMENTO]],TAB_REF!$B$3:$F$27,2,0), "")</f>
        <v xml:space="preserve">Morfina HCl </v>
      </c>
      <c r="AA1207" s="10" t="str">
        <f>IFERROR(VLOOKUP(Tabla1[[#This Row],[MEDICAMENTO]],TAB_REF!$B$3:$F$27,3,0), "")</f>
        <v xml:space="preserve">10 mg/mL </v>
      </c>
      <c r="AB1207" s="10" t="str">
        <f>IFERROR(VLOOKUP(Tabla1[[#This Row],[MEDICAMENTO]],TAB_REF!$B$3:$F$27,4,0), "")</f>
        <v>Solución Inyectable</v>
      </c>
      <c r="AC1207" s="10" t="str">
        <f>IFERROR(VLOOKUP(Tabla1[[#This Row],[MEDICAMENTO]],TAB_REF!$B$3:$F$27,5,0), "")</f>
        <v>Caja x 10 unidades</v>
      </c>
      <c r="AD1207" s="10" t="str">
        <f>IFERROR(VLOOKUP(Tabla1[[#This Row],[CANTIDAD UND COMERCIALES]],TAB_REF!$H$3:$I$1003,2,0)&amp;" ("&amp;Tabla1[[#This Row],[CANTIDAD UND COMERCIALES]]&amp;")"&amp;"_"&amp;Tabla1[[#This Row],[CANTIDAD]],"")</f>
        <v>Doce (12)_Caja x 10 unidades</v>
      </c>
    </row>
    <row r="1208" spans="2:30" x14ac:dyDescent="0.25">
      <c r="B1208" s="10">
        <v>510</v>
      </c>
      <c r="D1208"/>
      <c r="E1208" s="10" t="s">
        <v>4274</v>
      </c>
      <c r="F1208" s="10" t="s">
        <v>3803</v>
      </c>
      <c r="G1208" s="10" t="s">
        <v>2259</v>
      </c>
      <c r="H1208" t="s">
        <v>4275</v>
      </c>
      <c r="I1208" s="10" t="s">
        <v>2122</v>
      </c>
      <c r="J1208" s="10" t="s">
        <v>1742</v>
      </c>
      <c r="K1208" s="10" t="s">
        <v>4276</v>
      </c>
      <c r="L1208" s="11">
        <v>202124101832442</v>
      </c>
      <c r="M1208" s="20">
        <v>44466</v>
      </c>
      <c r="N1208" s="20" t="str">
        <f>UPPER(TEXT(Tabla1[[#This Row],[FECHA RADICADO ENTRADA]],"MMM"))</f>
        <v>SEP</v>
      </c>
      <c r="O1208" s="11"/>
      <c r="P1208" s="20"/>
      <c r="Q1208" s="20" t="str">
        <f>UPPER(TEXT(Tabla1[[#This Row],[FECHA RADICADO ENTRADA]],"MMM"))</f>
        <v>SEP</v>
      </c>
      <c r="R1208" s="10">
        <f t="shared" si="93"/>
        <v>44466</v>
      </c>
      <c r="S1208" s="10" t="s">
        <v>2145</v>
      </c>
      <c r="T1208" s="10" t="s">
        <v>4192</v>
      </c>
      <c r="U1208" s="10" t="s">
        <v>2265</v>
      </c>
      <c r="V1208" s="20">
        <v>43796</v>
      </c>
      <c r="W1208" s="10" t="s">
        <v>33</v>
      </c>
      <c r="X1208" s="10">
        <v>0</v>
      </c>
      <c r="Y1208" s="10">
        <f>IFERROR(INT(Tabla1[[#This Row],[CANTIDAD UND FARMACEUTICAS]]/(VLOOKUP(Tabla1[[#This Row],[MEDICAMENTO]],TAB_REF!$K$3:$L$27,2,0))),"")</f>
        <v>0</v>
      </c>
      <c r="Z1208" s="10" t="str">
        <f>IFERROR(VLOOKUP(Tabla1[[#This Row],[MEDICAMENTO]],TAB_REF!$B$3:$F$27,2,0), "")</f>
        <v xml:space="preserve">Fenobarbital </v>
      </c>
      <c r="AA1208" s="10" t="str">
        <f>IFERROR(VLOOKUP(Tabla1[[#This Row],[MEDICAMENTO]],TAB_REF!$B$3:$F$27,3,0), "")</f>
        <v xml:space="preserve">50 mg </v>
      </c>
      <c r="AB1208" s="10" t="str">
        <f>IFERROR(VLOOKUP(Tabla1[[#This Row],[MEDICAMENTO]],TAB_REF!$B$3:$F$27,4,0), "")</f>
        <v>Tabletas</v>
      </c>
      <c r="AC1208" s="10" t="str">
        <f>IFERROR(VLOOKUP(Tabla1[[#This Row],[MEDICAMENTO]],TAB_REF!$B$3:$F$27,5,0), "")</f>
        <v>Caja x 30 unidades</v>
      </c>
      <c r="AD1208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209" spans="2:30" x14ac:dyDescent="0.25">
      <c r="B1209" s="10">
        <v>511</v>
      </c>
      <c r="C1209" s="10" t="s">
        <v>2748</v>
      </c>
      <c r="D1209" s="10" t="s">
        <v>2182</v>
      </c>
      <c r="E1209" s="10" t="s">
        <v>4277</v>
      </c>
      <c r="F1209" s="10" t="s">
        <v>2751</v>
      </c>
      <c r="G1209" s="10" t="s">
        <v>4067</v>
      </c>
      <c r="H1209" s="10" t="s">
        <v>4068</v>
      </c>
      <c r="I1209" s="10" t="s">
        <v>2113</v>
      </c>
      <c r="J1209" s="10" t="s">
        <v>1442</v>
      </c>
      <c r="K1209" s="10" t="s">
        <v>2947</v>
      </c>
      <c r="L1209" s="11">
        <v>202124101841282</v>
      </c>
      <c r="M1209" s="20">
        <v>44467</v>
      </c>
      <c r="N1209" s="20" t="str">
        <f>UPPER(TEXT(Tabla1[[#This Row],[FECHA RADICADO ENTRADA]],"MMM"))</f>
        <v>SEP</v>
      </c>
      <c r="O1209" s="11"/>
      <c r="P1209" s="20"/>
      <c r="Q1209" s="20" t="str">
        <f>UPPER(TEXT(Tabla1[[#This Row],[FECHA RADICADO ENTRADA]],"MMM"))</f>
        <v>SEP</v>
      </c>
      <c r="R1209" s="10">
        <f t="shared" si="90"/>
        <v>44467</v>
      </c>
      <c r="S1209" s="10" t="s">
        <v>2154</v>
      </c>
      <c r="U1209" s="10" t="s">
        <v>4070</v>
      </c>
      <c r="V1209" s="20">
        <v>44223</v>
      </c>
      <c r="W1209" s="10" t="s">
        <v>32</v>
      </c>
      <c r="X1209" s="10">
        <v>1000</v>
      </c>
      <c r="Y1209" s="10">
        <f>IFERROR(INT(Tabla1[[#This Row],[CANTIDAD UND FARMACEUTICAS]]/(VLOOKUP(Tabla1[[#This Row],[MEDICAMENTO]],TAB_REF!$K$3:$L$27,2,0))),"")</f>
        <v>33</v>
      </c>
      <c r="Z1209" s="10" t="str">
        <f>IFERROR(VLOOKUP(Tabla1[[#This Row],[MEDICAMENTO]],TAB_REF!$B$3:$F$27,2,0), "")</f>
        <v xml:space="preserve">Fenobarbital </v>
      </c>
      <c r="AA1209" s="10" t="str">
        <f>IFERROR(VLOOKUP(Tabla1[[#This Row],[MEDICAMENTO]],TAB_REF!$B$3:$F$27,3,0), "")</f>
        <v xml:space="preserve">100 mg </v>
      </c>
      <c r="AB1209" s="10" t="str">
        <f>IFERROR(VLOOKUP(Tabla1[[#This Row],[MEDICAMENTO]],TAB_REF!$B$3:$F$27,4,0), "")</f>
        <v>Tabletas</v>
      </c>
      <c r="AC1209" s="10" t="str">
        <f>IFERROR(VLOOKUP(Tabla1[[#This Row],[MEDICAMENTO]],TAB_REF!$B$3:$F$27,5,0), "")</f>
        <v>Caja x 30 unidades</v>
      </c>
      <c r="AD1209" s="10" t="str">
        <f>IFERROR(VLOOKUP(Tabla1[[#This Row],[CANTIDAD UND COMERCIALES]],TAB_REF!$H$3:$I$1003,2,0)&amp;" ("&amp;Tabla1[[#This Row],[CANTIDAD UND COMERCIALES]]&amp;")"&amp;"_"&amp;Tabla1[[#This Row],[CANTIDAD]],"")</f>
        <v>Treinta Y Tres (33)_Caja x 30 unidades</v>
      </c>
    </row>
    <row r="1210" spans="2:30" x14ac:dyDescent="0.25">
      <c r="B1210" s="10">
        <v>511</v>
      </c>
      <c r="C1210" s="10" t="s">
        <v>2748</v>
      </c>
      <c r="D1210" s="10" t="s">
        <v>2182</v>
      </c>
      <c r="E1210" s="10" t="s">
        <v>4277</v>
      </c>
      <c r="F1210" s="10" t="s">
        <v>2751</v>
      </c>
      <c r="G1210" s="10" t="s">
        <v>4067</v>
      </c>
      <c r="H1210" s="10" t="s">
        <v>4068</v>
      </c>
      <c r="I1210" s="10" t="s">
        <v>2113</v>
      </c>
      <c r="J1210" s="10" t="s">
        <v>1442</v>
      </c>
      <c r="K1210" s="10" t="s">
        <v>2947</v>
      </c>
      <c r="L1210" s="11">
        <v>202124101841282</v>
      </c>
      <c r="M1210" s="20">
        <v>44467</v>
      </c>
      <c r="N1210" s="20" t="str">
        <f>UPPER(TEXT(Tabla1[[#This Row],[FECHA RADICADO ENTRADA]],"MMM"))</f>
        <v>SEP</v>
      </c>
      <c r="O1210" s="11"/>
      <c r="P1210" s="20"/>
      <c r="Q1210" s="20" t="str">
        <f>UPPER(TEXT(Tabla1[[#This Row],[FECHA RADICADO ENTRADA]],"MMM"))</f>
        <v>SEP</v>
      </c>
      <c r="R1210" s="10">
        <f t="shared" si="90"/>
        <v>44467</v>
      </c>
      <c r="S1210" s="10" t="s">
        <v>2154</v>
      </c>
      <c r="U1210" s="10" t="s">
        <v>4070</v>
      </c>
      <c r="V1210" s="20">
        <v>44223</v>
      </c>
      <c r="W1210" s="10" t="s">
        <v>60</v>
      </c>
      <c r="X1210" s="10">
        <v>10</v>
      </c>
      <c r="Y1210" s="10">
        <f>IFERROR(INT(Tabla1[[#This Row],[CANTIDAD UND FARMACEUTICAS]]/(VLOOKUP(Tabla1[[#This Row],[MEDICAMENTO]],TAB_REF!$K$3:$L$27,2,0))),"")</f>
        <v>10</v>
      </c>
      <c r="Z1210" s="10" t="str">
        <f>IFERROR(VLOOKUP(Tabla1[[#This Row],[MEDICAMENTO]],TAB_REF!$B$3:$F$27,2,0), "")</f>
        <v xml:space="preserve">Morfina HCl </v>
      </c>
      <c r="AA1210" s="10" t="str">
        <f>IFERROR(VLOOKUP(Tabla1[[#This Row],[MEDICAMENTO]],TAB_REF!$B$3:$F$27,3,0), "")</f>
        <v xml:space="preserve">3%. </v>
      </c>
      <c r="AB1210" s="10" t="str">
        <f>IFERROR(VLOOKUP(Tabla1[[#This Row],[MEDICAMENTO]],TAB_REF!$B$3:$F$27,4,0), "")</f>
        <v>Solución Oral</v>
      </c>
      <c r="AC1210" s="10" t="str">
        <f>IFERROR(VLOOKUP(Tabla1[[#This Row],[MEDICAMENTO]],TAB_REF!$B$3:$F$27,5,0), "")</f>
        <v>Frasco x 30 mL</v>
      </c>
      <c r="AD1210" s="10" t="str">
        <f>IFERROR(VLOOKUP(Tabla1[[#This Row],[CANTIDAD UND COMERCIALES]],TAB_REF!$H$3:$I$1003,2,0)&amp;" ("&amp;Tabla1[[#This Row],[CANTIDAD UND COMERCIALES]]&amp;")"&amp;"_"&amp;Tabla1[[#This Row],[CANTIDAD]],"")</f>
        <v>Diez (10)_Frasco x 30 mL</v>
      </c>
    </row>
    <row r="1211" spans="2:30" x14ac:dyDescent="0.25">
      <c r="B1211" s="10">
        <v>511</v>
      </c>
      <c r="C1211" s="10" t="s">
        <v>2748</v>
      </c>
      <c r="D1211" s="10" t="s">
        <v>2182</v>
      </c>
      <c r="E1211" s="10" t="s">
        <v>4277</v>
      </c>
      <c r="F1211" s="10" t="s">
        <v>2751</v>
      </c>
      <c r="G1211" s="10" t="s">
        <v>4067</v>
      </c>
      <c r="H1211" s="10" t="s">
        <v>4068</v>
      </c>
      <c r="I1211" s="10" t="s">
        <v>2113</v>
      </c>
      <c r="J1211" s="10" t="s">
        <v>1442</v>
      </c>
      <c r="K1211" s="10" t="s">
        <v>2947</v>
      </c>
      <c r="L1211" s="11">
        <v>202124101841282</v>
      </c>
      <c r="M1211" s="20">
        <v>44467</v>
      </c>
      <c r="N1211" s="20" t="str">
        <f>UPPER(TEXT(Tabla1[[#This Row],[FECHA RADICADO ENTRADA]],"MMM"))</f>
        <v>SEP</v>
      </c>
      <c r="O1211" s="11"/>
      <c r="P1211" s="20"/>
      <c r="Q1211" s="20" t="str">
        <f>UPPER(TEXT(Tabla1[[#This Row],[FECHA RADICADO ENTRADA]],"MMM"))</f>
        <v>SEP</v>
      </c>
      <c r="R1211" s="10">
        <f t="shared" si="90"/>
        <v>44467</v>
      </c>
      <c r="S1211" s="10" t="s">
        <v>2154</v>
      </c>
      <c r="U1211" s="10" t="s">
        <v>4070</v>
      </c>
      <c r="V1211" s="20">
        <v>44223</v>
      </c>
      <c r="W1211" s="10" t="s">
        <v>28</v>
      </c>
      <c r="X1211" s="10">
        <v>5</v>
      </c>
      <c r="Y1211" s="10">
        <f>IFERROR(INT(Tabla1[[#This Row],[CANTIDAD UND FARMACEUTICAS]]/(VLOOKUP(Tabla1[[#This Row],[MEDICAMENTO]],TAB_REF!$K$3:$L$27,2,0))),"")</f>
        <v>5</v>
      </c>
      <c r="Z1211" s="10" t="str">
        <f>IFERROR(VLOOKUP(Tabla1[[#This Row],[MEDICAMENTO]],TAB_REF!$B$3:$F$27,2,0), "")</f>
        <v xml:space="preserve">Fenobarbital </v>
      </c>
      <c r="AA1211" s="10" t="str">
        <f>IFERROR(VLOOKUP(Tabla1[[#This Row],[MEDICAMENTO]],TAB_REF!$B$3:$F$27,3,0), "")</f>
        <v xml:space="preserve">0,4%. </v>
      </c>
      <c r="AB1211" s="10" t="str">
        <f>IFERROR(VLOOKUP(Tabla1[[#This Row],[MEDICAMENTO]],TAB_REF!$B$3:$F$27,4,0), "")</f>
        <v>Solución Oral</v>
      </c>
      <c r="AC1211" s="10" t="str">
        <f>IFERROR(VLOOKUP(Tabla1[[#This Row],[MEDICAMENTO]],TAB_REF!$B$3:$F$27,5,0), "")</f>
        <v>Frasco x 120 mL</v>
      </c>
      <c r="AD1211" s="10" t="str">
        <f>IFERROR(VLOOKUP(Tabla1[[#This Row],[CANTIDAD UND COMERCIALES]],TAB_REF!$H$3:$I$1003,2,0)&amp;" ("&amp;Tabla1[[#This Row],[CANTIDAD UND COMERCIALES]]&amp;")"&amp;"_"&amp;Tabla1[[#This Row],[CANTIDAD]],"")</f>
        <v>Cinco (5)_Frasco x 120 mL</v>
      </c>
    </row>
    <row r="1212" spans="2:30" x14ac:dyDescent="0.25">
      <c r="B1212" s="10">
        <v>511</v>
      </c>
      <c r="C1212" s="10" t="s">
        <v>2748</v>
      </c>
      <c r="D1212" s="10" t="s">
        <v>2182</v>
      </c>
      <c r="E1212" s="10" t="s">
        <v>4277</v>
      </c>
      <c r="F1212" s="10" t="s">
        <v>2751</v>
      </c>
      <c r="G1212" s="10" t="s">
        <v>4067</v>
      </c>
      <c r="H1212" s="10" t="s">
        <v>4068</v>
      </c>
      <c r="I1212" s="10" t="s">
        <v>2113</v>
      </c>
      <c r="J1212" s="10" t="s">
        <v>1442</v>
      </c>
      <c r="K1212" s="10" t="s">
        <v>2947</v>
      </c>
      <c r="L1212" s="11">
        <v>202124101841282</v>
      </c>
      <c r="M1212" s="20">
        <v>44467</v>
      </c>
      <c r="N1212" s="20" t="str">
        <f>UPPER(TEXT(Tabla1[[#This Row],[FECHA RADICADO ENTRADA]],"MMM"))</f>
        <v>SEP</v>
      </c>
      <c r="O1212" s="11"/>
      <c r="P1212" s="20"/>
      <c r="Q1212" s="20" t="str">
        <f>UPPER(TEXT(Tabla1[[#This Row],[FECHA RADICADO ENTRADA]],"MMM"))</f>
        <v>SEP</v>
      </c>
      <c r="R1212" s="10">
        <f t="shared" si="90"/>
        <v>44467</v>
      </c>
      <c r="S1212" s="10" t="s">
        <v>2154</v>
      </c>
      <c r="U1212" s="10" t="s">
        <v>4070</v>
      </c>
      <c r="V1212" s="20">
        <v>44223</v>
      </c>
      <c r="W1212" s="10" t="s">
        <v>45</v>
      </c>
      <c r="X1212" s="10">
        <v>100</v>
      </c>
      <c r="Y1212" s="10">
        <f>IFERROR(INT(Tabla1[[#This Row],[CANTIDAD UND FARMACEUTICAS]]/(VLOOKUP(Tabla1[[#This Row],[MEDICAMENTO]],TAB_REF!$K$3:$L$27,2,0))),"")</f>
        <v>3</v>
      </c>
      <c r="Z1212" s="10" t="str">
        <f>IFERROR(VLOOKUP(Tabla1[[#This Row],[MEDICAMENTO]],TAB_REF!$B$3:$F$27,2,0), "")</f>
        <v xml:space="preserve">Metadona HCl </v>
      </c>
      <c r="AA1212" s="10" t="str">
        <f>IFERROR(VLOOKUP(Tabla1[[#This Row],[MEDICAMENTO]],TAB_REF!$B$3:$F$27,3,0), "")</f>
        <v xml:space="preserve">10 mg </v>
      </c>
      <c r="AB1212" s="10" t="str">
        <f>IFERROR(VLOOKUP(Tabla1[[#This Row],[MEDICAMENTO]],TAB_REF!$B$3:$F$27,4,0), "")</f>
        <v>Tabletas NACIONAL</v>
      </c>
      <c r="AC1212" s="10" t="str">
        <f>IFERROR(VLOOKUP(Tabla1[[#This Row],[MEDICAMENTO]],TAB_REF!$B$3:$F$27,5,0), "")</f>
        <v>Caja x 30 unidades</v>
      </c>
      <c r="AD1212" s="10" t="str">
        <f>IFERROR(VLOOKUP(Tabla1[[#This Row],[CANTIDAD UND COMERCIALES]],TAB_REF!$H$3:$I$1003,2,0)&amp;" ("&amp;Tabla1[[#This Row],[CANTIDAD UND COMERCIALES]]&amp;")"&amp;"_"&amp;Tabla1[[#This Row],[CANTIDAD]],"")</f>
        <v>Tres (3)_Caja x 30 unidades</v>
      </c>
    </row>
    <row r="1213" spans="2:30" x14ac:dyDescent="0.25">
      <c r="B1213" s="10">
        <v>512</v>
      </c>
      <c r="C1213" s="10" t="s">
        <v>3017</v>
      </c>
      <c r="D1213" s="10" t="s">
        <v>3731</v>
      </c>
      <c r="E1213" s="10" t="s">
        <v>4278</v>
      </c>
      <c r="F1213" s="10" t="s">
        <v>4279</v>
      </c>
      <c r="G1213" s="10" t="s">
        <v>2670</v>
      </c>
      <c r="H1213" s="10" t="s">
        <v>4280</v>
      </c>
      <c r="I1213" s="10" t="s">
        <v>2110</v>
      </c>
      <c r="J1213" s="10" t="s">
        <v>1235</v>
      </c>
      <c r="K1213" s="10" t="s">
        <v>4281</v>
      </c>
      <c r="L1213" s="11">
        <v>202124101847082</v>
      </c>
      <c r="M1213" s="20">
        <v>44468</v>
      </c>
      <c r="N1213" s="20" t="str">
        <f>UPPER(TEXT(Tabla1[[#This Row],[FECHA RADICADO ENTRADA]],"MMM"))</f>
        <v>SEP</v>
      </c>
      <c r="O1213" s="11"/>
      <c r="Q1213" s="20" t="str">
        <f>UPPER(TEXT(Tabla1[[#This Row],[FECHA RADICADO ENTRADA]],"MMM"))</f>
        <v>SEP</v>
      </c>
      <c r="R1213" s="10">
        <f t="shared" ref="R1213:R1221" si="94">_xlfn.DAYS(M1213,P1213)</f>
        <v>44468</v>
      </c>
      <c r="S1213" s="10" t="s">
        <v>2154</v>
      </c>
      <c r="U1213" s="10" t="s">
        <v>2673</v>
      </c>
      <c r="V1213" s="20">
        <v>43578</v>
      </c>
      <c r="W1213" s="10" t="s">
        <v>63</v>
      </c>
      <c r="X1213" s="10">
        <v>200</v>
      </c>
      <c r="Y1213" s="10">
        <f>IFERROR(INT(Tabla1[[#This Row],[CANTIDAD UND FARMACEUTICAS]]/(VLOOKUP(Tabla1[[#This Row],[MEDICAMENTO]],TAB_REF!$K$3:$L$27,2,0))),"")</f>
        <v>20</v>
      </c>
      <c r="Z1213" s="10" t="str">
        <f>IFERROR(VLOOKUP(Tabla1[[#This Row],[MEDICAMENTO]],TAB_REF!$B$3:$F$27,2,0), "")</f>
        <v xml:space="preserve">Morfina HCl </v>
      </c>
      <c r="AA1213" s="10" t="str">
        <f>IFERROR(VLOOKUP(Tabla1[[#This Row],[MEDICAMENTO]],TAB_REF!$B$3:$F$27,3,0), "")</f>
        <v xml:space="preserve">10 mg/mL </v>
      </c>
      <c r="AB1213" s="10" t="str">
        <f>IFERROR(VLOOKUP(Tabla1[[#This Row],[MEDICAMENTO]],TAB_REF!$B$3:$F$27,4,0), "")</f>
        <v>Solución Inyectable</v>
      </c>
      <c r="AC1213" s="10" t="str">
        <f>IFERROR(VLOOKUP(Tabla1[[#This Row],[MEDICAMENTO]],TAB_REF!$B$3:$F$27,5,0), "")</f>
        <v>Caja x 10 unidades</v>
      </c>
      <c r="AD1213" s="10" t="str">
        <f>IFERROR(VLOOKUP(Tabla1[[#This Row],[CANTIDAD UND COMERCIALES]],TAB_REF!$H$3:$I$1003,2,0)&amp;" ("&amp;Tabla1[[#This Row],[CANTIDAD UND COMERCIALES]]&amp;")"&amp;"_"&amp;Tabla1[[#This Row],[CANTIDAD]],"")</f>
        <v>Veinte (20)_Caja x 10 unidades</v>
      </c>
    </row>
    <row r="1214" spans="2:30" x14ac:dyDescent="0.25">
      <c r="B1214" s="10">
        <v>513</v>
      </c>
      <c r="C1214" s="10" t="s">
        <v>4282</v>
      </c>
      <c r="D1214" s="10" t="s">
        <v>3060</v>
      </c>
      <c r="E1214" s="10" t="s">
        <v>2851</v>
      </c>
      <c r="F1214" s="10" t="s">
        <v>3870</v>
      </c>
      <c r="G1214" s="10" t="s">
        <v>4283</v>
      </c>
      <c r="H1214" s="10" t="s">
        <v>4284</v>
      </c>
      <c r="I1214" s="10" t="s">
        <v>2110</v>
      </c>
      <c r="J1214" s="10" t="s">
        <v>1235</v>
      </c>
      <c r="K1214" s="10" t="s">
        <v>4285</v>
      </c>
      <c r="L1214" s="11">
        <v>202124101857422</v>
      </c>
      <c r="M1214" s="20">
        <v>44469</v>
      </c>
      <c r="N1214" s="20" t="str">
        <f>UPPER(TEXT(Tabla1[[#This Row],[FECHA RADICADO ENTRADA]],"MMM"))</f>
        <v>SEP</v>
      </c>
      <c r="O1214" s="11"/>
      <c r="Q1214" s="20" t="str">
        <f>UPPER(TEXT(Tabla1[[#This Row],[FECHA RADICADO ENTRADA]],"MMM"))</f>
        <v>SEP</v>
      </c>
      <c r="R1214" s="10">
        <f t="shared" si="94"/>
        <v>44469</v>
      </c>
      <c r="S1214" s="10" t="s">
        <v>2154</v>
      </c>
      <c r="U1214" s="10" t="s">
        <v>4286</v>
      </c>
      <c r="V1214" s="20">
        <v>44235</v>
      </c>
      <c r="W1214" s="10" t="s">
        <v>38</v>
      </c>
      <c r="X1214" s="10">
        <v>20</v>
      </c>
      <c r="Y1214" s="10">
        <f>IFERROR(INT(Tabla1[[#This Row],[CANTIDAD UND FARMACEUTICAS]]/(VLOOKUP(Tabla1[[#This Row],[MEDICAMENTO]],TAB_REF!$K$3:$L$27,2,0))),"")</f>
        <v>1</v>
      </c>
      <c r="Z1214" s="10" t="str">
        <f>IFERROR(VLOOKUP(Tabla1[[#This Row],[MEDICAMENTO]],TAB_REF!$B$3:$F$27,2,0), "")</f>
        <v xml:space="preserve">Hidromorfona HCl </v>
      </c>
      <c r="AA1214" s="10" t="str">
        <f>IFERROR(VLOOKUP(Tabla1[[#This Row],[MEDICAMENTO]],TAB_REF!$B$3:$F$27,3,0), "")</f>
        <v xml:space="preserve">2,5 mg </v>
      </c>
      <c r="AB1214" s="10" t="str">
        <f>IFERROR(VLOOKUP(Tabla1[[#This Row],[MEDICAMENTO]],TAB_REF!$B$3:$F$27,4,0), "")</f>
        <v>Tabletas</v>
      </c>
      <c r="AC1214" s="10" t="str">
        <f>IFERROR(VLOOKUP(Tabla1[[#This Row],[MEDICAMENTO]],TAB_REF!$B$3:$F$27,5,0), "")</f>
        <v>Caja x 20 unidades</v>
      </c>
      <c r="AD1214" s="10" t="str">
        <f>IFERROR(VLOOKUP(Tabla1[[#This Row],[CANTIDAD UND COMERCIALES]],TAB_REF!$H$3:$I$1003,2,0)&amp;" ("&amp;Tabla1[[#This Row],[CANTIDAD UND COMERCIALES]]&amp;")"&amp;"_"&amp;Tabla1[[#This Row],[CANTIDAD]],"")</f>
        <v>Uno (1)_Caja x 20 unidades</v>
      </c>
    </row>
    <row r="1215" spans="2:30" x14ac:dyDescent="0.25">
      <c r="B1215" s="10">
        <v>513</v>
      </c>
      <c r="C1215" s="10" t="s">
        <v>4282</v>
      </c>
      <c r="D1215" s="10" t="s">
        <v>3060</v>
      </c>
      <c r="E1215" s="10" t="s">
        <v>2851</v>
      </c>
      <c r="F1215" s="10" t="s">
        <v>3870</v>
      </c>
      <c r="G1215" s="10" t="s">
        <v>4283</v>
      </c>
      <c r="H1215" s="10" t="s">
        <v>4284</v>
      </c>
      <c r="I1215" s="10" t="s">
        <v>2110</v>
      </c>
      <c r="J1215" s="10" t="s">
        <v>1235</v>
      </c>
      <c r="K1215" s="10" t="s">
        <v>4285</v>
      </c>
      <c r="L1215" s="11">
        <v>202124101857422</v>
      </c>
      <c r="M1215" s="20">
        <v>44469</v>
      </c>
      <c r="N1215" s="20" t="str">
        <f>UPPER(TEXT(Tabla1[[#This Row],[FECHA RADICADO ENTRADA]],"MMM"))</f>
        <v>SEP</v>
      </c>
      <c r="O1215" s="11"/>
      <c r="Q1215" s="20" t="str">
        <f>UPPER(TEXT(Tabla1[[#This Row],[FECHA RADICADO ENTRADA]],"MMM"))</f>
        <v>SEP</v>
      </c>
      <c r="R1215" s="10">
        <f t="shared" si="94"/>
        <v>44469</v>
      </c>
      <c r="S1215" s="10" t="s">
        <v>2154</v>
      </c>
      <c r="U1215" s="10" t="s">
        <v>4286</v>
      </c>
      <c r="V1215" s="20">
        <v>44235</v>
      </c>
      <c r="W1215" s="10" t="s">
        <v>41</v>
      </c>
      <c r="X1215" s="10">
        <v>10</v>
      </c>
      <c r="Y1215" s="10">
        <f>IFERROR(INT(Tabla1[[#This Row],[CANTIDAD UND FARMACEUTICAS]]/(VLOOKUP(Tabla1[[#This Row],[MEDICAMENTO]],TAB_REF!$K$3:$L$27,2,0))),"")</f>
        <v>1</v>
      </c>
      <c r="Z1215" s="10" t="str">
        <f>IFERROR(VLOOKUP(Tabla1[[#This Row],[MEDICAMENTO]],TAB_REF!$B$3:$F$27,2,0), "")</f>
        <v xml:space="preserve">Meperidina HCl </v>
      </c>
      <c r="AA1215" s="10" t="str">
        <f>IFERROR(VLOOKUP(Tabla1[[#This Row],[MEDICAMENTO]],TAB_REF!$B$3:$F$27,3,0), "")</f>
        <v xml:space="preserve">100 mg/2mL </v>
      </c>
      <c r="AB1215" s="10" t="str">
        <f>IFERROR(VLOOKUP(Tabla1[[#This Row],[MEDICAMENTO]],TAB_REF!$B$3:$F$27,4,0), "")</f>
        <v>Solución Inyectable</v>
      </c>
      <c r="AC1215" s="10" t="str">
        <f>IFERROR(VLOOKUP(Tabla1[[#This Row],[MEDICAMENTO]],TAB_REF!$B$3:$F$27,5,0), "")</f>
        <v>Caja 10 ampollas</v>
      </c>
      <c r="AD1215" s="10" t="str">
        <f>IFERROR(VLOOKUP(Tabla1[[#This Row],[CANTIDAD UND COMERCIALES]],TAB_REF!$H$3:$I$1003,2,0)&amp;" ("&amp;Tabla1[[#This Row],[CANTIDAD UND COMERCIALES]]&amp;")"&amp;"_"&amp;Tabla1[[#This Row],[CANTIDAD]],"")</f>
        <v>Uno (1)_Caja 10 ampollas</v>
      </c>
    </row>
    <row r="1216" spans="2:30" x14ac:dyDescent="0.25">
      <c r="B1216" s="10">
        <v>513</v>
      </c>
      <c r="C1216" s="10" t="s">
        <v>4282</v>
      </c>
      <c r="D1216" s="10" t="s">
        <v>3060</v>
      </c>
      <c r="E1216" s="10" t="s">
        <v>2851</v>
      </c>
      <c r="F1216" s="10" t="s">
        <v>3870</v>
      </c>
      <c r="G1216" s="10" t="s">
        <v>4283</v>
      </c>
      <c r="H1216" s="10" t="s">
        <v>4284</v>
      </c>
      <c r="I1216" s="10" t="s">
        <v>2110</v>
      </c>
      <c r="J1216" s="10" t="s">
        <v>1235</v>
      </c>
      <c r="K1216" s="10" t="s">
        <v>4285</v>
      </c>
      <c r="L1216" s="11">
        <v>202124101857422</v>
      </c>
      <c r="M1216" s="20">
        <v>44469</v>
      </c>
      <c r="N1216" s="20" t="str">
        <f>UPPER(TEXT(Tabla1[[#This Row],[FECHA RADICADO ENTRADA]],"MMM"))</f>
        <v>SEP</v>
      </c>
      <c r="O1216" s="11"/>
      <c r="Q1216" s="20" t="str">
        <f>UPPER(TEXT(Tabla1[[#This Row],[FECHA RADICADO ENTRADA]],"MMM"))</f>
        <v>SEP</v>
      </c>
      <c r="R1216" s="10">
        <f t="shared" si="94"/>
        <v>44469</v>
      </c>
      <c r="S1216" s="10" t="s">
        <v>2154</v>
      </c>
      <c r="U1216" s="10" t="s">
        <v>4286</v>
      </c>
      <c r="V1216" s="20">
        <v>44235</v>
      </c>
      <c r="W1216" s="10" t="s">
        <v>36</v>
      </c>
      <c r="X1216" s="10">
        <v>10</v>
      </c>
      <c r="Y1216" s="10">
        <f>IFERROR(INT(Tabla1[[#This Row],[CANTIDAD UND FARMACEUTICAS]]/(VLOOKUP(Tabla1[[#This Row],[MEDICAMENTO]],TAB_REF!$K$3:$L$27,2,0))),"")</f>
        <v>1</v>
      </c>
      <c r="Z1216" s="10" t="str">
        <f>IFERROR(VLOOKUP(Tabla1[[#This Row],[MEDICAMENTO]],TAB_REF!$B$3:$F$27,2,0), "")</f>
        <v xml:space="preserve">Fenobarbital Sódico </v>
      </c>
      <c r="AA1216" s="10" t="str">
        <f>IFERROR(VLOOKUP(Tabla1[[#This Row],[MEDICAMENTO]],TAB_REF!$B$3:$F$27,3,0), "")</f>
        <v xml:space="preserve">40 mg/mL </v>
      </c>
      <c r="AB1216" s="10" t="str">
        <f>IFERROR(VLOOKUP(Tabla1[[#This Row],[MEDICAMENTO]],TAB_REF!$B$3:$F$27,4,0), "")</f>
        <v>Solución Inyectable</v>
      </c>
      <c r="AC1216" s="10" t="str">
        <f>IFERROR(VLOOKUP(Tabla1[[#This Row],[MEDICAMENTO]],TAB_REF!$B$3:$F$27,5,0), "")</f>
        <v>Caja x 10 unidades</v>
      </c>
      <c r="AD1216" s="10" t="str">
        <f>IFERROR(VLOOKUP(Tabla1[[#This Row],[CANTIDAD UND COMERCIALES]],TAB_REF!$H$3:$I$1003,2,0)&amp;" ("&amp;Tabla1[[#This Row],[CANTIDAD UND COMERCIALES]]&amp;")"&amp;"_"&amp;Tabla1[[#This Row],[CANTIDAD]],"")</f>
        <v>Uno (1)_Caja x 10 unidades</v>
      </c>
    </row>
    <row r="1217" spans="2:30" x14ac:dyDescent="0.25">
      <c r="B1217" s="10">
        <v>513</v>
      </c>
      <c r="C1217" s="10" t="s">
        <v>4282</v>
      </c>
      <c r="D1217" s="10" t="s">
        <v>3060</v>
      </c>
      <c r="E1217" s="10" t="s">
        <v>2851</v>
      </c>
      <c r="F1217" s="10" t="s">
        <v>3870</v>
      </c>
      <c r="G1217" s="10" t="s">
        <v>4283</v>
      </c>
      <c r="H1217" s="10" t="s">
        <v>4284</v>
      </c>
      <c r="I1217" s="10" t="s">
        <v>2110</v>
      </c>
      <c r="J1217" s="10" t="s">
        <v>1235</v>
      </c>
      <c r="K1217" s="10" t="s">
        <v>4285</v>
      </c>
      <c r="L1217" s="11">
        <v>202124101857422</v>
      </c>
      <c r="M1217" s="20">
        <v>44469</v>
      </c>
      <c r="N1217" s="20" t="str">
        <f>UPPER(TEXT(Tabla1[[#This Row],[FECHA RADICADO ENTRADA]],"MMM"))</f>
        <v>SEP</v>
      </c>
      <c r="O1217" s="11"/>
      <c r="Q1217" s="20" t="str">
        <f>UPPER(TEXT(Tabla1[[#This Row],[FECHA RADICADO ENTRADA]],"MMM"))</f>
        <v>SEP</v>
      </c>
      <c r="R1217" s="10">
        <f t="shared" si="94"/>
        <v>44469</v>
      </c>
      <c r="S1217" s="10" t="s">
        <v>2154</v>
      </c>
      <c r="U1217" s="10" t="s">
        <v>4286</v>
      </c>
      <c r="V1217" s="20">
        <v>44235</v>
      </c>
      <c r="W1217" s="10" t="s">
        <v>60</v>
      </c>
      <c r="X1217" s="10">
        <v>10</v>
      </c>
      <c r="Y1217" s="10">
        <f>IFERROR(INT(Tabla1[[#This Row],[CANTIDAD UND FARMACEUTICAS]]/(VLOOKUP(Tabla1[[#This Row],[MEDICAMENTO]],TAB_REF!$K$3:$L$27,2,0))),"")</f>
        <v>10</v>
      </c>
      <c r="Z1217" s="10" t="str">
        <f>IFERROR(VLOOKUP(Tabla1[[#This Row],[MEDICAMENTO]],TAB_REF!$B$3:$F$27,2,0), "")</f>
        <v xml:space="preserve">Morfina HCl </v>
      </c>
      <c r="AA1217" s="10" t="str">
        <f>IFERROR(VLOOKUP(Tabla1[[#This Row],[MEDICAMENTO]],TAB_REF!$B$3:$F$27,3,0), "")</f>
        <v xml:space="preserve">3%. </v>
      </c>
      <c r="AB1217" s="10" t="str">
        <f>IFERROR(VLOOKUP(Tabla1[[#This Row],[MEDICAMENTO]],TAB_REF!$B$3:$F$27,4,0), "")</f>
        <v>Solución Oral</v>
      </c>
      <c r="AC1217" s="10" t="str">
        <f>IFERROR(VLOOKUP(Tabla1[[#This Row],[MEDICAMENTO]],TAB_REF!$B$3:$F$27,5,0), "")</f>
        <v>Frasco x 30 mL</v>
      </c>
      <c r="AD1217" s="10" t="str">
        <f>IFERROR(VLOOKUP(Tabla1[[#This Row],[CANTIDAD UND COMERCIALES]],TAB_REF!$H$3:$I$1003,2,0)&amp;" ("&amp;Tabla1[[#This Row],[CANTIDAD UND COMERCIALES]]&amp;")"&amp;"_"&amp;Tabla1[[#This Row],[CANTIDAD]],"")</f>
        <v>Diez (10)_Frasco x 30 mL</v>
      </c>
    </row>
    <row r="1218" spans="2:30" x14ac:dyDescent="0.25">
      <c r="B1218" s="10">
        <v>513</v>
      </c>
      <c r="C1218" s="10" t="s">
        <v>4282</v>
      </c>
      <c r="D1218" s="10" t="s">
        <v>3060</v>
      </c>
      <c r="E1218" s="10" t="s">
        <v>2851</v>
      </c>
      <c r="F1218" s="10" t="s">
        <v>3870</v>
      </c>
      <c r="G1218" s="10" t="s">
        <v>4283</v>
      </c>
      <c r="H1218" s="10" t="s">
        <v>4284</v>
      </c>
      <c r="I1218" s="10" t="s">
        <v>2110</v>
      </c>
      <c r="J1218" s="10" t="s">
        <v>1235</v>
      </c>
      <c r="K1218" s="10" t="s">
        <v>4285</v>
      </c>
      <c r="L1218" s="11">
        <v>202124101857422</v>
      </c>
      <c r="M1218" s="20">
        <v>44469</v>
      </c>
      <c r="N1218" s="20" t="str">
        <f>UPPER(TEXT(Tabla1[[#This Row],[FECHA RADICADO ENTRADA]],"MMM"))</f>
        <v>SEP</v>
      </c>
      <c r="O1218" s="11"/>
      <c r="Q1218" s="20" t="str">
        <f>UPPER(TEXT(Tabla1[[#This Row],[FECHA RADICADO ENTRADA]],"MMM"))</f>
        <v>SEP</v>
      </c>
      <c r="R1218" s="10">
        <f t="shared" si="94"/>
        <v>44469</v>
      </c>
      <c r="S1218" s="10" t="s">
        <v>2154</v>
      </c>
      <c r="U1218" s="10" t="s">
        <v>4286</v>
      </c>
      <c r="V1218" s="20">
        <v>44235</v>
      </c>
      <c r="W1218" s="10" t="s">
        <v>48</v>
      </c>
      <c r="X1218" s="10">
        <v>30</v>
      </c>
      <c r="Y1218" s="10">
        <f>IFERROR(INT(Tabla1[[#This Row],[CANTIDAD UND FARMACEUTICAS]]/(VLOOKUP(Tabla1[[#This Row],[MEDICAMENTO]],TAB_REF!$K$3:$L$27,2,0))),"")</f>
        <v>1</v>
      </c>
      <c r="Z1218" s="10" t="str">
        <f>IFERROR(VLOOKUP(Tabla1[[#This Row],[MEDICAMENTO]],TAB_REF!$B$3:$F$27,2,0), "")</f>
        <v xml:space="preserve">Metilfenidato HCl </v>
      </c>
      <c r="AA1218" s="10" t="str">
        <f>IFERROR(VLOOKUP(Tabla1[[#This Row],[MEDICAMENTO]],TAB_REF!$B$3:$F$27,3,0), "")</f>
        <v xml:space="preserve">10 mg </v>
      </c>
      <c r="AB1218" s="10" t="str">
        <f>IFERROR(VLOOKUP(Tabla1[[#This Row],[MEDICAMENTO]],TAB_REF!$B$3:$F$27,4,0), "")</f>
        <v>Comprimidos</v>
      </c>
      <c r="AC1218" s="10" t="str">
        <f>IFERROR(VLOOKUP(Tabla1[[#This Row],[MEDICAMENTO]],TAB_REF!$B$3:$F$27,5,0), "")</f>
        <v>Caja x 30 unidades</v>
      </c>
      <c r="AD1218" s="10" t="str">
        <f>IFERROR(VLOOKUP(Tabla1[[#This Row],[CANTIDAD UND COMERCIALES]],TAB_REF!$H$3:$I$1003,2,0)&amp;" ("&amp;Tabla1[[#This Row],[CANTIDAD UND COMERCIALES]]&amp;")"&amp;"_"&amp;Tabla1[[#This Row],[CANTIDAD]],"")</f>
        <v>Uno (1)_Caja x 30 unidades</v>
      </c>
    </row>
    <row r="1219" spans="2:30" x14ac:dyDescent="0.25">
      <c r="B1219" s="10">
        <v>513</v>
      </c>
      <c r="C1219" s="10" t="s">
        <v>4282</v>
      </c>
      <c r="D1219" s="10" t="s">
        <v>3060</v>
      </c>
      <c r="E1219" s="10" t="s">
        <v>2851</v>
      </c>
      <c r="F1219" s="10" t="s">
        <v>3870</v>
      </c>
      <c r="G1219" s="10" t="s">
        <v>4283</v>
      </c>
      <c r="H1219" s="10" t="s">
        <v>4284</v>
      </c>
      <c r="I1219" s="10" t="s">
        <v>2110</v>
      </c>
      <c r="J1219" s="10" t="s">
        <v>1235</v>
      </c>
      <c r="K1219" s="10" t="s">
        <v>4285</v>
      </c>
      <c r="L1219" s="11">
        <v>202124101857422</v>
      </c>
      <c r="M1219" s="20">
        <v>44469</v>
      </c>
      <c r="N1219" s="20" t="str">
        <f>UPPER(TEXT(Tabla1[[#This Row],[FECHA RADICADO ENTRADA]],"MMM"))</f>
        <v>SEP</v>
      </c>
      <c r="O1219" s="11"/>
      <c r="Q1219" s="20" t="str">
        <f>UPPER(TEXT(Tabla1[[#This Row],[FECHA RADICADO ENTRADA]],"MMM"))</f>
        <v>SEP</v>
      </c>
      <c r="R1219" s="10">
        <f t="shared" si="94"/>
        <v>44469</v>
      </c>
      <c r="S1219" s="10" t="s">
        <v>2154</v>
      </c>
      <c r="U1219" s="10" t="s">
        <v>4286</v>
      </c>
      <c r="V1219" s="20">
        <v>44235</v>
      </c>
      <c r="W1219" s="10" t="s">
        <v>28</v>
      </c>
      <c r="X1219" s="10">
        <v>10</v>
      </c>
      <c r="Y1219" s="10">
        <f>IFERROR(INT(Tabla1[[#This Row],[CANTIDAD UND FARMACEUTICAS]]/(VLOOKUP(Tabla1[[#This Row],[MEDICAMENTO]],TAB_REF!$K$3:$L$27,2,0))),"")</f>
        <v>10</v>
      </c>
      <c r="Z1219" s="10" t="str">
        <f>IFERROR(VLOOKUP(Tabla1[[#This Row],[MEDICAMENTO]],TAB_REF!$B$3:$F$27,2,0), "")</f>
        <v xml:space="preserve">Fenobarbital </v>
      </c>
      <c r="AA1219" s="10" t="str">
        <f>IFERROR(VLOOKUP(Tabla1[[#This Row],[MEDICAMENTO]],TAB_REF!$B$3:$F$27,3,0), "")</f>
        <v xml:space="preserve">0,4%. </v>
      </c>
      <c r="AB1219" s="10" t="str">
        <f>IFERROR(VLOOKUP(Tabla1[[#This Row],[MEDICAMENTO]],TAB_REF!$B$3:$F$27,4,0), "")</f>
        <v>Solución Oral</v>
      </c>
      <c r="AC1219" s="10" t="str">
        <f>IFERROR(VLOOKUP(Tabla1[[#This Row],[MEDICAMENTO]],TAB_REF!$B$3:$F$27,5,0), "")</f>
        <v>Frasco x 120 mL</v>
      </c>
      <c r="AD1219" s="10" t="str">
        <f>IFERROR(VLOOKUP(Tabla1[[#This Row],[CANTIDAD UND COMERCIALES]],TAB_REF!$H$3:$I$1003,2,0)&amp;" ("&amp;Tabla1[[#This Row],[CANTIDAD UND COMERCIALES]]&amp;")"&amp;"_"&amp;Tabla1[[#This Row],[CANTIDAD]],"")</f>
        <v>Diez (10)_Frasco x 120 mL</v>
      </c>
    </row>
    <row r="1220" spans="2:30" x14ac:dyDescent="0.25">
      <c r="B1220" s="10">
        <v>513</v>
      </c>
      <c r="C1220" s="10" t="s">
        <v>4282</v>
      </c>
      <c r="D1220" s="10" t="s">
        <v>3060</v>
      </c>
      <c r="E1220" s="10" t="s">
        <v>2851</v>
      </c>
      <c r="F1220" s="10" t="s">
        <v>3870</v>
      </c>
      <c r="G1220" s="10" t="s">
        <v>4283</v>
      </c>
      <c r="H1220" s="10" t="s">
        <v>4284</v>
      </c>
      <c r="I1220" s="10" t="s">
        <v>2110</v>
      </c>
      <c r="J1220" s="10" t="s">
        <v>1235</v>
      </c>
      <c r="K1220" s="10" t="s">
        <v>4285</v>
      </c>
      <c r="L1220" s="11">
        <v>202124101857422</v>
      </c>
      <c r="M1220" s="20">
        <v>44469</v>
      </c>
      <c r="N1220" s="20" t="str">
        <f>UPPER(TEXT(Tabla1[[#This Row],[FECHA RADICADO ENTRADA]],"MMM"))</f>
        <v>SEP</v>
      </c>
      <c r="O1220" s="11"/>
      <c r="Q1220" s="20" t="str">
        <f>UPPER(TEXT(Tabla1[[#This Row],[FECHA RADICADO ENTRADA]],"MMM"))</f>
        <v>SEP</v>
      </c>
      <c r="R1220" s="10">
        <f t="shared" si="94"/>
        <v>44469</v>
      </c>
      <c r="S1220" s="10" t="s">
        <v>2154</v>
      </c>
      <c r="U1220" s="10" t="s">
        <v>4286</v>
      </c>
      <c r="V1220" s="20">
        <v>44235</v>
      </c>
      <c r="W1220" s="10" t="s">
        <v>45</v>
      </c>
      <c r="X1220" s="10">
        <v>60</v>
      </c>
      <c r="Y1220" s="10">
        <f>IFERROR(INT(Tabla1[[#This Row],[CANTIDAD UND FARMACEUTICAS]]/(VLOOKUP(Tabla1[[#This Row],[MEDICAMENTO]],TAB_REF!$K$3:$L$27,2,0))),"")</f>
        <v>2</v>
      </c>
      <c r="Z1220" s="10" t="str">
        <f>IFERROR(VLOOKUP(Tabla1[[#This Row],[MEDICAMENTO]],TAB_REF!$B$3:$F$27,2,0), "")</f>
        <v xml:space="preserve">Metadona HCl </v>
      </c>
      <c r="AA1220" s="10" t="str">
        <f>IFERROR(VLOOKUP(Tabla1[[#This Row],[MEDICAMENTO]],TAB_REF!$B$3:$F$27,3,0), "")</f>
        <v xml:space="preserve">10 mg </v>
      </c>
      <c r="AB1220" s="10" t="str">
        <f>IFERROR(VLOOKUP(Tabla1[[#This Row],[MEDICAMENTO]],TAB_REF!$B$3:$F$27,4,0), "")</f>
        <v>Tabletas NACIONAL</v>
      </c>
      <c r="AC1220" s="10" t="str">
        <f>IFERROR(VLOOKUP(Tabla1[[#This Row],[MEDICAMENTO]],TAB_REF!$B$3:$F$27,5,0), "")</f>
        <v>Caja x 30 unidades</v>
      </c>
      <c r="AD1220" s="10" t="str">
        <f>IFERROR(VLOOKUP(Tabla1[[#This Row],[CANTIDAD UND COMERCIALES]],TAB_REF!$H$3:$I$1003,2,0)&amp;" ("&amp;Tabla1[[#This Row],[CANTIDAD UND COMERCIALES]]&amp;")"&amp;"_"&amp;Tabla1[[#This Row],[CANTIDAD]],"")</f>
        <v>Dos (2)_Caja x 30 unidades</v>
      </c>
    </row>
    <row r="1221" spans="2:30" x14ac:dyDescent="0.25">
      <c r="B1221" s="10">
        <v>514</v>
      </c>
      <c r="C1221" s="10" t="s">
        <v>3977</v>
      </c>
      <c r="D1221" s="10" t="s">
        <v>3731</v>
      </c>
      <c r="E1221" s="10" t="s">
        <v>4287</v>
      </c>
      <c r="F1221" s="10" t="s">
        <v>3886</v>
      </c>
      <c r="G1221" s="10" t="s">
        <v>3979</v>
      </c>
      <c r="H1221" s="10" t="s">
        <v>3980</v>
      </c>
      <c r="I1221" s="10" t="s">
        <v>2128</v>
      </c>
      <c r="J1221" s="10" t="s">
        <v>1918</v>
      </c>
      <c r="K1221" s="10" t="s">
        <v>4288</v>
      </c>
      <c r="L1221" s="11">
        <v>202124101863322</v>
      </c>
      <c r="M1221" s="20">
        <v>44469</v>
      </c>
      <c r="N1221" s="20" t="str">
        <f>UPPER(TEXT(Tabla1[[#This Row],[FECHA RADICADO ENTRADA]],"MMM"))</f>
        <v>SEP</v>
      </c>
      <c r="O1221" s="11"/>
      <c r="Q1221" s="20" t="str">
        <f>UPPER(TEXT(Tabla1[[#This Row],[FECHA RADICADO ENTRADA]],"MMM"))</f>
        <v>SEP</v>
      </c>
      <c r="R1221" s="10">
        <f t="shared" si="94"/>
        <v>44469</v>
      </c>
      <c r="S1221" s="10" t="s">
        <v>2154</v>
      </c>
      <c r="U1221" s="10" t="s">
        <v>3982</v>
      </c>
      <c r="V1221" s="20">
        <v>44364</v>
      </c>
      <c r="W1221" s="10" t="s">
        <v>28</v>
      </c>
      <c r="X1221" s="10">
        <v>20</v>
      </c>
      <c r="Y1221" s="10">
        <f>IFERROR(INT(Tabla1[[#This Row],[CANTIDAD UND FARMACEUTICAS]]/(VLOOKUP(Tabla1[[#This Row],[MEDICAMENTO]],TAB_REF!$K$3:$L$27,2,0))),"")</f>
        <v>20</v>
      </c>
      <c r="Z1221" s="10" t="str">
        <f>IFERROR(VLOOKUP(Tabla1[[#This Row],[MEDICAMENTO]],TAB_REF!$B$3:$F$27,2,0), "")</f>
        <v xml:space="preserve">Fenobarbital </v>
      </c>
      <c r="AA1221" s="10" t="str">
        <f>IFERROR(VLOOKUP(Tabla1[[#This Row],[MEDICAMENTO]],TAB_REF!$B$3:$F$27,3,0), "")</f>
        <v xml:space="preserve">0,4%. </v>
      </c>
      <c r="AB1221" s="10" t="str">
        <f>IFERROR(VLOOKUP(Tabla1[[#This Row],[MEDICAMENTO]],TAB_REF!$B$3:$F$27,4,0), "")</f>
        <v>Solución Oral</v>
      </c>
      <c r="AC1221" s="10" t="str">
        <f>IFERROR(VLOOKUP(Tabla1[[#This Row],[MEDICAMENTO]],TAB_REF!$B$3:$F$27,5,0), "")</f>
        <v>Frasco x 120 mL</v>
      </c>
      <c r="AD1221" s="10" t="str">
        <f>IFERROR(VLOOKUP(Tabla1[[#This Row],[CANTIDAD UND COMERCIALES]],TAB_REF!$H$3:$I$1003,2,0)&amp;" ("&amp;Tabla1[[#This Row],[CANTIDAD UND COMERCIALES]]&amp;")"&amp;"_"&amp;Tabla1[[#This Row],[CANTIDAD]],"")</f>
        <v>Veinte (20)_Frasco x 120 mL</v>
      </c>
    </row>
    <row r="1222" spans="2:30" x14ac:dyDescent="0.25">
      <c r="B1222" s="10">
        <v>515</v>
      </c>
      <c r="C1222" s="10" t="s">
        <v>4289</v>
      </c>
      <c r="D1222" s="10" t="s">
        <v>3947</v>
      </c>
      <c r="E1222" s="10" t="s">
        <v>4290</v>
      </c>
      <c r="F1222" s="10" t="s">
        <v>3767</v>
      </c>
      <c r="G1222" s="10" t="s">
        <v>4291</v>
      </c>
      <c r="H1222" s="10" t="s">
        <v>4292</v>
      </c>
      <c r="I1222" s="10" t="s">
        <v>2123</v>
      </c>
      <c r="J1222" s="10" t="s">
        <v>1770</v>
      </c>
      <c r="K1222" s="10" t="s">
        <v>4293</v>
      </c>
      <c r="L1222" s="11">
        <v>202124101863472</v>
      </c>
      <c r="M1222" s="20">
        <v>44469</v>
      </c>
      <c r="N1222" s="20" t="str">
        <f>UPPER(TEXT(Tabla1[[#This Row],[FECHA RADICADO ENTRADA]],"MMM"))</f>
        <v>SEP</v>
      </c>
      <c r="O1222" s="11"/>
      <c r="P1222" s="20"/>
      <c r="Q1222" s="20" t="str">
        <f>UPPER(TEXT(Tabla1[[#This Row],[FECHA RADICADO ENTRADA]],"MMM"))</f>
        <v>SEP</v>
      </c>
      <c r="R1222" s="10">
        <f t="shared" ref="R1222:R1243" si="95">_xlfn.DAYS(M1222,P1222)</f>
        <v>44469</v>
      </c>
      <c r="S1222" s="10" t="s">
        <v>2154</v>
      </c>
      <c r="U1222" s="10" t="s">
        <v>2735</v>
      </c>
      <c r="V1222" s="20">
        <v>44070</v>
      </c>
      <c r="W1222" s="10" t="s">
        <v>2139</v>
      </c>
      <c r="X1222" s="10">
        <v>120</v>
      </c>
      <c r="Y1222" s="10">
        <f>IFERROR(INT(Tabla1[[#This Row],[CANTIDAD UND FARMACEUTICAS]]/(VLOOKUP(Tabla1[[#This Row],[MEDICAMENTO]],TAB_REF!$K$3:$L$27,2,0))),"")</f>
        <v>4</v>
      </c>
      <c r="Z1222" s="10" t="str">
        <f>IFERROR(VLOOKUP(Tabla1[[#This Row],[MEDICAMENTO]],TAB_REF!$B$3:$F$27,2,0), "")</f>
        <v xml:space="preserve">Primidona </v>
      </c>
      <c r="AA1222" s="10" t="str">
        <f>IFERROR(VLOOKUP(Tabla1[[#This Row],[MEDICAMENTO]],TAB_REF!$B$3:$F$27,3,0), "")</f>
        <v xml:space="preserve">250 mg </v>
      </c>
      <c r="AB1222" s="10" t="str">
        <f>IFERROR(VLOOKUP(Tabla1[[#This Row],[MEDICAMENTO]],TAB_REF!$B$3:$F$27,4,0), "")</f>
        <v>Tabletas</v>
      </c>
      <c r="AC1222" s="10" t="str">
        <f>IFERROR(VLOOKUP(Tabla1[[#This Row],[MEDICAMENTO]],TAB_REF!$B$3:$F$27,5,0), "")</f>
        <v>Caja x 30 unidades</v>
      </c>
      <c r="AD1222" s="10" t="str">
        <f>IFERROR(VLOOKUP(Tabla1[[#This Row],[CANTIDAD UND COMERCIALES]],TAB_REF!$H$3:$I$1003,2,0)&amp;" ("&amp;Tabla1[[#This Row],[CANTIDAD UND COMERCIALES]]&amp;")"&amp;"_"&amp;Tabla1[[#This Row],[CANTIDAD]],"")</f>
        <v>Cuatro (4)_Caja x 30 unidades</v>
      </c>
    </row>
    <row r="1223" spans="2:30" x14ac:dyDescent="0.25">
      <c r="B1223" s="10">
        <v>516</v>
      </c>
      <c r="C1223" s="10" t="s">
        <v>3075</v>
      </c>
      <c r="D1223" s="10" t="s">
        <v>3895</v>
      </c>
      <c r="E1223" s="10" t="s">
        <v>4290</v>
      </c>
      <c r="F1223" s="10" t="s">
        <v>3767</v>
      </c>
      <c r="G1223" s="10" t="s">
        <v>3944</v>
      </c>
      <c r="H1223" s="10" t="s">
        <v>4294</v>
      </c>
      <c r="I1223" s="10" t="s">
        <v>2110</v>
      </c>
      <c r="J1223" s="10" t="s">
        <v>1235</v>
      </c>
      <c r="K1223" s="10" t="s">
        <v>3945</v>
      </c>
      <c r="L1223" s="11">
        <v>202124101879982</v>
      </c>
      <c r="M1223" s="20">
        <v>44473</v>
      </c>
      <c r="N1223" s="20" t="str">
        <f>UPPER(TEXT(Tabla1[[#This Row],[FECHA RADICADO ENTRADA]],"MMM"))</f>
        <v>OCT</v>
      </c>
      <c r="O1223" s="11"/>
      <c r="P1223" s="20"/>
      <c r="Q1223" s="20" t="str">
        <f>UPPER(TEXT(Tabla1[[#This Row],[FECHA RADICADO ENTRADA]],"MMM"))</f>
        <v>OCT</v>
      </c>
      <c r="R1223" s="10">
        <f t="shared" si="95"/>
        <v>44473</v>
      </c>
      <c r="S1223" s="10" t="s">
        <v>2145</v>
      </c>
      <c r="U1223" s="10" t="s">
        <v>2570</v>
      </c>
      <c r="V1223" s="20">
        <v>44095</v>
      </c>
      <c r="W1223" s="10" t="s">
        <v>63</v>
      </c>
      <c r="X1223" s="10">
        <v>100</v>
      </c>
      <c r="Y1223" s="10">
        <f>IFERROR(INT(Tabla1[[#This Row],[CANTIDAD UND FARMACEUTICAS]]/(VLOOKUP(Tabla1[[#This Row],[MEDICAMENTO]],TAB_REF!$K$3:$L$27,2,0))),"")</f>
        <v>10</v>
      </c>
      <c r="Z1223" s="10" t="str">
        <f>IFERROR(VLOOKUP(Tabla1[[#This Row],[MEDICAMENTO]],TAB_REF!$B$3:$F$27,2,0), "")</f>
        <v xml:space="preserve">Morfina HCl </v>
      </c>
      <c r="AA1223" s="10" t="str">
        <f>IFERROR(VLOOKUP(Tabla1[[#This Row],[MEDICAMENTO]],TAB_REF!$B$3:$F$27,3,0), "")</f>
        <v xml:space="preserve">10 mg/mL </v>
      </c>
      <c r="AB1223" s="10" t="str">
        <f>IFERROR(VLOOKUP(Tabla1[[#This Row],[MEDICAMENTO]],TAB_REF!$B$3:$F$27,4,0), "")</f>
        <v>Solución Inyectable</v>
      </c>
      <c r="AC1223" s="10" t="str">
        <f>IFERROR(VLOOKUP(Tabla1[[#This Row],[MEDICAMENTO]],TAB_REF!$B$3:$F$27,5,0), "")</f>
        <v>Caja x 10 unidades</v>
      </c>
      <c r="AD1223" s="10" t="str">
        <f>IFERROR(VLOOKUP(Tabla1[[#This Row],[CANTIDAD UND COMERCIALES]],TAB_REF!$H$3:$I$1003,2,0)&amp;" ("&amp;Tabla1[[#This Row],[CANTIDAD UND COMERCIALES]]&amp;")"&amp;"_"&amp;Tabla1[[#This Row],[CANTIDAD]],"")</f>
        <v>Diez (10)_Caja x 10 unidades</v>
      </c>
    </row>
    <row r="1224" spans="2:30" x14ac:dyDescent="0.25">
      <c r="B1224" s="10">
        <v>516</v>
      </c>
      <c r="C1224" s="10" t="s">
        <v>3075</v>
      </c>
      <c r="D1224" s="10" t="s">
        <v>3895</v>
      </c>
      <c r="E1224" s="10" t="s">
        <v>4290</v>
      </c>
      <c r="F1224" s="10" t="s">
        <v>3767</v>
      </c>
      <c r="G1224" s="10" t="s">
        <v>3944</v>
      </c>
      <c r="H1224" s="10" t="s">
        <v>4294</v>
      </c>
      <c r="I1224" s="10" t="s">
        <v>2110</v>
      </c>
      <c r="J1224" s="10" t="s">
        <v>1235</v>
      </c>
      <c r="K1224" s="10" t="s">
        <v>3945</v>
      </c>
      <c r="L1224" s="11">
        <v>202124101879982</v>
      </c>
      <c r="M1224" s="20">
        <v>44473</v>
      </c>
      <c r="N1224" s="20" t="str">
        <f>UPPER(TEXT(Tabla1[[#This Row],[FECHA RADICADO ENTRADA]],"MMM"))</f>
        <v>OCT</v>
      </c>
      <c r="O1224" s="11"/>
      <c r="P1224" s="20"/>
      <c r="Q1224" s="20" t="str">
        <f>UPPER(TEXT(Tabla1[[#This Row],[FECHA RADICADO ENTRADA]],"MMM"))</f>
        <v>OCT</v>
      </c>
      <c r="R1224" s="10">
        <f t="shared" ref="R1224" si="96">_xlfn.DAYS(M1224,P1224)</f>
        <v>44473</v>
      </c>
      <c r="S1224" s="10" t="s">
        <v>2145</v>
      </c>
      <c r="U1224" s="10" t="s">
        <v>2570</v>
      </c>
      <c r="V1224" s="20">
        <v>44095</v>
      </c>
      <c r="W1224" s="10" t="s">
        <v>41</v>
      </c>
      <c r="X1224" s="10">
        <v>100</v>
      </c>
      <c r="Y1224" s="10">
        <f>IFERROR(INT(Tabla1[[#This Row],[CANTIDAD UND FARMACEUTICAS]]/(VLOOKUP(Tabla1[[#This Row],[MEDICAMENTO]],TAB_REF!$K$3:$L$27,2,0))),"")</f>
        <v>10</v>
      </c>
      <c r="Z1224" s="10" t="str">
        <f>IFERROR(VLOOKUP(Tabla1[[#This Row],[MEDICAMENTO]],TAB_REF!$B$3:$F$27,2,0), "")</f>
        <v xml:space="preserve">Meperidina HCl </v>
      </c>
      <c r="AA1224" s="10" t="str">
        <f>IFERROR(VLOOKUP(Tabla1[[#This Row],[MEDICAMENTO]],TAB_REF!$B$3:$F$27,3,0), "")</f>
        <v xml:space="preserve">100 mg/2mL </v>
      </c>
      <c r="AB1224" s="10" t="str">
        <f>IFERROR(VLOOKUP(Tabla1[[#This Row],[MEDICAMENTO]],TAB_REF!$B$3:$F$27,4,0), "")</f>
        <v>Solución Inyectable</v>
      </c>
      <c r="AC1224" s="10" t="str">
        <f>IFERROR(VLOOKUP(Tabla1[[#This Row],[MEDICAMENTO]],TAB_REF!$B$3:$F$27,5,0), "")</f>
        <v>Caja 10 ampollas</v>
      </c>
      <c r="AD1224" s="10" t="str">
        <f>IFERROR(VLOOKUP(Tabla1[[#This Row],[CANTIDAD UND COMERCIALES]],TAB_REF!$H$3:$I$1003,2,0)&amp;" ("&amp;Tabla1[[#This Row],[CANTIDAD UND COMERCIALES]]&amp;")"&amp;"_"&amp;Tabla1[[#This Row],[CANTIDAD]],"")</f>
        <v>Diez (10)_Caja 10 ampollas</v>
      </c>
    </row>
    <row r="1225" spans="2:30" x14ac:dyDescent="0.25">
      <c r="B1225" s="10">
        <v>517</v>
      </c>
      <c r="C1225" s="10" t="s">
        <v>4269</v>
      </c>
      <c r="D1225" s="10" t="s">
        <v>2175</v>
      </c>
      <c r="E1225" s="10" t="s">
        <v>4295</v>
      </c>
      <c r="F1225" s="10" t="s">
        <v>4270</v>
      </c>
      <c r="G1225" s="10" t="s">
        <v>4271</v>
      </c>
      <c r="H1225" s="10" t="s">
        <v>4296</v>
      </c>
      <c r="I1225" s="10" t="s">
        <v>2122</v>
      </c>
      <c r="J1225" s="10" t="s">
        <v>1742</v>
      </c>
      <c r="K1225" s="10" t="s">
        <v>4297</v>
      </c>
      <c r="L1225" s="11">
        <v>202124101885512</v>
      </c>
      <c r="M1225" s="20">
        <v>44473</v>
      </c>
      <c r="N1225" s="20" t="str">
        <f>UPPER(TEXT(Tabla1[[#This Row],[FECHA RADICADO ENTRADA]],"MMM"))</f>
        <v>OCT</v>
      </c>
      <c r="O1225" s="11"/>
      <c r="P1225" s="20"/>
      <c r="Q1225" s="20" t="str">
        <f>UPPER(TEXT(Tabla1[[#This Row],[FECHA RADICADO ENTRADA]],"MMM"))</f>
        <v>OCT</v>
      </c>
      <c r="R1225" s="10">
        <f t="shared" si="95"/>
        <v>44473</v>
      </c>
      <c r="S1225" s="10" t="s">
        <v>2154</v>
      </c>
      <c r="U1225" s="10" t="s">
        <v>4298</v>
      </c>
      <c r="V1225" s="20">
        <v>43767</v>
      </c>
      <c r="W1225" s="10" t="s">
        <v>63</v>
      </c>
      <c r="X1225" s="10">
        <v>0</v>
      </c>
      <c r="Y1225" s="10">
        <f>IFERROR(INT(Tabla1[[#This Row],[CANTIDAD UND FARMACEUTICAS]]/(VLOOKUP(Tabla1[[#This Row],[MEDICAMENTO]],TAB_REF!$K$3:$L$27,2,0))),"")</f>
        <v>0</v>
      </c>
      <c r="Z1225" s="10" t="str">
        <f>IFERROR(VLOOKUP(Tabla1[[#This Row],[MEDICAMENTO]],TAB_REF!$B$3:$F$27,2,0), "")</f>
        <v xml:space="preserve">Morfina HCl </v>
      </c>
      <c r="AA1225" s="10" t="str">
        <f>IFERROR(VLOOKUP(Tabla1[[#This Row],[MEDICAMENTO]],TAB_REF!$B$3:$F$27,3,0), "")</f>
        <v xml:space="preserve">10 mg/mL </v>
      </c>
      <c r="AB1225" s="10" t="str">
        <f>IFERROR(VLOOKUP(Tabla1[[#This Row],[MEDICAMENTO]],TAB_REF!$B$3:$F$27,4,0), "")</f>
        <v>Solución Inyectable</v>
      </c>
      <c r="AC1225" s="10" t="str">
        <f>IFERROR(VLOOKUP(Tabla1[[#This Row],[MEDICAMENTO]],TAB_REF!$B$3:$F$27,5,0), "")</f>
        <v>Caja x 10 unidades</v>
      </c>
      <c r="AD1225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226" spans="2:30" x14ac:dyDescent="0.25">
      <c r="B1226" s="10">
        <v>517</v>
      </c>
      <c r="C1226" s="10" t="s">
        <v>4269</v>
      </c>
      <c r="D1226" s="10" t="s">
        <v>2175</v>
      </c>
      <c r="E1226" s="10" t="s">
        <v>4295</v>
      </c>
      <c r="F1226" s="10" t="s">
        <v>4270</v>
      </c>
      <c r="G1226" s="10" t="s">
        <v>4271</v>
      </c>
      <c r="H1226" s="10" t="s">
        <v>4296</v>
      </c>
      <c r="I1226" s="10" t="s">
        <v>2122</v>
      </c>
      <c r="J1226" s="10" t="s">
        <v>1742</v>
      </c>
      <c r="K1226" s="10" t="s">
        <v>4297</v>
      </c>
      <c r="L1226" s="11">
        <v>202124101885512</v>
      </c>
      <c r="M1226" s="20">
        <v>44473</v>
      </c>
      <c r="N1226" s="20" t="str">
        <f>UPPER(TEXT(Tabla1[[#This Row],[FECHA RADICADO ENTRADA]],"MMM"))</f>
        <v>OCT</v>
      </c>
      <c r="O1226" s="11"/>
      <c r="P1226" s="20"/>
      <c r="Q1226" s="20" t="str">
        <f>UPPER(TEXT(Tabla1[[#This Row],[FECHA RADICADO ENTRADA]],"MMM"))</f>
        <v>OCT</v>
      </c>
      <c r="R1226" s="10">
        <f t="shared" ref="R1226" si="97">_xlfn.DAYS(M1226,P1226)</f>
        <v>44473</v>
      </c>
      <c r="S1226" s="10" t="s">
        <v>2154</v>
      </c>
      <c r="U1226" s="10" t="s">
        <v>4298</v>
      </c>
      <c r="V1226" s="20">
        <v>43767</v>
      </c>
      <c r="W1226" s="10" t="s">
        <v>41</v>
      </c>
      <c r="X1226" s="10">
        <v>50</v>
      </c>
      <c r="Y1226" s="10">
        <f>IFERROR(INT(Tabla1[[#This Row],[CANTIDAD UND FARMACEUTICAS]]/(VLOOKUP(Tabla1[[#This Row],[MEDICAMENTO]],TAB_REF!$K$3:$L$27,2,0))),"")</f>
        <v>5</v>
      </c>
      <c r="Z1226" s="10" t="str">
        <f>IFERROR(VLOOKUP(Tabla1[[#This Row],[MEDICAMENTO]],TAB_REF!$B$3:$F$27,2,0), "")</f>
        <v xml:space="preserve">Meperidina HCl </v>
      </c>
      <c r="AA1226" s="10" t="str">
        <f>IFERROR(VLOOKUP(Tabla1[[#This Row],[MEDICAMENTO]],TAB_REF!$B$3:$F$27,3,0), "")</f>
        <v xml:space="preserve">100 mg/2mL </v>
      </c>
      <c r="AB1226" s="10" t="str">
        <f>IFERROR(VLOOKUP(Tabla1[[#This Row],[MEDICAMENTO]],TAB_REF!$B$3:$F$27,4,0), "")</f>
        <v>Solución Inyectable</v>
      </c>
      <c r="AC1226" s="10" t="str">
        <f>IFERROR(VLOOKUP(Tabla1[[#This Row],[MEDICAMENTO]],TAB_REF!$B$3:$F$27,5,0), "")</f>
        <v>Caja 10 ampollas</v>
      </c>
      <c r="AD1226" s="10" t="str">
        <f>IFERROR(VLOOKUP(Tabla1[[#This Row],[CANTIDAD UND COMERCIALES]],TAB_REF!$H$3:$I$1003,2,0)&amp;" ("&amp;Tabla1[[#This Row],[CANTIDAD UND COMERCIALES]]&amp;")"&amp;"_"&amp;Tabla1[[#This Row],[CANTIDAD]],"")</f>
        <v>Cinco (5)_Caja 10 ampollas</v>
      </c>
    </row>
    <row r="1227" spans="2:30" x14ac:dyDescent="0.25">
      <c r="B1227" s="10">
        <v>518</v>
      </c>
      <c r="C1227" s="10" t="s">
        <v>4299</v>
      </c>
      <c r="D1227" s="10" t="s">
        <v>2723</v>
      </c>
      <c r="E1227" s="10" t="s">
        <v>4300</v>
      </c>
      <c r="F1227" s="10" t="s">
        <v>4301</v>
      </c>
      <c r="G1227" s="10" t="s">
        <v>4302</v>
      </c>
      <c r="H1227" s="10" t="s">
        <v>4303</v>
      </c>
      <c r="I1227" s="10" t="s">
        <v>2121</v>
      </c>
      <c r="J1227" s="10" t="s">
        <v>1738</v>
      </c>
      <c r="K1227" s="10" t="s">
        <v>4304</v>
      </c>
      <c r="L1227" s="11">
        <v>202124101893262</v>
      </c>
      <c r="M1227" s="20">
        <v>44474</v>
      </c>
      <c r="N1227" s="20" t="str">
        <f>UPPER(TEXT(Tabla1[[#This Row],[FECHA RADICADO ENTRADA]],"MMM"))</f>
        <v>OCT</v>
      </c>
      <c r="O1227" s="11"/>
      <c r="P1227" s="20"/>
      <c r="Q1227" s="20" t="str">
        <f>UPPER(TEXT(Tabla1[[#This Row],[FECHA RADICADO ENTRADA]],"MMM"))</f>
        <v>OCT</v>
      </c>
      <c r="R1227" s="10">
        <f t="shared" si="95"/>
        <v>44474</v>
      </c>
      <c r="S1227" s="10" t="s">
        <v>2154</v>
      </c>
      <c r="U1227" s="10" t="s">
        <v>4305</v>
      </c>
      <c r="V1227" s="20">
        <v>44330</v>
      </c>
      <c r="W1227" s="10" t="s">
        <v>36</v>
      </c>
      <c r="X1227" s="10">
        <v>500</v>
      </c>
      <c r="Y1227" s="10">
        <f>IFERROR(INT(Tabla1[[#This Row],[CANTIDAD UND FARMACEUTICAS]]/(VLOOKUP(Tabla1[[#This Row],[MEDICAMENTO]],TAB_REF!$K$3:$L$27,2,0))),"")</f>
        <v>50</v>
      </c>
      <c r="Z1227" s="10" t="str">
        <f>IFERROR(VLOOKUP(Tabla1[[#This Row],[MEDICAMENTO]],TAB_REF!$B$3:$F$27,2,0), "")</f>
        <v xml:space="preserve">Fenobarbital Sódico </v>
      </c>
      <c r="AA1227" s="10" t="str">
        <f>IFERROR(VLOOKUP(Tabla1[[#This Row],[MEDICAMENTO]],TAB_REF!$B$3:$F$27,3,0), "")</f>
        <v xml:space="preserve">40 mg/mL </v>
      </c>
      <c r="AB1227" s="10" t="str">
        <f>IFERROR(VLOOKUP(Tabla1[[#This Row],[MEDICAMENTO]],TAB_REF!$B$3:$F$27,4,0), "")</f>
        <v>Solución Inyectable</v>
      </c>
      <c r="AC1227" s="10" t="str">
        <f>IFERROR(VLOOKUP(Tabla1[[#This Row],[MEDICAMENTO]],TAB_REF!$B$3:$F$27,5,0), "")</f>
        <v>Caja x 10 unidades</v>
      </c>
      <c r="AD1227" s="10" t="str">
        <f>IFERROR(VLOOKUP(Tabla1[[#This Row],[CANTIDAD UND COMERCIALES]],TAB_REF!$H$3:$I$1003,2,0)&amp;" ("&amp;Tabla1[[#This Row],[CANTIDAD UND COMERCIALES]]&amp;")"&amp;"_"&amp;Tabla1[[#This Row],[CANTIDAD]],"")</f>
        <v>Cincuenta (50)_Caja x 10 unidades</v>
      </c>
    </row>
    <row r="1228" spans="2:30" x14ac:dyDescent="0.25">
      <c r="B1228" s="10">
        <v>518</v>
      </c>
      <c r="C1228" s="10" t="s">
        <v>4299</v>
      </c>
      <c r="D1228" s="10" t="s">
        <v>2723</v>
      </c>
      <c r="E1228" s="10" t="s">
        <v>4300</v>
      </c>
      <c r="F1228" s="10" t="s">
        <v>4301</v>
      </c>
      <c r="G1228" s="10" t="s">
        <v>4302</v>
      </c>
      <c r="H1228" s="10" t="s">
        <v>4303</v>
      </c>
      <c r="I1228" s="10" t="s">
        <v>2121</v>
      </c>
      <c r="J1228" s="10" t="s">
        <v>1738</v>
      </c>
      <c r="K1228" s="10" t="s">
        <v>4304</v>
      </c>
      <c r="L1228" s="11">
        <v>202124101893262</v>
      </c>
      <c r="M1228" s="20">
        <v>44474</v>
      </c>
      <c r="N1228" s="20" t="str">
        <f>UPPER(TEXT(Tabla1[[#This Row],[FECHA RADICADO ENTRADA]],"MMM"))</f>
        <v>OCT</v>
      </c>
      <c r="O1228" s="11"/>
      <c r="P1228" s="20"/>
      <c r="Q1228" s="20" t="str">
        <f>UPPER(TEXT(Tabla1[[#This Row],[FECHA RADICADO ENTRADA]],"MMM"))</f>
        <v>OCT</v>
      </c>
      <c r="R1228" s="10">
        <f t="shared" ref="R1228:R1230" si="98">_xlfn.DAYS(M1228,P1228)</f>
        <v>44474</v>
      </c>
      <c r="S1228" s="10" t="s">
        <v>2154</v>
      </c>
      <c r="U1228" s="10" t="s">
        <v>4305</v>
      </c>
      <c r="V1228" s="20">
        <v>44330</v>
      </c>
      <c r="W1228" s="10" t="s">
        <v>34</v>
      </c>
      <c r="X1228" s="10">
        <v>500</v>
      </c>
      <c r="Y1228" s="10">
        <f>IFERROR(INT(Tabla1[[#This Row],[CANTIDAD UND FARMACEUTICAS]]/(VLOOKUP(Tabla1[[#This Row],[MEDICAMENTO]],TAB_REF!$K$3:$L$27,2,0))),"")</f>
        <v>50</v>
      </c>
      <c r="Z1228" s="10" t="str">
        <f>IFERROR(VLOOKUP(Tabla1[[#This Row],[MEDICAMENTO]],TAB_REF!$B$3:$F$27,2,0), "")</f>
        <v xml:space="preserve">Fenobarbital Sódico </v>
      </c>
      <c r="AA1228" s="10" t="str">
        <f>IFERROR(VLOOKUP(Tabla1[[#This Row],[MEDICAMENTO]],TAB_REF!$B$3:$F$27,3,0), "")</f>
        <v xml:space="preserve">200 mg/Ml </v>
      </c>
      <c r="AB1228" s="10" t="str">
        <f>IFERROR(VLOOKUP(Tabla1[[#This Row],[MEDICAMENTO]],TAB_REF!$B$3:$F$27,4,0), "")</f>
        <v>Solución Inyectable</v>
      </c>
      <c r="AC1228" s="10" t="str">
        <f>IFERROR(VLOOKUP(Tabla1[[#This Row],[MEDICAMENTO]],TAB_REF!$B$3:$F$27,5,0), "")</f>
        <v>Caja x 10 unidades</v>
      </c>
      <c r="AD1228" s="10" t="str">
        <f>IFERROR(VLOOKUP(Tabla1[[#This Row],[CANTIDAD UND COMERCIALES]],TAB_REF!$H$3:$I$1003,2,0)&amp;" ("&amp;Tabla1[[#This Row],[CANTIDAD UND COMERCIALES]]&amp;")"&amp;"_"&amp;Tabla1[[#This Row],[CANTIDAD]],"")</f>
        <v>Cincuenta (50)_Caja x 10 unidades</v>
      </c>
    </row>
    <row r="1229" spans="2:30" x14ac:dyDescent="0.25">
      <c r="B1229" s="10">
        <v>518</v>
      </c>
      <c r="C1229" s="10" t="s">
        <v>4299</v>
      </c>
      <c r="D1229" s="10" t="s">
        <v>2723</v>
      </c>
      <c r="E1229" s="10" t="s">
        <v>4300</v>
      </c>
      <c r="F1229" s="10" t="s">
        <v>4301</v>
      </c>
      <c r="G1229" s="10" t="s">
        <v>4302</v>
      </c>
      <c r="H1229" s="10" t="s">
        <v>4303</v>
      </c>
      <c r="I1229" s="10" t="s">
        <v>2121</v>
      </c>
      <c r="J1229" s="10" t="s">
        <v>1738</v>
      </c>
      <c r="K1229" s="10" t="s">
        <v>4304</v>
      </c>
      <c r="L1229" s="11">
        <v>202124101893262</v>
      </c>
      <c r="M1229" s="20">
        <v>44474</v>
      </c>
      <c r="N1229" s="20" t="str">
        <f>UPPER(TEXT(Tabla1[[#This Row],[FECHA RADICADO ENTRADA]],"MMM"))</f>
        <v>OCT</v>
      </c>
      <c r="O1229" s="11"/>
      <c r="P1229" s="20"/>
      <c r="Q1229" s="20" t="str">
        <f>UPPER(TEXT(Tabla1[[#This Row],[FECHA RADICADO ENTRADA]],"MMM"))</f>
        <v>OCT</v>
      </c>
      <c r="R1229" s="10">
        <f t="shared" si="98"/>
        <v>44474</v>
      </c>
      <c r="S1229" s="10" t="s">
        <v>2154</v>
      </c>
      <c r="U1229" s="10" t="s">
        <v>4305</v>
      </c>
      <c r="V1229" s="20">
        <v>44330</v>
      </c>
      <c r="W1229" s="10" t="s">
        <v>41</v>
      </c>
      <c r="X1229" s="10">
        <v>200</v>
      </c>
      <c r="Y1229" s="10">
        <f>IFERROR(INT(Tabla1[[#This Row],[CANTIDAD UND FARMACEUTICAS]]/(VLOOKUP(Tabla1[[#This Row],[MEDICAMENTO]],TAB_REF!$K$3:$L$27,2,0))),"")</f>
        <v>20</v>
      </c>
      <c r="Z1229" s="10" t="str">
        <f>IFERROR(VLOOKUP(Tabla1[[#This Row],[MEDICAMENTO]],TAB_REF!$B$3:$F$27,2,0), "")</f>
        <v xml:space="preserve">Meperidina HCl </v>
      </c>
      <c r="AA1229" s="10" t="str">
        <f>IFERROR(VLOOKUP(Tabla1[[#This Row],[MEDICAMENTO]],TAB_REF!$B$3:$F$27,3,0), "")</f>
        <v xml:space="preserve">100 mg/2mL </v>
      </c>
      <c r="AB1229" s="10" t="str">
        <f>IFERROR(VLOOKUP(Tabla1[[#This Row],[MEDICAMENTO]],TAB_REF!$B$3:$F$27,4,0), "")</f>
        <v>Solución Inyectable</v>
      </c>
      <c r="AC1229" s="10" t="str">
        <f>IFERROR(VLOOKUP(Tabla1[[#This Row],[MEDICAMENTO]],TAB_REF!$B$3:$F$27,5,0), "")</f>
        <v>Caja 10 ampollas</v>
      </c>
      <c r="AD1229" s="10" t="str">
        <f>IFERROR(VLOOKUP(Tabla1[[#This Row],[CANTIDAD UND COMERCIALES]],TAB_REF!$H$3:$I$1003,2,0)&amp;" ("&amp;Tabla1[[#This Row],[CANTIDAD UND COMERCIALES]]&amp;")"&amp;"_"&amp;Tabla1[[#This Row],[CANTIDAD]],"")</f>
        <v>Veinte (20)_Caja 10 ampollas</v>
      </c>
    </row>
    <row r="1230" spans="2:30" x14ac:dyDescent="0.25">
      <c r="B1230" s="10">
        <v>518</v>
      </c>
      <c r="C1230" s="10" t="s">
        <v>4299</v>
      </c>
      <c r="D1230" s="10" t="s">
        <v>2723</v>
      </c>
      <c r="E1230" s="10" t="s">
        <v>4300</v>
      </c>
      <c r="F1230" s="10" t="s">
        <v>4301</v>
      </c>
      <c r="G1230" s="10" t="s">
        <v>4302</v>
      </c>
      <c r="H1230" s="10" t="s">
        <v>4303</v>
      </c>
      <c r="I1230" s="10" t="s">
        <v>2121</v>
      </c>
      <c r="J1230" s="10" t="s">
        <v>1738</v>
      </c>
      <c r="K1230" s="10" t="s">
        <v>4304</v>
      </c>
      <c r="L1230" s="11">
        <v>202124101893262</v>
      </c>
      <c r="M1230" s="20">
        <v>44474</v>
      </c>
      <c r="N1230" s="20" t="str">
        <f>UPPER(TEXT(Tabla1[[#This Row],[FECHA RADICADO ENTRADA]],"MMM"))</f>
        <v>OCT</v>
      </c>
      <c r="O1230" s="11"/>
      <c r="P1230" s="20"/>
      <c r="Q1230" s="20" t="str">
        <f>UPPER(TEXT(Tabla1[[#This Row],[FECHA RADICADO ENTRADA]],"MMM"))</f>
        <v>OCT</v>
      </c>
      <c r="R1230" s="10">
        <f t="shared" si="98"/>
        <v>44474</v>
      </c>
      <c r="S1230" s="10" t="s">
        <v>2154</v>
      </c>
      <c r="U1230" s="10" t="s">
        <v>4305</v>
      </c>
      <c r="V1230" s="20">
        <v>44330</v>
      </c>
      <c r="W1230" s="10" t="s">
        <v>63</v>
      </c>
      <c r="X1230" s="10">
        <v>500</v>
      </c>
      <c r="Y1230" s="10">
        <f>IFERROR(INT(Tabla1[[#This Row],[CANTIDAD UND FARMACEUTICAS]]/(VLOOKUP(Tabla1[[#This Row],[MEDICAMENTO]],TAB_REF!$K$3:$L$27,2,0))),"")</f>
        <v>50</v>
      </c>
      <c r="Z1230" s="10" t="str">
        <f>IFERROR(VLOOKUP(Tabla1[[#This Row],[MEDICAMENTO]],TAB_REF!$B$3:$F$27,2,0), "")</f>
        <v xml:space="preserve">Morfina HCl </v>
      </c>
      <c r="AA1230" s="10" t="str">
        <f>IFERROR(VLOOKUP(Tabla1[[#This Row],[MEDICAMENTO]],TAB_REF!$B$3:$F$27,3,0), "")</f>
        <v xml:space="preserve">10 mg/mL </v>
      </c>
      <c r="AB1230" s="10" t="str">
        <f>IFERROR(VLOOKUP(Tabla1[[#This Row],[MEDICAMENTO]],TAB_REF!$B$3:$F$27,4,0), "")</f>
        <v>Solución Inyectable</v>
      </c>
      <c r="AC1230" s="10" t="str">
        <f>IFERROR(VLOOKUP(Tabla1[[#This Row],[MEDICAMENTO]],TAB_REF!$B$3:$F$27,5,0), "")</f>
        <v>Caja x 10 unidades</v>
      </c>
      <c r="AD1230" s="10" t="str">
        <f>IFERROR(VLOOKUP(Tabla1[[#This Row],[CANTIDAD UND COMERCIALES]],TAB_REF!$H$3:$I$1003,2,0)&amp;" ("&amp;Tabla1[[#This Row],[CANTIDAD UND COMERCIALES]]&amp;")"&amp;"_"&amp;Tabla1[[#This Row],[CANTIDAD]],"")</f>
        <v>Cincuenta (50)_Caja x 10 unidades</v>
      </c>
    </row>
    <row r="1231" spans="2:30" x14ac:dyDescent="0.25">
      <c r="B1231" s="10">
        <v>519</v>
      </c>
      <c r="C1231" s="10" t="s">
        <v>4226</v>
      </c>
      <c r="D1231" s="10" t="s">
        <v>4227</v>
      </c>
      <c r="E1231" s="10" t="s">
        <v>4306</v>
      </c>
      <c r="F1231" s="10" t="s">
        <v>4229</v>
      </c>
      <c r="G1231" s="10" t="s">
        <v>4230</v>
      </c>
      <c r="H1231" s="10" t="s">
        <v>4307</v>
      </c>
      <c r="I1231" s="10" t="s">
        <v>2128</v>
      </c>
      <c r="J1231" s="10" t="s">
        <v>1918</v>
      </c>
      <c r="K1231" s="10" t="s">
        <v>4308</v>
      </c>
      <c r="L1231" s="11">
        <v>202124101894272</v>
      </c>
      <c r="M1231" s="20">
        <v>44474</v>
      </c>
      <c r="N1231" s="20" t="str">
        <f>UPPER(TEXT(Tabla1[[#This Row],[FECHA RADICADO ENTRADA]],"MMM"))</f>
        <v>OCT</v>
      </c>
      <c r="O1231" s="11"/>
      <c r="P1231" s="20"/>
      <c r="Q1231" s="20" t="str">
        <f>UPPER(TEXT(Tabla1[[#This Row],[FECHA RADICADO ENTRADA]],"MMM"))</f>
        <v>OCT</v>
      </c>
      <c r="R1231" s="10">
        <f t="shared" si="95"/>
        <v>44474</v>
      </c>
      <c r="S1231" s="10" t="s">
        <v>2154</v>
      </c>
      <c r="U1231" s="10" t="s">
        <v>4309</v>
      </c>
      <c r="V1231" s="20">
        <v>43216</v>
      </c>
      <c r="W1231" s="10" t="s">
        <v>60</v>
      </c>
      <c r="X1231" s="10">
        <v>12</v>
      </c>
      <c r="Y1231" s="10">
        <f>IFERROR(INT(Tabla1[[#This Row],[CANTIDAD UND FARMACEUTICAS]]/(VLOOKUP(Tabla1[[#This Row],[MEDICAMENTO]],TAB_REF!$K$3:$L$27,2,0))),"")</f>
        <v>12</v>
      </c>
      <c r="Z1231" s="10" t="str">
        <f>IFERROR(VLOOKUP(Tabla1[[#This Row],[MEDICAMENTO]],TAB_REF!$B$3:$F$27,2,0), "")</f>
        <v xml:space="preserve">Morfina HCl </v>
      </c>
      <c r="AA1231" s="10" t="str">
        <f>IFERROR(VLOOKUP(Tabla1[[#This Row],[MEDICAMENTO]],TAB_REF!$B$3:$F$27,3,0), "")</f>
        <v xml:space="preserve">3%. </v>
      </c>
      <c r="AB1231" s="10" t="str">
        <f>IFERROR(VLOOKUP(Tabla1[[#This Row],[MEDICAMENTO]],TAB_REF!$B$3:$F$27,4,0), "")</f>
        <v>Solución Oral</v>
      </c>
      <c r="AC1231" s="10" t="str">
        <f>IFERROR(VLOOKUP(Tabla1[[#This Row],[MEDICAMENTO]],TAB_REF!$B$3:$F$27,5,0), "")</f>
        <v>Frasco x 30 mL</v>
      </c>
      <c r="AD1231" s="10" t="str">
        <f>IFERROR(VLOOKUP(Tabla1[[#This Row],[CANTIDAD UND COMERCIALES]],TAB_REF!$H$3:$I$1003,2,0)&amp;" ("&amp;Tabla1[[#This Row],[CANTIDAD UND COMERCIALES]]&amp;")"&amp;"_"&amp;Tabla1[[#This Row],[CANTIDAD]],"")</f>
        <v>Doce (12)_Frasco x 30 mL</v>
      </c>
    </row>
    <row r="1232" spans="2:30" x14ac:dyDescent="0.25">
      <c r="B1232" s="10">
        <v>520</v>
      </c>
      <c r="C1232" s="10" t="s">
        <v>4310</v>
      </c>
      <c r="D1232" s="10" t="s">
        <v>2182</v>
      </c>
      <c r="E1232" s="10" t="s">
        <v>2905</v>
      </c>
      <c r="F1232" s="10" t="s">
        <v>3723</v>
      </c>
      <c r="G1232" s="10" t="s">
        <v>3061</v>
      </c>
      <c r="H1232" s="10" t="s">
        <v>3062</v>
      </c>
      <c r="I1232" s="10" t="s">
        <v>2113</v>
      </c>
      <c r="J1232" s="10" t="s">
        <v>1442</v>
      </c>
      <c r="K1232" s="10" t="s">
        <v>4311</v>
      </c>
      <c r="L1232" s="11">
        <v>202124101896902</v>
      </c>
      <c r="M1232" s="20">
        <v>44474</v>
      </c>
      <c r="N1232" s="20" t="str">
        <f>UPPER(TEXT(Tabla1[[#This Row],[FECHA RADICADO ENTRADA]],"MMM"))</f>
        <v>OCT</v>
      </c>
      <c r="O1232" s="11"/>
      <c r="P1232" s="20"/>
      <c r="Q1232" s="20" t="str">
        <f>UPPER(TEXT(Tabla1[[#This Row],[FECHA RADICADO ENTRADA]],"MMM"))</f>
        <v>OCT</v>
      </c>
      <c r="R1232" s="10">
        <f t="shared" si="95"/>
        <v>44474</v>
      </c>
      <c r="S1232" s="10" t="s">
        <v>2154</v>
      </c>
      <c r="U1232" s="10" t="s">
        <v>3064</v>
      </c>
      <c r="V1232" s="20">
        <v>44534</v>
      </c>
      <c r="W1232" s="10" t="s">
        <v>57</v>
      </c>
      <c r="X1232" s="10">
        <v>60</v>
      </c>
      <c r="Y1232" s="10">
        <f>IFERROR(INT(Tabla1[[#This Row],[CANTIDAD UND FARMACEUTICAS]]/(VLOOKUP(Tabla1[[#This Row],[MEDICAMENTO]],TAB_REF!$K$3:$L$27,2,0))),"")</f>
        <v>2</v>
      </c>
      <c r="Z1232" s="10" t="str">
        <f>IFERROR(VLOOKUP(Tabla1[[#This Row],[MEDICAMENTO]],TAB_REF!$B$3:$F$27,2,0), "")</f>
        <v xml:space="preserve">Metilfenidato HCl </v>
      </c>
      <c r="AA1232" s="10" t="str">
        <f>IFERROR(VLOOKUP(Tabla1[[#This Row],[MEDICAMENTO]],TAB_REF!$B$3:$F$27,3,0), "")</f>
        <v xml:space="preserve">36 mg </v>
      </c>
      <c r="AB1232" s="10" t="str">
        <f>IFERROR(VLOOKUP(Tabla1[[#This Row],[MEDICAMENTO]],TAB_REF!$B$3:$F$27,4,0), "")</f>
        <v>Tabletas de Liberación Prolongada</v>
      </c>
      <c r="AC1232" s="10" t="str">
        <f>IFERROR(VLOOKUP(Tabla1[[#This Row],[MEDICAMENTO]],TAB_REF!$B$3:$F$27,5,0), "")</f>
        <v>Frasco x 30 unidades</v>
      </c>
      <c r="AD1232" s="10" t="str">
        <f>IFERROR(VLOOKUP(Tabla1[[#This Row],[CANTIDAD UND COMERCIALES]],TAB_REF!$H$3:$I$1003,2,0)&amp;" ("&amp;Tabla1[[#This Row],[CANTIDAD UND COMERCIALES]]&amp;")"&amp;"_"&amp;Tabla1[[#This Row],[CANTIDAD]],"")</f>
        <v>Dos (2)_Frasco x 30 unidades</v>
      </c>
    </row>
    <row r="1233" spans="2:30" x14ac:dyDescent="0.25">
      <c r="B1233" s="10">
        <v>521</v>
      </c>
      <c r="C1233" s="10" t="s">
        <v>4003</v>
      </c>
      <c r="D1233" s="10" t="s">
        <v>4312</v>
      </c>
      <c r="E1233" s="10" t="s">
        <v>4005</v>
      </c>
      <c r="F1233" s="10" t="s">
        <v>4313</v>
      </c>
      <c r="G1233" s="10" t="s">
        <v>2526</v>
      </c>
      <c r="H1233" s="10" t="s">
        <v>4007</v>
      </c>
      <c r="I1233" s="10" t="s">
        <v>2129</v>
      </c>
      <c r="J1233" s="10" t="s">
        <v>2011</v>
      </c>
      <c r="K1233" s="10" t="s">
        <v>2528</v>
      </c>
      <c r="L1233" s="11">
        <v>202124101898042</v>
      </c>
      <c r="M1233" s="20">
        <v>44474</v>
      </c>
      <c r="N1233" s="20" t="str">
        <f>UPPER(TEXT(Tabla1[[#This Row],[FECHA RADICADO ENTRADA]],"MMM"))</f>
        <v>OCT</v>
      </c>
      <c r="O1233" s="11"/>
      <c r="P1233" s="20"/>
      <c r="Q1233" s="20" t="str">
        <f>UPPER(TEXT(Tabla1[[#This Row],[FECHA RADICADO ENTRADA]],"MMM"))</f>
        <v>OCT</v>
      </c>
      <c r="R1233" s="10">
        <f t="shared" si="95"/>
        <v>44474</v>
      </c>
      <c r="S1233" s="10" t="s">
        <v>2154</v>
      </c>
      <c r="U1233" s="10" t="s">
        <v>2529</v>
      </c>
      <c r="V1233" s="20">
        <v>43273</v>
      </c>
      <c r="W1233" s="10" t="s">
        <v>63</v>
      </c>
      <c r="X1233" s="10">
        <v>200</v>
      </c>
      <c r="Y1233" s="10">
        <f>IFERROR(INT(Tabla1[[#This Row],[CANTIDAD UND FARMACEUTICAS]]/(VLOOKUP(Tabla1[[#This Row],[MEDICAMENTO]],TAB_REF!$K$3:$L$27,2,0))),"")</f>
        <v>20</v>
      </c>
      <c r="Z1233" s="10" t="str">
        <f>IFERROR(VLOOKUP(Tabla1[[#This Row],[MEDICAMENTO]],TAB_REF!$B$3:$F$27,2,0), "")</f>
        <v xml:space="preserve">Morfina HCl </v>
      </c>
      <c r="AA1233" s="10" t="str">
        <f>IFERROR(VLOOKUP(Tabla1[[#This Row],[MEDICAMENTO]],TAB_REF!$B$3:$F$27,3,0), "")</f>
        <v xml:space="preserve">10 mg/mL </v>
      </c>
      <c r="AB1233" s="10" t="str">
        <f>IFERROR(VLOOKUP(Tabla1[[#This Row],[MEDICAMENTO]],TAB_REF!$B$3:$F$27,4,0), "")</f>
        <v>Solución Inyectable</v>
      </c>
      <c r="AC1233" s="10" t="str">
        <f>IFERROR(VLOOKUP(Tabla1[[#This Row],[MEDICAMENTO]],TAB_REF!$B$3:$F$27,5,0), "")</f>
        <v>Caja x 10 unidades</v>
      </c>
      <c r="AD1233" s="10" t="str">
        <f>IFERROR(VLOOKUP(Tabla1[[#This Row],[CANTIDAD UND COMERCIALES]],TAB_REF!$H$3:$I$1003,2,0)&amp;" ("&amp;Tabla1[[#This Row],[CANTIDAD UND COMERCIALES]]&amp;")"&amp;"_"&amp;Tabla1[[#This Row],[CANTIDAD]],"")</f>
        <v>Veinte (20)_Caja x 10 unidades</v>
      </c>
    </row>
    <row r="1234" spans="2:30" x14ac:dyDescent="0.25">
      <c r="L1234" s="11"/>
      <c r="M1234" s="20"/>
      <c r="N1234" s="20" t="str">
        <f>UPPER(TEXT(Tabla1[[#This Row],[FECHA RADICADO ENTRADA]],"MMM"))</f>
        <v>ENE</v>
      </c>
      <c r="O1234" s="11"/>
      <c r="P1234" s="20"/>
      <c r="Q1234" s="20" t="str">
        <f>UPPER(TEXT(Tabla1[[#This Row],[FECHA RADICADO ENTRADA]],"MMM"))</f>
        <v>ENE</v>
      </c>
      <c r="R1234" s="10">
        <f t="shared" si="95"/>
        <v>0</v>
      </c>
      <c r="V1234" s="20"/>
      <c r="Y1234" s="10" t="str">
        <f>IFERROR(INT(Tabla1[[#This Row],[CANTIDAD UND FARMACEUTICAS]]/(VLOOKUP(Tabla1[[#This Row],[MEDICAMENTO]],TAB_REF!$K$3:$L$27,2,0))),"")</f>
        <v/>
      </c>
      <c r="Z1234" s="10" t="str">
        <f>IFERROR(VLOOKUP(Tabla1[[#This Row],[MEDICAMENTO]],TAB_REF!$B$3:$F$27,2,0), "")</f>
        <v/>
      </c>
      <c r="AA1234" s="10" t="str">
        <f>IFERROR(VLOOKUP(Tabla1[[#This Row],[MEDICAMENTO]],TAB_REF!$B$3:$F$27,3,0), "")</f>
        <v/>
      </c>
      <c r="AB1234" s="10" t="str">
        <f>IFERROR(VLOOKUP(Tabla1[[#This Row],[MEDICAMENTO]],TAB_REF!$B$3:$F$27,4,0), "")</f>
        <v/>
      </c>
      <c r="AC1234" s="10" t="str">
        <f>IFERROR(VLOOKUP(Tabla1[[#This Row],[MEDICAMENTO]],TAB_REF!$B$3:$F$27,5,0), "")</f>
        <v/>
      </c>
      <c r="AD1234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235" spans="2:30" x14ac:dyDescent="0.25">
      <c r="L1235" s="11"/>
      <c r="M1235" s="20"/>
      <c r="N1235" s="20" t="str">
        <f>UPPER(TEXT(Tabla1[[#This Row],[FECHA RADICADO ENTRADA]],"MMM"))</f>
        <v>ENE</v>
      </c>
      <c r="O1235" s="11"/>
      <c r="Q1235" s="20" t="str">
        <f>UPPER(TEXT(Tabla1[[#This Row],[FECHA RADICADO ENTRADA]],"MMM"))</f>
        <v>ENE</v>
      </c>
      <c r="R1235" s="10">
        <f t="shared" si="95"/>
        <v>0</v>
      </c>
      <c r="V1235" s="20"/>
      <c r="Y1235" s="10" t="str">
        <f>IFERROR(INT(Tabla1[[#This Row],[CANTIDAD UND FARMACEUTICAS]]/(VLOOKUP(Tabla1[[#This Row],[MEDICAMENTO]],TAB_REF!$K$3:$L$27,2,0))),"")</f>
        <v/>
      </c>
      <c r="Z1235" s="10" t="str">
        <f>IFERROR(VLOOKUP(Tabla1[[#This Row],[MEDICAMENTO]],TAB_REF!$B$3:$F$27,2,0), "")</f>
        <v/>
      </c>
      <c r="AA1235" s="10" t="str">
        <f>IFERROR(VLOOKUP(Tabla1[[#This Row],[MEDICAMENTO]],TAB_REF!$B$3:$F$27,3,0), "")</f>
        <v/>
      </c>
      <c r="AB1235" s="10" t="str">
        <f>IFERROR(VLOOKUP(Tabla1[[#This Row],[MEDICAMENTO]],TAB_REF!$B$3:$F$27,4,0), "")</f>
        <v/>
      </c>
      <c r="AC1235" s="10" t="str">
        <f>IFERROR(VLOOKUP(Tabla1[[#This Row],[MEDICAMENTO]],TAB_REF!$B$3:$F$27,5,0), "")</f>
        <v/>
      </c>
      <c r="AD1235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236" spans="2:30" x14ac:dyDescent="0.25">
      <c r="L1236" s="11"/>
      <c r="M1236" s="20"/>
      <c r="N1236" s="20" t="str">
        <f>UPPER(TEXT(Tabla1[[#This Row],[FECHA RADICADO ENTRADA]],"MMM"))</f>
        <v>ENE</v>
      </c>
      <c r="O1236" s="11"/>
      <c r="Q1236" s="20" t="str">
        <f>UPPER(TEXT(Tabla1[[#This Row],[FECHA RADICADO ENTRADA]],"MMM"))</f>
        <v>ENE</v>
      </c>
      <c r="R1236" s="10">
        <f t="shared" si="95"/>
        <v>0</v>
      </c>
      <c r="V1236" s="20"/>
      <c r="Y1236" s="10" t="str">
        <f>IFERROR(INT(Tabla1[[#This Row],[CANTIDAD UND FARMACEUTICAS]]/(VLOOKUP(Tabla1[[#This Row],[MEDICAMENTO]],TAB_REF!$K$3:$L$27,2,0))),"")</f>
        <v/>
      </c>
      <c r="Z1236" s="10" t="str">
        <f>IFERROR(VLOOKUP(Tabla1[[#This Row],[MEDICAMENTO]],TAB_REF!$B$3:$F$27,2,0), "")</f>
        <v/>
      </c>
      <c r="AA1236" s="10" t="str">
        <f>IFERROR(VLOOKUP(Tabla1[[#This Row],[MEDICAMENTO]],TAB_REF!$B$3:$F$27,3,0), "")</f>
        <v/>
      </c>
      <c r="AB1236" s="10" t="str">
        <f>IFERROR(VLOOKUP(Tabla1[[#This Row],[MEDICAMENTO]],TAB_REF!$B$3:$F$27,4,0), "")</f>
        <v/>
      </c>
      <c r="AC1236" s="10" t="str">
        <f>IFERROR(VLOOKUP(Tabla1[[#This Row],[MEDICAMENTO]],TAB_REF!$B$3:$F$27,5,0), "")</f>
        <v/>
      </c>
      <c r="AD1236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237" spans="2:30" x14ac:dyDescent="0.25">
      <c r="L1237" s="11"/>
      <c r="M1237" s="20"/>
      <c r="N1237" s="20" t="str">
        <f>UPPER(TEXT(Tabla1[[#This Row],[FECHA RADICADO ENTRADA]],"MMM"))</f>
        <v>ENE</v>
      </c>
      <c r="O1237" s="11"/>
      <c r="Q1237" s="20" t="str">
        <f>UPPER(TEXT(Tabla1[[#This Row],[FECHA RADICADO ENTRADA]],"MMM"))</f>
        <v>ENE</v>
      </c>
      <c r="R1237" s="10">
        <f t="shared" si="95"/>
        <v>0</v>
      </c>
      <c r="V1237" s="20"/>
      <c r="Y1237" s="10" t="str">
        <f>IFERROR(INT(Tabla1[[#This Row],[CANTIDAD UND FARMACEUTICAS]]/(VLOOKUP(Tabla1[[#This Row],[MEDICAMENTO]],TAB_REF!$K$3:$L$27,2,0))),"")</f>
        <v/>
      </c>
      <c r="Z1237" s="10" t="str">
        <f>IFERROR(VLOOKUP(Tabla1[[#This Row],[MEDICAMENTO]],TAB_REF!$B$3:$F$27,2,0), "")</f>
        <v/>
      </c>
      <c r="AA1237" s="10" t="str">
        <f>IFERROR(VLOOKUP(Tabla1[[#This Row],[MEDICAMENTO]],TAB_REF!$B$3:$F$27,3,0), "")</f>
        <v/>
      </c>
      <c r="AB1237" s="10" t="str">
        <f>IFERROR(VLOOKUP(Tabla1[[#This Row],[MEDICAMENTO]],TAB_REF!$B$3:$F$27,4,0), "")</f>
        <v/>
      </c>
      <c r="AC1237" s="10" t="str">
        <f>IFERROR(VLOOKUP(Tabla1[[#This Row],[MEDICAMENTO]],TAB_REF!$B$3:$F$27,5,0), "")</f>
        <v/>
      </c>
      <c r="AD1237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238" spans="2:30" x14ac:dyDescent="0.25">
      <c r="L1238" s="11"/>
      <c r="M1238" s="20"/>
      <c r="N1238" s="20" t="str">
        <f>UPPER(TEXT(Tabla1[[#This Row],[FECHA RADICADO ENTRADA]],"MMM"))</f>
        <v>ENE</v>
      </c>
      <c r="O1238" s="11"/>
      <c r="Q1238" s="20" t="str">
        <f>UPPER(TEXT(Tabla1[[#This Row],[FECHA RADICADO ENTRADA]],"MMM"))</f>
        <v>ENE</v>
      </c>
      <c r="R1238" s="10">
        <f t="shared" si="95"/>
        <v>0</v>
      </c>
      <c r="V1238" s="20"/>
      <c r="Y1238" s="10" t="str">
        <f>IFERROR(INT(Tabla1[[#This Row],[CANTIDAD UND FARMACEUTICAS]]/(VLOOKUP(Tabla1[[#This Row],[MEDICAMENTO]],TAB_REF!$K$3:$L$27,2,0))),"")</f>
        <v/>
      </c>
      <c r="Z1238" s="10" t="str">
        <f>IFERROR(VLOOKUP(Tabla1[[#This Row],[MEDICAMENTO]],TAB_REF!$B$3:$F$27,2,0), "")</f>
        <v/>
      </c>
      <c r="AA1238" s="10" t="str">
        <f>IFERROR(VLOOKUP(Tabla1[[#This Row],[MEDICAMENTO]],TAB_REF!$B$3:$F$27,3,0), "")</f>
        <v/>
      </c>
      <c r="AB1238" s="10" t="str">
        <f>IFERROR(VLOOKUP(Tabla1[[#This Row],[MEDICAMENTO]],TAB_REF!$B$3:$F$27,4,0), "")</f>
        <v/>
      </c>
      <c r="AC1238" s="10" t="str">
        <f>IFERROR(VLOOKUP(Tabla1[[#This Row],[MEDICAMENTO]],TAB_REF!$B$3:$F$27,5,0), "")</f>
        <v/>
      </c>
      <c r="AD1238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239" spans="2:30" x14ac:dyDescent="0.25">
      <c r="L1239" s="11"/>
      <c r="M1239" s="20"/>
      <c r="N1239" s="20" t="str">
        <f>UPPER(TEXT(Tabla1[[#This Row],[FECHA RADICADO ENTRADA]],"MMM"))</f>
        <v>ENE</v>
      </c>
      <c r="O1239" s="11"/>
      <c r="Q1239" s="20" t="str">
        <f>UPPER(TEXT(Tabla1[[#This Row],[FECHA RADICADO ENTRADA]],"MMM"))</f>
        <v>ENE</v>
      </c>
      <c r="R1239" s="10">
        <f t="shared" si="95"/>
        <v>0</v>
      </c>
      <c r="V1239" s="20"/>
      <c r="Y1239" s="10" t="str">
        <f>IFERROR(INT(Tabla1[[#This Row],[CANTIDAD UND FARMACEUTICAS]]/(VLOOKUP(Tabla1[[#This Row],[MEDICAMENTO]],TAB_REF!$K$3:$L$27,2,0))),"")</f>
        <v/>
      </c>
      <c r="Z1239" s="10" t="str">
        <f>IFERROR(VLOOKUP(Tabla1[[#This Row],[MEDICAMENTO]],TAB_REF!$B$3:$F$27,2,0), "")</f>
        <v/>
      </c>
      <c r="AA1239" s="10" t="str">
        <f>IFERROR(VLOOKUP(Tabla1[[#This Row],[MEDICAMENTO]],TAB_REF!$B$3:$F$27,3,0), "")</f>
        <v/>
      </c>
      <c r="AB1239" s="10" t="str">
        <f>IFERROR(VLOOKUP(Tabla1[[#This Row],[MEDICAMENTO]],TAB_REF!$B$3:$F$27,4,0), "")</f>
        <v/>
      </c>
      <c r="AC1239" s="10" t="str">
        <f>IFERROR(VLOOKUP(Tabla1[[#This Row],[MEDICAMENTO]],TAB_REF!$B$3:$F$27,5,0), "")</f>
        <v/>
      </c>
      <c r="AD1239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240" spans="2:30" x14ac:dyDescent="0.25">
      <c r="L1240" s="11"/>
      <c r="M1240" s="20"/>
      <c r="N1240" s="20" t="str">
        <f>UPPER(TEXT(Tabla1[[#This Row],[FECHA RADICADO ENTRADA]],"MMM"))</f>
        <v>ENE</v>
      </c>
      <c r="O1240" s="11"/>
      <c r="Q1240" s="20" t="str">
        <f>UPPER(TEXT(Tabla1[[#This Row],[FECHA RADICADO ENTRADA]],"MMM"))</f>
        <v>ENE</v>
      </c>
      <c r="R1240" s="10">
        <f t="shared" si="95"/>
        <v>0</v>
      </c>
      <c r="V1240" s="20"/>
      <c r="Y1240" s="10" t="str">
        <f>IFERROR(INT(Tabla1[[#This Row],[CANTIDAD UND FARMACEUTICAS]]/(VLOOKUP(Tabla1[[#This Row],[MEDICAMENTO]],TAB_REF!$K$3:$L$27,2,0))),"")</f>
        <v/>
      </c>
      <c r="Z1240" s="10" t="str">
        <f>IFERROR(VLOOKUP(Tabla1[[#This Row],[MEDICAMENTO]],TAB_REF!$B$3:$F$27,2,0), "")</f>
        <v/>
      </c>
      <c r="AA1240" s="10" t="str">
        <f>IFERROR(VLOOKUP(Tabla1[[#This Row],[MEDICAMENTO]],TAB_REF!$B$3:$F$27,3,0), "")</f>
        <v/>
      </c>
      <c r="AB1240" s="10" t="str">
        <f>IFERROR(VLOOKUP(Tabla1[[#This Row],[MEDICAMENTO]],TAB_REF!$B$3:$F$27,4,0), "")</f>
        <v/>
      </c>
      <c r="AC1240" s="10" t="str">
        <f>IFERROR(VLOOKUP(Tabla1[[#This Row],[MEDICAMENTO]],TAB_REF!$B$3:$F$27,5,0), "")</f>
        <v/>
      </c>
      <c r="AD1240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241" spans="2:30" x14ac:dyDescent="0.25">
      <c r="L1241" s="11"/>
      <c r="M1241" s="20"/>
      <c r="N1241" s="20" t="str">
        <f>UPPER(TEXT(Tabla1[[#This Row],[FECHA RADICADO ENTRADA]],"MMM"))</f>
        <v>ENE</v>
      </c>
      <c r="O1241" s="11"/>
      <c r="Q1241" s="20" t="str">
        <f>UPPER(TEXT(Tabla1[[#This Row],[FECHA RADICADO ENTRADA]],"MMM"))</f>
        <v>ENE</v>
      </c>
      <c r="R1241" s="10">
        <f t="shared" si="95"/>
        <v>0</v>
      </c>
      <c r="V1241" s="20"/>
      <c r="Y1241" s="10" t="str">
        <f>IFERROR(INT(Tabla1[[#This Row],[CANTIDAD UND FARMACEUTICAS]]/(VLOOKUP(Tabla1[[#This Row],[MEDICAMENTO]],TAB_REF!$K$3:$L$27,2,0))),"")</f>
        <v/>
      </c>
      <c r="Z1241" s="10" t="str">
        <f>IFERROR(VLOOKUP(Tabla1[[#This Row],[MEDICAMENTO]],TAB_REF!$B$3:$F$27,2,0), "")</f>
        <v/>
      </c>
      <c r="AA1241" s="10" t="str">
        <f>IFERROR(VLOOKUP(Tabla1[[#This Row],[MEDICAMENTO]],TAB_REF!$B$3:$F$27,3,0), "")</f>
        <v/>
      </c>
      <c r="AB1241" s="10" t="str">
        <f>IFERROR(VLOOKUP(Tabla1[[#This Row],[MEDICAMENTO]],TAB_REF!$B$3:$F$27,4,0), "")</f>
        <v/>
      </c>
      <c r="AC1241" s="10" t="str">
        <f>IFERROR(VLOOKUP(Tabla1[[#This Row],[MEDICAMENTO]],TAB_REF!$B$3:$F$27,5,0), "")</f>
        <v/>
      </c>
      <c r="AD1241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242" spans="2:30" x14ac:dyDescent="0.25">
      <c r="L1242" s="11"/>
      <c r="M1242" s="20"/>
      <c r="N1242" s="20" t="str">
        <f>UPPER(TEXT(Tabla1[[#This Row],[FECHA RADICADO ENTRADA]],"MMM"))</f>
        <v>ENE</v>
      </c>
      <c r="O1242" s="11"/>
      <c r="Q1242" s="20" t="str">
        <f>UPPER(TEXT(Tabla1[[#This Row],[FECHA RADICADO ENTRADA]],"MMM"))</f>
        <v>ENE</v>
      </c>
      <c r="R1242" s="10">
        <f t="shared" si="95"/>
        <v>0</v>
      </c>
      <c r="V1242" s="20"/>
      <c r="Y1242" s="10" t="str">
        <f>IFERROR(INT(Tabla1[[#This Row],[CANTIDAD UND FARMACEUTICAS]]/(VLOOKUP(Tabla1[[#This Row],[MEDICAMENTO]],TAB_REF!$K$3:$L$27,2,0))),"")</f>
        <v/>
      </c>
      <c r="Z1242" s="10" t="str">
        <f>IFERROR(VLOOKUP(Tabla1[[#This Row],[MEDICAMENTO]],TAB_REF!$B$3:$F$27,2,0), "")</f>
        <v/>
      </c>
      <c r="AA1242" s="10" t="str">
        <f>IFERROR(VLOOKUP(Tabla1[[#This Row],[MEDICAMENTO]],TAB_REF!$B$3:$F$27,3,0), "")</f>
        <v/>
      </c>
      <c r="AB1242" s="10" t="str">
        <f>IFERROR(VLOOKUP(Tabla1[[#This Row],[MEDICAMENTO]],TAB_REF!$B$3:$F$27,4,0), "")</f>
        <v/>
      </c>
      <c r="AC1242" s="10" t="str">
        <f>IFERROR(VLOOKUP(Tabla1[[#This Row],[MEDICAMENTO]],TAB_REF!$B$3:$F$27,5,0), "")</f>
        <v/>
      </c>
      <c r="AD1242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243" spans="2:30" x14ac:dyDescent="0.25">
      <c r="L1243" s="11"/>
      <c r="M1243" s="20"/>
      <c r="N1243" s="20" t="str">
        <f>UPPER(TEXT(Tabla1[[#This Row],[FECHA RADICADO ENTRADA]],"MMM"))</f>
        <v>ENE</v>
      </c>
      <c r="O1243" s="11"/>
      <c r="Q1243" s="20" t="str">
        <f>UPPER(TEXT(Tabla1[[#This Row],[FECHA RADICADO ENTRADA]],"MMM"))</f>
        <v>ENE</v>
      </c>
      <c r="R1243" s="10">
        <f t="shared" si="95"/>
        <v>0</v>
      </c>
      <c r="V1243" s="20"/>
      <c r="Y1243" s="10" t="str">
        <f>IFERROR(INT(Tabla1[[#This Row],[CANTIDAD UND FARMACEUTICAS]]/(VLOOKUP(Tabla1[[#This Row],[MEDICAMENTO]],TAB_REF!$K$3:$L$27,2,0))),"")</f>
        <v/>
      </c>
      <c r="Z1243" s="10" t="str">
        <f>IFERROR(VLOOKUP(Tabla1[[#This Row],[MEDICAMENTO]],TAB_REF!$B$3:$F$27,2,0), "")</f>
        <v/>
      </c>
      <c r="AA1243" s="10" t="str">
        <f>IFERROR(VLOOKUP(Tabla1[[#This Row],[MEDICAMENTO]],TAB_REF!$B$3:$F$27,3,0), "")</f>
        <v/>
      </c>
      <c r="AB1243" s="10" t="str">
        <f>IFERROR(VLOOKUP(Tabla1[[#This Row],[MEDICAMENTO]],TAB_REF!$B$3:$F$27,4,0), "")</f>
        <v/>
      </c>
      <c r="AC1243" s="10" t="str">
        <f>IFERROR(VLOOKUP(Tabla1[[#This Row],[MEDICAMENTO]],TAB_REF!$B$3:$F$27,5,0), "")</f>
        <v/>
      </c>
      <c r="AD1243" s="10" t="str">
        <f>IFERROR(VLOOKUP(Tabla1[[#This Row],[CANTIDAD UND COMERCIALES]],TAB_REF!$H$3:$I$1003,2,0)&amp;" ("&amp;Tabla1[[#This Row],[CANTIDAD UND COMERCIALES]]&amp;")"&amp;"_"&amp;Tabla1[[#This Row],[CANTIDAD]],"")</f>
        <v/>
      </c>
    </row>
    <row r="1244" spans="2:30" x14ac:dyDescent="0.25">
      <c r="L1244" s="11"/>
    </row>
    <row r="1245" spans="2:30" x14ac:dyDescent="0.25">
      <c r="L1245" s="11"/>
    </row>
    <row r="1246" spans="2:30" x14ac:dyDescent="0.25">
      <c r="L1246" s="11"/>
    </row>
    <row r="1247" spans="2:30" x14ac:dyDescent="0.25">
      <c r="L1247" s="11"/>
    </row>
    <row r="1248" spans="2:30" x14ac:dyDescent="0.25">
      <c r="L1248" s="11"/>
    </row>
    <row r="1249" spans="12:12" x14ac:dyDescent="0.25">
      <c r="L1249" s="11"/>
    </row>
    <row r="1250" spans="12:12" x14ac:dyDescent="0.25">
      <c r="L1250" s="11"/>
    </row>
    <row r="1251" spans="12:12" x14ac:dyDescent="0.25">
      <c r="L1251" s="11"/>
    </row>
    <row r="1252" spans="12:12" x14ac:dyDescent="0.25">
      <c r="L1252" s="11"/>
    </row>
    <row r="1253" spans="12:12" x14ac:dyDescent="0.25">
      <c r="L1253" s="11"/>
    </row>
  </sheetData>
  <phoneticPr fontId="7" type="noConversion"/>
  <dataValidations count="1">
    <dataValidation type="list" allowBlank="1" showInputMessage="1" showErrorMessage="1" sqref="J2:J419 J421:J487 J906:J912 J489:J904 J916:J1003 J1005:J1013 J1015:J1031 J1033:J1044 J1046:J1168 J1174:J1196 J1198:J1199 J1201:J1243" xr:uid="{00000000-0002-0000-0000-000000000000}">
      <formula1>INDIRECT($I2)</formula1>
    </dataValidation>
  </dataValidations>
  <hyperlinks>
    <hyperlink ref="G3" r:id="rId1" xr:uid="{00000000-0004-0000-0000-000000000000}"/>
    <hyperlink ref="G4" r:id="rId2" xr:uid="{00000000-0004-0000-0000-000001000000}"/>
    <hyperlink ref="G5:G6" r:id="rId3" display="suministros02@imatsas.com" xr:uid="{00000000-0004-0000-0000-000002000000}"/>
    <hyperlink ref="G6" r:id="rId4" xr:uid="{00000000-0004-0000-0000-000003000000}"/>
    <hyperlink ref="G7" r:id="rId5" xr:uid="{00000000-0004-0000-0000-000004000000}"/>
    <hyperlink ref="G8" r:id="rId6" xr:uid="{00000000-0004-0000-0000-000005000000}"/>
    <hyperlink ref="G9" r:id="rId7" xr:uid="{00000000-0004-0000-0000-000006000000}"/>
    <hyperlink ref="G10:G11" r:id="rId8" display="farmacia_general@clinicaelbosque.net" xr:uid="{00000000-0004-0000-0000-000007000000}"/>
    <hyperlink ref="G11" r:id="rId9" xr:uid="{00000000-0004-0000-0000-000008000000}"/>
    <hyperlink ref="G12" r:id="rId10" xr:uid="{00000000-0004-0000-0000-000009000000}"/>
    <hyperlink ref="G13" r:id="rId11" xr:uid="{00000000-0004-0000-0000-00000A000000}"/>
    <hyperlink ref="G14:G17" r:id="rId12" display="compras5@coodestol.com.co" xr:uid="{00000000-0004-0000-0000-00000B000000}"/>
    <hyperlink ref="G111:G114" r:id="rId13" display="suplymedicalsas@gmail.com" xr:uid="{00000000-0004-0000-0000-00000C000000}"/>
    <hyperlink ref="G183" r:id="rId14" xr:uid="{00000000-0004-0000-0000-00000D000000}"/>
    <hyperlink ref="G192" r:id="rId15" xr:uid="{00000000-0004-0000-0000-00000E000000}"/>
    <hyperlink ref="G197" r:id="rId16" xr:uid="{00000000-0004-0000-0000-00000F000000}"/>
    <hyperlink ref="G200" r:id="rId17" xr:uid="{00000000-0004-0000-0000-000010000000}"/>
    <hyperlink ref="G209" r:id="rId18" xr:uid="{00000000-0004-0000-0000-000011000000}"/>
    <hyperlink ref="G210" r:id="rId19" xr:uid="{00000000-0004-0000-0000-000012000000}"/>
    <hyperlink ref="G226" r:id="rId20" xr:uid="{00000000-0004-0000-0000-000013000000}"/>
    <hyperlink ref="G237" r:id="rId21" xr:uid="{00000000-0004-0000-0000-000014000000}"/>
    <hyperlink ref="G248" r:id="rId22" xr:uid="{00000000-0004-0000-0000-000015000000}"/>
    <hyperlink ref="G258" r:id="rId23" xr:uid="{00000000-0004-0000-0000-000016000000}"/>
    <hyperlink ref="G282" r:id="rId24" xr:uid="{00000000-0004-0000-0000-000017000000}"/>
    <hyperlink ref="G283" r:id="rId25" xr:uid="{00000000-0004-0000-0000-000018000000}"/>
    <hyperlink ref="G303" r:id="rId26" xr:uid="{00000000-0004-0000-0000-000019000000}"/>
    <hyperlink ref="G304:G307" r:id="rId27" display="compras5@coodestol.com.co" xr:uid="{00000000-0004-0000-0000-00001A000000}"/>
    <hyperlink ref="G315" r:id="rId28" xr:uid="{00000000-0004-0000-0000-00001B000000}"/>
    <hyperlink ref="G316" r:id="rId29" xr:uid="{00000000-0004-0000-0000-00001C000000}"/>
    <hyperlink ref="G329" r:id="rId30" xr:uid="{00000000-0004-0000-0000-00001D000000}"/>
    <hyperlink ref="G332" r:id="rId31" xr:uid="{00000000-0004-0000-0000-00001E000000}"/>
    <hyperlink ref="G333:G335" r:id="rId32" display="mariaeu_6@yahoo.com" xr:uid="{00000000-0004-0000-0000-00001F000000}"/>
    <hyperlink ref="G336" r:id="rId33" xr:uid="{00000000-0004-0000-0000-000020000000}"/>
    <hyperlink ref="G337" r:id="rId34" xr:uid="{00000000-0004-0000-0000-000021000000}"/>
    <hyperlink ref="G353" r:id="rId35" xr:uid="{00000000-0004-0000-0000-000022000000}"/>
    <hyperlink ref="G354:G356" r:id="rId36" display="alexandra.mosquera@huhmp.gov.co" xr:uid="{00000000-0004-0000-0000-000023000000}"/>
    <hyperlink ref="G350" r:id="rId37" xr:uid="{00000000-0004-0000-0000-000024000000}"/>
    <hyperlink ref="G357" r:id="rId38" xr:uid="{00000000-0004-0000-0000-000025000000}"/>
    <hyperlink ref="G358" r:id="rId39" xr:uid="{00000000-0004-0000-0000-000026000000}"/>
    <hyperlink ref="G394" r:id="rId40" xr:uid="{00000000-0004-0000-0000-000027000000}"/>
    <hyperlink ref="G395" r:id="rId41" xr:uid="{00000000-0004-0000-0000-000028000000}"/>
    <hyperlink ref="G396" r:id="rId42" xr:uid="{00000000-0004-0000-0000-000029000000}"/>
    <hyperlink ref="G397" r:id="rId43" xr:uid="{00000000-0004-0000-0000-00002A000000}"/>
    <hyperlink ref="G414" r:id="rId44" xr:uid="{00000000-0004-0000-0000-00002B000000}"/>
    <hyperlink ref="G415" r:id="rId45" xr:uid="{00000000-0004-0000-0000-00002C000000}"/>
    <hyperlink ref="G416" r:id="rId46" xr:uid="{00000000-0004-0000-0000-00002D000000}"/>
    <hyperlink ref="G417" r:id="rId47" xr:uid="{00000000-0004-0000-0000-00002E000000}"/>
    <hyperlink ref="G418:G419" r:id="rId48" display="farmaservimedicos@gmail.com" xr:uid="{00000000-0004-0000-0000-00002F000000}"/>
    <hyperlink ref="G420" r:id="rId49" xr:uid="{00000000-0004-0000-0000-000030000000}"/>
    <hyperlink ref="G385" r:id="rId50" xr:uid="{00000000-0004-0000-0000-000031000000}"/>
    <hyperlink ref="G389" r:id="rId51" xr:uid="{00000000-0004-0000-0000-000032000000}"/>
    <hyperlink ref="G216" r:id="rId52" xr:uid="{00000000-0004-0000-0000-000033000000}"/>
    <hyperlink ref="G218" r:id="rId53" xr:uid="{00000000-0004-0000-0000-000034000000}"/>
    <hyperlink ref="G254" r:id="rId54" xr:uid="{00000000-0004-0000-0000-000035000000}"/>
    <hyperlink ref="G268" r:id="rId55" xr:uid="{00000000-0004-0000-0000-000036000000}"/>
    <hyperlink ref="G278" r:id="rId56" xr:uid="{00000000-0004-0000-0000-000037000000}"/>
    <hyperlink ref="G291" r:id="rId57" xr:uid="{00000000-0004-0000-0000-000038000000}"/>
    <hyperlink ref="G305" r:id="rId58" xr:uid="{00000000-0004-0000-0000-000039000000}"/>
    <hyperlink ref="G321" r:id="rId59" xr:uid="{00000000-0004-0000-0000-00003A000000}"/>
    <hyperlink ref="G421" r:id="rId60" xr:uid="{00000000-0004-0000-0000-00003B000000}"/>
    <hyperlink ref="G424" r:id="rId61" xr:uid="{00000000-0004-0000-0000-00003C000000}"/>
    <hyperlink ref="G425:G426" r:id="rId62" display="farmacia@hsjd.gov.co" xr:uid="{00000000-0004-0000-0000-00003D000000}"/>
    <hyperlink ref="G427" r:id="rId63" xr:uid="{00000000-0004-0000-0000-00003E000000}"/>
    <hyperlink ref="G428:G430" r:id="rId64" display="ufun_farmacia@hospitalgranada.gov.co" xr:uid="{00000000-0004-0000-0000-00003F000000}"/>
    <hyperlink ref="G431" r:id="rId65" xr:uid="{00000000-0004-0000-0000-000040000000}"/>
    <hyperlink ref="G432:G434" r:id="rId66" display="suministros02@imatsas.com" xr:uid="{00000000-0004-0000-0000-000041000000}"/>
    <hyperlink ref="G439" r:id="rId67" xr:uid="{00000000-0004-0000-0000-000042000000}"/>
    <hyperlink ref="G440" r:id="rId68" xr:uid="{00000000-0004-0000-0000-000043000000}"/>
    <hyperlink ref="G441" r:id="rId69" xr:uid="{00000000-0004-0000-0000-000044000000}"/>
    <hyperlink ref="G442:G443" r:id="rId70" display="claudia.narvaez@cumi.com.co" xr:uid="{00000000-0004-0000-0000-000045000000}"/>
    <hyperlink ref="G444" r:id="rId71" xr:uid="{00000000-0004-0000-0000-000046000000}"/>
    <hyperlink ref="G445" r:id="rId72" xr:uid="{00000000-0004-0000-0000-000047000000}"/>
    <hyperlink ref="G453" r:id="rId73" xr:uid="{00000000-0004-0000-0000-000048000000}"/>
    <hyperlink ref="G461" r:id="rId74" xr:uid="{00000000-0004-0000-0000-000049000000}"/>
    <hyperlink ref="G471" r:id="rId75" xr:uid="{00000000-0004-0000-0000-00004A000000}"/>
    <hyperlink ref="G472" r:id="rId76" xr:uid="{00000000-0004-0000-0000-00004B000000}"/>
    <hyperlink ref="G473:G474" r:id="rId77" display="farmacia@esehospitallocal.gov.co" xr:uid="{00000000-0004-0000-0000-00004C000000}"/>
    <hyperlink ref="G478" r:id="rId78" xr:uid="{00000000-0004-0000-0000-00004D000000}"/>
    <hyperlink ref="G479" r:id="rId79" xr:uid="{00000000-0004-0000-0000-00004E000000}"/>
    <hyperlink ref="G480" r:id="rId80" xr:uid="{00000000-0004-0000-0000-00004F000000}"/>
    <hyperlink ref="G488" r:id="rId81" xr:uid="{00000000-0004-0000-0000-000050000000}"/>
    <hyperlink ref="G489" r:id="rId82" xr:uid="{00000000-0004-0000-0000-000051000000}"/>
    <hyperlink ref="G508" r:id="rId83" xr:uid="{00000000-0004-0000-0000-000052000000}"/>
    <hyperlink ref="G509" r:id="rId84" xr:uid="{00000000-0004-0000-0000-000053000000}"/>
    <hyperlink ref="G510" r:id="rId85" xr:uid="{00000000-0004-0000-0000-000054000000}"/>
    <hyperlink ref="G511" r:id="rId86" xr:uid="{00000000-0004-0000-0000-000055000000}"/>
    <hyperlink ref="G512" r:id="rId87" xr:uid="{00000000-0004-0000-0000-000056000000}"/>
    <hyperlink ref="G514" r:id="rId88" xr:uid="{00000000-0004-0000-0000-000057000000}"/>
    <hyperlink ref="G518" r:id="rId89" xr:uid="{00000000-0004-0000-0000-000058000000}"/>
    <hyperlink ref="G519" r:id="rId90" xr:uid="{00000000-0004-0000-0000-000059000000}"/>
    <hyperlink ref="G520" r:id="rId91" xr:uid="{00000000-0004-0000-0000-00005A000000}"/>
    <hyperlink ref="G524" r:id="rId92" xr:uid="{00000000-0004-0000-0000-00005B000000}"/>
    <hyperlink ref="G525" r:id="rId93" xr:uid="{00000000-0004-0000-0000-00005C000000}"/>
    <hyperlink ref="G526" r:id="rId94" xr:uid="{00000000-0004-0000-0000-00005D000000}"/>
    <hyperlink ref="G527" r:id="rId95" xr:uid="{00000000-0004-0000-0000-00005E000000}"/>
    <hyperlink ref="G528" r:id="rId96" xr:uid="{00000000-0004-0000-0000-00005F000000}"/>
    <hyperlink ref="G533" r:id="rId97" xr:uid="{00000000-0004-0000-0000-000060000000}"/>
    <hyperlink ref="G534" r:id="rId98" xr:uid="{00000000-0004-0000-0000-000061000000}"/>
    <hyperlink ref="G537" r:id="rId99" xr:uid="{00000000-0004-0000-0000-000062000000}"/>
    <hyperlink ref="G542" r:id="rId100" xr:uid="{00000000-0004-0000-0000-000063000000}"/>
    <hyperlink ref="G543" r:id="rId101" xr:uid="{00000000-0004-0000-0000-000064000000}"/>
    <hyperlink ref="G572" r:id="rId102" xr:uid="{00000000-0004-0000-0000-000065000000}"/>
    <hyperlink ref="G573" r:id="rId103" xr:uid="{00000000-0004-0000-0000-000066000000}"/>
    <hyperlink ref="G574" r:id="rId104" xr:uid="{00000000-0004-0000-0000-000067000000}"/>
    <hyperlink ref="G575" r:id="rId105" xr:uid="{00000000-0004-0000-0000-000068000000}"/>
    <hyperlink ref="G576" r:id="rId106" xr:uid="{00000000-0004-0000-0000-000069000000}"/>
    <hyperlink ref="G577" r:id="rId107" xr:uid="{00000000-0004-0000-0000-00006A000000}"/>
    <hyperlink ref="G593" r:id="rId108" xr:uid="{00000000-0004-0000-0000-00006B000000}"/>
    <hyperlink ref="G600" r:id="rId109" xr:uid="{00000000-0004-0000-0000-00006C000000}"/>
    <hyperlink ref="G601" r:id="rId110" xr:uid="{00000000-0004-0000-0000-00006D000000}"/>
    <hyperlink ref="G602" r:id="rId111" xr:uid="{00000000-0004-0000-0000-00006E000000}"/>
    <hyperlink ref="G603" r:id="rId112" xr:uid="{00000000-0004-0000-0000-00006F000000}"/>
    <hyperlink ref="G604" r:id="rId113" xr:uid="{00000000-0004-0000-0000-000070000000}"/>
    <hyperlink ref="G605" r:id="rId114" xr:uid="{00000000-0004-0000-0000-000071000000}"/>
    <hyperlink ref="G606" r:id="rId115" xr:uid="{00000000-0004-0000-0000-000072000000}"/>
    <hyperlink ref="G609" r:id="rId116" xr:uid="{00000000-0004-0000-0000-000073000000}"/>
    <hyperlink ref="G610" r:id="rId117" xr:uid="{00000000-0004-0000-0000-000074000000}"/>
    <hyperlink ref="G611" r:id="rId118" xr:uid="{00000000-0004-0000-0000-000075000000}"/>
    <hyperlink ref="G612" r:id="rId119" xr:uid="{00000000-0004-0000-0000-000076000000}"/>
    <hyperlink ref="G613" r:id="rId120" xr:uid="{00000000-0004-0000-0000-000077000000}"/>
    <hyperlink ref="G616" r:id="rId121" xr:uid="{00000000-0004-0000-0000-000078000000}"/>
    <hyperlink ref="G617" r:id="rId122" xr:uid="{00000000-0004-0000-0000-000079000000}"/>
    <hyperlink ref="G618" r:id="rId123" xr:uid="{00000000-0004-0000-0000-00007A000000}"/>
    <hyperlink ref="G619" r:id="rId124" xr:uid="{00000000-0004-0000-0000-00007B000000}"/>
    <hyperlink ref="G620" r:id="rId125" xr:uid="{00000000-0004-0000-0000-00007C000000}"/>
    <hyperlink ref="G625" r:id="rId126" xr:uid="{00000000-0004-0000-0000-00007D000000}"/>
    <hyperlink ref="G626" r:id="rId127" xr:uid="{00000000-0004-0000-0000-00007E000000}"/>
    <hyperlink ref="G627" r:id="rId128" xr:uid="{00000000-0004-0000-0000-00007F000000}"/>
    <hyperlink ref="G628" r:id="rId129" xr:uid="{00000000-0004-0000-0000-000080000000}"/>
    <hyperlink ref="G631" r:id="rId130" xr:uid="{00000000-0004-0000-0000-000081000000}"/>
    <hyperlink ref="G632" r:id="rId131" xr:uid="{00000000-0004-0000-0000-000082000000}"/>
    <hyperlink ref="G633" r:id="rId132" xr:uid="{00000000-0004-0000-0000-000083000000}"/>
    <hyperlink ref="G721" r:id="rId133" xr:uid="{00000000-0004-0000-0000-000084000000}"/>
    <hyperlink ref="G722" r:id="rId134" xr:uid="{00000000-0004-0000-0000-000085000000}"/>
    <hyperlink ref="G725" r:id="rId135" xr:uid="{00000000-0004-0000-0000-000086000000}"/>
    <hyperlink ref="G726:G727" r:id="rId136" display="farmaciaipsgranada@miips.com.co" xr:uid="{00000000-0004-0000-0000-000087000000}"/>
    <hyperlink ref="G713" r:id="rId137" xr:uid="{00000000-0004-0000-0000-000088000000}"/>
    <hyperlink ref="G734" r:id="rId138" xr:uid="{00000000-0004-0000-0000-000089000000}"/>
    <hyperlink ref="G735" r:id="rId139" xr:uid="{00000000-0004-0000-0000-00008A000000}"/>
    <hyperlink ref="G736" r:id="rId140" xr:uid="{00000000-0004-0000-0000-00008B000000}"/>
    <hyperlink ref="G737" r:id="rId141" xr:uid="{00000000-0004-0000-0000-00008C000000}"/>
    <hyperlink ref="G738" r:id="rId142" xr:uid="{00000000-0004-0000-0000-00008D000000}"/>
    <hyperlink ref="G740" r:id="rId143" xr:uid="{00000000-0004-0000-0000-00008E000000}"/>
    <hyperlink ref="G741" r:id="rId144" xr:uid="{00000000-0004-0000-0000-00008F000000}"/>
    <hyperlink ref="G750" r:id="rId145" xr:uid="{00000000-0004-0000-0000-000090000000}"/>
    <hyperlink ref="G751" r:id="rId146" xr:uid="{00000000-0004-0000-0000-000091000000}"/>
    <hyperlink ref="G752" r:id="rId147" xr:uid="{00000000-0004-0000-0000-000092000000}"/>
    <hyperlink ref="G753" r:id="rId148" xr:uid="{00000000-0004-0000-0000-000093000000}"/>
    <hyperlink ref="G754" r:id="rId149" xr:uid="{00000000-0004-0000-0000-000094000000}"/>
    <hyperlink ref="G756" r:id="rId150" xr:uid="{00000000-0004-0000-0000-000095000000}"/>
    <hyperlink ref="G757" r:id="rId151" xr:uid="{00000000-0004-0000-0000-000096000000}"/>
    <hyperlink ref="G758" r:id="rId152" xr:uid="{00000000-0004-0000-0000-000097000000}"/>
    <hyperlink ref="G759" r:id="rId153" xr:uid="{00000000-0004-0000-0000-000098000000}"/>
    <hyperlink ref="G760" r:id="rId154" xr:uid="{00000000-0004-0000-0000-000099000000}"/>
    <hyperlink ref="G761" r:id="rId155" xr:uid="{00000000-0004-0000-0000-00009A000000}"/>
    <hyperlink ref="G762" r:id="rId156" xr:uid="{00000000-0004-0000-0000-00009B000000}"/>
    <hyperlink ref="G763" r:id="rId157" xr:uid="{00000000-0004-0000-0000-00009C000000}"/>
    <hyperlink ref="G764:G767" r:id="rId158" display="armaciaipsacacias@miips.com.co" xr:uid="{00000000-0004-0000-0000-00009D000000}"/>
    <hyperlink ref="G769" r:id="rId159" xr:uid="{00000000-0004-0000-0000-00009E000000}"/>
    <hyperlink ref="G770" r:id="rId160" xr:uid="{00000000-0004-0000-0000-00009F000000}"/>
    <hyperlink ref="G776" r:id="rId161" xr:uid="{00000000-0004-0000-0000-0000A0000000}"/>
    <hyperlink ref="G780" r:id="rId162" xr:uid="{00000000-0004-0000-0000-0000A1000000}"/>
    <hyperlink ref="G781" r:id="rId163" xr:uid="{00000000-0004-0000-0000-0000A2000000}"/>
    <hyperlink ref="G782" r:id="rId164" xr:uid="{00000000-0004-0000-0000-0000A3000000}"/>
    <hyperlink ref="G783" r:id="rId165" xr:uid="{00000000-0004-0000-0000-0000A4000000}"/>
    <hyperlink ref="G784" r:id="rId166" xr:uid="{00000000-0004-0000-0000-0000A5000000}"/>
    <hyperlink ref="G785" r:id="rId167" xr:uid="{00000000-0004-0000-0000-0000A6000000}"/>
    <hyperlink ref="G786" r:id="rId168" xr:uid="{00000000-0004-0000-0000-0000A7000000}"/>
    <hyperlink ref="G787" r:id="rId169" xr:uid="{00000000-0004-0000-0000-0000A8000000}"/>
    <hyperlink ref="G788" r:id="rId170" xr:uid="{00000000-0004-0000-0000-0000A9000000}"/>
    <hyperlink ref="G794" r:id="rId171" xr:uid="{00000000-0004-0000-0000-0000AA000000}"/>
    <hyperlink ref="G795" r:id="rId172" xr:uid="{00000000-0004-0000-0000-0000AB000000}"/>
    <hyperlink ref="G796" r:id="rId173" xr:uid="{00000000-0004-0000-0000-0000AC000000}"/>
    <hyperlink ref="G797" r:id="rId174" xr:uid="{00000000-0004-0000-0000-0000AD000000}"/>
    <hyperlink ref="G862" r:id="rId175" xr:uid="{00000000-0004-0000-0000-0000AE000000}"/>
    <hyperlink ref="G998" r:id="rId176" xr:uid="{00000000-0004-0000-0000-0000AF000000}"/>
    <hyperlink ref="G1093" r:id="rId177" xr:uid="{00000000-0004-0000-0000-0000B0000000}"/>
  </hyperlinks>
  <pageMargins left="0.7" right="0.7" top="0.75" bottom="0.75" header="0.3" footer="0.3"/>
  <pageSetup orientation="portrait" horizontalDpi="300" verticalDpi="300" r:id="rId178"/>
  <ignoredErrors>
    <ignoredError sqref="J1227" listDataValidation="1"/>
  </ignoredErrors>
  <legacyDrawing r:id="rId179"/>
  <tableParts count="1">
    <tablePart r:id="rId180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1000000}">
          <x14:formula1>
            <xm:f>DEPARTAMENTO!$B$2:$AH$2</xm:f>
          </x14:formula1>
          <xm:sqref>I2:I419 I421:I487 I906:I912 I489:I904 I916:I1003 I1005:I1013 I1015:I1031 I1033:I1044 I1046:I1077 I1094:I1168 I1174:I1196 I1198:I1199 I1201:I1243</xm:sqref>
        </x14:dataValidation>
        <x14:dataValidation type="list" allowBlank="1" showInputMessage="1" showErrorMessage="1" xr:uid="{00000000-0002-0000-0000-000002000000}">
          <x14:formula1>
            <xm:f>TAB_REF!$B$3:$B$27</xm:f>
          </x14:formula1>
          <xm:sqref>W2:W867 W872:W884 W1085:W1087</xm:sqref>
        </x14:dataValidation>
        <x14:dataValidation type="list" allowBlank="1" showInputMessage="1" showErrorMessage="1" xr:uid="{00000000-0002-0000-0000-000003000000}">
          <x14:formula1>
            <xm:f>'C:\Users\lolarteg\Downloads\[BASE DE DATOS COMPRA DIRECTA 2.0.xlsx]TAB_REF'!#REF!</xm:f>
          </x14:formula1>
          <xm:sqref>W1078:W1082 W1088:W1093</xm:sqref>
        </x14:dataValidation>
        <x14:dataValidation type="list" allowBlank="1" showInputMessage="1" showErrorMessage="1" xr:uid="{00000000-0002-0000-0000-000004000000}">
          <x14:formula1>
            <xm:f>'C:\Users\lolarteg\Downloads\[BASE DE DATOS COMPRA DIRECTA 2.0.xlsx]DEPARTAMENTO'!#REF!</xm:f>
          </x14:formula1>
          <xm:sqref>I1078:I1093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1:M23"/>
  <sheetViews>
    <sheetView showGridLines="0" zoomScale="90" zoomScaleNormal="90" workbookViewId="0">
      <selection activeCell="J1" sqref="J1"/>
    </sheetView>
  </sheetViews>
  <sheetFormatPr baseColWidth="10" defaultRowHeight="15" x14ac:dyDescent="0.25"/>
  <cols>
    <col min="1" max="1" width="1.5703125" customWidth="1"/>
    <col min="2" max="2" width="38" customWidth="1"/>
    <col min="5" max="5" width="14.85546875" customWidth="1"/>
    <col min="7" max="7" width="20" hidden="1" customWidth="1"/>
    <col min="9" max="9" width="23" customWidth="1"/>
    <col min="10" max="10" width="19.85546875" customWidth="1"/>
    <col min="11" max="11" width="35" customWidth="1"/>
    <col min="12" max="12" width="24.42578125" customWidth="1"/>
    <col min="13" max="13" width="30.28515625" customWidth="1"/>
  </cols>
  <sheetData>
    <row r="1" spans="2:13" ht="15.75" thickBot="1" x14ac:dyDescent="0.3">
      <c r="I1" s="52" t="s">
        <v>0</v>
      </c>
      <c r="J1" s="53">
        <v>521</v>
      </c>
      <c r="K1" s="12"/>
      <c r="L1" s="12"/>
      <c r="M1" s="12"/>
    </row>
    <row r="2" spans="2:13" ht="15.75" thickBot="1" x14ac:dyDescent="0.3">
      <c r="B2" s="19" t="s">
        <v>2101</v>
      </c>
      <c r="C2" s="69">
        <f>J1</f>
        <v>521</v>
      </c>
      <c r="D2" s="69"/>
      <c r="E2" s="70"/>
      <c r="I2" s="12"/>
      <c r="J2" s="12"/>
      <c r="K2" s="12"/>
      <c r="L2" s="12"/>
      <c r="M2" s="12"/>
    </row>
    <row r="3" spans="2:13" ht="15.75" thickBot="1" x14ac:dyDescent="0.3">
      <c r="I3" s="52" t="s">
        <v>21</v>
      </c>
      <c r="J3" s="52" t="s">
        <v>22</v>
      </c>
      <c r="K3" s="52" t="s">
        <v>23</v>
      </c>
      <c r="L3" s="52" t="s">
        <v>24</v>
      </c>
      <c r="M3" s="52" t="s">
        <v>25</v>
      </c>
    </row>
    <row r="4" spans="2:13" x14ac:dyDescent="0.25">
      <c r="B4" s="16" t="s">
        <v>1</v>
      </c>
      <c r="C4" s="57" t="str">
        <f>INDEX('BD DE DATOS'!$C$2:$J$1236,MATCH(RESUMEN!$C$2,'BD DE DATOS'!$B$2:$B$1236,0),MATCH(RESUMEN!B4,'BD DE DATOS'!$C$1:$J$1,0))</f>
        <v>LINA VIVIANA GUZMAN BARRETO</v>
      </c>
      <c r="D4" s="57"/>
      <c r="E4" s="58"/>
      <c r="I4" s="41" t="s">
        <v>3008</v>
      </c>
      <c r="J4" s="41" t="s">
        <v>3011</v>
      </c>
      <c r="K4" s="41" t="s">
        <v>35</v>
      </c>
      <c r="L4" s="41" t="s">
        <v>2992</v>
      </c>
      <c r="M4" s="41" t="s">
        <v>4314</v>
      </c>
    </row>
    <row r="5" spans="2:13" x14ac:dyDescent="0.25">
      <c r="B5" s="17" t="s">
        <v>2</v>
      </c>
      <c r="C5" s="59" t="str">
        <f>INDEX('BD DE DATOS'!$C$2:$J$1236,MATCH(RESUMEN!$C$2,'BD DE DATOS'!$B$2:$B$1236,0),MATCH(RESUMEN!B5,'BD DE DATOS'!$C$1:$J$1,0))</f>
        <v>Director Técnico Servicio Farmacéutico </v>
      </c>
      <c r="D5" s="59"/>
      <c r="E5" s="60"/>
    </row>
    <row r="6" spans="2:13" x14ac:dyDescent="0.25">
      <c r="B6" s="17" t="s">
        <v>3</v>
      </c>
      <c r="C6" s="59" t="str">
        <f>INDEX('BD DE DATOS'!$C$2:$J$1236,MATCH(RESUMEN!$C$2,'BD DE DATOS'!$B$2:$B$1236,0),MATCH(RESUMEN!B6,'BD DE DATOS'!$C$1:$J$1,0))</f>
        <v>CLÍNICA TOLIMA S.A.</v>
      </c>
      <c r="D6" s="59"/>
      <c r="E6" s="60"/>
    </row>
    <row r="7" spans="2:13" x14ac:dyDescent="0.25">
      <c r="B7" s="17" t="s">
        <v>2133</v>
      </c>
      <c r="C7" s="59" t="str">
        <f>INDEX('BD DE DATOS'!$C$2:$J$1236,MATCH(RESUMEN!$C$2,'BD DE DATOS'!$B$2:$B$1236,0),MATCH(RESUMEN!B7,'BD DE DATOS'!$C$1:$J$1,0))</f>
        <v>890.703.630-7</v>
      </c>
      <c r="D7" s="59"/>
      <c r="E7" s="60"/>
    </row>
    <row r="8" spans="2:13" x14ac:dyDescent="0.25">
      <c r="B8" s="17" t="s">
        <v>4</v>
      </c>
      <c r="C8" s="59" t="str">
        <f>INDEX('BD DE DATOS'!$C$2:$J$1236,MATCH(RESUMEN!$C$2,'BD DE DATOS'!$B$2:$B$1236,0),MATCH(RESUMEN!B8,'BD DE DATOS'!$C$1:$J$1,0))</f>
        <v>quimicofarmaceutico@clinicatolima.com</v>
      </c>
      <c r="D8" s="59"/>
      <c r="E8" s="60"/>
    </row>
    <row r="9" spans="2:13" x14ac:dyDescent="0.25">
      <c r="B9" s="17" t="s">
        <v>5</v>
      </c>
      <c r="C9" s="59" t="str">
        <f>INDEX('BD DE DATOS'!$C$2:$J$1236,MATCH(RESUMEN!$C$2,'BD DE DATOS'!$B$2:$B$1236,0),MATCH(RESUMEN!B9,'BD DE DATOS'!$C$1:$J$1,0))</f>
        <v>Carrera 1 No.12-22</v>
      </c>
      <c r="D9" s="59"/>
      <c r="E9" s="60"/>
    </row>
    <row r="10" spans="2:13" x14ac:dyDescent="0.25">
      <c r="B10" s="17" t="s">
        <v>16</v>
      </c>
      <c r="C10" s="59" t="str">
        <f>INDEX('BD DE DATOS'!$C$2:$J$1236,MATCH(RESUMEN!$C$2,'BD DE DATOS'!$B$2:$B$1236,0),MATCH(RESUMEN!B10,'BD DE DATOS'!$C$1:$J$1,0))</f>
        <v>TOLIMA</v>
      </c>
      <c r="D10" s="59"/>
      <c r="E10" s="60"/>
    </row>
    <row r="11" spans="2:13" x14ac:dyDescent="0.25">
      <c r="B11" s="17" t="s">
        <v>17</v>
      </c>
      <c r="C11" s="59" t="str">
        <f>INDEX('BD DE DATOS'!$C$2:$J$1243,MATCH(RESUMEN!$C$2,'BD DE DATOS'!$B$2:$B$1243,0),MATCH(RESUMEN!B11,'BD DE DATOS'!$C$1:$J$1,0))</f>
        <v>IBAGUE</v>
      </c>
      <c r="D11" s="59"/>
      <c r="E11" s="60"/>
    </row>
    <row r="12" spans="2:13" x14ac:dyDescent="0.25">
      <c r="B12" s="17" t="s">
        <v>2137</v>
      </c>
      <c r="C12" s="59" t="str">
        <f>INDEX('BD DE DATOS'!$U$2:$U$1236,MATCH(RESUMEN!$C$2,'BD DE DATOS'!$B$2:$B$1236,0),MATCH(RESUMEN!G13,'BD DE DATOS'!$U$1:$V$1,0))</f>
        <v>No. 1992</v>
      </c>
      <c r="D12" s="59"/>
      <c r="E12" s="60"/>
    </row>
    <row r="13" spans="2:13" x14ac:dyDescent="0.25">
      <c r="B13" s="17" t="s">
        <v>2138</v>
      </c>
      <c r="C13" s="63">
        <f>INDEX('BD DE DATOS'!$U$2:$V$1236,MATCH(RESUMEN!$C$2,'BD DE DATOS'!$B$2:$B$1236,0),MATCH(RESUMEN!G14,'BD DE DATOS'!$U$1:$V$1,0))</f>
        <v>43273</v>
      </c>
      <c r="D13" s="63"/>
      <c r="E13" s="64"/>
      <c r="G13" t="s">
        <v>2134</v>
      </c>
    </row>
    <row r="14" spans="2:13" x14ac:dyDescent="0.25">
      <c r="B14" s="17" t="s">
        <v>7</v>
      </c>
      <c r="C14" s="65">
        <f>INDEX('BD DE DATOS'!$L$2:$M$1236,MATCH(RESUMEN!$C$2,'BD DE DATOS'!$B$2:$B$1236,0),MATCH(RESUMEN!B14,'BD DE DATOS'!$L$1:$M$1,0))</f>
        <v>202124101898042</v>
      </c>
      <c r="D14" s="65"/>
      <c r="E14" s="66"/>
      <c r="G14" t="s">
        <v>2135</v>
      </c>
    </row>
    <row r="15" spans="2:13" ht="15.75" thickBot="1" x14ac:dyDescent="0.3">
      <c r="B15" s="18" t="s">
        <v>11</v>
      </c>
      <c r="C15" s="63">
        <f>INDEX('BD DE DATOS'!$L$2:$M$1236,MATCH(RESUMEN!$C$2,'BD DE DATOS'!$B$2:$B$1236,0),MATCH(RESUMEN!B15,'BD DE DATOS'!$L$1:$M$1,0))</f>
        <v>44474</v>
      </c>
      <c r="D15" s="63"/>
      <c r="E15" s="64"/>
      <c r="H15" s="42"/>
    </row>
    <row r="17" spans="2:5" ht="15.75" thickBot="1" x14ac:dyDescent="0.3"/>
    <row r="18" spans="2:5" x14ac:dyDescent="0.25">
      <c r="B18" s="13" t="s">
        <v>2106</v>
      </c>
      <c r="C18" s="61" t="str">
        <f>C6</f>
        <v>CLÍNICA TOLIMA S.A.</v>
      </c>
      <c r="D18" s="61"/>
      <c r="E18" s="62"/>
    </row>
    <row r="19" spans="2:5" x14ac:dyDescent="0.25">
      <c r="B19" s="14" t="s">
        <v>2133</v>
      </c>
      <c r="C19" s="67" t="str">
        <f>C7</f>
        <v>890.703.630-7</v>
      </c>
      <c r="D19" s="67"/>
      <c r="E19" s="68"/>
    </row>
    <row r="20" spans="2:5" x14ac:dyDescent="0.25">
      <c r="B20" s="14" t="s">
        <v>2103</v>
      </c>
      <c r="C20" s="67" t="str">
        <f>C9</f>
        <v>Carrera 1 No.12-22</v>
      </c>
      <c r="D20" s="67"/>
      <c r="E20" s="68"/>
    </row>
    <row r="21" spans="2:5" x14ac:dyDescent="0.25">
      <c r="B21" s="14" t="s">
        <v>2104</v>
      </c>
      <c r="C21" s="67" t="str">
        <f>PROPER(C11)</f>
        <v>Ibague</v>
      </c>
      <c r="D21" s="67"/>
      <c r="E21" s="68"/>
    </row>
    <row r="22" spans="2:5" x14ac:dyDescent="0.25">
      <c r="B22" s="14" t="s">
        <v>2105</v>
      </c>
      <c r="C22" s="67" t="str">
        <f>PROPER(C10)</f>
        <v>Tolima</v>
      </c>
      <c r="D22" s="67"/>
      <c r="E22" s="68"/>
    </row>
    <row r="23" spans="2:5" ht="15.75" thickBot="1" x14ac:dyDescent="0.3">
      <c r="B23" s="15" t="s">
        <v>2136</v>
      </c>
      <c r="C23" s="54" t="str">
        <f>C12&amp;" "&amp;" del "&amp;DAY(C13)&amp;"/"&amp;MONTH(C13)&amp;"/"&amp;YEAR(C13)</f>
        <v>No. 1992  del 22/6/2018</v>
      </c>
      <c r="D23" s="55"/>
      <c r="E23" s="56"/>
    </row>
  </sheetData>
  <mergeCells count="19">
    <mergeCell ref="C21:E21"/>
    <mergeCell ref="C22:E22"/>
    <mergeCell ref="C2:E2"/>
    <mergeCell ref="C23:E23"/>
    <mergeCell ref="C4:E4"/>
    <mergeCell ref="C5:E5"/>
    <mergeCell ref="C6:E6"/>
    <mergeCell ref="C7:E7"/>
    <mergeCell ref="C8:E8"/>
    <mergeCell ref="C18:E18"/>
    <mergeCell ref="C9:E9"/>
    <mergeCell ref="C10:E10"/>
    <mergeCell ref="C11:E11"/>
    <mergeCell ref="C12:E12"/>
    <mergeCell ref="C13:E13"/>
    <mergeCell ref="C14:E14"/>
    <mergeCell ref="C15:E15"/>
    <mergeCell ref="C19:E19"/>
    <mergeCell ref="C20:E20"/>
  </mergeCell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A1:C52"/>
  <sheetViews>
    <sheetView topLeftCell="A6" zoomScale="80" zoomScaleNormal="80" workbookViewId="0">
      <selection activeCell="A13" sqref="A13:A52"/>
    </sheetView>
  </sheetViews>
  <sheetFormatPr baseColWidth="10" defaultRowHeight="15" x14ac:dyDescent="0.25"/>
  <cols>
    <col min="1" max="1" width="26.28515625" customWidth="1"/>
    <col min="2" max="2" width="21.5703125" bestFit="1" customWidth="1"/>
    <col min="3" max="3" width="11.42578125" style="43"/>
    <col min="7" max="7" width="20.42578125" customWidth="1"/>
  </cols>
  <sheetData>
    <row r="1" spans="1:3" ht="15.75" thickBot="1" x14ac:dyDescent="0.3">
      <c r="C1" s="49" t="s">
        <v>3605</v>
      </c>
    </row>
    <row r="2" spans="1:3" x14ac:dyDescent="0.25">
      <c r="A2" s="16" t="s">
        <v>1</v>
      </c>
      <c r="B2" t="str">
        <f>RESUMEN!$C4</f>
        <v>LINA VIVIANA GUZMAN BARRETO</v>
      </c>
      <c r="C2" s="43" t="s">
        <v>3606</v>
      </c>
    </row>
    <row r="3" spans="1:3" x14ac:dyDescent="0.25">
      <c r="A3" s="17" t="s">
        <v>2</v>
      </c>
      <c r="B3" t="str">
        <f>RESUMEN!$C5</f>
        <v>Director Técnico Servicio Farmacéutico </v>
      </c>
      <c r="C3" s="43" t="s">
        <v>3607</v>
      </c>
    </row>
    <row r="4" spans="1:3" x14ac:dyDescent="0.25">
      <c r="A4" s="17" t="s">
        <v>4</v>
      </c>
      <c r="B4" t="str">
        <f>RESUMEN!$C$8</f>
        <v>quimicofarmaceutico@clinicatolima.com</v>
      </c>
      <c r="C4" s="43" t="s">
        <v>3608</v>
      </c>
    </row>
    <row r="5" spans="1:3" x14ac:dyDescent="0.25">
      <c r="A5" s="17" t="s">
        <v>7</v>
      </c>
      <c r="B5" s="48">
        <f>RESUMEN!$C14</f>
        <v>202124101898042</v>
      </c>
      <c r="C5" s="43" t="s">
        <v>3609</v>
      </c>
    </row>
    <row r="6" spans="1:3" ht="15.75" thickBot="1" x14ac:dyDescent="0.3">
      <c r="A6" s="18" t="s">
        <v>11</v>
      </c>
      <c r="B6" s="47">
        <f>RESUMEN!$C15</f>
        <v>44474</v>
      </c>
      <c r="C6" s="43" t="s">
        <v>3610</v>
      </c>
    </row>
    <row r="7" spans="1:3" ht="42.75" x14ac:dyDescent="0.25">
      <c r="A7" s="46" t="s">
        <v>2106</v>
      </c>
      <c r="B7" t="str">
        <f>RESUMEN!$C18</f>
        <v>CLÍNICA TOLIMA S.A.</v>
      </c>
      <c r="C7" s="43" t="s">
        <v>3611</v>
      </c>
    </row>
    <row r="8" spans="1:3" x14ac:dyDescent="0.25">
      <c r="A8" s="45" t="s">
        <v>2133</v>
      </c>
      <c r="B8" t="str">
        <f>RESUMEN!$C19</f>
        <v>890.703.630-7</v>
      </c>
      <c r="C8" s="43" t="s">
        <v>3612</v>
      </c>
    </row>
    <row r="9" spans="1:3" x14ac:dyDescent="0.25">
      <c r="A9" s="45" t="s">
        <v>2103</v>
      </c>
      <c r="B9" t="str">
        <f>RESUMEN!$C20</f>
        <v>Carrera 1 No.12-22</v>
      </c>
      <c r="C9" s="43" t="s">
        <v>3613</v>
      </c>
    </row>
    <row r="10" spans="1:3" x14ac:dyDescent="0.25">
      <c r="A10" s="45" t="s">
        <v>2104</v>
      </c>
      <c r="B10" t="str">
        <f>RESUMEN!$C21</f>
        <v>Ibague</v>
      </c>
      <c r="C10" s="43" t="s">
        <v>3614</v>
      </c>
    </row>
    <row r="11" spans="1:3" x14ac:dyDescent="0.25">
      <c r="A11" s="45" t="s">
        <v>2105</v>
      </c>
      <c r="B11" t="str">
        <f>RESUMEN!$C22</f>
        <v>Tolima</v>
      </c>
      <c r="C11" s="43" t="s">
        <v>3615</v>
      </c>
    </row>
    <row r="12" spans="1:3" ht="15.75" thickBot="1" x14ac:dyDescent="0.3">
      <c r="A12" s="44" t="s">
        <v>2136</v>
      </c>
      <c r="B12" t="str">
        <f>RESUMEN!$C23</f>
        <v>No. 1992  del 22/6/2018</v>
      </c>
      <c r="C12" s="43" t="s">
        <v>3616</v>
      </c>
    </row>
    <row r="13" spans="1:3" x14ac:dyDescent="0.25">
      <c r="A13" s="41" t="s">
        <v>21</v>
      </c>
      <c r="B13" t="str">
        <f>IF(RESUMEN!$I4&lt;&gt;"",RESUMEN!$I4,"")</f>
        <v xml:space="preserve">Morfina HCl </v>
      </c>
      <c r="C13" s="43" t="s">
        <v>3617</v>
      </c>
    </row>
    <row r="14" spans="1:3" x14ac:dyDescent="0.25">
      <c r="A14" s="41" t="s">
        <v>22</v>
      </c>
      <c r="B14" t="str">
        <f>IF(RESUMEN!J4&lt;&gt;"",RESUMEN!J4,"")</f>
        <v xml:space="preserve">10 mg/mL </v>
      </c>
      <c r="C14" s="43" t="s">
        <v>3637</v>
      </c>
    </row>
    <row r="15" spans="1:3" x14ac:dyDescent="0.25">
      <c r="A15" s="41" t="s">
        <v>23</v>
      </c>
      <c r="B15" t="str">
        <f>IF(RESUMEN!K4&lt;&gt;"",RESUMEN!K4,"")</f>
        <v>Solución Inyectable</v>
      </c>
      <c r="C15" s="43" t="s">
        <v>3618</v>
      </c>
    </row>
    <row r="16" spans="1:3" x14ac:dyDescent="0.25">
      <c r="A16" s="41" t="s">
        <v>25</v>
      </c>
      <c r="B16" t="str">
        <f>IF(RESUMEN!M4&lt;&gt;"",RESUMEN!M4,"")</f>
        <v>Veinte (20)_Caja x 10 unidades</v>
      </c>
      <c r="C16" s="43" t="s">
        <v>3619</v>
      </c>
    </row>
    <row r="17" spans="1:3" x14ac:dyDescent="0.25">
      <c r="A17" s="41" t="s">
        <v>21</v>
      </c>
      <c r="B17" t="str">
        <f>IF(RESUMEN!$I5&lt;&gt;"",RESUMEN!$I5,IF(AND(RESUMEN!$I5="",RESUMEN!$I4&lt;&gt;""),RESUMEN!$I4,""))</f>
        <v xml:space="preserve">Morfina HCl </v>
      </c>
      <c r="C17" s="43" t="s">
        <v>3638</v>
      </c>
    </row>
    <row r="18" spans="1:3" x14ac:dyDescent="0.25">
      <c r="A18" s="41" t="s">
        <v>22</v>
      </c>
      <c r="B18" t="str">
        <f>IF(RESUMEN!J5&lt;&gt;"",RESUMEN!J5,"")</f>
        <v/>
      </c>
      <c r="C18" s="43" t="s">
        <v>3639</v>
      </c>
    </row>
    <row r="19" spans="1:3" x14ac:dyDescent="0.25">
      <c r="A19" s="41" t="s">
        <v>23</v>
      </c>
      <c r="B19" t="str">
        <f>IF(RESUMEN!K5&lt;&gt;"",RESUMEN!K5,"")</f>
        <v/>
      </c>
      <c r="C19" s="43" t="s">
        <v>3640</v>
      </c>
    </row>
    <row r="20" spans="1:3" x14ac:dyDescent="0.25">
      <c r="A20" s="41" t="s">
        <v>25</v>
      </c>
      <c r="B20" t="str">
        <f>IF(RESUMEN!M5&lt;&gt;"",RESUMEN!M5,"")</f>
        <v/>
      </c>
      <c r="C20" s="43" t="s">
        <v>3641</v>
      </c>
    </row>
    <row r="21" spans="1:3" x14ac:dyDescent="0.25">
      <c r="A21" s="41" t="s">
        <v>21</v>
      </c>
      <c r="B21" t="str">
        <f>IF(RESUMEN!$I6&lt;&gt;"",RESUMEN!$I6,IF(AND(RESUMEN!$I6="",RESUMEN!$I5&lt;&gt;""),RESUMEN!$I5,""))</f>
        <v/>
      </c>
      <c r="C21" s="43" t="s">
        <v>3642</v>
      </c>
    </row>
    <row r="22" spans="1:3" x14ac:dyDescent="0.25">
      <c r="A22" s="41" t="s">
        <v>22</v>
      </c>
      <c r="B22" t="str">
        <f>IF(RESUMEN!J6&lt;&gt;"",RESUMEN!J6,"")</f>
        <v/>
      </c>
      <c r="C22" s="43" t="s">
        <v>3643</v>
      </c>
    </row>
    <row r="23" spans="1:3" x14ac:dyDescent="0.25">
      <c r="A23" s="41" t="s">
        <v>23</v>
      </c>
      <c r="B23" t="str">
        <f>IF(RESUMEN!K6&lt;&gt;"",RESUMEN!K6,"")</f>
        <v/>
      </c>
      <c r="C23" s="43" t="s">
        <v>3644</v>
      </c>
    </row>
    <row r="24" spans="1:3" x14ac:dyDescent="0.25">
      <c r="A24" s="41" t="s">
        <v>25</v>
      </c>
      <c r="B24" t="str">
        <f>IF(RESUMEN!M6&lt;&gt;"",RESUMEN!M6,"")</f>
        <v/>
      </c>
      <c r="C24" s="43" t="s">
        <v>3645</v>
      </c>
    </row>
    <row r="25" spans="1:3" x14ac:dyDescent="0.25">
      <c r="A25" s="41" t="s">
        <v>21</v>
      </c>
      <c r="B25" t="str">
        <f>IF(RESUMEN!$I7&lt;&gt;"",RESUMEN!$I7,IF(AND(RESUMEN!$I7="",RESUMEN!$I6&lt;&gt;""),RESUMEN!$I6,""))</f>
        <v/>
      </c>
      <c r="C25" s="43" t="s">
        <v>3646</v>
      </c>
    </row>
    <row r="26" spans="1:3" x14ac:dyDescent="0.25">
      <c r="A26" s="41" t="s">
        <v>22</v>
      </c>
      <c r="B26" t="str">
        <f>IF(RESUMEN!J7&lt;&gt;"",RESUMEN!J7,"")</f>
        <v/>
      </c>
      <c r="C26" s="43" t="s">
        <v>3647</v>
      </c>
    </row>
    <row r="27" spans="1:3" x14ac:dyDescent="0.25">
      <c r="A27" s="41" t="s">
        <v>23</v>
      </c>
      <c r="B27" t="str">
        <f>IF(RESUMEN!K7&lt;&gt;"",RESUMEN!K7,"")</f>
        <v/>
      </c>
      <c r="C27" s="43" t="s">
        <v>3648</v>
      </c>
    </row>
    <row r="28" spans="1:3" x14ac:dyDescent="0.25">
      <c r="A28" s="41" t="s">
        <v>25</v>
      </c>
      <c r="B28" t="str">
        <f>IF(RESUMEN!M7&lt;&gt;"",RESUMEN!M7,"")</f>
        <v/>
      </c>
      <c r="C28" s="43" t="s">
        <v>3649</v>
      </c>
    </row>
    <row r="29" spans="1:3" x14ac:dyDescent="0.25">
      <c r="A29" s="41" t="s">
        <v>21</v>
      </c>
      <c r="B29" t="str">
        <f>IF(RESUMEN!$I8&lt;&gt;"",RESUMEN!$I8,IF(AND(RESUMEN!$I8="",RESUMEN!$I7&lt;&gt;""),RESUMEN!$I7,""))</f>
        <v/>
      </c>
      <c r="C29" s="43" t="s">
        <v>3635</v>
      </c>
    </row>
    <row r="30" spans="1:3" x14ac:dyDescent="0.25">
      <c r="A30" s="41" t="s">
        <v>22</v>
      </c>
      <c r="B30" t="str">
        <f>IF(RESUMEN!J8&lt;&gt;"",RESUMEN!J8,"")</f>
        <v/>
      </c>
      <c r="C30" s="43" t="s">
        <v>3636</v>
      </c>
    </row>
    <row r="31" spans="1:3" x14ac:dyDescent="0.25">
      <c r="A31" s="41" t="s">
        <v>23</v>
      </c>
      <c r="B31" t="str">
        <f>IF(RESUMEN!K8&lt;&gt;"",RESUMEN!K8,"")</f>
        <v/>
      </c>
      <c r="C31" s="43" t="s">
        <v>3650</v>
      </c>
    </row>
    <row r="32" spans="1:3" x14ac:dyDescent="0.25">
      <c r="A32" s="41" t="s">
        <v>25</v>
      </c>
      <c r="B32" t="str">
        <f>IF(RESUMEN!M8&lt;&gt;"",RESUMEN!M8,"")</f>
        <v/>
      </c>
      <c r="C32" s="43" t="s">
        <v>3651</v>
      </c>
    </row>
    <row r="33" spans="1:3" x14ac:dyDescent="0.25">
      <c r="A33" s="41" t="s">
        <v>21</v>
      </c>
      <c r="B33" t="str">
        <f>IF(RESUMEN!$I9&lt;&gt;"",RESUMEN!$I9,IF(AND(RESUMEN!$I9="",RESUMEN!$I8&lt;&gt;""),RESUMEN!$I8,""))</f>
        <v/>
      </c>
      <c r="C33" s="43" t="s">
        <v>3632</v>
      </c>
    </row>
    <row r="34" spans="1:3" x14ac:dyDescent="0.25">
      <c r="A34" s="41" t="s">
        <v>22</v>
      </c>
      <c r="B34" t="str">
        <f>IF(RESUMEN!J9&lt;&gt;"",RESUMEN!J9,"")</f>
        <v/>
      </c>
      <c r="C34" s="43" t="s">
        <v>3652</v>
      </c>
    </row>
    <row r="35" spans="1:3" x14ac:dyDescent="0.25">
      <c r="A35" s="41" t="s">
        <v>23</v>
      </c>
      <c r="B35" t="str">
        <f>IF(RESUMEN!K9&lt;&gt;"",RESUMEN!K9,"")</f>
        <v/>
      </c>
      <c r="C35" s="43" t="s">
        <v>3633</v>
      </c>
    </row>
    <row r="36" spans="1:3" x14ac:dyDescent="0.25">
      <c r="A36" s="41" t="s">
        <v>25</v>
      </c>
      <c r="B36" t="str">
        <f>IF(RESUMEN!M9&lt;&gt;"",RESUMEN!M9,"")</f>
        <v/>
      </c>
      <c r="C36" s="43" t="s">
        <v>3634</v>
      </c>
    </row>
    <row r="37" spans="1:3" x14ac:dyDescent="0.25">
      <c r="A37" s="41" t="s">
        <v>21</v>
      </c>
      <c r="B37" t="str">
        <f>IF(RESUMEN!$I10&lt;&gt;"",RESUMEN!$I10,IF(AND(RESUMEN!$I10="",RESUMEN!$I9&lt;&gt;""),RESUMEN!$I9,""))</f>
        <v/>
      </c>
      <c r="C37" s="43" t="s">
        <v>3629</v>
      </c>
    </row>
    <row r="38" spans="1:3" x14ac:dyDescent="0.25">
      <c r="A38" s="41" t="s">
        <v>22</v>
      </c>
      <c r="B38" t="str">
        <f>IF(RESUMEN!J10&lt;&gt;"",RESUMEN!J10,"")</f>
        <v/>
      </c>
      <c r="C38" s="43" t="s">
        <v>3653</v>
      </c>
    </row>
    <row r="39" spans="1:3" x14ac:dyDescent="0.25">
      <c r="A39" s="41" t="s">
        <v>23</v>
      </c>
      <c r="B39" t="str">
        <f>IF(RESUMEN!K10&lt;&gt;"",RESUMEN!K10,"")</f>
        <v/>
      </c>
      <c r="C39" s="43" t="s">
        <v>3630</v>
      </c>
    </row>
    <row r="40" spans="1:3" x14ac:dyDescent="0.25">
      <c r="A40" s="41" t="s">
        <v>25</v>
      </c>
      <c r="B40" t="str">
        <f>IF(RESUMEN!M10&lt;&gt;"",RESUMEN!M10,"")</f>
        <v/>
      </c>
      <c r="C40" s="43" t="s">
        <v>3631</v>
      </c>
    </row>
    <row r="41" spans="1:3" x14ac:dyDescent="0.25">
      <c r="A41" s="41" t="s">
        <v>21</v>
      </c>
      <c r="B41" t="str">
        <f>IF(RESUMEN!$I11&lt;&gt;"",RESUMEN!$I11,IF(AND(RESUMEN!$I11="",RESUMEN!$I10&lt;&gt;""),RESUMEN!$I10,""))</f>
        <v/>
      </c>
      <c r="C41" s="43" t="s">
        <v>3626</v>
      </c>
    </row>
    <row r="42" spans="1:3" x14ac:dyDescent="0.25">
      <c r="A42" s="41" t="s">
        <v>22</v>
      </c>
      <c r="B42" t="str">
        <f>IF(RESUMEN!J11&lt;&gt;"",RESUMEN!J11,IF(AND(RESUMEN!J11="",RESUMEN!J10&lt;&gt;""),RESUMEN!J10,""))</f>
        <v/>
      </c>
      <c r="C42" s="43" t="s">
        <v>3654</v>
      </c>
    </row>
    <row r="43" spans="1:3" x14ac:dyDescent="0.25">
      <c r="A43" s="41" t="s">
        <v>23</v>
      </c>
      <c r="B43" t="str">
        <f>IF(RESUMEN!K11&lt;&gt;"",RESUMEN!K11,IF(AND(RESUMEN!K11="",RESUMEN!K10&lt;&gt;""),RESUMEN!K10,""))</f>
        <v/>
      </c>
      <c r="C43" s="43" t="s">
        <v>3627</v>
      </c>
    </row>
    <row r="44" spans="1:3" x14ac:dyDescent="0.25">
      <c r="A44" s="41" t="s">
        <v>25</v>
      </c>
      <c r="B44" t="str">
        <f>IF(RESUMEN!M11&lt;&gt;"",RESUMEN!M11,IF(AND(RESUMEN!M11="",RESUMEN!M10&lt;&gt;""),RESUMEN!M10,""))</f>
        <v/>
      </c>
      <c r="C44" s="43" t="s">
        <v>3628</v>
      </c>
    </row>
    <row r="45" spans="1:3" x14ac:dyDescent="0.25">
      <c r="A45" s="41" t="s">
        <v>21</v>
      </c>
      <c r="B45" t="str">
        <f>IF(RESUMEN!$I12&lt;&gt;"",RESUMEN!$I12,IF(AND(RESUMEN!$I12="",RESUMEN!$I11&lt;&gt;""),RESUMEN!$I11,""))</f>
        <v/>
      </c>
      <c r="C45" s="43" t="s">
        <v>3623</v>
      </c>
    </row>
    <row r="46" spans="1:3" x14ac:dyDescent="0.25">
      <c r="A46" s="41" t="s">
        <v>22</v>
      </c>
      <c r="B46" t="str">
        <f>IF(RESUMEN!J12&lt;&gt;"",RESUMEN!J12,"")</f>
        <v/>
      </c>
      <c r="C46" s="43" t="s">
        <v>3655</v>
      </c>
    </row>
    <row r="47" spans="1:3" x14ac:dyDescent="0.25">
      <c r="A47" s="41" t="s">
        <v>23</v>
      </c>
      <c r="B47" t="str">
        <f>IF(RESUMEN!K12&lt;&gt;"",RESUMEN!K12,"")</f>
        <v/>
      </c>
      <c r="C47" s="43" t="s">
        <v>3624</v>
      </c>
    </row>
    <row r="48" spans="1:3" x14ac:dyDescent="0.25">
      <c r="A48" s="41" t="s">
        <v>25</v>
      </c>
      <c r="B48" t="str">
        <f>IF(RESUMEN!M12&lt;&gt;"",RESUMEN!M12,"")</f>
        <v/>
      </c>
      <c r="C48" s="43" t="s">
        <v>3625</v>
      </c>
    </row>
    <row r="49" spans="1:3" x14ac:dyDescent="0.25">
      <c r="A49" s="41" t="s">
        <v>21</v>
      </c>
      <c r="B49" t="str">
        <f>IF(RESUMEN!$I13&lt;&gt;"",RESUMEN!$I13,IF(AND(RESUMEN!$I13="",RESUMEN!$I12&lt;&gt;""),RESUMEN!$I12,""))</f>
        <v/>
      </c>
      <c r="C49" s="43" t="s">
        <v>3620</v>
      </c>
    </row>
    <row r="50" spans="1:3" x14ac:dyDescent="0.25">
      <c r="A50" s="41" t="s">
        <v>22</v>
      </c>
      <c r="B50" t="str">
        <f>IF(RESUMEN!J13&lt;&gt;"",RESUMEN!J13,IF(AND(RESUMEN!J13="",RESUMEN!J12&lt;&gt;""),RESUMEN!J12,""))</f>
        <v/>
      </c>
      <c r="C50" s="43" t="s">
        <v>3656</v>
      </c>
    </row>
    <row r="51" spans="1:3" x14ac:dyDescent="0.25">
      <c r="A51" s="41" t="s">
        <v>23</v>
      </c>
      <c r="B51" t="str">
        <f>IF(RESUMEN!K13&lt;&gt;"",RESUMEN!K13,IF(AND(RESUMEN!K13="",RESUMEN!K12&lt;&gt;""),RESUMEN!K12,""))</f>
        <v/>
      </c>
      <c r="C51" s="43" t="s">
        <v>3621</v>
      </c>
    </row>
    <row r="52" spans="1:3" x14ac:dyDescent="0.25">
      <c r="A52" s="41" t="s">
        <v>25</v>
      </c>
      <c r="B52" t="str">
        <f>IF(RESUMEN!M13&lt;&gt;"",RESUMEN!M13,IF(AND(RESUMEN!M13="",RESUMEN!M12&lt;&gt;""),RESUMEN!M12,""))</f>
        <v/>
      </c>
      <c r="C52" s="43" t="s">
        <v>3622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B1:L1003"/>
  <sheetViews>
    <sheetView topLeftCell="A7" workbookViewId="0">
      <selection activeCell="C59" sqref="C59"/>
    </sheetView>
  </sheetViews>
  <sheetFormatPr baseColWidth="10" defaultRowHeight="15" x14ac:dyDescent="0.25"/>
  <cols>
    <col min="1" max="1" width="1.5703125" customWidth="1"/>
    <col min="2" max="2" width="76" customWidth="1"/>
    <col min="3" max="3" width="20.5703125" customWidth="1"/>
    <col min="5" max="5" width="30.85546875" customWidth="1"/>
    <col min="6" max="6" width="22.7109375" customWidth="1"/>
    <col min="8" max="8" width="5" customWidth="1"/>
    <col min="9" max="9" width="30.7109375" customWidth="1"/>
    <col min="11" max="11" width="76.7109375" customWidth="1"/>
    <col min="12" max="12" width="9.7109375" style="1" customWidth="1"/>
  </cols>
  <sheetData>
    <row r="1" spans="2:12" ht="5.25" customHeight="1" x14ac:dyDescent="0.25"/>
    <row r="2" spans="2:12" x14ac:dyDescent="0.25">
      <c r="B2" s="5" t="s">
        <v>26</v>
      </c>
      <c r="C2" s="5" t="s">
        <v>21</v>
      </c>
      <c r="D2" s="5" t="s">
        <v>22</v>
      </c>
      <c r="E2" s="5" t="s">
        <v>23</v>
      </c>
      <c r="F2" s="5" t="s">
        <v>27</v>
      </c>
      <c r="H2" s="5" t="s">
        <v>65</v>
      </c>
      <c r="I2" s="5" t="s">
        <v>66</v>
      </c>
      <c r="K2" s="5" t="s">
        <v>26</v>
      </c>
      <c r="L2" s="9" t="s">
        <v>1067</v>
      </c>
    </row>
    <row r="3" spans="2:12" x14ac:dyDescent="0.25">
      <c r="B3" s="6" t="s">
        <v>28</v>
      </c>
      <c r="C3" s="28" t="s">
        <v>2982</v>
      </c>
      <c r="D3" s="29" t="s">
        <v>2983</v>
      </c>
      <c r="E3" s="28" t="s">
        <v>29</v>
      </c>
      <c r="F3" s="28" t="s">
        <v>2984</v>
      </c>
      <c r="H3" s="8">
        <v>1</v>
      </c>
      <c r="I3" s="7" t="s">
        <v>67</v>
      </c>
      <c r="K3" s="6" t="s">
        <v>28</v>
      </c>
      <c r="L3" s="1">
        <v>1</v>
      </c>
    </row>
    <row r="4" spans="2:12" x14ac:dyDescent="0.25">
      <c r="B4" s="6" t="s">
        <v>30</v>
      </c>
      <c r="C4" s="28" t="s">
        <v>2982</v>
      </c>
      <c r="D4" s="28" t="s">
        <v>2985</v>
      </c>
      <c r="E4" s="28" t="s">
        <v>2986</v>
      </c>
      <c r="F4" s="28" t="s">
        <v>2987</v>
      </c>
      <c r="H4" s="8">
        <v>2</v>
      </c>
      <c r="I4" s="7" t="s">
        <v>68</v>
      </c>
      <c r="K4" s="6" t="s">
        <v>30</v>
      </c>
      <c r="L4" s="1">
        <v>30</v>
      </c>
    </row>
    <row r="5" spans="2:12" x14ac:dyDescent="0.25">
      <c r="B5" s="6" t="s">
        <v>32</v>
      </c>
      <c r="C5" s="28" t="s">
        <v>2982</v>
      </c>
      <c r="D5" s="28" t="s">
        <v>2988</v>
      </c>
      <c r="E5" s="28" t="s">
        <v>2986</v>
      </c>
      <c r="F5" s="28" t="s">
        <v>2987</v>
      </c>
      <c r="H5" s="8">
        <v>3</v>
      </c>
      <c r="I5" s="7" t="s">
        <v>69</v>
      </c>
      <c r="K5" s="6" t="s">
        <v>32</v>
      </c>
      <c r="L5" s="1">
        <v>30</v>
      </c>
    </row>
    <row r="6" spans="2:12" x14ac:dyDescent="0.25">
      <c r="B6" s="6" t="s">
        <v>33</v>
      </c>
      <c r="C6" s="28" t="s">
        <v>2982</v>
      </c>
      <c r="D6" s="28" t="s">
        <v>2989</v>
      </c>
      <c r="E6" s="28" t="s">
        <v>2986</v>
      </c>
      <c r="F6" s="28" t="s">
        <v>2987</v>
      </c>
      <c r="H6" s="8">
        <v>4</v>
      </c>
      <c r="I6" s="7" t="s">
        <v>70</v>
      </c>
      <c r="K6" s="6" t="s">
        <v>33</v>
      </c>
      <c r="L6" s="1">
        <v>30</v>
      </c>
    </row>
    <row r="7" spans="2:12" x14ac:dyDescent="0.25">
      <c r="B7" s="6" t="s">
        <v>34</v>
      </c>
      <c r="C7" s="28" t="s">
        <v>2990</v>
      </c>
      <c r="D7" s="28" t="s">
        <v>2991</v>
      </c>
      <c r="E7" s="28" t="s">
        <v>35</v>
      </c>
      <c r="F7" s="28" t="s">
        <v>2992</v>
      </c>
      <c r="H7" s="8">
        <v>5</v>
      </c>
      <c r="I7" s="7" t="s">
        <v>71</v>
      </c>
      <c r="K7" s="6" t="s">
        <v>34</v>
      </c>
      <c r="L7" s="1">
        <v>10</v>
      </c>
    </row>
    <row r="8" spans="2:12" x14ac:dyDescent="0.25">
      <c r="B8" s="6" t="s">
        <v>36</v>
      </c>
      <c r="C8" s="28" t="s">
        <v>2990</v>
      </c>
      <c r="D8" s="28" t="s">
        <v>2993</v>
      </c>
      <c r="E8" s="28" t="s">
        <v>35</v>
      </c>
      <c r="F8" s="28" t="s">
        <v>2992</v>
      </c>
      <c r="H8" s="8">
        <v>6</v>
      </c>
      <c r="I8" s="7" t="s">
        <v>72</v>
      </c>
      <c r="K8" s="6" t="s">
        <v>36</v>
      </c>
      <c r="L8" s="1">
        <v>10</v>
      </c>
    </row>
    <row r="9" spans="2:12" x14ac:dyDescent="0.25">
      <c r="B9" s="6" t="s">
        <v>37</v>
      </c>
      <c r="C9" s="28" t="s">
        <v>2994</v>
      </c>
      <c r="D9" s="28" t="s">
        <v>2995</v>
      </c>
      <c r="E9" s="28" t="s">
        <v>35</v>
      </c>
      <c r="F9" s="28" t="s">
        <v>2992</v>
      </c>
      <c r="H9" s="8">
        <v>7</v>
      </c>
      <c r="I9" s="7" t="s">
        <v>73</v>
      </c>
      <c r="K9" s="6" t="s">
        <v>37</v>
      </c>
      <c r="L9" s="1">
        <v>10</v>
      </c>
    </row>
    <row r="10" spans="2:12" x14ac:dyDescent="0.25">
      <c r="B10" s="6" t="s">
        <v>38</v>
      </c>
      <c r="C10" s="28" t="s">
        <v>2994</v>
      </c>
      <c r="D10" s="28" t="s">
        <v>39</v>
      </c>
      <c r="E10" s="28" t="s">
        <v>2986</v>
      </c>
      <c r="F10" s="28" t="s">
        <v>2996</v>
      </c>
      <c r="H10" s="8">
        <v>8</v>
      </c>
      <c r="I10" s="7" t="s">
        <v>74</v>
      </c>
      <c r="K10" s="6" t="s">
        <v>38</v>
      </c>
      <c r="L10" s="10">
        <v>20</v>
      </c>
    </row>
    <row r="11" spans="2:12" x14ac:dyDescent="0.25">
      <c r="B11" s="6" t="s">
        <v>2362</v>
      </c>
      <c r="C11" s="28" t="s">
        <v>2994</v>
      </c>
      <c r="D11" s="28" t="s">
        <v>2363</v>
      </c>
      <c r="E11" s="28" t="s">
        <v>31</v>
      </c>
      <c r="F11" s="28" t="s">
        <v>40</v>
      </c>
      <c r="H11" s="8">
        <v>25</v>
      </c>
      <c r="I11" s="7" t="s">
        <v>91</v>
      </c>
      <c r="K11" s="6" t="s">
        <v>2362</v>
      </c>
      <c r="L11" s="1">
        <v>30</v>
      </c>
    </row>
    <row r="12" spans="2:12" x14ac:dyDescent="0.25">
      <c r="B12" s="6" t="s">
        <v>41</v>
      </c>
      <c r="C12" s="28" t="s">
        <v>42</v>
      </c>
      <c r="D12" s="28" t="s">
        <v>43</v>
      </c>
      <c r="E12" s="28" t="s">
        <v>35</v>
      </c>
      <c r="F12" s="28" t="s">
        <v>2997</v>
      </c>
      <c r="H12" s="8">
        <v>9</v>
      </c>
      <c r="I12" s="7" t="s">
        <v>75</v>
      </c>
      <c r="K12" s="6" t="s">
        <v>41</v>
      </c>
      <c r="L12" s="1">
        <v>10</v>
      </c>
    </row>
    <row r="13" spans="2:12" x14ac:dyDescent="0.25">
      <c r="B13" s="6" t="s">
        <v>44</v>
      </c>
      <c r="C13" s="28" t="s">
        <v>2998</v>
      </c>
      <c r="D13" s="28" t="s">
        <v>2985</v>
      </c>
      <c r="E13" s="28" t="s">
        <v>2999</v>
      </c>
      <c r="F13" s="28" t="s">
        <v>3000</v>
      </c>
      <c r="H13" s="8">
        <v>10</v>
      </c>
      <c r="I13" s="7" t="s">
        <v>76</v>
      </c>
      <c r="K13" s="6" t="s">
        <v>44</v>
      </c>
      <c r="L13" s="1">
        <v>20</v>
      </c>
    </row>
    <row r="14" spans="2:12" x14ac:dyDescent="0.25">
      <c r="B14" s="6" t="s">
        <v>45</v>
      </c>
      <c r="C14" s="28" t="s">
        <v>2998</v>
      </c>
      <c r="D14" s="28" t="s">
        <v>2985</v>
      </c>
      <c r="E14" s="28" t="s">
        <v>3001</v>
      </c>
      <c r="F14" s="28" t="s">
        <v>2987</v>
      </c>
      <c r="H14" s="8">
        <v>11</v>
      </c>
      <c r="I14" s="7" t="s">
        <v>77</v>
      </c>
      <c r="K14" s="6" t="s">
        <v>45</v>
      </c>
      <c r="L14" s="1">
        <v>30</v>
      </c>
    </row>
    <row r="15" spans="2:12" x14ac:dyDescent="0.25">
      <c r="B15" s="6" t="s">
        <v>46</v>
      </c>
      <c r="C15" s="28" t="s">
        <v>2998</v>
      </c>
      <c r="D15" s="28" t="s">
        <v>3002</v>
      </c>
      <c r="E15" s="28" t="s">
        <v>2999</v>
      </c>
      <c r="F15" s="28" t="s">
        <v>3000</v>
      </c>
      <c r="H15" s="8">
        <v>12</v>
      </c>
      <c r="I15" s="7" t="s">
        <v>78</v>
      </c>
      <c r="K15" s="6" t="s">
        <v>46</v>
      </c>
      <c r="L15" s="1">
        <v>20</v>
      </c>
    </row>
    <row r="16" spans="2:12" x14ac:dyDescent="0.25">
      <c r="B16" s="6" t="s">
        <v>47</v>
      </c>
      <c r="C16" s="28" t="s">
        <v>2998</v>
      </c>
      <c r="D16" s="28" t="s">
        <v>3002</v>
      </c>
      <c r="E16" s="28" t="s">
        <v>3001</v>
      </c>
      <c r="F16" s="28" t="s">
        <v>2987</v>
      </c>
      <c r="H16" s="8">
        <v>13</v>
      </c>
      <c r="I16" s="7" t="s">
        <v>79</v>
      </c>
      <c r="K16" s="6" t="s">
        <v>47</v>
      </c>
      <c r="L16" s="1">
        <v>30</v>
      </c>
    </row>
    <row r="17" spans="2:12" x14ac:dyDescent="0.25">
      <c r="B17" s="6" t="s">
        <v>48</v>
      </c>
      <c r="C17" s="28" t="s">
        <v>3003</v>
      </c>
      <c r="D17" s="28" t="s">
        <v>2985</v>
      </c>
      <c r="E17" s="28" t="s">
        <v>3004</v>
      </c>
      <c r="F17" s="28" t="s">
        <v>2987</v>
      </c>
      <c r="H17" s="8">
        <v>14</v>
      </c>
      <c r="I17" s="7" t="s">
        <v>80</v>
      </c>
      <c r="K17" s="6" t="s">
        <v>48</v>
      </c>
      <c r="L17" s="1">
        <v>30</v>
      </c>
    </row>
    <row r="18" spans="2:12" x14ac:dyDescent="0.25">
      <c r="B18" s="6" t="s">
        <v>49</v>
      </c>
      <c r="C18" s="28" t="s">
        <v>3003</v>
      </c>
      <c r="D18" s="28" t="s">
        <v>50</v>
      </c>
      <c r="E18" s="28" t="s">
        <v>3005</v>
      </c>
      <c r="F18" s="28" t="s">
        <v>3006</v>
      </c>
      <c r="H18" s="8">
        <v>15</v>
      </c>
      <c r="I18" s="7" t="s">
        <v>81</v>
      </c>
      <c r="K18" s="6" t="s">
        <v>49</v>
      </c>
      <c r="L18" s="1">
        <v>30</v>
      </c>
    </row>
    <row r="19" spans="2:12" x14ac:dyDescent="0.25">
      <c r="B19" s="6" t="s">
        <v>51</v>
      </c>
      <c r="C19" s="28" t="s">
        <v>3003</v>
      </c>
      <c r="D19" s="28" t="s">
        <v>52</v>
      </c>
      <c r="E19" s="28" t="s">
        <v>53</v>
      </c>
      <c r="F19" s="28" t="s">
        <v>54</v>
      </c>
      <c r="H19" s="8">
        <v>16</v>
      </c>
      <c r="I19" s="7" t="s">
        <v>82</v>
      </c>
      <c r="K19" s="6" t="s">
        <v>51</v>
      </c>
      <c r="L19" s="1">
        <v>30</v>
      </c>
    </row>
    <row r="20" spans="2:12" x14ac:dyDescent="0.25">
      <c r="B20" s="6" t="s">
        <v>55</v>
      </c>
      <c r="C20" s="28" t="s">
        <v>3003</v>
      </c>
      <c r="D20" s="28" t="s">
        <v>56</v>
      </c>
      <c r="E20" s="28" t="s">
        <v>53</v>
      </c>
      <c r="F20" s="28" t="s">
        <v>54</v>
      </c>
      <c r="H20" s="8">
        <v>17</v>
      </c>
      <c r="I20" s="7" t="s">
        <v>83</v>
      </c>
      <c r="K20" s="6" t="s">
        <v>55</v>
      </c>
      <c r="L20" s="1">
        <v>30</v>
      </c>
    </row>
    <row r="21" spans="2:12" x14ac:dyDescent="0.25">
      <c r="B21" s="6" t="s">
        <v>57</v>
      </c>
      <c r="C21" s="28" t="s">
        <v>3003</v>
      </c>
      <c r="D21" s="28" t="s">
        <v>3007</v>
      </c>
      <c r="E21" s="28" t="s">
        <v>3005</v>
      </c>
      <c r="F21" s="28" t="s">
        <v>3006</v>
      </c>
      <c r="H21" s="8">
        <v>18</v>
      </c>
      <c r="I21" s="7" t="s">
        <v>84</v>
      </c>
      <c r="K21" s="6" t="s">
        <v>57</v>
      </c>
      <c r="L21" s="1">
        <v>30</v>
      </c>
    </row>
    <row r="22" spans="2:12" x14ac:dyDescent="0.25">
      <c r="B22" s="6" t="s">
        <v>58</v>
      </c>
      <c r="C22" s="28" t="s">
        <v>3008</v>
      </c>
      <c r="D22" s="30" t="s">
        <v>3009</v>
      </c>
      <c r="E22" s="28" t="s">
        <v>35</v>
      </c>
      <c r="F22" s="28" t="s">
        <v>59</v>
      </c>
      <c r="H22" s="8">
        <v>19</v>
      </c>
      <c r="I22" s="7" t="s">
        <v>85</v>
      </c>
      <c r="K22" s="6" t="s">
        <v>58</v>
      </c>
      <c r="L22" s="1">
        <v>1</v>
      </c>
    </row>
    <row r="23" spans="2:12" x14ac:dyDescent="0.25">
      <c r="B23" s="6" t="s">
        <v>60</v>
      </c>
      <c r="C23" s="28" t="s">
        <v>3008</v>
      </c>
      <c r="D23" s="30" t="s">
        <v>3009</v>
      </c>
      <c r="E23" s="28" t="s">
        <v>29</v>
      </c>
      <c r="F23" s="28" t="s">
        <v>3010</v>
      </c>
      <c r="H23" s="8">
        <v>20</v>
      </c>
      <c r="I23" s="7" t="s">
        <v>86</v>
      </c>
      <c r="K23" s="6" t="s">
        <v>60</v>
      </c>
      <c r="L23" s="1">
        <v>1</v>
      </c>
    </row>
    <row r="24" spans="2:12" x14ac:dyDescent="0.25">
      <c r="B24" s="6" t="s">
        <v>63</v>
      </c>
      <c r="C24" s="28" t="s">
        <v>3008</v>
      </c>
      <c r="D24" s="28" t="s">
        <v>3011</v>
      </c>
      <c r="E24" s="28" t="s">
        <v>35</v>
      </c>
      <c r="F24" s="28" t="s">
        <v>2992</v>
      </c>
      <c r="H24" s="8">
        <v>21</v>
      </c>
      <c r="I24" s="7" t="s">
        <v>87</v>
      </c>
      <c r="K24" s="6" t="s">
        <v>63</v>
      </c>
      <c r="L24" s="1">
        <v>10</v>
      </c>
    </row>
    <row r="25" spans="2:12" x14ac:dyDescent="0.25">
      <c r="B25" s="6" t="s">
        <v>64</v>
      </c>
      <c r="C25" s="28" t="s">
        <v>3008</v>
      </c>
      <c r="D25" s="28" t="s">
        <v>3012</v>
      </c>
      <c r="E25" s="28" t="s">
        <v>35</v>
      </c>
      <c r="F25" s="28" t="s">
        <v>3013</v>
      </c>
      <c r="H25" s="8">
        <v>22</v>
      </c>
      <c r="I25" s="7" t="s">
        <v>88</v>
      </c>
      <c r="K25" s="6" t="s">
        <v>64</v>
      </c>
      <c r="L25" s="1">
        <v>10</v>
      </c>
    </row>
    <row r="26" spans="2:12" x14ac:dyDescent="0.25">
      <c r="B26" s="6" t="s">
        <v>61</v>
      </c>
      <c r="C26" s="28" t="s">
        <v>3014</v>
      </c>
      <c r="D26" s="28" t="s">
        <v>3015</v>
      </c>
      <c r="E26" s="28" t="s">
        <v>2986</v>
      </c>
      <c r="F26" s="28" t="s">
        <v>62</v>
      </c>
      <c r="H26" s="8">
        <v>23</v>
      </c>
      <c r="I26" s="7" t="s">
        <v>89</v>
      </c>
      <c r="K26" s="6" t="s">
        <v>61</v>
      </c>
      <c r="L26" s="1">
        <v>50</v>
      </c>
    </row>
    <row r="27" spans="2:12" x14ac:dyDescent="0.25">
      <c r="B27" s="6" t="s">
        <v>2139</v>
      </c>
      <c r="C27" s="28" t="s">
        <v>3014</v>
      </c>
      <c r="D27" s="28" t="s">
        <v>3015</v>
      </c>
      <c r="E27" s="28" t="s">
        <v>2986</v>
      </c>
      <c r="F27" s="28" t="s">
        <v>2987</v>
      </c>
      <c r="H27" s="8">
        <v>24</v>
      </c>
      <c r="I27" s="7" t="s">
        <v>90</v>
      </c>
      <c r="K27" s="6" t="s">
        <v>2139</v>
      </c>
      <c r="L27" s="10">
        <v>30</v>
      </c>
    </row>
    <row r="28" spans="2:12" x14ac:dyDescent="0.25">
      <c r="H28" s="8">
        <v>25</v>
      </c>
      <c r="I28" s="7" t="s">
        <v>91</v>
      </c>
    </row>
    <row r="29" spans="2:12" x14ac:dyDescent="0.25">
      <c r="H29" s="8">
        <v>26</v>
      </c>
      <c r="I29" s="7" t="s">
        <v>92</v>
      </c>
    </row>
    <row r="30" spans="2:12" x14ac:dyDescent="0.25">
      <c r="H30" s="8">
        <v>27</v>
      </c>
      <c r="I30" s="7" t="s">
        <v>93</v>
      </c>
    </row>
    <row r="31" spans="2:12" x14ac:dyDescent="0.25">
      <c r="H31" s="8">
        <v>28</v>
      </c>
      <c r="I31" s="7" t="s">
        <v>94</v>
      </c>
    </row>
    <row r="32" spans="2:12" x14ac:dyDescent="0.25">
      <c r="H32" s="8">
        <v>29</v>
      </c>
      <c r="I32" s="7" t="s">
        <v>95</v>
      </c>
    </row>
    <row r="33" spans="8:9" x14ac:dyDescent="0.25">
      <c r="H33" s="8">
        <v>30</v>
      </c>
      <c r="I33" s="7" t="s">
        <v>96</v>
      </c>
    </row>
    <row r="34" spans="8:9" x14ac:dyDescent="0.25">
      <c r="H34" s="8">
        <v>31</v>
      </c>
      <c r="I34" s="7" t="s">
        <v>97</v>
      </c>
    </row>
    <row r="35" spans="8:9" x14ac:dyDescent="0.25">
      <c r="H35" s="8">
        <v>32</v>
      </c>
      <c r="I35" s="7" t="s">
        <v>98</v>
      </c>
    </row>
    <row r="36" spans="8:9" x14ac:dyDescent="0.25">
      <c r="H36" s="8">
        <v>33</v>
      </c>
      <c r="I36" s="7" t="s">
        <v>99</v>
      </c>
    </row>
    <row r="37" spans="8:9" x14ac:dyDescent="0.25">
      <c r="H37" s="8">
        <v>34</v>
      </c>
      <c r="I37" s="7" t="s">
        <v>100</v>
      </c>
    </row>
    <row r="38" spans="8:9" x14ac:dyDescent="0.25">
      <c r="H38" s="8">
        <v>35</v>
      </c>
      <c r="I38" s="7" t="s">
        <v>101</v>
      </c>
    </row>
    <row r="39" spans="8:9" x14ac:dyDescent="0.25">
      <c r="H39" s="8">
        <v>36</v>
      </c>
      <c r="I39" s="7" t="s">
        <v>102</v>
      </c>
    </row>
    <row r="40" spans="8:9" x14ac:dyDescent="0.25">
      <c r="H40" s="8">
        <v>37</v>
      </c>
      <c r="I40" s="7" t="s">
        <v>103</v>
      </c>
    </row>
    <row r="41" spans="8:9" x14ac:dyDescent="0.25">
      <c r="H41" s="8">
        <v>38</v>
      </c>
      <c r="I41" s="7" t="s">
        <v>104</v>
      </c>
    </row>
    <row r="42" spans="8:9" x14ac:dyDescent="0.25">
      <c r="H42" s="8">
        <v>39</v>
      </c>
      <c r="I42" s="7" t="s">
        <v>105</v>
      </c>
    </row>
    <row r="43" spans="8:9" x14ac:dyDescent="0.25">
      <c r="H43" s="8">
        <v>40</v>
      </c>
      <c r="I43" s="7" t="s">
        <v>106</v>
      </c>
    </row>
    <row r="44" spans="8:9" x14ac:dyDescent="0.25">
      <c r="H44" s="8">
        <v>41</v>
      </c>
      <c r="I44" s="7" t="s">
        <v>107</v>
      </c>
    </row>
    <row r="45" spans="8:9" x14ac:dyDescent="0.25">
      <c r="H45" s="8">
        <v>42</v>
      </c>
      <c r="I45" s="7" t="s">
        <v>108</v>
      </c>
    </row>
    <row r="46" spans="8:9" x14ac:dyDescent="0.25">
      <c r="H46" s="8">
        <v>43</v>
      </c>
      <c r="I46" s="7" t="s">
        <v>109</v>
      </c>
    </row>
    <row r="47" spans="8:9" x14ac:dyDescent="0.25">
      <c r="H47" s="8">
        <v>44</v>
      </c>
      <c r="I47" s="7" t="s">
        <v>110</v>
      </c>
    </row>
    <row r="48" spans="8:9" x14ac:dyDescent="0.25">
      <c r="H48" s="8">
        <v>45</v>
      </c>
      <c r="I48" s="7" t="s">
        <v>111</v>
      </c>
    </row>
    <row r="49" spans="8:9" x14ac:dyDescent="0.25">
      <c r="H49" s="8">
        <v>46</v>
      </c>
      <c r="I49" s="7" t="s">
        <v>112</v>
      </c>
    </row>
    <row r="50" spans="8:9" x14ac:dyDescent="0.25">
      <c r="H50" s="8">
        <v>47</v>
      </c>
      <c r="I50" s="7" t="s">
        <v>113</v>
      </c>
    </row>
    <row r="51" spans="8:9" x14ac:dyDescent="0.25">
      <c r="H51" s="8">
        <v>48</v>
      </c>
      <c r="I51" s="7" t="s">
        <v>114</v>
      </c>
    </row>
    <row r="52" spans="8:9" x14ac:dyDescent="0.25">
      <c r="H52" s="8">
        <v>49</v>
      </c>
      <c r="I52" s="7" t="s">
        <v>115</v>
      </c>
    </row>
    <row r="53" spans="8:9" x14ac:dyDescent="0.25">
      <c r="H53" s="8">
        <v>50</v>
      </c>
      <c r="I53" s="7" t="s">
        <v>116</v>
      </c>
    </row>
    <row r="54" spans="8:9" x14ac:dyDescent="0.25">
      <c r="H54" s="8">
        <v>51</v>
      </c>
      <c r="I54" s="7" t="s">
        <v>117</v>
      </c>
    </row>
    <row r="55" spans="8:9" x14ac:dyDescent="0.25">
      <c r="H55" s="8">
        <v>52</v>
      </c>
      <c r="I55" s="7" t="s">
        <v>118</v>
      </c>
    </row>
    <row r="56" spans="8:9" x14ac:dyDescent="0.25">
      <c r="H56" s="8">
        <v>53</v>
      </c>
      <c r="I56" s="7" t="s">
        <v>119</v>
      </c>
    </row>
    <row r="57" spans="8:9" x14ac:dyDescent="0.25">
      <c r="H57" s="8">
        <v>54</v>
      </c>
      <c r="I57" s="7" t="s">
        <v>120</v>
      </c>
    </row>
    <row r="58" spans="8:9" x14ac:dyDescent="0.25">
      <c r="H58" s="8">
        <v>55</v>
      </c>
      <c r="I58" s="7" t="s">
        <v>121</v>
      </c>
    </row>
    <row r="59" spans="8:9" x14ac:dyDescent="0.25">
      <c r="H59" s="8">
        <v>56</v>
      </c>
      <c r="I59" s="7" t="s">
        <v>122</v>
      </c>
    </row>
    <row r="60" spans="8:9" x14ac:dyDescent="0.25">
      <c r="H60" s="8">
        <v>57</v>
      </c>
      <c r="I60" s="7" t="s">
        <v>123</v>
      </c>
    </row>
    <row r="61" spans="8:9" x14ac:dyDescent="0.25">
      <c r="H61" s="8">
        <v>58</v>
      </c>
      <c r="I61" s="7" t="s">
        <v>124</v>
      </c>
    </row>
    <row r="62" spans="8:9" x14ac:dyDescent="0.25">
      <c r="H62" s="8">
        <v>59</v>
      </c>
      <c r="I62" s="7" t="s">
        <v>125</v>
      </c>
    </row>
    <row r="63" spans="8:9" x14ac:dyDescent="0.25">
      <c r="H63" s="8">
        <v>60</v>
      </c>
      <c r="I63" s="7" t="s">
        <v>126</v>
      </c>
    </row>
    <row r="64" spans="8:9" x14ac:dyDescent="0.25">
      <c r="H64" s="8">
        <v>61</v>
      </c>
      <c r="I64" s="7" t="s">
        <v>127</v>
      </c>
    </row>
    <row r="65" spans="8:9" x14ac:dyDescent="0.25">
      <c r="H65" s="8">
        <v>62</v>
      </c>
      <c r="I65" s="7" t="s">
        <v>128</v>
      </c>
    </row>
    <row r="66" spans="8:9" x14ac:dyDescent="0.25">
      <c r="H66" s="8">
        <v>63</v>
      </c>
      <c r="I66" s="7" t="s">
        <v>129</v>
      </c>
    </row>
    <row r="67" spans="8:9" x14ac:dyDescent="0.25">
      <c r="H67" s="8">
        <v>64</v>
      </c>
      <c r="I67" s="7" t="s">
        <v>130</v>
      </c>
    </row>
    <row r="68" spans="8:9" x14ac:dyDescent="0.25">
      <c r="H68" s="8">
        <v>65</v>
      </c>
      <c r="I68" s="7" t="s">
        <v>131</v>
      </c>
    </row>
    <row r="69" spans="8:9" x14ac:dyDescent="0.25">
      <c r="H69" s="8">
        <v>66</v>
      </c>
      <c r="I69" s="7" t="s">
        <v>132</v>
      </c>
    </row>
    <row r="70" spans="8:9" x14ac:dyDescent="0.25">
      <c r="H70" s="8">
        <v>67</v>
      </c>
      <c r="I70" s="7" t="s">
        <v>133</v>
      </c>
    </row>
    <row r="71" spans="8:9" x14ac:dyDescent="0.25">
      <c r="H71" s="8">
        <v>68</v>
      </c>
      <c r="I71" s="7" t="s">
        <v>134</v>
      </c>
    </row>
    <row r="72" spans="8:9" x14ac:dyDescent="0.25">
      <c r="H72" s="8">
        <v>69</v>
      </c>
      <c r="I72" s="7" t="s">
        <v>135</v>
      </c>
    </row>
    <row r="73" spans="8:9" x14ac:dyDescent="0.25">
      <c r="H73" s="8">
        <v>70</v>
      </c>
      <c r="I73" s="7" t="s">
        <v>136</v>
      </c>
    </row>
    <row r="74" spans="8:9" x14ac:dyDescent="0.25">
      <c r="H74" s="8">
        <v>71</v>
      </c>
      <c r="I74" s="7" t="s">
        <v>137</v>
      </c>
    </row>
    <row r="75" spans="8:9" x14ac:dyDescent="0.25">
      <c r="H75" s="8">
        <v>72</v>
      </c>
      <c r="I75" s="7" t="s">
        <v>138</v>
      </c>
    </row>
    <row r="76" spans="8:9" x14ac:dyDescent="0.25">
      <c r="H76" s="8">
        <v>73</v>
      </c>
      <c r="I76" s="7" t="s">
        <v>139</v>
      </c>
    </row>
    <row r="77" spans="8:9" x14ac:dyDescent="0.25">
      <c r="H77" s="8">
        <v>74</v>
      </c>
      <c r="I77" s="7" t="s">
        <v>140</v>
      </c>
    </row>
    <row r="78" spans="8:9" x14ac:dyDescent="0.25">
      <c r="H78" s="8">
        <v>75</v>
      </c>
      <c r="I78" s="7" t="s">
        <v>141</v>
      </c>
    </row>
    <row r="79" spans="8:9" x14ac:dyDescent="0.25">
      <c r="H79" s="8">
        <v>76</v>
      </c>
      <c r="I79" s="7" t="s">
        <v>142</v>
      </c>
    </row>
    <row r="80" spans="8:9" x14ac:dyDescent="0.25">
      <c r="H80" s="8">
        <v>77</v>
      </c>
      <c r="I80" s="7" t="s">
        <v>143</v>
      </c>
    </row>
    <row r="81" spans="8:9" x14ac:dyDescent="0.25">
      <c r="H81" s="8">
        <v>78</v>
      </c>
      <c r="I81" s="7" t="s">
        <v>144</v>
      </c>
    </row>
    <row r="82" spans="8:9" x14ac:dyDescent="0.25">
      <c r="H82" s="8">
        <v>79</v>
      </c>
      <c r="I82" s="7" t="s">
        <v>145</v>
      </c>
    </row>
    <row r="83" spans="8:9" x14ac:dyDescent="0.25">
      <c r="H83" s="8">
        <v>80</v>
      </c>
      <c r="I83" s="7" t="s">
        <v>146</v>
      </c>
    </row>
    <row r="84" spans="8:9" x14ac:dyDescent="0.25">
      <c r="H84" s="8">
        <v>81</v>
      </c>
      <c r="I84" s="7" t="s">
        <v>147</v>
      </c>
    </row>
    <row r="85" spans="8:9" x14ac:dyDescent="0.25">
      <c r="H85" s="8">
        <v>82</v>
      </c>
      <c r="I85" s="7" t="s">
        <v>148</v>
      </c>
    </row>
    <row r="86" spans="8:9" x14ac:dyDescent="0.25">
      <c r="H86" s="8">
        <v>83</v>
      </c>
      <c r="I86" s="7" t="s">
        <v>149</v>
      </c>
    </row>
    <row r="87" spans="8:9" x14ac:dyDescent="0.25">
      <c r="H87" s="8">
        <v>84</v>
      </c>
      <c r="I87" s="7" t="s">
        <v>150</v>
      </c>
    </row>
    <row r="88" spans="8:9" x14ac:dyDescent="0.25">
      <c r="H88" s="8">
        <v>85</v>
      </c>
      <c r="I88" s="7" t="s">
        <v>151</v>
      </c>
    </row>
    <row r="89" spans="8:9" x14ac:dyDescent="0.25">
      <c r="H89" s="8">
        <v>86</v>
      </c>
      <c r="I89" s="7" t="s">
        <v>152</v>
      </c>
    </row>
    <row r="90" spans="8:9" x14ac:dyDescent="0.25">
      <c r="H90" s="8">
        <v>87</v>
      </c>
      <c r="I90" s="7" t="s">
        <v>153</v>
      </c>
    </row>
    <row r="91" spans="8:9" x14ac:dyDescent="0.25">
      <c r="H91" s="8">
        <v>88</v>
      </c>
      <c r="I91" s="7" t="s">
        <v>154</v>
      </c>
    </row>
    <row r="92" spans="8:9" x14ac:dyDescent="0.25">
      <c r="H92" s="8">
        <v>89</v>
      </c>
      <c r="I92" s="7" t="s">
        <v>155</v>
      </c>
    </row>
    <row r="93" spans="8:9" x14ac:dyDescent="0.25">
      <c r="H93" s="8">
        <v>90</v>
      </c>
      <c r="I93" s="7" t="s">
        <v>156</v>
      </c>
    </row>
    <row r="94" spans="8:9" x14ac:dyDescent="0.25">
      <c r="H94" s="8">
        <v>91</v>
      </c>
      <c r="I94" s="7" t="s">
        <v>157</v>
      </c>
    </row>
    <row r="95" spans="8:9" x14ac:dyDescent="0.25">
      <c r="H95" s="8">
        <v>92</v>
      </c>
      <c r="I95" s="7" t="s">
        <v>158</v>
      </c>
    </row>
    <row r="96" spans="8:9" x14ac:dyDescent="0.25">
      <c r="H96" s="8">
        <v>93</v>
      </c>
      <c r="I96" s="7" t="s">
        <v>159</v>
      </c>
    </row>
    <row r="97" spans="8:9" x14ac:dyDescent="0.25">
      <c r="H97" s="8">
        <v>94</v>
      </c>
      <c r="I97" s="7" t="s">
        <v>160</v>
      </c>
    </row>
    <row r="98" spans="8:9" x14ac:dyDescent="0.25">
      <c r="H98" s="8">
        <v>95</v>
      </c>
      <c r="I98" s="7" t="s">
        <v>161</v>
      </c>
    </row>
    <row r="99" spans="8:9" x14ac:dyDescent="0.25">
      <c r="H99" s="8">
        <v>96</v>
      </c>
      <c r="I99" s="7" t="s">
        <v>162</v>
      </c>
    </row>
    <row r="100" spans="8:9" x14ac:dyDescent="0.25">
      <c r="H100" s="8">
        <v>97</v>
      </c>
      <c r="I100" s="7" t="s">
        <v>163</v>
      </c>
    </row>
    <row r="101" spans="8:9" x14ac:dyDescent="0.25">
      <c r="H101" s="8">
        <v>98</v>
      </c>
      <c r="I101" s="7" t="s">
        <v>164</v>
      </c>
    </row>
    <row r="102" spans="8:9" x14ac:dyDescent="0.25">
      <c r="H102" s="8">
        <v>99</v>
      </c>
      <c r="I102" s="7" t="s">
        <v>165</v>
      </c>
    </row>
    <row r="103" spans="8:9" x14ac:dyDescent="0.25">
      <c r="H103" s="8">
        <v>100</v>
      </c>
      <c r="I103" s="7" t="s">
        <v>166</v>
      </c>
    </row>
    <row r="104" spans="8:9" x14ac:dyDescent="0.25">
      <c r="H104" s="8">
        <v>101</v>
      </c>
      <c r="I104" s="7" t="s">
        <v>167</v>
      </c>
    </row>
    <row r="105" spans="8:9" x14ac:dyDescent="0.25">
      <c r="H105" s="8">
        <v>102</v>
      </c>
      <c r="I105" s="7" t="s">
        <v>168</v>
      </c>
    </row>
    <row r="106" spans="8:9" x14ac:dyDescent="0.25">
      <c r="H106" s="8">
        <v>103</v>
      </c>
      <c r="I106" s="7" t="s">
        <v>169</v>
      </c>
    </row>
    <row r="107" spans="8:9" x14ac:dyDescent="0.25">
      <c r="H107" s="8">
        <v>104</v>
      </c>
      <c r="I107" s="7" t="s">
        <v>170</v>
      </c>
    </row>
    <row r="108" spans="8:9" x14ac:dyDescent="0.25">
      <c r="H108" s="8">
        <v>105</v>
      </c>
      <c r="I108" s="7" t="s">
        <v>171</v>
      </c>
    </row>
    <row r="109" spans="8:9" x14ac:dyDescent="0.25">
      <c r="H109" s="8">
        <v>106</v>
      </c>
      <c r="I109" s="7" t="s">
        <v>172</v>
      </c>
    </row>
    <row r="110" spans="8:9" x14ac:dyDescent="0.25">
      <c r="H110" s="8">
        <v>107</v>
      </c>
      <c r="I110" s="7" t="s">
        <v>173</v>
      </c>
    </row>
    <row r="111" spans="8:9" x14ac:dyDescent="0.25">
      <c r="H111" s="8">
        <v>108</v>
      </c>
      <c r="I111" s="7" t="s">
        <v>174</v>
      </c>
    </row>
    <row r="112" spans="8:9" x14ac:dyDescent="0.25">
      <c r="H112" s="8">
        <v>109</v>
      </c>
      <c r="I112" s="7" t="s">
        <v>175</v>
      </c>
    </row>
    <row r="113" spans="8:9" x14ac:dyDescent="0.25">
      <c r="H113" s="8">
        <v>110</v>
      </c>
      <c r="I113" s="7" t="s">
        <v>176</v>
      </c>
    </row>
    <row r="114" spans="8:9" x14ac:dyDescent="0.25">
      <c r="H114" s="8">
        <v>111</v>
      </c>
      <c r="I114" s="7" t="s">
        <v>177</v>
      </c>
    </row>
    <row r="115" spans="8:9" x14ac:dyDescent="0.25">
      <c r="H115" s="8">
        <v>112</v>
      </c>
      <c r="I115" s="7" t="s">
        <v>178</v>
      </c>
    </row>
    <row r="116" spans="8:9" x14ac:dyDescent="0.25">
      <c r="H116" s="8">
        <v>113</v>
      </c>
      <c r="I116" s="7" t="s">
        <v>179</v>
      </c>
    </row>
    <row r="117" spans="8:9" x14ac:dyDescent="0.25">
      <c r="H117" s="8">
        <v>114</v>
      </c>
      <c r="I117" s="7" t="s">
        <v>180</v>
      </c>
    </row>
    <row r="118" spans="8:9" x14ac:dyDescent="0.25">
      <c r="H118" s="8">
        <v>115</v>
      </c>
      <c r="I118" s="7" t="s">
        <v>181</v>
      </c>
    </row>
    <row r="119" spans="8:9" x14ac:dyDescent="0.25">
      <c r="H119" s="8">
        <v>116</v>
      </c>
      <c r="I119" s="7" t="s">
        <v>182</v>
      </c>
    </row>
    <row r="120" spans="8:9" x14ac:dyDescent="0.25">
      <c r="H120" s="8">
        <v>117</v>
      </c>
      <c r="I120" s="7" t="s">
        <v>183</v>
      </c>
    </row>
    <row r="121" spans="8:9" x14ac:dyDescent="0.25">
      <c r="H121" s="8">
        <v>118</v>
      </c>
      <c r="I121" s="7" t="s">
        <v>184</v>
      </c>
    </row>
    <row r="122" spans="8:9" x14ac:dyDescent="0.25">
      <c r="H122" s="8">
        <v>119</v>
      </c>
      <c r="I122" s="7" t="s">
        <v>185</v>
      </c>
    </row>
    <row r="123" spans="8:9" x14ac:dyDescent="0.25">
      <c r="H123" s="8">
        <v>120</v>
      </c>
      <c r="I123" s="7" t="s">
        <v>186</v>
      </c>
    </row>
    <row r="124" spans="8:9" x14ac:dyDescent="0.25">
      <c r="H124" s="8">
        <v>121</v>
      </c>
      <c r="I124" s="7" t="s">
        <v>187</v>
      </c>
    </row>
    <row r="125" spans="8:9" x14ac:dyDescent="0.25">
      <c r="H125" s="8">
        <v>122</v>
      </c>
      <c r="I125" s="7" t="s">
        <v>188</v>
      </c>
    </row>
    <row r="126" spans="8:9" x14ac:dyDescent="0.25">
      <c r="H126" s="8">
        <v>123</v>
      </c>
      <c r="I126" s="7" t="s">
        <v>189</v>
      </c>
    </row>
    <row r="127" spans="8:9" x14ac:dyDescent="0.25">
      <c r="H127" s="8">
        <v>124</v>
      </c>
      <c r="I127" s="7" t="s">
        <v>190</v>
      </c>
    </row>
    <row r="128" spans="8:9" x14ac:dyDescent="0.25">
      <c r="H128" s="8">
        <v>125</v>
      </c>
      <c r="I128" s="7" t="s">
        <v>191</v>
      </c>
    </row>
    <row r="129" spans="8:9" x14ac:dyDescent="0.25">
      <c r="H129" s="8">
        <v>126</v>
      </c>
      <c r="I129" s="7" t="s">
        <v>192</v>
      </c>
    </row>
    <row r="130" spans="8:9" x14ac:dyDescent="0.25">
      <c r="H130" s="8">
        <v>127</v>
      </c>
      <c r="I130" s="7" t="s">
        <v>193</v>
      </c>
    </row>
    <row r="131" spans="8:9" x14ac:dyDescent="0.25">
      <c r="H131" s="8">
        <v>128</v>
      </c>
      <c r="I131" s="7" t="s">
        <v>194</v>
      </c>
    </row>
    <row r="132" spans="8:9" x14ac:dyDescent="0.25">
      <c r="H132" s="8">
        <v>129</v>
      </c>
      <c r="I132" s="7" t="s">
        <v>195</v>
      </c>
    </row>
    <row r="133" spans="8:9" x14ac:dyDescent="0.25">
      <c r="H133" s="8">
        <v>130</v>
      </c>
      <c r="I133" s="7" t="s">
        <v>196</v>
      </c>
    </row>
    <row r="134" spans="8:9" x14ac:dyDescent="0.25">
      <c r="H134" s="8">
        <v>131</v>
      </c>
      <c r="I134" s="7" t="s">
        <v>197</v>
      </c>
    </row>
    <row r="135" spans="8:9" x14ac:dyDescent="0.25">
      <c r="H135" s="8">
        <v>132</v>
      </c>
      <c r="I135" s="7" t="s">
        <v>198</v>
      </c>
    </row>
    <row r="136" spans="8:9" x14ac:dyDescent="0.25">
      <c r="H136" s="8">
        <v>133</v>
      </c>
      <c r="I136" s="7" t="s">
        <v>199</v>
      </c>
    </row>
    <row r="137" spans="8:9" x14ac:dyDescent="0.25">
      <c r="H137" s="8">
        <v>134</v>
      </c>
      <c r="I137" s="7" t="s">
        <v>200</v>
      </c>
    </row>
    <row r="138" spans="8:9" x14ac:dyDescent="0.25">
      <c r="H138" s="8">
        <v>135</v>
      </c>
      <c r="I138" s="7" t="s">
        <v>201</v>
      </c>
    </row>
    <row r="139" spans="8:9" x14ac:dyDescent="0.25">
      <c r="H139" s="8">
        <v>136</v>
      </c>
      <c r="I139" s="7" t="s">
        <v>202</v>
      </c>
    </row>
    <row r="140" spans="8:9" x14ac:dyDescent="0.25">
      <c r="H140" s="8">
        <v>137</v>
      </c>
      <c r="I140" s="7" t="s">
        <v>203</v>
      </c>
    </row>
    <row r="141" spans="8:9" x14ac:dyDescent="0.25">
      <c r="H141" s="8">
        <v>138</v>
      </c>
      <c r="I141" s="7" t="s">
        <v>204</v>
      </c>
    </row>
    <row r="142" spans="8:9" x14ac:dyDescent="0.25">
      <c r="H142" s="8">
        <v>139</v>
      </c>
      <c r="I142" s="7" t="s">
        <v>205</v>
      </c>
    </row>
    <row r="143" spans="8:9" x14ac:dyDescent="0.25">
      <c r="H143" s="8">
        <v>140</v>
      </c>
      <c r="I143" s="7" t="s">
        <v>206</v>
      </c>
    </row>
    <row r="144" spans="8:9" x14ac:dyDescent="0.25">
      <c r="H144" s="8">
        <v>141</v>
      </c>
      <c r="I144" s="7" t="s">
        <v>207</v>
      </c>
    </row>
    <row r="145" spans="8:9" x14ac:dyDescent="0.25">
      <c r="H145" s="8">
        <v>142</v>
      </c>
      <c r="I145" s="7" t="s">
        <v>208</v>
      </c>
    </row>
    <row r="146" spans="8:9" x14ac:dyDescent="0.25">
      <c r="H146" s="8">
        <v>143</v>
      </c>
      <c r="I146" s="7" t="s">
        <v>209</v>
      </c>
    </row>
    <row r="147" spans="8:9" x14ac:dyDescent="0.25">
      <c r="H147" s="8">
        <v>144</v>
      </c>
      <c r="I147" s="7" t="s">
        <v>210</v>
      </c>
    </row>
    <row r="148" spans="8:9" x14ac:dyDescent="0.25">
      <c r="H148" s="8">
        <v>145</v>
      </c>
      <c r="I148" s="7" t="s">
        <v>211</v>
      </c>
    </row>
    <row r="149" spans="8:9" x14ac:dyDescent="0.25">
      <c r="H149" s="8">
        <v>146</v>
      </c>
      <c r="I149" s="7" t="s">
        <v>212</v>
      </c>
    </row>
    <row r="150" spans="8:9" x14ac:dyDescent="0.25">
      <c r="H150" s="8">
        <v>147</v>
      </c>
      <c r="I150" s="7" t="s">
        <v>213</v>
      </c>
    </row>
    <row r="151" spans="8:9" x14ac:dyDescent="0.25">
      <c r="H151" s="8">
        <v>148</v>
      </c>
      <c r="I151" s="7" t="s">
        <v>214</v>
      </c>
    </row>
    <row r="152" spans="8:9" x14ac:dyDescent="0.25">
      <c r="H152" s="8">
        <v>149</v>
      </c>
      <c r="I152" s="7" t="s">
        <v>215</v>
      </c>
    </row>
    <row r="153" spans="8:9" x14ac:dyDescent="0.25">
      <c r="H153" s="8">
        <v>150</v>
      </c>
      <c r="I153" s="7" t="s">
        <v>216</v>
      </c>
    </row>
    <row r="154" spans="8:9" x14ac:dyDescent="0.25">
      <c r="H154" s="8">
        <v>151</v>
      </c>
      <c r="I154" s="7" t="s">
        <v>217</v>
      </c>
    </row>
    <row r="155" spans="8:9" x14ac:dyDescent="0.25">
      <c r="H155" s="8">
        <v>152</v>
      </c>
      <c r="I155" s="7" t="s">
        <v>218</v>
      </c>
    </row>
    <row r="156" spans="8:9" x14ac:dyDescent="0.25">
      <c r="H156" s="8">
        <v>153</v>
      </c>
      <c r="I156" s="7" t="s">
        <v>219</v>
      </c>
    </row>
    <row r="157" spans="8:9" x14ac:dyDescent="0.25">
      <c r="H157" s="8">
        <v>154</v>
      </c>
      <c r="I157" s="7" t="s">
        <v>220</v>
      </c>
    </row>
    <row r="158" spans="8:9" x14ac:dyDescent="0.25">
      <c r="H158" s="8">
        <v>155</v>
      </c>
      <c r="I158" s="7" t="s">
        <v>221</v>
      </c>
    </row>
    <row r="159" spans="8:9" x14ac:dyDescent="0.25">
      <c r="H159" s="8">
        <v>156</v>
      </c>
      <c r="I159" s="7" t="s">
        <v>222</v>
      </c>
    </row>
    <row r="160" spans="8:9" x14ac:dyDescent="0.25">
      <c r="H160" s="8">
        <v>157</v>
      </c>
      <c r="I160" s="7" t="s">
        <v>223</v>
      </c>
    </row>
    <row r="161" spans="8:9" x14ac:dyDescent="0.25">
      <c r="H161" s="8">
        <v>158</v>
      </c>
      <c r="I161" s="7" t="s">
        <v>224</v>
      </c>
    </row>
    <row r="162" spans="8:9" x14ac:dyDescent="0.25">
      <c r="H162" s="8">
        <v>159</v>
      </c>
      <c r="I162" s="7" t="s">
        <v>225</v>
      </c>
    </row>
    <row r="163" spans="8:9" x14ac:dyDescent="0.25">
      <c r="H163" s="8">
        <v>160</v>
      </c>
      <c r="I163" s="7" t="s">
        <v>226</v>
      </c>
    </row>
    <row r="164" spans="8:9" x14ac:dyDescent="0.25">
      <c r="H164" s="8">
        <v>161</v>
      </c>
      <c r="I164" s="7" t="s">
        <v>227</v>
      </c>
    </row>
    <row r="165" spans="8:9" x14ac:dyDescent="0.25">
      <c r="H165" s="8">
        <v>162</v>
      </c>
      <c r="I165" s="7" t="s">
        <v>228</v>
      </c>
    </row>
    <row r="166" spans="8:9" x14ac:dyDescent="0.25">
      <c r="H166" s="8">
        <v>163</v>
      </c>
      <c r="I166" s="7" t="s">
        <v>229</v>
      </c>
    </row>
    <row r="167" spans="8:9" x14ac:dyDescent="0.25">
      <c r="H167" s="8">
        <v>164</v>
      </c>
      <c r="I167" s="7" t="s">
        <v>230</v>
      </c>
    </row>
    <row r="168" spans="8:9" x14ac:dyDescent="0.25">
      <c r="H168" s="8">
        <v>165</v>
      </c>
      <c r="I168" s="7" t="s">
        <v>231</v>
      </c>
    </row>
    <row r="169" spans="8:9" x14ac:dyDescent="0.25">
      <c r="H169" s="8">
        <v>166</v>
      </c>
      <c r="I169" s="7" t="s">
        <v>232</v>
      </c>
    </row>
    <row r="170" spans="8:9" x14ac:dyDescent="0.25">
      <c r="H170" s="8">
        <v>167</v>
      </c>
      <c r="I170" s="7" t="s">
        <v>233</v>
      </c>
    </row>
    <row r="171" spans="8:9" x14ac:dyDescent="0.25">
      <c r="H171" s="8">
        <v>168</v>
      </c>
      <c r="I171" s="7" t="s">
        <v>234</v>
      </c>
    </row>
    <row r="172" spans="8:9" x14ac:dyDescent="0.25">
      <c r="H172" s="8">
        <v>169</v>
      </c>
      <c r="I172" s="7" t="s">
        <v>235</v>
      </c>
    </row>
    <row r="173" spans="8:9" x14ac:dyDescent="0.25">
      <c r="H173" s="8">
        <v>170</v>
      </c>
      <c r="I173" s="7" t="s">
        <v>236</v>
      </c>
    </row>
    <row r="174" spans="8:9" x14ac:dyDescent="0.25">
      <c r="H174" s="8">
        <v>171</v>
      </c>
      <c r="I174" s="7" t="s">
        <v>237</v>
      </c>
    </row>
    <row r="175" spans="8:9" x14ac:dyDescent="0.25">
      <c r="H175" s="8">
        <v>172</v>
      </c>
      <c r="I175" s="7" t="s">
        <v>238</v>
      </c>
    </row>
    <row r="176" spans="8:9" x14ac:dyDescent="0.25">
      <c r="H176" s="8">
        <v>173</v>
      </c>
      <c r="I176" s="7" t="s">
        <v>239</v>
      </c>
    </row>
    <row r="177" spans="8:9" x14ac:dyDescent="0.25">
      <c r="H177" s="8">
        <v>174</v>
      </c>
      <c r="I177" s="7" t="s">
        <v>240</v>
      </c>
    </row>
    <row r="178" spans="8:9" x14ac:dyDescent="0.25">
      <c r="H178" s="8">
        <v>175</v>
      </c>
      <c r="I178" s="7" t="s">
        <v>241</v>
      </c>
    </row>
    <row r="179" spans="8:9" x14ac:dyDescent="0.25">
      <c r="H179" s="8">
        <v>176</v>
      </c>
      <c r="I179" s="7" t="s">
        <v>242</v>
      </c>
    </row>
    <row r="180" spans="8:9" x14ac:dyDescent="0.25">
      <c r="H180" s="8">
        <v>177</v>
      </c>
      <c r="I180" s="7" t="s">
        <v>243</v>
      </c>
    </row>
    <row r="181" spans="8:9" x14ac:dyDescent="0.25">
      <c r="H181" s="8">
        <v>178</v>
      </c>
      <c r="I181" s="7" t="s">
        <v>244</v>
      </c>
    </row>
    <row r="182" spans="8:9" x14ac:dyDescent="0.25">
      <c r="H182" s="8">
        <v>179</v>
      </c>
      <c r="I182" s="7" t="s">
        <v>245</v>
      </c>
    </row>
    <row r="183" spans="8:9" x14ac:dyDescent="0.25">
      <c r="H183" s="8">
        <v>180</v>
      </c>
      <c r="I183" s="7" t="s">
        <v>246</v>
      </c>
    </row>
    <row r="184" spans="8:9" x14ac:dyDescent="0.25">
      <c r="H184" s="8">
        <v>181</v>
      </c>
      <c r="I184" s="7" t="s">
        <v>247</v>
      </c>
    </row>
    <row r="185" spans="8:9" x14ac:dyDescent="0.25">
      <c r="H185" s="8">
        <v>182</v>
      </c>
      <c r="I185" s="7" t="s">
        <v>248</v>
      </c>
    </row>
    <row r="186" spans="8:9" x14ac:dyDescent="0.25">
      <c r="H186" s="8">
        <v>183</v>
      </c>
      <c r="I186" s="7" t="s">
        <v>249</v>
      </c>
    </row>
    <row r="187" spans="8:9" x14ac:dyDescent="0.25">
      <c r="H187" s="8">
        <v>184</v>
      </c>
      <c r="I187" s="7" t="s">
        <v>250</v>
      </c>
    </row>
    <row r="188" spans="8:9" x14ac:dyDescent="0.25">
      <c r="H188" s="8">
        <v>185</v>
      </c>
      <c r="I188" s="7" t="s">
        <v>251</v>
      </c>
    </row>
    <row r="189" spans="8:9" x14ac:dyDescent="0.25">
      <c r="H189" s="8">
        <v>186</v>
      </c>
      <c r="I189" s="7" t="s">
        <v>252</v>
      </c>
    </row>
    <row r="190" spans="8:9" x14ac:dyDescent="0.25">
      <c r="H190" s="8">
        <v>187</v>
      </c>
      <c r="I190" s="7" t="s">
        <v>253</v>
      </c>
    </row>
    <row r="191" spans="8:9" x14ac:dyDescent="0.25">
      <c r="H191" s="8">
        <v>188</v>
      </c>
      <c r="I191" s="7" t="s">
        <v>254</v>
      </c>
    </row>
    <row r="192" spans="8:9" x14ac:dyDescent="0.25">
      <c r="H192" s="8">
        <v>189</v>
      </c>
      <c r="I192" s="7" t="s">
        <v>255</v>
      </c>
    </row>
    <row r="193" spans="8:9" x14ac:dyDescent="0.25">
      <c r="H193" s="8">
        <v>190</v>
      </c>
      <c r="I193" s="7" t="s">
        <v>256</v>
      </c>
    </row>
    <row r="194" spans="8:9" x14ac:dyDescent="0.25">
      <c r="H194" s="8">
        <v>191</v>
      </c>
      <c r="I194" s="7" t="s">
        <v>257</v>
      </c>
    </row>
    <row r="195" spans="8:9" x14ac:dyDescent="0.25">
      <c r="H195" s="8">
        <v>192</v>
      </c>
      <c r="I195" s="7" t="s">
        <v>258</v>
      </c>
    </row>
    <row r="196" spans="8:9" x14ac:dyDescent="0.25">
      <c r="H196" s="8">
        <v>193</v>
      </c>
      <c r="I196" s="7" t="s">
        <v>259</v>
      </c>
    </row>
    <row r="197" spans="8:9" x14ac:dyDescent="0.25">
      <c r="H197" s="8">
        <v>194</v>
      </c>
      <c r="I197" s="7" t="s">
        <v>260</v>
      </c>
    </row>
    <row r="198" spans="8:9" x14ac:dyDescent="0.25">
      <c r="H198" s="8">
        <v>195</v>
      </c>
      <c r="I198" s="7" t="s">
        <v>261</v>
      </c>
    </row>
    <row r="199" spans="8:9" x14ac:dyDescent="0.25">
      <c r="H199" s="8">
        <v>196</v>
      </c>
      <c r="I199" s="7" t="s">
        <v>262</v>
      </c>
    </row>
    <row r="200" spans="8:9" x14ac:dyDescent="0.25">
      <c r="H200" s="8">
        <v>197</v>
      </c>
      <c r="I200" s="7" t="s">
        <v>263</v>
      </c>
    </row>
    <row r="201" spans="8:9" x14ac:dyDescent="0.25">
      <c r="H201" s="8">
        <v>198</v>
      </c>
      <c r="I201" s="7" t="s">
        <v>264</v>
      </c>
    </row>
    <row r="202" spans="8:9" x14ac:dyDescent="0.25">
      <c r="H202" s="8">
        <v>199</v>
      </c>
      <c r="I202" s="7" t="s">
        <v>265</v>
      </c>
    </row>
    <row r="203" spans="8:9" x14ac:dyDescent="0.25">
      <c r="H203" s="8">
        <v>200</v>
      </c>
      <c r="I203" s="7" t="s">
        <v>266</v>
      </c>
    </row>
    <row r="204" spans="8:9" x14ac:dyDescent="0.25">
      <c r="H204" s="8">
        <v>201</v>
      </c>
      <c r="I204" s="7" t="s">
        <v>267</v>
      </c>
    </row>
    <row r="205" spans="8:9" x14ac:dyDescent="0.25">
      <c r="H205" s="8">
        <v>202</v>
      </c>
      <c r="I205" s="7" t="s">
        <v>268</v>
      </c>
    </row>
    <row r="206" spans="8:9" x14ac:dyDescent="0.25">
      <c r="H206" s="8">
        <v>203</v>
      </c>
      <c r="I206" s="7" t="s">
        <v>269</v>
      </c>
    </row>
    <row r="207" spans="8:9" x14ac:dyDescent="0.25">
      <c r="H207" s="8">
        <v>204</v>
      </c>
      <c r="I207" s="7" t="s">
        <v>270</v>
      </c>
    </row>
    <row r="208" spans="8:9" x14ac:dyDescent="0.25">
      <c r="H208" s="8">
        <v>205</v>
      </c>
      <c r="I208" s="7" t="s">
        <v>271</v>
      </c>
    </row>
    <row r="209" spans="8:9" x14ac:dyDescent="0.25">
      <c r="H209" s="8">
        <v>206</v>
      </c>
      <c r="I209" s="7" t="s">
        <v>272</v>
      </c>
    </row>
    <row r="210" spans="8:9" x14ac:dyDescent="0.25">
      <c r="H210" s="8">
        <v>207</v>
      </c>
      <c r="I210" s="7" t="s">
        <v>273</v>
      </c>
    </row>
    <row r="211" spans="8:9" x14ac:dyDescent="0.25">
      <c r="H211" s="8">
        <v>208</v>
      </c>
      <c r="I211" s="7" t="s">
        <v>274</v>
      </c>
    </row>
    <row r="212" spans="8:9" x14ac:dyDescent="0.25">
      <c r="H212" s="8">
        <v>209</v>
      </c>
      <c r="I212" s="7" t="s">
        <v>275</v>
      </c>
    </row>
    <row r="213" spans="8:9" x14ac:dyDescent="0.25">
      <c r="H213" s="8">
        <v>210</v>
      </c>
      <c r="I213" s="7" t="s">
        <v>276</v>
      </c>
    </row>
    <row r="214" spans="8:9" x14ac:dyDescent="0.25">
      <c r="H214" s="8">
        <v>211</v>
      </c>
      <c r="I214" s="7" t="s">
        <v>277</v>
      </c>
    </row>
    <row r="215" spans="8:9" x14ac:dyDescent="0.25">
      <c r="H215" s="8">
        <v>212</v>
      </c>
      <c r="I215" s="7" t="s">
        <v>278</v>
      </c>
    </row>
    <row r="216" spans="8:9" x14ac:dyDescent="0.25">
      <c r="H216" s="8">
        <v>213</v>
      </c>
      <c r="I216" s="7" t="s">
        <v>279</v>
      </c>
    </row>
    <row r="217" spans="8:9" x14ac:dyDescent="0.25">
      <c r="H217" s="8">
        <v>214</v>
      </c>
      <c r="I217" s="7" t="s">
        <v>280</v>
      </c>
    </row>
    <row r="218" spans="8:9" x14ac:dyDescent="0.25">
      <c r="H218" s="8">
        <v>215</v>
      </c>
      <c r="I218" s="7" t="s">
        <v>281</v>
      </c>
    </row>
    <row r="219" spans="8:9" x14ac:dyDescent="0.25">
      <c r="H219" s="8">
        <v>216</v>
      </c>
      <c r="I219" s="7" t="s">
        <v>282</v>
      </c>
    </row>
    <row r="220" spans="8:9" x14ac:dyDescent="0.25">
      <c r="H220" s="8">
        <v>217</v>
      </c>
      <c r="I220" s="7" t="s">
        <v>283</v>
      </c>
    </row>
    <row r="221" spans="8:9" x14ac:dyDescent="0.25">
      <c r="H221" s="8">
        <v>218</v>
      </c>
      <c r="I221" s="7" t="s">
        <v>284</v>
      </c>
    </row>
    <row r="222" spans="8:9" x14ac:dyDescent="0.25">
      <c r="H222" s="8">
        <v>219</v>
      </c>
      <c r="I222" s="7" t="s">
        <v>285</v>
      </c>
    </row>
    <row r="223" spans="8:9" x14ac:dyDescent="0.25">
      <c r="H223" s="8">
        <v>220</v>
      </c>
      <c r="I223" s="7" t="s">
        <v>286</v>
      </c>
    </row>
    <row r="224" spans="8:9" x14ac:dyDescent="0.25">
      <c r="H224" s="8">
        <v>221</v>
      </c>
      <c r="I224" s="7" t="s">
        <v>287</v>
      </c>
    </row>
    <row r="225" spans="8:9" x14ac:dyDescent="0.25">
      <c r="H225" s="8">
        <v>222</v>
      </c>
      <c r="I225" s="7" t="s">
        <v>288</v>
      </c>
    </row>
    <row r="226" spans="8:9" x14ac:dyDescent="0.25">
      <c r="H226" s="8">
        <v>223</v>
      </c>
      <c r="I226" s="7" t="s">
        <v>289</v>
      </c>
    </row>
    <row r="227" spans="8:9" x14ac:dyDescent="0.25">
      <c r="H227" s="8">
        <v>224</v>
      </c>
      <c r="I227" s="7" t="s">
        <v>290</v>
      </c>
    </row>
    <row r="228" spans="8:9" x14ac:dyDescent="0.25">
      <c r="H228" s="8">
        <v>225</v>
      </c>
      <c r="I228" s="7" t="s">
        <v>291</v>
      </c>
    </row>
    <row r="229" spans="8:9" x14ac:dyDescent="0.25">
      <c r="H229" s="8">
        <v>226</v>
      </c>
      <c r="I229" s="7" t="s">
        <v>292</v>
      </c>
    </row>
    <row r="230" spans="8:9" x14ac:dyDescent="0.25">
      <c r="H230" s="8">
        <v>227</v>
      </c>
      <c r="I230" s="7" t="s">
        <v>293</v>
      </c>
    </row>
    <row r="231" spans="8:9" x14ac:dyDescent="0.25">
      <c r="H231" s="8">
        <v>228</v>
      </c>
      <c r="I231" s="7" t="s">
        <v>294</v>
      </c>
    </row>
    <row r="232" spans="8:9" x14ac:dyDescent="0.25">
      <c r="H232" s="8">
        <v>229</v>
      </c>
      <c r="I232" s="7" t="s">
        <v>295</v>
      </c>
    </row>
    <row r="233" spans="8:9" x14ac:dyDescent="0.25">
      <c r="H233" s="8">
        <v>230</v>
      </c>
      <c r="I233" s="7" t="s">
        <v>296</v>
      </c>
    </row>
    <row r="234" spans="8:9" x14ac:dyDescent="0.25">
      <c r="H234" s="8">
        <v>231</v>
      </c>
      <c r="I234" s="7" t="s">
        <v>297</v>
      </c>
    </row>
    <row r="235" spans="8:9" x14ac:dyDescent="0.25">
      <c r="H235" s="8">
        <v>232</v>
      </c>
      <c r="I235" s="7" t="s">
        <v>298</v>
      </c>
    </row>
    <row r="236" spans="8:9" x14ac:dyDescent="0.25">
      <c r="H236" s="8">
        <v>233</v>
      </c>
      <c r="I236" s="7" t="s">
        <v>299</v>
      </c>
    </row>
    <row r="237" spans="8:9" x14ac:dyDescent="0.25">
      <c r="H237" s="8">
        <v>234</v>
      </c>
      <c r="I237" s="7" t="s">
        <v>300</v>
      </c>
    </row>
    <row r="238" spans="8:9" x14ac:dyDescent="0.25">
      <c r="H238" s="8">
        <v>235</v>
      </c>
      <c r="I238" s="7" t="s">
        <v>301</v>
      </c>
    </row>
    <row r="239" spans="8:9" x14ac:dyDescent="0.25">
      <c r="H239" s="8">
        <v>236</v>
      </c>
      <c r="I239" s="7" t="s">
        <v>302</v>
      </c>
    </row>
    <row r="240" spans="8:9" x14ac:dyDescent="0.25">
      <c r="H240" s="8">
        <v>237</v>
      </c>
      <c r="I240" s="7" t="s">
        <v>303</v>
      </c>
    </row>
    <row r="241" spans="8:9" x14ac:dyDescent="0.25">
      <c r="H241" s="8">
        <v>238</v>
      </c>
      <c r="I241" s="7" t="s">
        <v>304</v>
      </c>
    </row>
    <row r="242" spans="8:9" x14ac:dyDescent="0.25">
      <c r="H242" s="8">
        <v>239</v>
      </c>
      <c r="I242" s="7" t="s">
        <v>305</v>
      </c>
    </row>
    <row r="243" spans="8:9" x14ac:dyDescent="0.25">
      <c r="H243" s="8">
        <v>240</v>
      </c>
      <c r="I243" s="7" t="s">
        <v>306</v>
      </c>
    </row>
    <row r="244" spans="8:9" x14ac:dyDescent="0.25">
      <c r="H244" s="8">
        <v>241</v>
      </c>
      <c r="I244" s="7" t="s">
        <v>307</v>
      </c>
    </row>
    <row r="245" spans="8:9" x14ac:dyDescent="0.25">
      <c r="H245" s="8">
        <v>242</v>
      </c>
      <c r="I245" s="7" t="s">
        <v>308</v>
      </c>
    </row>
    <row r="246" spans="8:9" x14ac:dyDescent="0.25">
      <c r="H246" s="8">
        <v>243</v>
      </c>
      <c r="I246" s="7" t="s">
        <v>309</v>
      </c>
    </row>
    <row r="247" spans="8:9" x14ac:dyDescent="0.25">
      <c r="H247" s="8">
        <v>244</v>
      </c>
      <c r="I247" s="7" t="s">
        <v>310</v>
      </c>
    </row>
    <row r="248" spans="8:9" x14ac:dyDescent="0.25">
      <c r="H248" s="8">
        <v>245</v>
      </c>
      <c r="I248" s="7" t="s">
        <v>311</v>
      </c>
    </row>
    <row r="249" spans="8:9" x14ac:dyDescent="0.25">
      <c r="H249" s="8">
        <v>246</v>
      </c>
      <c r="I249" s="7" t="s">
        <v>312</v>
      </c>
    </row>
    <row r="250" spans="8:9" x14ac:dyDescent="0.25">
      <c r="H250" s="8">
        <v>247</v>
      </c>
      <c r="I250" s="7" t="s">
        <v>313</v>
      </c>
    </row>
    <row r="251" spans="8:9" x14ac:dyDescent="0.25">
      <c r="H251" s="8">
        <v>248</v>
      </c>
      <c r="I251" s="7" t="s">
        <v>314</v>
      </c>
    </row>
    <row r="252" spans="8:9" x14ac:dyDescent="0.25">
      <c r="H252" s="8">
        <v>249</v>
      </c>
      <c r="I252" s="7" t="s">
        <v>315</v>
      </c>
    </row>
    <row r="253" spans="8:9" x14ac:dyDescent="0.25">
      <c r="H253" s="8">
        <v>250</v>
      </c>
      <c r="I253" s="7" t="s">
        <v>316</v>
      </c>
    </row>
    <row r="254" spans="8:9" x14ac:dyDescent="0.25">
      <c r="H254" s="8">
        <v>251</v>
      </c>
      <c r="I254" s="7" t="s">
        <v>317</v>
      </c>
    </row>
    <row r="255" spans="8:9" x14ac:dyDescent="0.25">
      <c r="H255" s="8">
        <v>252</v>
      </c>
      <c r="I255" s="7" t="s">
        <v>318</v>
      </c>
    </row>
    <row r="256" spans="8:9" x14ac:dyDescent="0.25">
      <c r="H256" s="8">
        <v>253</v>
      </c>
      <c r="I256" s="7" t="s">
        <v>319</v>
      </c>
    </row>
    <row r="257" spans="8:9" x14ac:dyDescent="0.25">
      <c r="H257" s="8">
        <v>254</v>
      </c>
      <c r="I257" s="7" t="s">
        <v>320</v>
      </c>
    </row>
    <row r="258" spans="8:9" x14ac:dyDescent="0.25">
      <c r="H258" s="8">
        <v>255</v>
      </c>
      <c r="I258" s="7" t="s">
        <v>321</v>
      </c>
    </row>
    <row r="259" spans="8:9" x14ac:dyDescent="0.25">
      <c r="H259" s="8">
        <v>256</v>
      </c>
      <c r="I259" s="7" t="s">
        <v>322</v>
      </c>
    </row>
    <row r="260" spans="8:9" x14ac:dyDescent="0.25">
      <c r="H260" s="8">
        <v>257</v>
      </c>
      <c r="I260" s="7" t="s">
        <v>323</v>
      </c>
    </row>
    <row r="261" spans="8:9" x14ac:dyDescent="0.25">
      <c r="H261" s="8">
        <v>258</v>
      </c>
      <c r="I261" s="7" t="s">
        <v>324</v>
      </c>
    </row>
    <row r="262" spans="8:9" x14ac:dyDescent="0.25">
      <c r="H262" s="8">
        <v>259</v>
      </c>
      <c r="I262" s="7" t="s">
        <v>325</v>
      </c>
    </row>
    <row r="263" spans="8:9" x14ac:dyDescent="0.25">
      <c r="H263" s="8">
        <v>260</v>
      </c>
      <c r="I263" s="7" t="s">
        <v>326</v>
      </c>
    </row>
    <row r="264" spans="8:9" x14ac:dyDescent="0.25">
      <c r="H264" s="8">
        <v>261</v>
      </c>
      <c r="I264" s="7" t="s">
        <v>327</v>
      </c>
    </row>
    <row r="265" spans="8:9" x14ac:dyDescent="0.25">
      <c r="H265" s="8">
        <v>262</v>
      </c>
      <c r="I265" s="7" t="s">
        <v>328</v>
      </c>
    </row>
    <row r="266" spans="8:9" x14ac:dyDescent="0.25">
      <c r="H266" s="8">
        <v>263</v>
      </c>
      <c r="I266" s="7" t="s">
        <v>329</v>
      </c>
    </row>
    <row r="267" spans="8:9" x14ac:dyDescent="0.25">
      <c r="H267" s="8">
        <v>264</v>
      </c>
      <c r="I267" s="7" t="s">
        <v>330</v>
      </c>
    </row>
    <row r="268" spans="8:9" x14ac:dyDescent="0.25">
      <c r="H268" s="8">
        <v>265</v>
      </c>
      <c r="I268" s="7" t="s">
        <v>331</v>
      </c>
    </row>
    <row r="269" spans="8:9" x14ac:dyDescent="0.25">
      <c r="H269" s="8">
        <v>266</v>
      </c>
      <c r="I269" s="7" t="s">
        <v>332</v>
      </c>
    </row>
    <row r="270" spans="8:9" x14ac:dyDescent="0.25">
      <c r="H270" s="8">
        <v>267</v>
      </c>
      <c r="I270" s="7" t="s">
        <v>333</v>
      </c>
    </row>
    <row r="271" spans="8:9" x14ac:dyDescent="0.25">
      <c r="H271" s="8">
        <v>268</v>
      </c>
      <c r="I271" s="7" t="s">
        <v>334</v>
      </c>
    </row>
    <row r="272" spans="8:9" x14ac:dyDescent="0.25">
      <c r="H272" s="8">
        <v>269</v>
      </c>
      <c r="I272" s="7" t="s">
        <v>335</v>
      </c>
    </row>
    <row r="273" spans="8:9" x14ac:dyDescent="0.25">
      <c r="H273" s="8">
        <v>270</v>
      </c>
      <c r="I273" s="7" t="s">
        <v>336</v>
      </c>
    </row>
    <row r="274" spans="8:9" x14ac:dyDescent="0.25">
      <c r="H274" s="8">
        <v>271</v>
      </c>
      <c r="I274" s="7" t="s">
        <v>337</v>
      </c>
    </row>
    <row r="275" spans="8:9" x14ac:dyDescent="0.25">
      <c r="H275" s="8">
        <v>272</v>
      </c>
      <c r="I275" s="7" t="s">
        <v>338</v>
      </c>
    </row>
    <row r="276" spans="8:9" x14ac:dyDescent="0.25">
      <c r="H276" s="8">
        <v>273</v>
      </c>
      <c r="I276" s="7" t="s">
        <v>339</v>
      </c>
    </row>
    <row r="277" spans="8:9" x14ac:dyDescent="0.25">
      <c r="H277" s="8">
        <v>274</v>
      </c>
      <c r="I277" s="7" t="s">
        <v>340</v>
      </c>
    </row>
    <row r="278" spans="8:9" x14ac:dyDescent="0.25">
      <c r="H278" s="8">
        <v>275</v>
      </c>
      <c r="I278" s="7" t="s">
        <v>341</v>
      </c>
    </row>
    <row r="279" spans="8:9" x14ac:dyDescent="0.25">
      <c r="H279" s="8">
        <v>276</v>
      </c>
      <c r="I279" s="7" t="s">
        <v>342</v>
      </c>
    </row>
    <row r="280" spans="8:9" x14ac:dyDescent="0.25">
      <c r="H280" s="8">
        <v>277</v>
      </c>
      <c r="I280" s="7" t="s">
        <v>343</v>
      </c>
    </row>
    <row r="281" spans="8:9" x14ac:dyDescent="0.25">
      <c r="H281" s="8">
        <v>278</v>
      </c>
      <c r="I281" s="7" t="s">
        <v>344</v>
      </c>
    </row>
    <row r="282" spans="8:9" x14ac:dyDescent="0.25">
      <c r="H282" s="8">
        <v>279</v>
      </c>
      <c r="I282" s="7" t="s">
        <v>345</v>
      </c>
    </row>
    <row r="283" spans="8:9" x14ac:dyDescent="0.25">
      <c r="H283" s="8">
        <v>280</v>
      </c>
      <c r="I283" s="7" t="s">
        <v>346</v>
      </c>
    </row>
    <row r="284" spans="8:9" x14ac:dyDescent="0.25">
      <c r="H284" s="8">
        <v>281</v>
      </c>
      <c r="I284" s="7" t="s">
        <v>347</v>
      </c>
    </row>
    <row r="285" spans="8:9" x14ac:dyDescent="0.25">
      <c r="H285" s="8">
        <v>282</v>
      </c>
      <c r="I285" s="7" t="s">
        <v>348</v>
      </c>
    </row>
    <row r="286" spans="8:9" x14ac:dyDescent="0.25">
      <c r="H286" s="8">
        <v>283</v>
      </c>
      <c r="I286" s="7" t="s">
        <v>349</v>
      </c>
    </row>
    <row r="287" spans="8:9" x14ac:dyDescent="0.25">
      <c r="H287" s="8">
        <v>284</v>
      </c>
      <c r="I287" s="7" t="s">
        <v>350</v>
      </c>
    </row>
    <row r="288" spans="8:9" x14ac:dyDescent="0.25">
      <c r="H288" s="8">
        <v>285</v>
      </c>
      <c r="I288" s="7" t="s">
        <v>351</v>
      </c>
    </row>
    <row r="289" spans="8:9" x14ac:dyDescent="0.25">
      <c r="H289" s="8">
        <v>286</v>
      </c>
      <c r="I289" s="7" t="s">
        <v>352</v>
      </c>
    </row>
    <row r="290" spans="8:9" x14ac:dyDescent="0.25">
      <c r="H290" s="8">
        <v>287</v>
      </c>
      <c r="I290" s="7" t="s">
        <v>353</v>
      </c>
    </row>
    <row r="291" spans="8:9" x14ac:dyDescent="0.25">
      <c r="H291" s="8">
        <v>288</v>
      </c>
      <c r="I291" s="7" t="s">
        <v>354</v>
      </c>
    </row>
    <row r="292" spans="8:9" x14ac:dyDescent="0.25">
      <c r="H292" s="8">
        <v>289</v>
      </c>
      <c r="I292" s="7" t="s">
        <v>355</v>
      </c>
    </row>
    <row r="293" spans="8:9" x14ac:dyDescent="0.25">
      <c r="H293" s="8">
        <v>290</v>
      </c>
      <c r="I293" s="7" t="s">
        <v>356</v>
      </c>
    </row>
    <row r="294" spans="8:9" x14ac:dyDescent="0.25">
      <c r="H294" s="8">
        <v>291</v>
      </c>
      <c r="I294" s="7" t="s">
        <v>357</v>
      </c>
    </row>
    <row r="295" spans="8:9" x14ac:dyDescent="0.25">
      <c r="H295" s="8">
        <v>292</v>
      </c>
      <c r="I295" s="7" t="s">
        <v>358</v>
      </c>
    </row>
    <row r="296" spans="8:9" x14ac:dyDescent="0.25">
      <c r="H296" s="8">
        <v>293</v>
      </c>
      <c r="I296" s="7" t="s">
        <v>359</v>
      </c>
    </row>
    <row r="297" spans="8:9" x14ac:dyDescent="0.25">
      <c r="H297" s="8">
        <v>294</v>
      </c>
      <c r="I297" s="7" t="s">
        <v>360</v>
      </c>
    </row>
    <row r="298" spans="8:9" x14ac:dyDescent="0.25">
      <c r="H298" s="8">
        <v>295</v>
      </c>
      <c r="I298" s="7" t="s">
        <v>361</v>
      </c>
    </row>
    <row r="299" spans="8:9" x14ac:dyDescent="0.25">
      <c r="H299" s="8">
        <v>296</v>
      </c>
      <c r="I299" s="7" t="s">
        <v>362</v>
      </c>
    </row>
    <row r="300" spans="8:9" x14ac:dyDescent="0.25">
      <c r="H300" s="8">
        <v>297</v>
      </c>
      <c r="I300" s="7" t="s">
        <v>363</v>
      </c>
    </row>
    <row r="301" spans="8:9" x14ac:dyDescent="0.25">
      <c r="H301" s="8">
        <v>298</v>
      </c>
      <c r="I301" s="7" t="s">
        <v>364</v>
      </c>
    </row>
    <row r="302" spans="8:9" x14ac:dyDescent="0.25">
      <c r="H302" s="8">
        <v>299</v>
      </c>
      <c r="I302" s="7" t="s">
        <v>365</v>
      </c>
    </row>
    <row r="303" spans="8:9" x14ac:dyDescent="0.25">
      <c r="H303" s="8">
        <v>300</v>
      </c>
      <c r="I303" s="7" t="s">
        <v>366</v>
      </c>
    </row>
    <row r="304" spans="8:9" x14ac:dyDescent="0.25">
      <c r="H304" s="8">
        <v>301</v>
      </c>
      <c r="I304" s="7" t="s">
        <v>367</v>
      </c>
    </row>
    <row r="305" spans="8:9" x14ac:dyDescent="0.25">
      <c r="H305" s="8">
        <v>302</v>
      </c>
      <c r="I305" s="7" t="s">
        <v>368</v>
      </c>
    </row>
    <row r="306" spans="8:9" x14ac:dyDescent="0.25">
      <c r="H306" s="8">
        <v>303</v>
      </c>
      <c r="I306" s="7" t="s">
        <v>369</v>
      </c>
    </row>
    <row r="307" spans="8:9" x14ac:dyDescent="0.25">
      <c r="H307" s="8">
        <v>304</v>
      </c>
      <c r="I307" s="7" t="s">
        <v>370</v>
      </c>
    </row>
    <row r="308" spans="8:9" x14ac:dyDescent="0.25">
      <c r="H308" s="8">
        <v>305</v>
      </c>
      <c r="I308" s="7" t="s">
        <v>371</v>
      </c>
    </row>
    <row r="309" spans="8:9" x14ac:dyDescent="0.25">
      <c r="H309" s="8">
        <v>306</v>
      </c>
      <c r="I309" s="7" t="s">
        <v>372</v>
      </c>
    </row>
    <row r="310" spans="8:9" x14ac:dyDescent="0.25">
      <c r="H310" s="8">
        <v>307</v>
      </c>
      <c r="I310" s="7" t="s">
        <v>373</v>
      </c>
    </row>
    <row r="311" spans="8:9" x14ac:dyDescent="0.25">
      <c r="H311" s="8">
        <v>308</v>
      </c>
      <c r="I311" s="7" t="s">
        <v>374</v>
      </c>
    </row>
    <row r="312" spans="8:9" x14ac:dyDescent="0.25">
      <c r="H312" s="8">
        <v>309</v>
      </c>
      <c r="I312" s="7" t="s">
        <v>375</v>
      </c>
    </row>
    <row r="313" spans="8:9" x14ac:dyDescent="0.25">
      <c r="H313" s="8">
        <v>310</v>
      </c>
      <c r="I313" s="7" t="s">
        <v>376</v>
      </c>
    </row>
    <row r="314" spans="8:9" x14ac:dyDescent="0.25">
      <c r="H314" s="8">
        <v>311</v>
      </c>
      <c r="I314" s="7" t="s">
        <v>377</v>
      </c>
    </row>
    <row r="315" spans="8:9" x14ac:dyDescent="0.25">
      <c r="H315" s="8">
        <v>312</v>
      </c>
      <c r="I315" s="7" t="s">
        <v>378</v>
      </c>
    </row>
    <row r="316" spans="8:9" x14ac:dyDescent="0.25">
      <c r="H316" s="8">
        <v>313</v>
      </c>
      <c r="I316" s="7" t="s">
        <v>379</v>
      </c>
    </row>
    <row r="317" spans="8:9" x14ac:dyDescent="0.25">
      <c r="H317" s="8">
        <v>314</v>
      </c>
      <c r="I317" s="7" t="s">
        <v>380</v>
      </c>
    </row>
    <row r="318" spans="8:9" x14ac:dyDescent="0.25">
      <c r="H318" s="8">
        <v>315</v>
      </c>
      <c r="I318" s="7" t="s">
        <v>381</v>
      </c>
    </row>
    <row r="319" spans="8:9" x14ac:dyDescent="0.25">
      <c r="H319" s="8">
        <v>316</v>
      </c>
      <c r="I319" s="7" t="s">
        <v>382</v>
      </c>
    </row>
    <row r="320" spans="8:9" x14ac:dyDescent="0.25">
      <c r="H320" s="8">
        <v>317</v>
      </c>
      <c r="I320" s="7" t="s">
        <v>383</v>
      </c>
    </row>
    <row r="321" spans="8:9" x14ac:dyDescent="0.25">
      <c r="H321" s="8">
        <v>318</v>
      </c>
      <c r="I321" s="7" t="s">
        <v>384</v>
      </c>
    </row>
    <row r="322" spans="8:9" x14ac:dyDescent="0.25">
      <c r="H322" s="8">
        <v>319</v>
      </c>
      <c r="I322" s="7" t="s">
        <v>385</v>
      </c>
    </row>
    <row r="323" spans="8:9" x14ac:dyDescent="0.25">
      <c r="H323" s="8">
        <v>320</v>
      </c>
      <c r="I323" s="7" t="s">
        <v>386</v>
      </c>
    </row>
    <row r="324" spans="8:9" x14ac:dyDescent="0.25">
      <c r="H324" s="8">
        <v>321</v>
      </c>
      <c r="I324" s="7" t="s">
        <v>387</v>
      </c>
    </row>
    <row r="325" spans="8:9" x14ac:dyDescent="0.25">
      <c r="H325" s="8">
        <v>322</v>
      </c>
      <c r="I325" s="7" t="s">
        <v>388</v>
      </c>
    </row>
    <row r="326" spans="8:9" x14ac:dyDescent="0.25">
      <c r="H326" s="8">
        <v>323</v>
      </c>
      <c r="I326" s="7" t="s">
        <v>389</v>
      </c>
    </row>
    <row r="327" spans="8:9" x14ac:dyDescent="0.25">
      <c r="H327" s="8">
        <v>324</v>
      </c>
      <c r="I327" s="7" t="s">
        <v>390</v>
      </c>
    </row>
    <row r="328" spans="8:9" x14ac:dyDescent="0.25">
      <c r="H328" s="8">
        <v>325</v>
      </c>
      <c r="I328" s="7" t="s">
        <v>391</v>
      </c>
    </row>
    <row r="329" spans="8:9" x14ac:dyDescent="0.25">
      <c r="H329" s="8">
        <v>326</v>
      </c>
      <c r="I329" s="7" t="s">
        <v>392</v>
      </c>
    </row>
    <row r="330" spans="8:9" x14ac:dyDescent="0.25">
      <c r="H330" s="8">
        <v>327</v>
      </c>
      <c r="I330" s="7" t="s">
        <v>393</v>
      </c>
    </row>
    <row r="331" spans="8:9" x14ac:dyDescent="0.25">
      <c r="H331" s="8">
        <v>328</v>
      </c>
      <c r="I331" s="7" t="s">
        <v>394</v>
      </c>
    </row>
    <row r="332" spans="8:9" x14ac:dyDescent="0.25">
      <c r="H332" s="8">
        <v>329</v>
      </c>
      <c r="I332" s="7" t="s">
        <v>395</v>
      </c>
    </row>
    <row r="333" spans="8:9" x14ac:dyDescent="0.25">
      <c r="H333" s="8">
        <v>330</v>
      </c>
      <c r="I333" s="7" t="s">
        <v>396</v>
      </c>
    </row>
    <row r="334" spans="8:9" x14ac:dyDescent="0.25">
      <c r="H334" s="8">
        <v>331</v>
      </c>
      <c r="I334" s="7" t="s">
        <v>397</v>
      </c>
    </row>
    <row r="335" spans="8:9" x14ac:dyDescent="0.25">
      <c r="H335" s="8">
        <v>332</v>
      </c>
      <c r="I335" s="7" t="s">
        <v>398</v>
      </c>
    </row>
    <row r="336" spans="8:9" x14ac:dyDescent="0.25">
      <c r="H336" s="8">
        <v>333</v>
      </c>
      <c r="I336" s="7" t="s">
        <v>399</v>
      </c>
    </row>
    <row r="337" spans="8:9" x14ac:dyDescent="0.25">
      <c r="H337" s="8">
        <v>334</v>
      </c>
      <c r="I337" s="7" t="s">
        <v>400</v>
      </c>
    </row>
    <row r="338" spans="8:9" x14ac:dyDescent="0.25">
      <c r="H338" s="8">
        <v>335</v>
      </c>
      <c r="I338" s="7" t="s">
        <v>401</v>
      </c>
    </row>
    <row r="339" spans="8:9" x14ac:dyDescent="0.25">
      <c r="H339" s="8">
        <v>336</v>
      </c>
      <c r="I339" s="7" t="s">
        <v>402</v>
      </c>
    </row>
    <row r="340" spans="8:9" x14ac:dyDescent="0.25">
      <c r="H340" s="8">
        <v>337</v>
      </c>
      <c r="I340" s="7" t="s">
        <v>403</v>
      </c>
    </row>
    <row r="341" spans="8:9" x14ac:dyDescent="0.25">
      <c r="H341" s="8">
        <v>338</v>
      </c>
      <c r="I341" s="7" t="s">
        <v>404</v>
      </c>
    </row>
    <row r="342" spans="8:9" x14ac:dyDescent="0.25">
      <c r="H342" s="8">
        <v>339</v>
      </c>
      <c r="I342" s="7" t="s">
        <v>405</v>
      </c>
    </row>
    <row r="343" spans="8:9" x14ac:dyDescent="0.25">
      <c r="H343" s="8">
        <v>340</v>
      </c>
      <c r="I343" s="7" t="s">
        <v>406</v>
      </c>
    </row>
    <row r="344" spans="8:9" x14ac:dyDescent="0.25">
      <c r="H344" s="8">
        <v>341</v>
      </c>
      <c r="I344" s="7" t="s">
        <v>407</v>
      </c>
    </row>
    <row r="345" spans="8:9" x14ac:dyDescent="0.25">
      <c r="H345" s="8">
        <v>342</v>
      </c>
      <c r="I345" s="7" t="s">
        <v>408</v>
      </c>
    </row>
    <row r="346" spans="8:9" x14ac:dyDescent="0.25">
      <c r="H346" s="8">
        <v>343</v>
      </c>
      <c r="I346" s="7" t="s">
        <v>409</v>
      </c>
    </row>
    <row r="347" spans="8:9" x14ac:dyDescent="0.25">
      <c r="H347" s="8">
        <v>344</v>
      </c>
      <c r="I347" s="7" t="s">
        <v>410</v>
      </c>
    </row>
    <row r="348" spans="8:9" x14ac:dyDescent="0.25">
      <c r="H348" s="8">
        <v>345</v>
      </c>
      <c r="I348" s="7" t="s">
        <v>411</v>
      </c>
    </row>
    <row r="349" spans="8:9" x14ac:dyDescent="0.25">
      <c r="H349" s="8">
        <v>346</v>
      </c>
      <c r="I349" s="7" t="s">
        <v>412</v>
      </c>
    </row>
    <row r="350" spans="8:9" x14ac:dyDescent="0.25">
      <c r="H350" s="8">
        <v>347</v>
      </c>
      <c r="I350" s="7" t="s">
        <v>413</v>
      </c>
    </row>
    <row r="351" spans="8:9" x14ac:dyDescent="0.25">
      <c r="H351" s="8">
        <v>348</v>
      </c>
      <c r="I351" s="7" t="s">
        <v>414</v>
      </c>
    </row>
    <row r="352" spans="8:9" x14ac:dyDescent="0.25">
      <c r="H352" s="8">
        <v>349</v>
      </c>
      <c r="I352" s="7" t="s">
        <v>415</v>
      </c>
    </row>
    <row r="353" spans="8:9" x14ac:dyDescent="0.25">
      <c r="H353" s="8">
        <v>350</v>
      </c>
      <c r="I353" s="7" t="s">
        <v>416</v>
      </c>
    </row>
    <row r="354" spans="8:9" x14ac:dyDescent="0.25">
      <c r="H354" s="8">
        <v>351</v>
      </c>
      <c r="I354" s="7" t="s">
        <v>417</v>
      </c>
    </row>
    <row r="355" spans="8:9" x14ac:dyDescent="0.25">
      <c r="H355" s="8">
        <v>352</v>
      </c>
      <c r="I355" s="7" t="s">
        <v>418</v>
      </c>
    </row>
    <row r="356" spans="8:9" x14ac:dyDescent="0.25">
      <c r="H356" s="8">
        <v>353</v>
      </c>
      <c r="I356" s="7" t="s">
        <v>419</v>
      </c>
    </row>
    <row r="357" spans="8:9" x14ac:dyDescent="0.25">
      <c r="H357" s="8">
        <v>354</v>
      </c>
      <c r="I357" s="7" t="s">
        <v>420</v>
      </c>
    </row>
    <row r="358" spans="8:9" x14ac:dyDescent="0.25">
      <c r="H358" s="8">
        <v>355</v>
      </c>
      <c r="I358" s="7" t="s">
        <v>421</v>
      </c>
    </row>
    <row r="359" spans="8:9" x14ac:dyDescent="0.25">
      <c r="H359" s="8">
        <v>356</v>
      </c>
      <c r="I359" s="7" t="s">
        <v>422</v>
      </c>
    </row>
    <row r="360" spans="8:9" x14ac:dyDescent="0.25">
      <c r="H360" s="8">
        <v>357</v>
      </c>
      <c r="I360" s="7" t="s">
        <v>423</v>
      </c>
    </row>
    <row r="361" spans="8:9" x14ac:dyDescent="0.25">
      <c r="H361" s="8">
        <v>358</v>
      </c>
      <c r="I361" s="7" t="s">
        <v>424</v>
      </c>
    </row>
    <row r="362" spans="8:9" x14ac:dyDescent="0.25">
      <c r="H362" s="8">
        <v>359</v>
      </c>
      <c r="I362" s="7" t="s">
        <v>425</v>
      </c>
    </row>
    <row r="363" spans="8:9" x14ac:dyDescent="0.25">
      <c r="H363" s="8">
        <v>360</v>
      </c>
      <c r="I363" s="7" t="s">
        <v>426</v>
      </c>
    </row>
    <row r="364" spans="8:9" x14ac:dyDescent="0.25">
      <c r="H364" s="8">
        <v>361</v>
      </c>
      <c r="I364" s="7" t="s">
        <v>427</v>
      </c>
    </row>
    <row r="365" spans="8:9" x14ac:dyDescent="0.25">
      <c r="H365" s="8">
        <v>362</v>
      </c>
      <c r="I365" s="7" t="s">
        <v>428</v>
      </c>
    </row>
    <row r="366" spans="8:9" x14ac:dyDescent="0.25">
      <c r="H366" s="8">
        <v>363</v>
      </c>
      <c r="I366" s="7" t="s">
        <v>429</v>
      </c>
    </row>
    <row r="367" spans="8:9" x14ac:dyDescent="0.25">
      <c r="H367" s="8">
        <v>364</v>
      </c>
      <c r="I367" s="7" t="s">
        <v>430</v>
      </c>
    </row>
    <row r="368" spans="8:9" x14ac:dyDescent="0.25">
      <c r="H368" s="8">
        <v>365</v>
      </c>
      <c r="I368" s="7" t="s">
        <v>431</v>
      </c>
    </row>
    <row r="369" spans="8:9" x14ac:dyDescent="0.25">
      <c r="H369" s="8">
        <v>366</v>
      </c>
      <c r="I369" s="7" t="s">
        <v>432</v>
      </c>
    </row>
    <row r="370" spans="8:9" x14ac:dyDescent="0.25">
      <c r="H370" s="8">
        <v>367</v>
      </c>
      <c r="I370" s="7" t="s">
        <v>433</v>
      </c>
    </row>
    <row r="371" spans="8:9" x14ac:dyDescent="0.25">
      <c r="H371" s="8">
        <v>368</v>
      </c>
      <c r="I371" s="7" t="s">
        <v>434</v>
      </c>
    </row>
    <row r="372" spans="8:9" x14ac:dyDescent="0.25">
      <c r="H372" s="8">
        <v>369</v>
      </c>
      <c r="I372" s="7" t="s">
        <v>435</v>
      </c>
    </row>
    <row r="373" spans="8:9" x14ac:dyDescent="0.25">
      <c r="H373" s="8">
        <v>370</v>
      </c>
      <c r="I373" s="7" t="s">
        <v>436</v>
      </c>
    </row>
    <row r="374" spans="8:9" x14ac:dyDescent="0.25">
      <c r="H374" s="8">
        <v>371</v>
      </c>
      <c r="I374" s="7" t="s">
        <v>437</v>
      </c>
    </row>
    <row r="375" spans="8:9" x14ac:dyDescent="0.25">
      <c r="H375" s="8">
        <v>372</v>
      </c>
      <c r="I375" s="7" t="s">
        <v>438</v>
      </c>
    </row>
    <row r="376" spans="8:9" x14ac:dyDescent="0.25">
      <c r="H376" s="8">
        <v>373</v>
      </c>
      <c r="I376" s="7" t="s">
        <v>439</v>
      </c>
    </row>
    <row r="377" spans="8:9" x14ac:dyDescent="0.25">
      <c r="H377" s="8">
        <v>374</v>
      </c>
      <c r="I377" s="7" t="s">
        <v>440</v>
      </c>
    </row>
    <row r="378" spans="8:9" x14ac:dyDescent="0.25">
      <c r="H378" s="8">
        <v>375</v>
      </c>
      <c r="I378" s="7" t="s">
        <v>441</v>
      </c>
    </row>
    <row r="379" spans="8:9" x14ac:dyDescent="0.25">
      <c r="H379" s="8">
        <v>376</v>
      </c>
      <c r="I379" s="7" t="s">
        <v>442</v>
      </c>
    </row>
    <row r="380" spans="8:9" x14ac:dyDescent="0.25">
      <c r="H380" s="8">
        <v>377</v>
      </c>
      <c r="I380" s="7" t="s">
        <v>443</v>
      </c>
    </row>
    <row r="381" spans="8:9" x14ac:dyDescent="0.25">
      <c r="H381" s="8">
        <v>378</v>
      </c>
      <c r="I381" s="7" t="s">
        <v>444</v>
      </c>
    </row>
    <row r="382" spans="8:9" x14ac:dyDescent="0.25">
      <c r="H382" s="8">
        <v>379</v>
      </c>
      <c r="I382" s="7" t="s">
        <v>445</v>
      </c>
    </row>
    <row r="383" spans="8:9" x14ac:dyDescent="0.25">
      <c r="H383" s="8">
        <v>380</v>
      </c>
      <c r="I383" s="7" t="s">
        <v>446</v>
      </c>
    </row>
    <row r="384" spans="8:9" x14ac:dyDescent="0.25">
      <c r="H384" s="8">
        <v>381</v>
      </c>
      <c r="I384" s="7" t="s">
        <v>447</v>
      </c>
    </row>
    <row r="385" spans="8:9" x14ac:dyDescent="0.25">
      <c r="H385" s="8">
        <v>382</v>
      </c>
      <c r="I385" s="7" t="s">
        <v>448</v>
      </c>
    </row>
    <row r="386" spans="8:9" x14ac:dyDescent="0.25">
      <c r="H386" s="8">
        <v>383</v>
      </c>
      <c r="I386" s="7" t="s">
        <v>449</v>
      </c>
    </row>
    <row r="387" spans="8:9" x14ac:dyDescent="0.25">
      <c r="H387" s="8">
        <v>384</v>
      </c>
      <c r="I387" s="7" t="s">
        <v>450</v>
      </c>
    </row>
    <row r="388" spans="8:9" x14ac:dyDescent="0.25">
      <c r="H388" s="8">
        <v>385</v>
      </c>
      <c r="I388" s="7" t="s">
        <v>451</v>
      </c>
    </row>
    <row r="389" spans="8:9" x14ac:dyDescent="0.25">
      <c r="H389" s="8">
        <v>386</v>
      </c>
      <c r="I389" s="7" t="s">
        <v>452</v>
      </c>
    </row>
    <row r="390" spans="8:9" x14ac:dyDescent="0.25">
      <c r="H390" s="8">
        <v>387</v>
      </c>
      <c r="I390" s="7" t="s">
        <v>453</v>
      </c>
    </row>
    <row r="391" spans="8:9" x14ac:dyDescent="0.25">
      <c r="H391" s="8">
        <v>388</v>
      </c>
      <c r="I391" s="7" t="s">
        <v>454</v>
      </c>
    </row>
    <row r="392" spans="8:9" x14ac:dyDescent="0.25">
      <c r="H392" s="8">
        <v>389</v>
      </c>
      <c r="I392" s="7" t="s">
        <v>455</v>
      </c>
    </row>
    <row r="393" spans="8:9" x14ac:dyDescent="0.25">
      <c r="H393" s="8">
        <v>390</v>
      </c>
      <c r="I393" s="7" t="s">
        <v>456</v>
      </c>
    </row>
    <row r="394" spans="8:9" x14ac:dyDescent="0.25">
      <c r="H394" s="8">
        <v>391</v>
      </c>
      <c r="I394" s="7" t="s">
        <v>457</v>
      </c>
    </row>
    <row r="395" spans="8:9" x14ac:dyDescent="0.25">
      <c r="H395" s="8">
        <v>392</v>
      </c>
      <c r="I395" s="7" t="s">
        <v>458</v>
      </c>
    </row>
    <row r="396" spans="8:9" x14ac:dyDescent="0.25">
      <c r="H396" s="8">
        <v>393</v>
      </c>
      <c r="I396" s="7" t="s">
        <v>459</v>
      </c>
    </row>
    <row r="397" spans="8:9" x14ac:dyDescent="0.25">
      <c r="H397" s="8">
        <v>394</v>
      </c>
      <c r="I397" s="7" t="s">
        <v>460</v>
      </c>
    </row>
    <row r="398" spans="8:9" x14ac:dyDescent="0.25">
      <c r="H398" s="8">
        <v>395</v>
      </c>
      <c r="I398" s="7" t="s">
        <v>461</v>
      </c>
    </row>
    <row r="399" spans="8:9" x14ac:dyDescent="0.25">
      <c r="H399" s="8">
        <v>396</v>
      </c>
      <c r="I399" s="7" t="s">
        <v>462</v>
      </c>
    </row>
    <row r="400" spans="8:9" x14ac:dyDescent="0.25">
      <c r="H400" s="8">
        <v>397</v>
      </c>
      <c r="I400" s="7" t="s">
        <v>463</v>
      </c>
    </row>
    <row r="401" spans="8:9" x14ac:dyDescent="0.25">
      <c r="H401" s="8">
        <v>398</v>
      </c>
      <c r="I401" s="7" t="s">
        <v>464</v>
      </c>
    </row>
    <row r="402" spans="8:9" x14ac:dyDescent="0.25">
      <c r="H402" s="8">
        <v>399</v>
      </c>
      <c r="I402" s="7" t="s">
        <v>465</v>
      </c>
    </row>
    <row r="403" spans="8:9" x14ac:dyDescent="0.25">
      <c r="H403" s="8">
        <v>400</v>
      </c>
      <c r="I403" s="7" t="s">
        <v>466</v>
      </c>
    </row>
    <row r="404" spans="8:9" x14ac:dyDescent="0.25">
      <c r="H404" s="8">
        <v>401</v>
      </c>
      <c r="I404" s="7" t="s">
        <v>467</v>
      </c>
    </row>
    <row r="405" spans="8:9" x14ac:dyDescent="0.25">
      <c r="H405" s="8">
        <v>402</v>
      </c>
      <c r="I405" s="7" t="s">
        <v>468</v>
      </c>
    </row>
    <row r="406" spans="8:9" x14ac:dyDescent="0.25">
      <c r="H406" s="8">
        <v>403</v>
      </c>
      <c r="I406" s="7" t="s">
        <v>469</v>
      </c>
    </row>
    <row r="407" spans="8:9" x14ac:dyDescent="0.25">
      <c r="H407" s="8">
        <v>404</v>
      </c>
      <c r="I407" s="7" t="s">
        <v>470</v>
      </c>
    </row>
    <row r="408" spans="8:9" x14ac:dyDescent="0.25">
      <c r="H408" s="8">
        <v>405</v>
      </c>
      <c r="I408" s="7" t="s">
        <v>471</v>
      </c>
    </row>
    <row r="409" spans="8:9" x14ac:dyDescent="0.25">
      <c r="H409" s="8">
        <v>406</v>
      </c>
      <c r="I409" s="7" t="s">
        <v>472</v>
      </c>
    </row>
    <row r="410" spans="8:9" x14ac:dyDescent="0.25">
      <c r="H410" s="8">
        <v>407</v>
      </c>
      <c r="I410" s="7" t="s">
        <v>473</v>
      </c>
    </row>
    <row r="411" spans="8:9" x14ac:dyDescent="0.25">
      <c r="H411" s="8">
        <v>408</v>
      </c>
      <c r="I411" s="7" t="s">
        <v>474</v>
      </c>
    </row>
    <row r="412" spans="8:9" x14ac:dyDescent="0.25">
      <c r="H412" s="8">
        <v>409</v>
      </c>
      <c r="I412" s="7" t="s">
        <v>475</v>
      </c>
    </row>
    <row r="413" spans="8:9" x14ac:dyDescent="0.25">
      <c r="H413" s="8">
        <v>410</v>
      </c>
      <c r="I413" s="7" t="s">
        <v>476</v>
      </c>
    </row>
    <row r="414" spans="8:9" x14ac:dyDescent="0.25">
      <c r="H414" s="8">
        <v>411</v>
      </c>
      <c r="I414" s="7" t="s">
        <v>477</v>
      </c>
    </row>
    <row r="415" spans="8:9" x14ac:dyDescent="0.25">
      <c r="H415" s="8">
        <v>412</v>
      </c>
      <c r="I415" s="7" t="s">
        <v>478</v>
      </c>
    </row>
    <row r="416" spans="8:9" x14ac:dyDescent="0.25">
      <c r="H416" s="8">
        <v>413</v>
      </c>
      <c r="I416" s="7" t="s">
        <v>479</v>
      </c>
    </row>
    <row r="417" spans="8:9" x14ac:dyDescent="0.25">
      <c r="H417" s="8">
        <v>414</v>
      </c>
      <c r="I417" s="7" t="s">
        <v>480</v>
      </c>
    </row>
    <row r="418" spans="8:9" x14ac:dyDescent="0.25">
      <c r="H418" s="8">
        <v>415</v>
      </c>
      <c r="I418" s="7" t="s">
        <v>481</v>
      </c>
    </row>
    <row r="419" spans="8:9" x14ac:dyDescent="0.25">
      <c r="H419" s="8">
        <v>416</v>
      </c>
      <c r="I419" s="7" t="s">
        <v>482</v>
      </c>
    </row>
    <row r="420" spans="8:9" x14ac:dyDescent="0.25">
      <c r="H420" s="8">
        <v>417</v>
      </c>
      <c r="I420" s="7" t="s">
        <v>483</v>
      </c>
    </row>
    <row r="421" spans="8:9" x14ac:dyDescent="0.25">
      <c r="H421" s="8">
        <v>418</v>
      </c>
      <c r="I421" s="7" t="s">
        <v>484</v>
      </c>
    </row>
    <row r="422" spans="8:9" x14ac:dyDescent="0.25">
      <c r="H422" s="8">
        <v>419</v>
      </c>
      <c r="I422" s="7" t="s">
        <v>485</v>
      </c>
    </row>
    <row r="423" spans="8:9" x14ac:dyDescent="0.25">
      <c r="H423" s="8">
        <v>420</v>
      </c>
      <c r="I423" s="7" t="s">
        <v>486</v>
      </c>
    </row>
    <row r="424" spans="8:9" x14ac:dyDescent="0.25">
      <c r="H424" s="8">
        <v>421</v>
      </c>
      <c r="I424" s="7" t="s">
        <v>487</v>
      </c>
    </row>
    <row r="425" spans="8:9" x14ac:dyDescent="0.25">
      <c r="H425" s="8">
        <v>422</v>
      </c>
      <c r="I425" s="7" t="s">
        <v>488</v>
      </c>
    </row>
    <row r="426" spans="8:9" x14ac:dyDescent="0.25">
      <c r="H426" s="8">
        <v>423</v>
      </c>
      <c r="I426" s="7" t="s">
        <v>489</v>
      </c>
    </row>
    <row r="427" spans="8:9" x14ac:dyDescent="0.25">
      <c r="H427" s="8">
        <v>424</v>
      </c>
      <c r="I427" s="7" t="s">
        <v>490</v>
      </c>
    </row>
    <row r="428" spans="8:9" x14ac:dyDescent="0.25">
      <c r="H428" s="8">
        <v>425</v>
      </c>
      <c r="I428" s="7" t="s">
        <v>491</v>
      </c>
    </row>
    <row r="429" spans="8:9" x14ac:dyDescent="0.25">
      <c r="H429" s="8">
        <v>426</v>
      </c>
      <c r="I429" s="7" t="s">
        <v>492</v>
      </c>
    </row>
    <row r="430" spans="8:9" x14ac:dyDescent="0.25">
      <c r="H430" s="8">
        <v>427</v>
      </c>
      <c r="I430" s="7" t="s">
        <v>493</v>
      </c>
    </row>
    <row r="431" spans="8:9" x14ac:dyDescent="0.25">
      <c r="H431" s="8">
        <v>428</v>
      </c>
      <c r="I431" s="7" t="s">
        <v>494</v>
      </c>
    </row>
    <row r="432" spans="8:9" x14ac:dyDescent="0.25">
      <c r="H432" s="8">
        <v>429</v>
      </c>
      <c r="I432" s="7" t="s">
        <v>495</v>
      </c>
    </row>
    <row r="433" spans="8:9" x14ac:dyDescent="0.25">
      <c r="H433" s="8">
        <v>430</v>
      </c>
      <c r="I433" s="7" t="s">
        <v>496</v>
      </c>
    </row>
    <row r="434" spans="8:9" x14ac:dyDescent="0.25">
      <c r="H434" s="8">
        <v>431</v>
      </c>
      <c r="I434" s="7" t="s">
        <v>497</v>
      </c>
    </row>
    <row r="435" spans="8:9" x14ac:dyDescent="0.25">
      <c r="H435" s="8">
        <v>432</v>
      </c>
      <c r="I435" s="7" t="s">
        <v>498</v>
      </c>
    </row>
    <row r="436" spans="8:9" x14ac:dyDescent="0.25">
      <c r="H436" s="8">
        <v>433</v>
      </c>
      <c r="I436" s="7" t="s">
        <v>499</v>
      </c>
    </row>
    <row r="437" spans="8:9" x14ac:dyDescent="0.25">
      <c r="H437" s="8">
        <v>434</v>
      </c>
      <c r="I437" s="7" t="s">
        <v>500</v>
      </c>
    </row>
    <row r="438" spans="8:9" x14ac:dyDescent="0.25">
      <c r="H438" s="8">
        <v>435</v>
      </c>
      <c r="I438" s="7" t="s">
        <v>501</v>
      </c>
    </row>
    <row r="439" spans="8:9" x14ac:dyDescent="0.25">
      <c r="H439" s="8">
        <v>436</v>
      </c>
      <c r="I439" s="7" t="s">
        <v>502</v>
      </c>
    </row>
    <row r="440" spans="8:9" x14ac:dyDescent="0.25">
      <c r="H440" s="8">
        <v>437</v>
      </c>
      <c r="I440" s="7" t="s">
        <v>503</v>
      </c>
    </row>
    <row r="441" spans="8:9" x14ac:dyDescent="0.25">
      <c r="H441" s="8">
        <v>438</v>
      </c>
      <c r="I441" s="7" t="s">
        <v>504</v>
      </c>
    </row>
    <row r="442" spans="8:9" x14ac:dyDescent="0.25">
      <c r="H442" s="8">
        <v>439</v>
      </c>
      <c r="I442" s="7" t="s">
        <v>505</v>
      </c>
    </row>
    <row r="443" spans="8:9" x14ac:dyDescent="0.25">
      <c r="H443" s="8">
        <v>440</v>
      </c>
      <c r="I443" s="7" t="s">
        <v>506</v>
      </c>
    </row>
    <row r="444" spans="8:9" x14ac:dyDescent="0.25">
      <c r="H444" s="8">
        <v>441</v>
      </c>
      <c r="I444" s="7" t="s">
        <v>507</v>
      </c>
    </row>
    <row r="445" spans="8:9" x14ac:dyDescent="0.25">
      <c r="H445" s="8">
        <v>442</v>
      </c>
      <c r="I445" s="7" t="s">
        <v>508</v>
      </c>
    </row>
    <row r="446" spans="8:9" x14ac:dyDescent="0.25">
      <c r="H446" s="8">
        <v>443</v>
      </c>
      <c r="I446" s="7" t="s">
        <v>509</v>
      </c>
    </row>
    <row r="447" spans="8:9" x14ac:dyDescent="0.25">
      <c r="H447" s="8">
        <v>444</v>
      </c>
      <c r="I447" s="7" t="s">
        <v>510</v>
      </c>
    </row>
    <row r="448" spans="8:9" x14ac:dyDescent="0.25">
      <c r="H448" s="8">
        <v>445</v>
      </c>
      <c r="I448" s="7" t="s">
        <v>511</v>
      </c>
    </row>
    <row r="449" spans="8:9" x14ac:dyDescent="0.25">
      <c r="H449" s="8">
        <v>446</v>
      </c>
      <c r="I449" s="7" t="s">
        <v>512</v>
      </c>
    </row>
    <row r="450" spans="8:9" x14ac:dyDescent="0.25">
      <c r="H450" s="8">
        <v>447</v>
      </c>
      <c r="I450" s="7" t="s">
        <v>513</v>
      </c>
    </row>
    <row r="451" spans="8:9" x14ac:dyDescent="0.25">
      <c r="H451" s="8">
        <v>448</v>
      </c>
      <c r="I451" s="7" t="s">
        <v>514</v>
      </c>
    </row>
    <row r="452" spans="8:9" x14ac:dyDescent="0.25">
      <c r="H452" s="8">
        <v>449</v>
      </c>
      <c r="I452" s="7" t="s">
        <v>515</v>
      </c>
    </row>
    <row r="453" spans="8:9" x14ac:dyDescent="0.25">
      <c r="H453" s="8">
        <v>450</v>
      </c>
      <c r="I453" s="7" t="s">
        <v>516</v>
      </c>
    </row>
    <row r="454" spans="8:9" x14ac:dyDescent="0.25">
      <c r="H454" s="8">
        <v>451</v>
      </c>
      <c r="I454" s="7" t="s">
        <v>517</v>
      </c>
    </row>
    <row r="455" spans="8:9" x14ac:dyDescent="0.25">
      <c r="H455" s="8">
        <v>452</v>
      </c>
      <c r="I455" s="7" t="s">
        <v>518</v>
      </c>
    </row>
    <row r="456" spans="8:9" x14ac:dyDescent="0.25">
      <c r="H456" s="8">
        <v>453</v>
      </c>
      <c r="I456" s="7" t="s">
        <v>519</v>
      </c>
    </row>
    <row r="457" spans="8:9" x14ac:dyDescent="0.25">
      <c r="H457" s="8">
        <v>454</v>
      </c>
      <c r="I457" s="7" t="s">
        <v>520</v>
      </c>
    </row>
    <row r="458" spans="8:9" x14ac:dyDescent="0.25">
      <c r="H458" s="8">
        <v>455</v>
      </c>
      <c r="I458" s="7" t="s">
        <v>521</v>
      </c>
    </row>
    <row r="459" spans="8:9" x14ac:dyDescent="0.25">
      <c r="H459" s="8">
        <v>456</v>
      </c>
      <c r="I459" s="7" t="s">
        <v>522</v>
      </c>
    </row>
    <row r="460" spans="8:9" x14ac:dyDescent="0.25">
      <c r="H460" s="8">
        <v>457</v>
      </c>
      <c r="I460" s="7" t="s">
        <v>523</v>
      </c>
    </row>
    <row r="461" spans="8:9" x14ac:dyDescent="0.25">
      <c r="H461" s="8">
        <v>458</v>
      </c>
      <c r="I461" s="7" t="s">
        <v>524</v>
      </c>
    </row>
    <row r="462" spans="8:9" x14ac:dyDescent="0.25">
      <c r="H462" s="8">
        <v>459</v>
      </c>
      <c r="I462" s="7" t="s">
        <v>525</v>
      </c>
    </row>
    <row r="463" spans="8:9" x14ac:dyDescent="0.25">
      <c r="H463" s="8">
        <v>460</v>
      </c>
      <c r="I463" s="7" t="s">
        <v>526</v>
      </c>
    </row>
    <row r="464" spans="8:9" x14ac:dyDescent="0.25">
      <c r="H464" s="8">
        <v>461</v>
      </c>
      <c r="I464" s="7" t="s">
        <v>527</v>
      </c>
    </row>
    <row r="465" spans="8:9" x14ac:dyDescent="0.25">
      <c r="H465" s="8">
        <v>462</v>
      </c>
      <c r="I465" s="7" t="s">
        <v>528</v>
      </c>
    </row>
    <row r="466" spans="8:9" x14ac:dyDescent="0.25">
      <c r="H466" s="8">
        <v>463</v>
      </c>
      <c r="I466" s="7" t="s">
        <v>529</v>
      </c>
    </row>
    <row r="467" spans="8:9" x14ac:dyDescent="0.25">
      <c r="H467" s="8">
        <v>464</v>
      </c>
      <c r="I467" s="7" t="s">
        <v>530</v>
      </c>
    </row>
    <row r="468" spans="8:9" x14ac:dyDescent="0.25">
      <c r="H468" s="8">
        <v>465</v>
      </c>
      <c r="I468" s="7" t="s">
        <v>531</v>
      </c>
    </row>
    <row r="469" spans="8:9" x14ac:dyDescent="0.25">
      <c r="H469" s="8">
        <v>466</v>
      </c>
      <c r="I469" s="7" t="s">
        <v>532</v>
      </c>
    </row>
    <row r="470" spans="8:9" x14ac:dyDescent="0.25">
      <c r="H470" s="8">
        <v>467</v>
      </c>
      <c r="I470" s="7" t="s">
        <v>533</v>
      </c>
    </row>
    <row r="471" spans="8:9" x14ac:dyDescent="0.25">
      <c r="H471" s="8">
        <v>468</v>
      </c>
      <c r="I471" s="7" t="s">
        <v>534</v>
      </c>
    </row>
    <row r="472" spans="8:9" x14ac:dyDescent="0.25">
      <c r="H472" s="8">
        <v>469</v>
      </c>
      <c r="I472" s="7" t="s">
        <v>535</v>
      </c>
    </row>
    <row r="473" spans="8:9" x14ac:dyDescent="0.25">
      <c r="H473" s="8">
        <v>470</v>
      </c>
      <c r="I473" s="7" t="s">
        <v>536</v>
      </c>
    </row>
    <row r="474" spans="8:9" x14ac:dyDescent="0.25">
      <c r="H474" s="8">
        <v>471</v>
      </c>
      <c r="I474" s="7" t="s">
        <v>537</v>
      </c>
    </row>
    <row r="475" spans="8:9" x14ac:dyDescent="0.25">
      <c r="H475" s="8">
        <v>472</v>
      </c>
      <c r="I475" s="7" t="s">
        <v>538</v>
      </c>
    </row>
    <row r="476" spans="8:9" x14ac:dyDescent="0.25">
      <c r="H476" s="8">
        <v>473</v>
      </c>
      <c r="I476" s="7" t="s">
        <v>539</v>
      </c>
    </row>
    <row r="477" spans="8:9" x14ac:dyDescent="0.25">
      <c r="H477" s="8">
        <v>474</v>
      </c>
      <c r="I477" s="7" t="s">
        <v>540</v>
      </c>
    </row>
    <row r="478" spans="8:9" x14ac:dyDescent="0.25">
      <c r="H478" s="8">
        <v>475</v>
      </c>
      <c r="I478" s="7" t="s">
        <v>541</v>
      </c>
    </row>
    <row r="479" spans="8:9" x14ac:dyDescent="0.25">
      <c r="H479" s="8">
        <v>476</v>
      </c>
      <c r="I479" s="7" t="s">
        <v>542</v>
      </c>
    </row>
    <row r="480" spans="8:9" x14ac:dyDescent="0.25">
      <c r="H480" s="8">
        <v>477</v>
      </c>
      <c r="I480" s="7" t="s">
        <v>543</v>
      </c>
    </row>
    <row r="481" spans="8:9" x14ac:dyDescent="0.25">
      <c r="H481" s="8">
        <v>478</v>
      </c>
      <c r="I481" s="7" t="s">
        <v>544</v>
      </c>
    </row>
    <row r="482" spans="8:9" x14ac:dyDescent="0.25">
      <c r="H482" s="8">
        <v>479</v>
      </c>
      <c r="I482" s="7" t="s">
        <v>545</v>
      </c>
    </row>
    <row r="483" spans="8:9" x14ac:dyDescent="0.25">
      <c r="H483" s="8">
        <v>480</v>
      </c>
      <c r="I483" s="7" t="s">
        <v>546</v>
      </c>
    </row>
    <row r="484" spans="8:9" x14ac:dyDescent="0.25">
      <c r="H484" s="8">
        <v>481</v>
      </c>
      <c r="I484" s="7" t="s">
        <v>547</v>
      </c>
    </row>
    <row r="485" spans="8:9" x14ac:dyDescent="0.25">
      <c r="H485" s="8">
        <v>482</v>
      </c>
      <c r="I485" s="7" t="s">
        <v>548</v>
      </c>
    </row>
    <row r="486" spans="8:9" x14ac:dyDescent="0.25">
      <c r="H486" s="8">
        <v>483</v>
      </c>
      <c r="I486" s="7" t="s">
        <v>549</v>
      </c>
    </row>
    <row r="487" spans="8:9" x14ac:dyDescent="0.25">
      <c r="H487" s="8">
        <v>484</v>
      </c>
      <c r="I487" s="7" t="s">
        <v>550</v>
      </c>
    </row>
    <row r="488" spans="8:9" x14ac:dyDescent="0.25">
      <c r="H488" s="8">
        <v>485</v>
      </c>
      <c r="I488" s="7" t="s">
        <v>551</v>
      </c>
    </row>
    <row r="489" spans="8:9" x14ac:dyDescent="0.25">
      <c r="H489" s="8">
        <v>486</v>
      </c>
      <c r="I489" s="7" t="s">
        <v>552</v>
      </c>
    </row>
    <row r="490" spans="8:9" x14ac:dyDescent="0.25">
      <c r="H490" s="8">
        <v>487</v>
      </c>
      <c r="I490" s="7" t="s">
        <v>553</v>
      </c>
    </row>
    <row r="491" spans="8:9" x14ac:dyDescent="0.25">
      <c r="H491" s="8">
        <v>488</v>
      </c>
      <c r="I491" s="7" t="s">
        <v>554</v>
      </c>
    </row>
    <row r="492" spans="8:9" x14ac:dyDescent="0.25">
      <c r="H492" s="8">
        <v>489</v>
      </c>
      <c r="I492" s="7" t="s">
        <v>555</v>
      </c>
    </row>
    <row r="493" spans="8:9" x14ac:dyDescent="0.25">
      <c r="H493" s="8">
        <v>490</v>
      </c>
      <c r="I493" s="7" t="s">
        <v>556</v>
      </c>
    </row>
    <row r="494" spans="8:9" x14ac:dyDescent="0.25">
      <c r="H494" s="8">
        <v>491</v>
      </c>
      <c r="I494" s="7" t="s">
        <v>557</v>
      </c>
    </row>
    <row r="495" spans="8:9" x14ac:dyDescent="0.25">
      <c r="H495" s="8">
        <v>492</v>
      </c>
      <c r="I495" s="7" t="s">
        <v>558</v>
      </c>
    </row>
    <row r="496" spans="8:9" x14ac:dyDescent="0.25">
      <c r="H496" s="8">
        <v>493</v>
      </c>
      <c r="I496" s="7" t="s">
        <v>559</v>
      </c>
    </row>
    <row r="497" spans="8:9" x14ac:dyDescent="0.25">
      <c r="H497" s="8">
        <v>494</v>
      </c>
      <c r="I497" s="7" t="s">
        <v>560</v>
      </c>
    </row>
    <row r="498" spans="8:9" x14ac:dyDescent="0.25">
      <c r="H498" s="8">
        <v>495</v>
      </c>
      <c r="I498" s="7" t="s">
        <v>561</v>
      </c>
    </row>
    <row r="499" spans="8:9" x14ac:dyDescent="0.25">
      <c r="H499" s="8">
        <v>496</v>
      </c>
      <c r="I499" s="7" t="s">
        <v>562</v>
      </c>
    </row>
    <row r="500" spans="8:9" x14ac:dyDescent="0.25">
      <c r="H500" s="8">
        <v>497</v>
      </c>
      <c r="I500" s="7" t="s">
        <v>563</v>
      </c>
    </row>
    <row r="501" spans="8:9" x14ac:dyDescent="0.25">
      <c r="H501" s="8">
        <v>498</v>
      </c>
      <c r="I501" s="7" t="s">
        <v>564</v>
      </c>
    </row>
    <row r="502" spans="8:9" x14ac:dyDescent="0.25">
      <c r="H502" s="8">
        <v>499</v>
      </c>
      <c r="I502" s="7" t="s">
        <v>565</v>
      </c>
    </row>
    <row r="503" spans="8:9" x14ac:dyDescent="0.25">
      <c r="H503" s="8">
        <v>500</v>
      </c>
      <c r="I503" s="7" t="s">
        <v>566</v>
      </c>
    </row>
    <row r="504" spans="8:9" x14ac:dyDescent="0.25">
      <c r="H504" s="8">
        <v>501</v>
      </c>
      <c r="I504" s="7" t="s">
        <v>567</v>
      </c>
    </row>
    <row r="505" spans="8:9" x14ac:dyDescent="0.25">
      <c r="H505" s="8">
        <v>502</v>
      </c>
      <c r="I505" s="7" t="s">
        <v>568</v>
      </c>
    </row>
    <row r="506" spans="8:9" x14ac:dyDescent="0.25">
      <c r="H506" s="8">
        <v>503</v>
      </c>
      <c r="I506" s="7" t="s">
        <v>569</v>
      </c>
    </row>
    <row r="507" spans="8:9" x14ac:dyDescent="0.25">
      <c r="H507" s="8">
        <v>504</v>
      </c>
      <c r="I507" s="7" t="s">
        <v>570</v>
      </c>
    </row>
    <row r="508" spans="8:9" x14ac:dyDescent="0.25">
      <c r="H508" s="8">
        <v>505</v>
      </c>
      <c r="I508" s="7" t="s">
        <v>571</v>
      </c>
    </row>
    <row r="509" spans="8:9" x14ac:dyDescent="0.25">
      <c r="H509" s="8">
        <v>506</v>
      </c>
      <c r="I509" s="7" t="s">
        <v>572</v>
      </c>
    </row>
    <row r="510" spans="8:9" x14ac:dyDescent="0.25">
      <c r="H510" s="8">
        <v>507</v>
      </c>
      <c r="I510" s="7" t="s">
        <v>573</v>
      </c>
    </row>
    <row r="511" spans="8:9" x14ac:dyDescent="0.25">
      <c r="H511" s="8">
        <v>508</v>
      </c>
      <c r="I511" s="7" t="s">
        <v>574</v>
      </c>
    </row>
    <row r="512" spans="8:9" x14ac:dyDescent="0.25">
      <c r="H512" s="8">
        <v>509</v>
      </c>
      <c r="I512" s="7" t="s">
        <v>575</v>
      </c>
    </row>
    <row r="513" spans="8:9" x14ac:dyDescent="0.25">
      <c r="H513" s="8">
        <v>510</v>
      </c>
      <c r="I513" s="7" t="s">
        <v>576</v>
      </c>
    </row>
    <row r="514" spans="8:9" x14ac:dyDescent="0.25">
      <c r="H514" s="8">
        <v>511</v>
      </c>
      <c r="I514" s="7" t="s">
        <v>577</v>
      </c>
    </row>
    <row r="515" spans="8:9" x14ac:dyDescent="0.25">
      <c r="H515" s="8">
        <v>512</v>
      </c>
      <c r="I515" s="7" t="s">
        <v>578</v>
      </c>
    </row>
    <row r="516" spans="8:9" x14ac:dyDescent="0.25">
      <c r="H516" s="8">
        <v>513</v>
      </c>
      <c r="I516" s="7" t="s">
        <v>579</v>
      </c>
    </row>
    <row r="517" spans="8:9" x14ac:dyDescent="0.25">
      <c r="H517" s="8">
        <v>514</v>
      </c>
      <c r="I517" s="7" t="s">
        <v>580</v>
      </c>
    </row>
    <row r="518" spans="8:9" x14ac:dyDescent="0.25">
      <c r="H518" s="8">
        <v>515</v>
      </c>
      <c r="I518" s="7" t="s">
        <v>581</v>
      </c>
    </row>
    <row r="519" spans="8:9" x14ac:dyDescent="0.25">
      <c r="H519" s="8">
        <v>516</v>
      </c>
      <c r="I519" s="7" t="s">
        <v>582</v>
      </c>
    </row>
    <row r="520" spans="8:9" x14ac:dyDescent="0.25">
      <c r="H520" s="8">
        <v>517</v>
      </c>
      <c r="I520" s="7" t="s">
        <v>583</v>
      </c>
    </row>
    <row r="521" spans="8:9" x14ac:dyDescent="0.25">
      <c r="H521" s="8">
        <v>518</v>
      </c>
      <c r="I521" s="7" t="s">
        <v>584</v>
      </c>
    </row>
    <row r="522" spans="8:9" x14ac:dyDescent="0.25">
      <c r="H522" s="8">
        <v>519</v>
      </c>
      <c r="I522" s="7" t="s">
        <v>585</v>
      </c>
    </row>
    <row r="523" spans="8:9" x14ac:dyDescent="0.25">
      <c r="H523" s="8">
        <v>520</v>
      </c>
      <c r="I523" s="7" t="s">
        <v>586</v>
      </c>
    </row>
    <row r="524" spans="8:9" x14ac:dyDescent="0.25">
      <c r="H524" s="8">
        <v>521</v>
      </c>
      <c r="I524" s="7" t="s">
        <v>587</v>
      </c>
    </row>
    <row r="525" spans="8:9" x14ac:dyDescent="0.25">
      <c r="H525" s="8">
        <v>522</v>
      </c>
      <c r="I525" s="7" t="s">
        <v>588</v>
      </c>
    </row>
    <row r="526" spans="8:9" x14ac:dyDescent="0.25">
      <c r="H526" s="8">
        <v>523</v>
      </c>
      <c r="I526" s="7" t="s">
        <v>589</v>
      </c>
    </row>
    <row r="527" spans="8:9" x14ac:dyDescent="0.25">
      <c r="H527" s="8">
        <v>524</v>
      </c>
      <c r="I527" s="7" t="s">
        <v>590</v>
      </c>
    </row>
    <row r="528" spans="8:9" x14ac:dyDescent="0.25">
      <c r="H528" s="8">
        <v>525</v>
      </c>
      <c r="I528" s="7" t="s">
        <v>591</v>
      </c>
    </row>
    <row r="529" spans="8:9" x14ac:dyDescent="0.25">
      <c r="H529" s="8">
        <v>526</v>
      </c>
      <c r="I529" s="7" t="s">
        <v>592</v>
      </c>
    </row>
    <row r="530" spans="8:9" x14ac:dyDescent="0.25">
      <c r="H530" s="8">
        <v>527</v>
      </c>
      <c r="I530" s="7" t="s">
        <v>593</v>
      </c>
    </row>
    <row r="531" spans="8:9" x14ac:dyDescent="0.25">
      <c r="H531" s="8">
        <v>528</v>
      </c>
      <c r="I531" s="7" t="s">
        <v>594</v>
      </c>
    </row>
    <row r="532" spans="8:9" x14ac:dyDescent="0.25">
      <c r="H532" s="8">
        <v>529</v>
      </c>
      <c r="I532" s="7" t="s">
        <v>595</v>
      </c>
    </row>
    <row r="533" spans="8:9" x14ac:dyDescent="0.25">
      <c r="H533" s="8">
        <v>530</v>
      </c>
      <c r="I533" s="7" t="s">
        <v>596</v>
      </c>
    </row>
    <row r="534" spans="8:9" x14ac:dyDescent="0.25">
      <c r="H534" s="8">
        <v>531</v>
      </c>
      <c r="I534" s="7" t="s">
        <v>597</v>
      </c>
    </row>
    <row r="535" spans="8:9" x14ac:dyDescent="0.25">
      <c r="H535" s="8">
        <v>532</v>
      </c>
      <c r="I535" s="7" t="s">
        <v>598</v>
      </c>
    </row>
    <row r="536" spans="8:9" x14ac:dyDescent="0.25">
      <c r="H536" s="8">
        <v>533</v>
      </c>
      <c r="I536" s="7" t="s">
        <v>599</v>
      </c>
    </row>
    <row r="537" spans="8:9" x14ac:dyDescent="0.25">
      <c r="H537" s="8">
        <v>534</v>
      </c>
      <c r="I537" s="7" t="s">
        <v>600</v>
      </c>
    </row>
    <row r="538" spans="8:9" x14ac:dyDescent="0.25">
      <c r="H538" s="8">
        <v>535</v>
      </c>
      <c r="I538" s="7" t="s">
        <v>601</v>
      </c>
    </row>
    <row r="539" spans="8:9" x14ac:dyDescent="0.25">
      <c r="H539" s="8">
        <v>536</v>
      </c>
      <c r="I539" s="7" t="s">
        <v>602</v>
      </c>
    </row>
    <row r="540" spans="8:9" x14ac:dyDescent="0.25">
      <c r="H540" s="8">
        <v>537</v>
      </c>
      <c r="I540" s="7" t="s">
        <v>603</v>
      </c>
    </row>
    <row r="541" spans="8:9" x14ac:dyDescent="0.25">
      <c r="H541" s="8">
        <v>538</v>
      </c>
      <c r="I541" s="7" t="s">
        <v>604</v>
      </c>
    </row>
    <row r="542" spans="8:9" x14ac:dyDescent="0.25">
      <c r="H542" s="8">
        <v>539</v>
      </c>
      <c r="I542" s="7" t="s">
        <v>605</v>
      </c>
    </row>
    <row r="543" spans="8:9" x14ac:dyDescent="0.25">
      <c r="H543" s="8">
        <v>540</v>
      </c>
      <c r="I543" s="7" t="s">
        <v>606</v>
      </c>
    </row>
    <row r="544" spans="8:9" x14ac:dyDescent="0.25">
      <c r="H544" s="8">
        <v>541</v>
      </c>
      <c r="I544" s="7" t="s">
        <v>607</v>
      </c>
    </row>
    <row r="545" spans="8:9" x14ac:dyDescent="0.25">
      <c r="H545" s="8">
        <v>542</v>
      </c>
      <c r="I545" s="7" t="s">
        <v>608</v>
      </c>
    </row>
    <row r="546" spans="8:9" x14ac:dyDescent="0.25">
      <c r="H546" s="8">
        <v>543</v>
      </c>
      <c r="I546" s="7" t="s">
        <v>609</v>
      </c>
    </row>
    <row r="547" spans="8:9" x14ac:dyDescent="0.25">
      <c r="H547" s="8">
        <v>544</v>
      </c>
      <c r="I547" s="7" t="s">
        <v>610</v>
      </c>
    </row>
    <row r="548" spans="8:9" x14ac:dyDescent="0.25">
      <c r="H548" s="8">
        <v>545</v>
      </c>
      <c r="I548" s="7" t="s">
        <v>611</v>
      </c>
    </row>
    <row r="549" spans="8:9" x14ac:dyDescent="0.25">
      <c r="H549" s="8">
        <v>546</v>
      </c>
      <c r="I549" s="7" t="s">
        <v>612</v>
      </c>
    </row>
    <row r="550" spans="8:9" x14ac:dyDescent="0.25">
      <c r="H550" s="8">
        <v>547</v>
      </c>
      <c r="I550" s="7" t="s">
        <v>613</v>
      </c>
    </row>
    <row r="551" spans="8:9" x14ac:dyDescent="0.25">
      <c r="H551" s="8">
        <v>548</v>
      </c>
      <c r="I551" s="7" t="s">
        <v>614</v>
      </c>
    </row>
    <row r="552" spans="8:9" x14ac:dyDescent="0.25">
      <c r="H552" s="8">
        <v>549</v>
      </c>
      <c r="I552" s="7" t="s">
        <v>615</v>
      </c>
    </row>
    <row r="553" spans="8:9" x14ac:dyDescent="0.25">
      <c r="H553" s="8">
        <v>550</v>
      </c>
      <c r="I553" s="7" t="s">
        <v>616</v>
      </c>
    </row>
    <row r="554" spans="8:9" x14ac:dyDescent="0.25">
      <c r="H554" s="8">
        <v>551</v>
      </c>
      <c r="I554" s="7" t="s">
        <v>617</v>
      </c>
    </row>
    <row r="555" spans="8:9" x14ac:dyDescent="0.25">
      <c r="H555" s="8">
        <v>552</v>
      </c>
      <c r="I555" s="7" t="s">
        <v>618</v>
      </c>
    </row>
    <row r="556" spans="8:9" x14ac:dyDescent="0.25">
      <c r="H556" s="8">
        <v>553</v>
      </c>
      <c r="I556" s="7" t="s">
        <v>619</v>
      </c>
    </row>
    <row r="557" spans="8:9" x14ac:dyDescent="0.25">
      <c r="H557" s="8">
        <v>554</v>
      </c>
      <c r="I557" s="7" t="s">
        <v>620</v>
      </c>
    </row>
    <row r="558" spans="8:9" x14ac:dyDescent="0.25">
      <c r="H558" s="8">
        <v>555</v>
      </c>
      <c r="I558" s="7" t="s">
        <v>621</v>
      </c>
    </row>
    <row r="559" spans="8:9" x14ac:dyDescent="0.25">
      <c r="H559" s="8">
        <v>556</v>
      </c>
      <c r="I559" s="7" t="s">
        <v>622</v>
      </c>
    </row>
    <row r="560" spans="8:9" x14ac:dyDescent="0.25">
      <c r="H560" s="8">
        <v>557</v>
      </c>
      <c r="I560" s="7" t="s">
        <v>623</v>
      </c>
    </row>
    <row r="561" spans="8:9" x14ac:dyDescent="0.25">
      <c r="H561" s="8">
        <v>558</v>
      </c>
      <c r="I561" s="7" t="s">
        <v>624</v>
      </c>
    </row>
    <row r="562" spans="8:9" x14ac:dyDescent="0.25">
      <c r="H562" s="8">
        <v>559</v>
      </c>
      <c r="I562" s="7" t="s">
        <v>625</v>
      </c>
    </row>
    <row r="563" spans="8:9" x14ac:dyDescent="0.25">
      <c r="H563" s="8">
        <v>560</v>
      </c>
      <c r="I563" s="7" t="s">
        <v>626</v>
      </c>
    </row>
    <row r="564" spans="8:9" x14ac:dyDescent="0.25">
      <c r="H564" s="8">
        <v>561</v>
      </c>
      <c r="I564" s="7" t="s">
        <v>627</v>
      </c>
    </row>
    <row r="565" spans="8:9" x14ac:dyDescent="0.25">
      <c r="H565" s="8">
        <v>562</v>
      </c>
      <c r="I565" s="7" t="s">
        <v>628</v>
      </c>
    </row>
    <row r="566" spans="8:9" x14ac:dyDescent="0.25">
      <c r="H566" s="8">
        <v>563</v>
      </c>
      <c r="I566" s="7" t="s">
        <v>629</v>
      </c>
    </row>
    <row r="567" spans="8:9" x14ac:dyDescent="0.25">
      <c r="H567" s="8">
        <v>564</v>
      </c>
      <c r="I567" s="7" t="s">
        <v>630</v>
      </c>
    </row>
    <row r="568" spans="8:9" x14ac:dyDescent="0.25">
      <c r="H568" s="8">
        <v>565</v>
      </c>
      <c r="I568" s="7" t="s">
        <v>631</v>
      </c>
    </row>
    <row r="569" spans="8:9" x14ac:dyDescent="0.25">
      <c r="H569" s="8">
        <v>566</v>
      </c>
      <c r="I569" s="7" t="s">
        <v>632</v>
      </c>
    </row>
    <row r="570" spans="8:9" x14ac:dyDescent="0.25">
      <c r="H570" s="8">
        <v>567</v>
      </c>
      <c r="I570" s="7" t="s">
        <v>633</v>
      </c>
    </row>
    <row r="571" spans="8:9" x14ac:dyDescent="0.25">
      <c r="H571" s="8">
        <v>568</v>
      </c>
      <c r="I571" s="7" t="s">
        <v>634</v>
      </c>
    </row>
    <row r="572" spans="8:9" x14ac:dyDescent="0.25">
      <c r="H572" s="8">
        <v>569</v>
      </c>
      <c r="I572" s="7" t="s">
        <v>635</v>
      </c>
    </row>
    <row r="573" spans="8:9" x14ac:dyDescent="0.25">
      <c r="H573" s="8">
        <v>570</v>
      </c>
      <c r="I573" s="7" t="s">
        <v>636</v>
      </c>
    </row>
    <row r="574" spans="8:9" x14ac:dyDescent="0.25">
      <c r="H574" s="8">
        <v>571</v>
      </c>
      <c r="I574" s="7" t="s">
        <v>637</v>
      </c>
    </row>
    <row r="575" spans="8:9" x14ac:dyDescent="0.25">
      <c r="H575" s="8">
        <v>572</v>
      </c>
      <c r="I575" s="7" t="s">
        <v>638</v>
      </c>
    </row>
    <row r="576" spans="8:9" x14ac:dyDescent="0.25">
      <c r="H576" s="8">
        <v>573</v>
      </c>
      <c r="I576" s="7" t="s">
        <v>639</v>
      </c>
    </row>
    <row r="577" spans="8:9" x14ac:dyDescent="0.25">
      <c r="H577" s="8">
        <v>574</v>
      </c>
      <c r="I577" s="7" t="s">
        <v>640</v>
      </c>
    </row>
    <row r="578" spans="8:9" x14ac:dyDescent="0.25">
      <c r="H578" s="8">
        <v>575</v>
      </c>
      <c r="I578" s="7" t="s">
        <v>641</v>
      </c>
    </row>
    <row r="579" spans="8:9" x14ac:dyDescent="0.25">
      <c r="H579" s="8">
        <v>576</v>
      </c>
      <c r="I579" s="7" t="s">
        <v>642</v>
      </c>
    </row>
    <row r="580" spans="8:9" x14ac:dyDescent="0.25">
      <c r="H580" s="8">
        <v>577</v>
      </c>
      <c r="I580" s="7" t="s">
        <v>643</v>
      </c>
    </row>
    <row r="581" spans="8:9" x14ac:dyDescent="0.25">
      <c r="H581" s="8">
        <v>578</v>
      </c>
      <c r="I581" s="7" t="s">
        <v>644</v>
      </c>
    </row>
    <row r="582" spans="8:9" x14ac:dyDescent="0.25">
      <c r="H582" s="8">
        <v>579</v>
      </c>
      <c r="I582" s="7" t="s">
        <v>645</v>
      </c>
    </row>
    <row r="583" spans="8:9" x14ac:dyDescent="0.25">
      <c r="H583" s="8">
        <v>580</v>
      </c>
      <c r="I583" s="7" t="s">
        <v>646</v>
      </c>
    </row>
    <row r="584" spans="8:9" x14ac:dyDescent="0.25">
      <c r="H584" s="8">
        <v>581</v>
      </c>
      <c r="I584" s="7" t="s">
        <v>647</v>
      </c>
    </row>
    <row r="585" spans="8:9" x14ac:dyDescent="0.25">
      <c r="H585" s="8">
        <v>582</v>
      </c>
      <c r="I585" s="7" t="s">
        <v>648</v>
      </c>
    </row>
    <row r="586" spans="8:9" x14ac:dyDescent="0.25">
      <c r="H586" s="8">
        <v>583</v>
      </c>
      <c r="I586" s="7" t="s">
        <v>649</v>
      </c>
    </row>
    <row r="587" spans="8:9" x14ac:dyDescent="0.25">
      <c r="H587" s="8">
        <v>584</v>
      </c>
      <c r="I587" s="7" t="s">
        <v>650</v>
      </c>
    </row>
    <row r="588" spans="8:9" x14ac:dyDescent="0.25">
      <c r="H588" s="8">
        <v>585</v>
      </c>
      <c r="I588" s="7" t="s">
        <v>651</v>
      </c>
    </row>
    <row r="589" spans="8:9" x14ac:dyDescent="0.25">
      <c r="H589" s="8">
        <v>586</v>
      </c>
      <c r="I589" s="7" t="s">
        <v>652</v>
      </c>
    </row>
    <row r="590" spans="8:9" x14ac:dyDescent="0.25">
      <c r="H590" s="8">
        <v>587</v>
      </c>
      <c r="I590" s="7" t="s">
        <v>653</v>
      </c>
    </row>
    <row r="591" spans="8:9" x14ac:dyDescent="0.25">
      <c r="H591" s="8">
        <v>588</v>
      </c>
      <c r="I591" s="7" t="s">
        <v>654</v>
      </c>
    </row>
    <row r="592" spans="8:9" x14ac:dyDescent="0.25">
      <c r="H592" s="8">
        <v>589</v>
      </c>
      <c r="I592" s="7" t="s">
        <v>655</v>
      </c>
    </row>
    <row r="593" spans="8:9" x14ac:dyDescent="0.25">
      <c r="H593" s="8">
        <v>590</v>
      </c>
      <c r="I593" s="7" t="s">
        <v>656</v>
      </c>
    </row>
    <row r="594" spans="8:9" x14ac:dyDescent="0.25">
      <c r="H594" s="8">
        <v>591</v>
      </c>
      <c r="I594" s="7" t="s">
        <v>657</v>
      </c>
    </row>
    <row r="595" spans="8:9" x14ac:dyDescent="0.25">
      <c r="H595" s="8">
        <v>592</v>
      </c>
      <c r="I595" s="7" t="s">
        <v>658</v>
      </c>
    </row>
    <row r="596" spans="8:9" x14ac:dyDescent="0.25">
      <c r="H596" s="8">
        <v>593</v>
      </c>
      <c r="I596" s="7" t="s">
        <v>659</v>
      </c>
    </row>
    <row r="597" spans="8:9" x14ac:dyDescent="0.25">
      <c r="H597" s="8">
        <v>594</v>
      </c>
      <c r="I597" s="7" t="s">
        <v>660</v>
      </c>
    </row>
    <row r="598" spans="8:9" x14ac:dyDescent="0.25">
      <c r="H598" s="8">
        <v>595</v>
      </c>
      <c r="I598" s="7" t="s">
        <v>661</v>
      </c>
    </row>
    <row r="599" spans="8:9" x14ac:dyDescent="0.25">
      <c r="H599" s="8">
        <v>596</v>
      </c>
      <c r="I599" s="7" t="s">
        <v>662</v>
      </c>
    </row>
    <row r="600" spans="8:9" x14ac:dyDescent="0.25">
      <c r="H600" s="8">
        <v>597</v>
      </c>
      <c r="I600" s="7" t="s">
        <v>663</v>
      </c>
    </row>
    <row r="601" spans="8:9" x14ac:dyDescent="0.25">
      <c r="H601" s="8">
        <v>598</v>
      </c>
      <c r="I601" s="7" t="s">
        <v>664</v>
      </c>
    </row>
    <row r="602" spans="8:9" x14ac:dyDescent="0.25">
      <c r="H602" s="8">
        <v>599</v>
      </c>
      <c r="I602" s="7" t="s">
        <v>665</v>
      </c>
    </row>
    <row r="603" spans="8:9" x14ac:dyDescent="0.25">
      <c r="H603" s="8">
        <v>600</v>
      </c>
      <c r="I603" s="7" t="s">
        <v>666</v>
      </c>
    </row>
    <row r="604" spans="8:9" x14ac:dyDescent="0.25">
      <c r="H604" s="8">
        <v>601</v>
      </c>
      <c r="I604" s="7" t="s">
        <v>667</v>
      </c>
    </row>
    <row r="605" spans="8:9" x14ac:dyDescent="0.25">
      <c r="H605" s="8">
        <v>602</v>
      </c>
      <c r="I605" s="7" t="s">
        <v>668</v>
      </c>
    </row>
    <row r="606" spans="8:9" x14ac:dyDescent="0.25">
      <c r="H606" s="8">
        <v>603</v>
      </c>
      <c r="I606" s="7" t="s">
        <v>669</v>
      </c>
    </row>
    <row r="607" spans="8:9" x14ac:dyDescent="0.25">
      <c r="H607" s="8">
        <v>604</v>
      </c>
      <c r="I607" s="7" t="s">
        <v>670</v>
      </c>
    </row>
    <row r="608" spans="8:9" x14ac:dyDescent="0.25">
      <c r="H608" s="8">
        <v>605</v>
      </c>
      <c r="I608" s="7" t="s">
        <v>671</v>
      </c>
    </row>
    <row r="609" spans="8:9" x14ac:dyDescent="0.25">
      <c r="H609" s="8">
        <v>606</v>
      </c>
      <c r="I609" s="7" t="s">
        <v>672</v>
      </c>
    </row>
    <row r="610" spans="8:9" x14ac:dyDescent="0.25">
      <c r="H610" s="8">
        <v>607</v>
      </c>
      <c r="I610" s="7" t="s">
        <v>673</v>
      </c>
    </row>
    <row r="611" spans="8:9" x14ac:dyDescent="0.25">
      <c r="H611" s="8">
        <v>608</v>
      </c>
      <c r="I611" s="7" t="s">
        <v>674</v>
      </c>
    </row>
    <row r="612" spans="8:9" x14ac:dyDescent="0.25">
      <c r="H612" s="8">
        <v>609</v>
      </c>
      <c r="I612" s="7" t="s">
        <v>675</v>
      </c>
    </row>
    <row r="613" spans="8:9" x14ac:dyDescent="0.25">
      <c r="H613" s="8">
        <v>610</v>
      </c>
      <c r="I613" s="7" t="s">
        <v>676</v>
      </c>
    </row>
    <row r="614" spans="8:9" x14ac:dyDescent="0.25">
      <c r="H614" s="8">
        <v>611</v>
      </c>
      <c r="I614" s="7" t="s">
        <v>677</v>
      </c>
    </row>
    <row r="615" spans="8:9" x14ac:dyDescent="0.25">
      <c r="H615" s="8">
        <v>612</v>
      </c>
      <c r="I615" s="7" t="s">
        <v>678</v>
      </c>
    </row>
    <row r="616" spans="8:9" x14ac:dyDescent="0.25">
      <c r="H616" s="8">
        <v>613</v>
      </c>
      <c r="I616" s="7" t="s">
        <v>679</v>
      </c>
    </row>
    <row r="617" spans="8:9" x14ac:dyDescent="0.25">
      <c r="H617" s="8">
        <v>614</v>
      </c>
      <c r="I617" s="7" t="s">
        <v>680</v>
      </c>
    </row>
    <row r="618" spans="8:9" x14ac:dyDescent="0.25">
      <c r="H618" s="8">
        <v>615</v>
      </c>
      <c r="I618" s="7" t="s">
        <v>681</v>
      </c>
    </row>
    <row r="619" spans="8:9" x14ac:dyDescent="0.25">
      <c r="H619" s="8">
        <v>616</v>
      </c>
      <c r="I619" s="7" t="s">
        <v>682</v>
      </c>
    </row>
    <row r="620" spans="8:9" x14ac:dyDescent="0.25">
      <c r="H620" s="8">
        <v>617</v>
      </c>
      <c r="I620" s="7" t="s">
        <v>683</v>
      </c>
    </row>
    <row r="621" spans="8:9" x14ac:dyDescent="0.25">
      <c r="H621" s="8">
        <v>618</v>
      </c>
      <c r="I621" s="7" t="s">
        <v>684</v>
      </c>
    </row>
    <row r="622" spans="8:9" x14ac:dyDescent="0.25">
      <c r="H622" s="8">
        <v>619</v>
      </c>
      <c r="I622" s="7" t="s">
        <v>685</v>
      </c>
    </row>
    <row r="623" spans="8:9" x14ac:dyDescent="0.25">
      <c r="H623" s="8">
        <v>620</v>
      </c>
      <c r="I623" s="7" t="s">
        <v>686</v>
      </c>
    </row>
    <row r="624" spans="8:9" x14ac:dyDescent="0.25">
      <c r="H624" s="8">
        <v>621</v>
      </c>
      <c r="I624" s="7" t="s">
        <v>687</v>
      </c>
    </row>
    <row r="625" spans="8:9" x14ac:dyDescent="0.25">
      <c r="H625" s="8">
        <v>622</v>
      </c>
      <c r="I625" s="7" t="s">
        <v>688</v>
      </c>
    </row>
    <row r="626" spans="8:9" x14ac:dyDescent="0.25">
      <c r="H626" s="8">
        <v>623</v>
      </c>
      <c r="I626" s="7" t="s">
        <v>689</v>
      </c>
    </row>
    <row r="627" spans="8:9" x14ac:dyDescent="0.25">
      <c r="H627" s="8">
        <v>624</v>
      </c>
      <c r="I627" s="7" t="s">
        <v>690</v>
      </c>
    </row>
    <row r="628" spans="8:9" x14ac:dyDescent="0.25">
      <c r="H628" s="8">
        <v>625</v>
      </c>
      <c r="I628" s="7" t="s">
        <v>691</v>
      </c>
    </row>
    <row r="629" spans="8:9" x14ac:dyDescent="0.25">
      <c r="H629" s="8">
        <v>626</v>
      </c>
      <c r="I629" s="7" t="s">
        <v>692</v>
      </c>
    </row>
    <row r="630" spans="8:9" x14ac:dyDescent="0.25">
      <c r="H630" s="8">
        <v>627</v>
      </c>
      <c r="I630" s="7" t="s">
        <v>693</v>
      </c>
    </row>
    <row r="631" spans="8:9" x14ac:dyDescent="0.25">
      <c r="H631" s="8">
        <v>628</v>
      </c>
      <c r="I631" s="7" t="s">
        <v>694</v>
      </c>
    </row>
    <row r="632" spans="8:9" x14ac:dyDescent="0.25">
      <c r="H632" s="8">
        <v>629</v>
      </c>
      <c r="I632" s="7" t="s">
        <v>695</v>
      </c>
    </row>
    <row r="633" spans="8:9" x14ac:dyDescent="0.25">
      <c r="H633" s="8">
        <v>630</v>
      </c>
      <c r="I633" s="7" t="s">
        <v>696</v>
      </c>
    </row>
    <row r="634" spans="8:9" x14ac:dyDescent="0.25">
      <c r="H634" s="8">
        <v>631</v>
      </c>
      <c r="I634" s="7" t="s">
        <v>697</v>
      </c>
    </row>
    <row r="635" spans="8:9" x14ac:dyDescent="0.25">
      <c r="H635" s="8">
        <v>632</v>
      </c>
      <c r="I635" s="7" t="s">
        <v>698</v>
      </c>
    </row>
    <row r="636" spans="8:9" x14ac:dyDescent="0.25">
      <c r="H636" s="8">
        <v>633</v>
      </c>
      <c r="I636" s="7" t="s">
        <v>699</v>
      </c>
    </row>
    <row r="637" spans="8:9" x14ac:dyDescent="0.25">
      <c r="H637" s="8">
        <v>634</v>
      </c>
      <c r="I637" s="7" t="s">
        <v>700</v>
      </c>
    </row>
    <row r="638" spans="8:9" x14ac:dyDescent="0.25">
      <c r="H638" s="8">
        <v>635</v>
      </c>
      <c r="I638" s="7" t="s">
        <v>701</v>
      </c>
    </row>
    <row r="639" spans="8:9" x14ac:dyDescent="0.25">
      <c r="H639" s="8">
        <v>636</v>
      </c>
      <c r="I639" s="7" t="s">
        <v>702</v>
      </c>
    </row>
    <row r="640" spans="8:9" x14ac:dyDescent="0.25">
      <c r="H640" s="8">
        <v>637</v>
      </c>
      <c r="I640" s="7" t="s">
        <v>703</v>
      </c>
    </row>
    <row r="641" spans="8:9" x14ac:dyDescent="0.25">
      <c r="H641" s="8">
        <v>638</v>
      </c>
      <c r="I641" s="7" t="s">
        <v>704</v>
      </c>
    </row>
    <row r="642" spans="8:9" x14ac:dyDescent="0.25">
      <c r="H642" s="8">
        <v>639</v>
      </c>
      <c r="I642" s="7" t="s">
        <v>705</v>
      </c>
    </row>
    <row r="643" spans="8:9" x14ac:dyDescent="0.25">
      <c r="H643" s="8">
        <v>640</v>
      </c>
      <c r="I643" s="7" t="s">
        <v>706</v>
      </c>
    </row>
    <row r="644" spans="8:9" x14ac:dyDescent="0.25">
      <c r="H644" s="8">
        <v>641</v>
      </c>
      <c r="I644" s="7" t="s">
        <v>707</v>
      </c>
    </row>
    <row r="645" spans="8:9" x14ac:dyDescent="0.25">
      <c r="H645" s="8">
        <v>642</v>
      </c>
      <c r="I645" s="7" t="s">
        <v>708</v>
      </c>
    </row>
    <row r="646" spans="8:9" x14ac:dyDescent="0.25">
      <c r="H646" s="8">
        <v>643</v>
      </c>
      <c r="I646" s="7" t="s">
        <v>709</v>
      </c>
    </row>
    <row r="647" spans="8:9" x14ac:dyDescent="0.25">
      <c r="H647" s="8">
        <v>644</v>
      </c>
      <c r="I647" s="7" t="s">
        <v>710</v>
      </c>
    </row>
    <row r="648" spans="8:9" x14ac:dyDescent="0.25">
      <c r="H648" s="8">
        <v>645</v>
      </c>
      <c r="I648" s="7" t="s">
        <v>711</v>
      </c>
    </row>
    <row r="649" spans="8:9" x14ac:dyDescent="0.25">
      <c r="H649" s="8">
        <v>646</v>
      </c>
      <c r="I649" s="7" t="s">
        <v>712</v>
      </c>
    </row>
    <row r="650" spans="8:9" x14ac:dyDescent="0.25">
      <c r="H650" s="8">
        <v>647</v>
      </c>
      <c r="I650" s="7" t="s">
        <v>713</v>
      </c>
    </row>
    <row r="651" spans="8:9" x14ac:dyDescent="0.25">
      <c r="H651" s="8">
        <v>648</v>
      </c>
      <c r="I651" s="7" t="s">
        <v>714</v>
      </c>
    </row>
    <row r="652" spans="8:9" x14ac:dyDescent="0.25">
      <c r="H652" s="8">
        <v>649</v>
      </c>
      <c r="I652" s="7" t="s">
        <v>715</v>
      </c>
    </row>
    <row r="653" spans="8:9" x14ac:dyDescent="0.25">
      <c r="H653" s="8">
        <v>650</v>
      </c>
      <c r="I653" s="7" t="s">
        <v>716</v>
      </c>
    </row>
    <row r="654" spans="8:9" x14ac:dyDescent="0.25">
      <c r="H654" s="8">
        <v>651</v>
      </c>
      <c r="I654" s="7" t="s">
        <v>717</v>
      </c>
    </row>
    <row r="655" spans="8:9" x14ac:dyDescent="0.25">
      <c r="H655" s="8">
        <v>652</v>
      </c>
      <c r="I655" s="7" t="s">
        <v>718</v>
      </c>
    </row>
    <row r="656" spans="8:9" x14ac:dyDescent="0.25">
      <c r="H656" s="8">
        <v>653</v>
      </c>
      <c r="I656" s="7" t="s">
        <v>719</v>
      </c>
    </row>
    <row r="657" spans="8:9" x14ac:dyDescent="0.25">
      <c r="H657" s="8">
        <v>654</v>
      </c>
      <c r="I657" s="7" t="s">
        <v>720</v>
      </c>
    </row>
    <row r="658" spans="8:9" x14ac:dyDescent="0.25">
      <c r="H658" s="8">
        <v>655</v>
      </c>
      <c r="I658" s="7" t="s">
        <v>721</v>
      </c>
    </row>
    <row r="659" spans="8:9" x14ac:dyDescent="0.25">
      <c r="H659" s="8">
        <v>656</v>
      </c>
      <c r="I659" s="7" t="s">
        <v>722</v>
      </c>
    </row>
    <row r="660" spans="8:9" x14ac:dyDescent="0.25">
      <c r="H660" s="8">
        <v>657</v>
      </c>
      <c r="I660" s="7" t="s">
        <v>723</v>
      </c>
    </row>
    <row r="661" spans="8:9" x14ac:dyDescent="0.25">
      <c r="H661" s="8">
        <v>658</v>
      </c>
      <c r="I661" s="7" t="s">
        <v>724</v>
      </c>
    </row>
    <row r="662" spans="8:9" x14ac:dyDescent="0.25">
      <c r="H662" s="8">
        <v>659</v>
      </c>
      <c r="I662" s="7" t="s">
        <v>725</v>
      </c>
    </row>
    <row r="663" spans="8:9" x14ac:dyDescent="0.25">
      <c r="H663" s="8">
        <v>660</v>
      </c>
      <c r="I663" s="7" t="s">
        <v>726</v>
      </c>
    </row>
    <row r="664" spans="8:9" x14ac:dyDescent="0.25">
      <c r="H664" s="8">
        <v>661</v>
      </c>
      <c r="I664" s="7" t="s">
        <v>727</v>
      </c>
    </row>
    <row r="665" spans="8:9" x14ac:dyDescent="0.25">
      <c r="H665" s="8">
        <v>662</v>
      </c>
      <c r="I665" s="7" t="s">
        <v>728</v>
      </c>
    </row>
    <row r="666" spans="8:9" x14ac:dyDescent="0.25">
      <c r="H666" s="8">
        <v>663</v>
      </c>
      <c r="I666" s="7" t="s">
        <v>729</v>
      </c>
    </row>
    <row r="667" spans="8:9" x14ac:dyDescent="0.25">
      <c r="H667" s="8">
        <v>664</v>
      </c>
      <c r="I667" s="7" t="s">
        <v>730</v>
      </c>
    </row>
    <row r="668" spans="8:9" x14ac:dyDescent="0.25">
      <c r="H668" s="8">
        <v>665</v>
      </c>
      <c r="I668" s="7" t="s">
        <v>731</v>
      </c>
    </row>
    <row r="669" spans="8:9" x14ac:dyDescent="0.25">
      <c r="H669" s="8">
        <v>666</v>
      </c>
      <c r="I669" s="7" t="s">
        <v>732</v>
      </c>
    </row>
    <row r="670" spans="8:9" x14ac:dyDescent="0.25">
      <c r="H670" s="8">
        <v>667</v>
      </c>
      <c r="I670" s="7" t="s">
        <v>733</v>
      </c>
    </row>
    <row r="671" spans="8:9" x14ac:dyDescent="0.25">
      <c r="H671" s="8">
        <v>668</v>
      </c>
      <c r="I671" s="7" t="s">
        <v>734</v>
      </c>
    </row>
    <row r="672" spans="8:9" x14ac:dyDescent="0.25">
      <c r="H672" s="8">
        <v>669</v>
      </c>
      <c r="I672" s="7" t="s">
        <v>735</v>
      </c>
    </row>
    <row r="673" spans="8:9" x14ac:dyDescent="0.25">
      <c r="H673" s="8">
        <v>670</v>
      </c>
      <c r="I673" s="7" t="s">
        <v>736</v>
      </c>
    </row>
    <row r="674" spans="8:9" x14ac:dyDescent="0.25">
      <c r="H674" s="8">
        <v>671</v>
      </c>
      <c r="I674" s="7" t="s">
        <v>737</v>
      </c>
    </row>
    <row r="675" spans="8:9" x14ac:dyDescent="0.25">
      <c r="H675" s="8">
        <v>672</v>
      </c>
      <c r="I675" s="7" t="s">
        <v>738</v>
      </c>
    </row>
    <row r="676" spans="8:9" x14ac:dyDescent="0.25">
      <c r="H676" s="8">
        <v>673</v>
      </c>
      <c r="I676" s="7" t="s">
        <v>739</v>
      </c>
    </row>
    <row r="677" spans="8:9" x14ac:dyDescent="0.25">
      <c r="H677" s="8">
        <v>674</v>
      </c>
      <c r="I677" s="7" t="s">
        <v>740</v>
      </c>
    </row>
    <row r="678" spans="8:9" x14ac:dyDescent="0.25">
      <c r="H678" s="8">
        <v>675</v>
      </c>
      <c r="I678" s="7" t="s">
        <v>741</v>
      </c>
    </row>
    <row r="679" spans="8:9" x14ac:dyDescent="0.25">
      <c r="H679" s="8">
        <v>676</v>
      </c>
      <c r="I679" s="7" t="s">
        <v>742</v>
      </c>
    </row>
    <row r="680" spans="8:9" x14ac:dyDescent="0.25">
      <c r="H680" s="8">
        <v>677</v>
      </c>
      <c r="I680" s="7" t="s">
        <v>743</v>
      </c>
    </row>
    <row r="681" spans="8:9" x14ac:dyDescent="0.25">
      <c r="H681" s="8">
        <v>678</v>
      </c>
      <c r="I681" s="7" t="s">
        <v>744</v>
      </c>
    </row>
    <row r="682" spans="8:9" x14ac:dyDescent="0.25">
      <c r="H682" s="8">
        <v>679</v>
      </c>
      <c r="I682" s="7" t="s">
        <v>745</v>
      </c>
    </row>
    <row r="683" spans="8:9" x14ac:dyDescent="0.25">
      <c r="H683" s="8">
        <v>680</v>
      </c>
      <c r="I683" s="7" t="s">
        <v>746</v>
      </c>
    </row>
    <row r="684" spans="8:9" x14ac:dyDescent="0.25">
      <c r="H684" s="8">
        <v>681</v>
      </c>
      <c r="I684" s="7" t="s">
        <v>747</v>
      </c>
    </row>
    <row r="685" spans="8:9" x14ac:dyDescent="0.25">
      <c r="H685" s="8">
        <v>682</v>
      </c>
      <c r="I685" s="7" t="s">
        <v>748</v>
      </c>
    </row>
    <row r="686" spans="8:9" x14ac:dyDescent="0.25">
      <c r="H686" s="8">
        <v>683</v>
      </c>
      <c r="I686" s="7" t="s">
        <v>749</v>
      </c>
    </row>
    <row r="687" spans="8:9" x14ac:dyDescent="0.25">
      <c r="H687" s="8">
        <v>684</v>
      </c>
      <c r="I687" s="7" t="s">
        <v>750</v>
      </c>
    </row>
    <row r="688" spans="8:9" x14ac:dyDescent="0.25">
      <c r="H688" s="8">
        <v>685</v>
      </c>
      <c r="I688" s="7" t="s">
        <v>751</v>
      </c>
    </row>
    <row r="689" spans="8:9" x14ac:dyDescent="0.25">
      <c r="H689" s="8">
        <v>686</v>
      </c>
      <c r="I689" s="7" t="s">
        <v>752</v>
      </c>
    </row>
    <row r="690" spans="8:9" x14ac:dyDescent="0.25">
      <c r="H690" s="8">
        <v>687</v>
      </c>
      <c r="I690" s="7" t="s">
        <v>753</v>
      </c>
    </row>
    <row r="691" spans="8:9" x14ac:dyDescent="0.25">
      <c r="H691" s="8">
        <v>688</v>
      </c>
      <c r="I691" s="7" t="s">
        <v>754</v>
      </c>
    </row>
    <row r="692" spans="8:9" x14ac:dyDescent="0.25">
      <c r="H692" s="8">
        <v>689</v>
      </c>
      <c r="I692" s="7" t="s">
        <v>755</v>
      </c>
    </row>
    <row r="693" spans="8:9" x14ac:dyDescent="0.25">
      <c r="H693" s="8">
        <v>690</v>
      </c>
      <c r="I693" s="7" t="s">
        <v>756</v>
      </c>
    </row>
    <row r="694" spans="8:9" x14ac:dyDescent="0.25">
      <c r="H694" s="8">
        <v>691</v>
      </c>
      <c r="I694" s="7" t="s">
        <v>757</v>
      </c>
    </row>
    <row r="695" spans="8:9" x14ac:dyDescent="0.25">
      <c r="H695" s="8">
        <v>692</v>
      </c>
      <c r="I695" s="7" t="s">
        <v>758</v>
      </c>
    </row>
    <row r="696" spans="8:9" x14ac:dyDescent="0.25">
      <c r="H696" s="8">
        <v>693</v>
      </c>
      <c r="I696" s="7" t="s">
        <v>759</v>
      </c>
    </row>
    <row r="697" spans="8:9" x14ac:dyDescent="0.25">
      <c r="H697" s="8">
        <v>694</v>
      </c>
      <c r="I697" s="7" t="s">
        <v>760</v>
      </c>
    </row>
    <row r="698" spans="8:9" x14ac:dyDescent="0.25">
      <c r="H698" s="8">
        <v>695</v>
      </c>
      <c r="I698" s="7" t="s">
        <v>761</v>
      </c>
    </row>
    <row r="699" spans="8:9" x14ac:dyDescent="0.25">
      <c r="H699" s="8">
        <v>696</v>
      </c>
      <c r="I699" s="7" t="s">
        <v>762</v>
      </c>
    </row>
    <row r="700" spans="8:9" x14ac:dyDescent="0.25">
      <c r="H700" s="8">
        <v>697</v>
      </c>
      <c r="I700" s="7" t="s">
        <v>763</v>
      </c>
    </row>
    <row r="701" spans="8:9" x14ac:dyDescent="0.25">
      <c r="H701" s="8">
        <v>698</v>
      </c>
      <c r="I701" s="7" t="s">
        <v>764</v>
      </c>
    </row>
    <row r="702" spans="8:9" x14ac:dyDescent="0.25">
      <c r="H702" s="8">
        <v>699</v>
      </c>
      <c r="I702" s="7" t="s">
        <v>765</v>
      </c>
    </row>
    <row r="703" spans="8:9" x14ac:dyDescent="0.25">
      <c r="H703" s="8">
        <v>700</v>
      </c>
      <c r="I703" s="7" t="s">
        <v>766</v>
      </c>
    </row>
    <row r="704" spans="8:9" x14ac:dyDescent="0.25">
      <c r="H704" s="8">
        <v>701</v>
      </c>
      <c r="I704" s="7" t="s">
        <v>767</v>
      </c>
    </row>
    <row r="705" spans="8:9" x14ac:dyDescent="0.25">
      <c r="H705" s="8">
        <v>702</v>
      </c>
      <c r="I705" s="7" t="s">
        <v>768</v>
      </c>
    </row>
    <row r="706" spans="8:9" x14ac:dyDescent="0.25">
      <c r="H706" s="8">
        <v>703</v>
      </c>
      <c r="I706" s="7" t="s">
        <v>769</v>
      </c>
    </row>
    <row r="707" spans="8:9" x14ac:dyDescent="0.25">
      <c r="H707" s="8">
        <v>704</v>
      </c>
      <c r="I707" s="7" t="s">
        <v>770</v>
      </c>
    </row>
    <row r="708" spans="8:9" x14ac:dyDescent="0.25">
      <c r="H708" s="8">
        <v>705</v>
      </c>
      <c r="I708" s="7" t="s">
        <v>771</v>
      </c>
    </row>
    <row r="709" spans="8:9" x14ac:dyDescent="0.25">
      <c r="H709" s="8">
        <v>706</v>
      </c>
      <c r="I709" s="7" t="s">
        <v>772</v>
      </c>
    </row>
    <row r="710" spans="8:9" x14ac:dyDescent="0.25">
      <c r="H710" s="8">
        <v>707</v>
      </c>
      <c r="I710" s="7" t="s">
        <v>773</v>
      </c>
    </row>
    <row r="711" spans="8:9" x14ac:dyDescent="0.25">
      <c r="H711" s="8">
        <v>708</v>
      </c>
      <c r="I711" s="7" t="s">
        <v>774</v>
      </c>
    </row>
    <row r="712" spans="8:9" x14ac:dyDescent="0.25">
      <c r="H712" s="8">
        <v>709</v>
      </c>
      <c r="I712" s="7" t="s">
        <v>775</v>
      </c>
    </row>
    <row r="713" spans="8:9" x14ac:dyDescent="0.25">
      <c r="H713" s="8">
        <v>710</v>
      </c>
      <c r="I713" s="7" t="s">
        <v>776</v>
      </c>
    </row>
    <row r="714" spans="8:9" x14ac:dyDescent="0.25">
      <c r="H714" s="8">
        <v>711</v>
      </c>
      <c r="I714" s="7" t="s">
        <v>777</v>
      </c>
    </row>
    <row r="715" spans="8:9" x14ac:dyDescent="0.25">
      <c r="H715" s="8">
        <v>712</v>
      </c>
      <c r="I715" s="7" t="s">
        <v>778</v>
      </c>
    </row>
    <row r="716" spans="8:9" x14ac:dyDescent="0.25">
      <c r="H716" s="8">
        <v>713</v>
      </c>
      <c r="I716" s="7" t="s">
        <v>779</v>
      </c>
    </row>
    <row r="717" spans="8:9" x14ac:dyDescent="0.25">
      <c r="H717" s="8">
        <v>714</v>
      </c>
      <c r="I717" s="7" t="s">
        <v>780</v>
      </c>
    </row>
    <row r="718" spans="8:9" x14ac:dyDescent="0.25">
      <c r="H718" s="8">
        <v>715</v>
      </c>
      <c r="I718" s="7" t="s">
        <v>781</v>
      </c>
    </row>
    <row r="719" spans="8:9" x14ac:dyDescent="0.25">
      <c r="H719" s="8">
        <v>716</v>
      </c>
      <c r="I719" s="7" t="s">
        <v>782</v>
      </c>
    </row>
    <row r="720" spans="8:9" x14ac:dyDescent="0.25">
      <c r="H720" s="8">
        <v>717</v>
      </c>
      <c r="I720" s="7" t="s">
        <v>783</v>
      </c>
    </row>
    <row r="721" spans="8:9" x14ac:dyDescent="0.25">
      <c r="H721" s="8">
        <v>718</v>
      </c>
      <c r="I721" s="7" t="s">
        <v>784</v>
      </c>
    </row>
    <row r="722" spans="8:9" x14ac:dyDescent="0.25">
      <c r="H722" s="8">
        <v>719</v>
      </c>
      <c r="I722" s="7" t="s">
        <v>785</v>
      </c>
    </row>
    <row r="723" spans="8:9" x14ac:dyDescent="0.25">
      <c r="H723" s="8">
        <v>720</v>
      </c>
      <c r="I723" s="7" t="s">
        <v>786</v>
      </c>
    </row>
    <row r="724" spans="8:9" x14ac:dyDescent="0.25">
      <c r="H724" s="8">
        <v>721</v>
      </c>
      <c r="I724" s="7" t="s">
        <v>787</v>
      </c>
    </row>
    <row r="725" spans="8:9" x14ac:dyDescent="0.25">
      <c r="H725" s="8">
        <v>722</v>
      </c>
      <c r="I725" s="7" t="s">
        <v>788</v>
      </c>
    </row>
    <row r="726" spans="8:9" x14ac:dyDescent="0.25">
      <c r="H726" s="8">
        <v>723</v>
      </c>
      <c r="I726" s="7" t="s">
        <v>789</v>
      </c>
    </row>
    <row r="727" spans="8:9" x14ac:dyDescent="0.25">
      <c r="H727" s="8">
        <v>724</v>
      </c>
      <c r="I727" s="7" t="s">
        <v>790</v>
      </c>
    </row>
    <row r="728" spans="8:9" x14ac:dyDescent="0.25">
      <c r="H728" s="8">
        <v>725</v>
      </c>
      <c r="I728" s="7" t="s">
        <v>791</v>
      </c>
    </row>
    <row r="729" spans="8:9" x14ac:dyDescent="0.25">
      <c r="H729" s="8">
        <v>726</v>
      </c>
      <c r="I729" s="7" t="s">
        <v>792</v>
      </c>
    </row>
    <row r="730" spans="8:9" x14ac:dyDescent="0.25">
      <c r="H730" s="8">
        <v>727</v>
      </c>
      <c r="I730" s="7" t="s">
        <v>793</v>
      </c>
    </row>
    <row r="731" spans="8:9" x14ac:dyDescent="0.25">
      <c r="H731" s="8">
        <v>728</v>
      </c>
      <c r="I731" s="7" t="s">
        <v>794</v>
      </c>
    </row>
    <row r="732" spans="8:9" x14ac:dyDescent="0.25">
      <c r="H732" s="8">
        <v>729</v>
      </c>
      <c r="I732" s="7" t="s">
        <v>795</v>
      </c>
    </row>
    <row r="733" spans="8:9" x14ac:dyDescent="0.25">
      <c r="H733" s="8">
        <v>730</v>
      </c>
      <c r="I733" s="7" t="s">
        <v>796</v>
      </c>
    </row>
    <row r="734" spans="8:9" x14ac:dyDescent="0.25">
      <c r="H734" s="8">
        <v>731</v>
      </c>
      <c r="I734" s="7" t="s">
        <v>797</v>
      </c>
    </row>
    <row r="735" spans="8:9" x14ac:dyDescent="0.25">
      <c r="H735" s="8">
        <v>732</v>
      </c>
      <c r="I735" s="7" t="s">
        <v>798</v>
      </c>
    </row>
    <row r="736" spans="8:9" x14ac:dyDescent="0.25">
      <c r="H736" s="8">
        <v>733</v>
      </c>
      <c r="I736" s="7" t="s">
        <v>799</v>
      </c>
    </row>
    <row r="737" spans="8:9" x14ac:dyDescent="0.25">
      <c r="H737" s="8">
        <v>734</v>
      </c>
      <c r="I737" s="7" t="s">
        <v>800</v>
      </c>
    </row>
    <row r="738" spans="8:9" x14ac:dyDescent="0.25">
      <c r="H738" s="8">
        <v>735</v>
      </c>
      <c r="I738" s="7" t="s">
        <v>801</v>
      </c>
    </row>
    <row r="739" spans="8:9" x14ac:dyDescent="0.25">
      <c r="H739" s="8">
        <v>736</v>
      </c>
      <c r="I739" s="7" t="s">
        <v>802</v>
      </c>
    </row>
    <row r="740" spans="8:9" x14ac:dyDescent="0.25">
      <c r="H740" s="8">
        <v>737</v>
      </c>
      <c r="I740" s="7" t="s">
        <v>803</v>
      </c>
    </row>
    <row r="741" spans="8:9" x14ac:dyDescent="0.25">
      <c r="H741" s="8">
        <v>738</v>
      </c>
      <c r="I741" s="7" t="s">
        <v>804</v>
      </c>
    </row>
    <row r="742" spans="8:9" x14ac:dyDescent="0.25">
      <c r="H742" s="8">
        <v>739</v>
      </c>
      <c r="I742" s="7" t="s">
        <v>805</v>
      </c>
    </row>
    <row r="743" spans="8:9" x14ac:dyDescent="0.25">
      <c r="H743" s="8">
        <v>740</v>
      </c>
      <c r="I743" s="7" t="s">
        <v>806</v>
      </c>
    </row>
    <row r="744" spans="8:9" x14ac:dyDescent="0.25">
      <c r="H744" s="8">
        <v>741</v>
      </c>
      <c r="I744" s="7" t="s">
        <v>807</v>
      </c>
    </row>
    <row r="745" spans="8:9" x14ac:dyDescent="0.25">
      <c r="H745" s="8">
        <v>742</v>
      </c>
      <c r="I745" s="7" t="s">
        <v>808</v>
      </c>
    </row>
    <row r="746" spans="8:9" x14ac:dyDescent="0.25">
      <c r="H746" s="8">
        <v>743</v>
      </c>
      <c r="I746" s="7" t="s">
        <v>809</v>
      </c>
    </row>
    <row r="747" spans="8:9" x14ac:dyDescent="0.25">
      <c r="H747" s="8">
        <v>744</v>
      </c>
      <c r="I747" s="7" t="s">
        <v>810</v>
      </c>
    </row>
    <row r="748" spans="8:9" x14ac:dyDescent="0.25">
      <c r="H748" s="8">
        <v>745</v>
      </c>
      <c r="I748" s="7" t="s">
        <v>811</v>
      </c>
    </row>
    <row r="749" spans="8:9" x14ac:dyDescent="0.25">
      <c r="H749" s="8">
        <v>746</v>
      </c>
      <c r="I749" s="7" t="s">
        <v>812</v>
      </c>
    </row>
    <row r="750" spans="8:9" x14ac:dyDescent="0.25">
      <c r="H750" s="8">
        <v>747</v>
      </c>
      <c r="I750" s="7" t="s">
        <v>813</v>
      </c>
    </row>
    <row r="751" spans="8:9" x14ac:dyDescent="0.25">
      <c r="H751" s="8">
        <v>748</v>
      </c>
      <c r="I751" s="7" t="s">
        <v>814</v>
      </c>
    </row>
    <row r="752" spans="8:9" x14ac:dyDescent="0.25">
      <c r="H752" s="8">
        <v>749</v>
      </c>
      <c r="I752" s="7" t="s">
        <v>815</v>
      </c>
    </row>
    <row r="753" spans="8:9" x14ac:dyDescent="0.25">
      <c r="H753" s="8">
        <v>750</v>
      </c>
      <c r="I753" s="7" t="s">
        <v>816</v>
      </c>
    </row>
    <row r="754" spans="8:9" x14ac:dyDescent="0.25">
      <c r="H754" s="8">
        <v>751</v>
      </c>
      <c r="I754" s="7" t="s">
        <v>817</v>
      </c>
    </row>
    <row r="755" spans="8:9" x14ac:dyDescent="0.25">
      <c r="H755" s="8">
        <v>752</v>
      </c>
      <c r="I755" s="7" t="s">
        <v>818</v>
      </c>
    </row>
    <row r="756" spans="8:9" x14ac:dyDescent="0.25">
      <c r="H756" s="8">
        <v>753</v>
      </c>
      <c r="I756" s="7" t="s">
        <v>819</v>
      </c>
    </row>
    <row r="757" spans="8:9" x14ac:dyDescent="0.25">
      <c r="H757" s="8">
        <v>754</v>
      </c>
      <c r="I757" s="7" t="s">
        <v>820</v>
      </c>
    </row>
    <row r="758" spans="8:9" x14ac:dyDescent="0.25">
      <c r="H758" s="8">
        <v>755</v>
      </c>
      <c r="I758" s="7" t="s">
        <v>821</v>
      </c>
    </row>
    <row r="759" spans="8:9" x14ac:dyDescent="0.25">
      <c r="H759" s="8">
        <v>756</v>
      </c>
      <c r="I759" s="7" t="s">
        <v>822</v>
      </c>
    </row>
    <row r="760" spans="8:9" x14ac:dyDescent="0.25">
      <c r="H760" s="8">
        <v>757</v>
      </c>
      <c r="I760" s="7" t="s">
        <v>823</v>
      </c>
    </row>
    <row r="761" spans="8:9" x14ac:dyDescent="0.25">
      <c r="H761" s="8">
        <v>758</v>
      </c>
      <c r="I761" s="7" t="s">
        <v>824</v>
      </c>
    </row>
    <row r="762" spans="8:9" x14ac:dyDescent="0.25">
      <c r="H762" s="8">
        <v>759</v>
      </c>
      <c r="I762" s="7" t="s">
        <v>825</v>
      </c>
    </row>
    <row r="763" spans="8:9" x14ac:dyDescent="0.25">
      <c r="H763" s="8">
        <v>760</v>
      </c>
      <c r="I763" s="7" t="s">
        <v>826</v>
      </c>
    </row>
    <row r="764" spans="8:9" x14ac:dyDescent="0.25">
      <c r="H764" s="8">
        <v>761</v>
      </c>
      <c r="I764" s="7" t="s">
        <v>827</v>
      </c>
    </row>
    <row r="765" spans="8:9" x14ac:dyDescent="0.25">
      <c r="H765" s="8">
        <v>762</v>
      </c>
      <c r="I765" s="7" t="s">
        <v>828</v>
      </c>
    </row>
    <row r="766" spans="8:9" x14ac:dyDescent="0.25">
      <c r="H766" s="8">
        <v>763</v>
      </c>
      <c r="I766" s="7" t="s">
        <v>829</v>
      </c>
    </row>
    <row r="767" spans="8:9" x14ac:dyDescent="0.25">
      <c r="H767" s="8">
        <v>764</v>
      </c>
      <c r="I767" s="7" t="s">
        <v>830</v>
      </c>
    </row>
    <row r="768" spans="8:9" x14ac:dyDescent="0.25">
      <c r="H768" s="8">
        <v>765</v>
      </c>
      <c r="I768" s="7" t="s">
        <v>831</v>
      </c>
    </row>
    <row r="769" spans="8:9" x14ac:dyDescent="0.25">
      <c r="H769" s="8">
        <v>766</v>
      </c>
      <c r="I769" s="7" t="s">
        <v>832</v>
      </c>
    </row>
    <row r="770" spans="8:9" x14ac:dyDescent="0.25">
      <c r="H770" s="8">
        <v>767</v>
      </c>
      <c r="I770" s="7" t="s">
        <v>833</v>
      </c>
    </row>
    <row r="771" spans="8:9" x14ac:dyDescent="0.25">
      <c r="H771" s="8">
        <v>768</v>
      </c>
      <c r="I771" s="7" t="s">
        <v>834</v>
      </c>
    </row>
    <row r="772" spans="8:9" x14ac:dyDescent="0.25">
      <c r="H772" s="8">
        <v>769</v>
      </c>
      <c r="I772" s="7" t="s">
        <v>835</v>
      </c>
    </row>
    <row r="773" spans="8:9" x14ac:dyDescent="0.25">
      <c r="H773" s="8">
        <v>770</v>
      </c>
      <c r="I773" s="7" t="s">
        <v>836</v>
      </c>
    </row>
    <row r="774" spans="8:9" x14ac:dyDescent="0.25">
      <c r="H774" s="8">
        <v>771</v>
      </c>
      <c r="I774" s="7" t="s">
        <v>837</v>
      </c>
    </row>
    <row r="775" spans="8:9" x14ac:dyDescent="0.25">
      <c r="H775" s="8">
        <v>772</v>
      </c>
      <c r="I775" s="7" t="s">
        <v>838</v>
      </c>
    </row>
    <row r="776" spans="8:9" x14ac:dyDescent="0.25">
      <c r="H776" s="8">
        <v>773</v>
      </c>
      <c r="I776" s="7" t="s">
        <v>839</v>
      </c>
    </row>
    <row r="777" spans="8:9" x14ac:dyDescent="0.25">
      <c r="H777" s="8">
        <v>774</v>
      </c>
      <c r="I777" s="7" t="s">
        <v>840</v>
      </c>
    </row>
    <row r="778" spans="8:9" x14ac:dyDescent="0.25">
      <c r="H778" s="8">
        <v>775</v>
      </c>
      <c r="I778" s="7" t="s">
        <v>841</v>
      </c>
    </row>
    <row r="779" spans="8:9" x14ac:dyDescent="0.25">
      <c r="H779" s="8">
        <v>776</v>
      </c>
      <c r="I779" s="7" t="s">
        <v>842</v>
      </c>
    </row>
    <row r="780" spans="8:9" x14ac:dyDescent="0.25">
      <c r="H780" s="8">
        <v>777</v>
      </c>
      <c r="I780" s="7" t="s">
        <v>843</v>
      </c>
    </row>
    <row r="781" spans="8:9" x14ac:dyDescent="0.25">
      <c r="H781" s="8">
        <v>778</v>
      </c>
      <c r="I781" s="7" t="s">
        <v>844</v>
      </c>
    </row>
    <row r="782" spans="8:9" x14ac:dyDescent="0.25">
      <c r="H782" s="8">
        <v>779</v>
      </c>
      <c r="I782" s="7" t="s">
        <v>845</v>
      </c>
    </row>
    <row r="783" spans="8:9" x14ac:dyDescent="0.25">
      <c r="H783" s="8">
        <v>780</v>
      </c>
      <c r="I783" s="7" t="s">
        <v>846</v>
      </c>
    </row>
    <row r="784" spans="8:9" x14ac:dyDescent="0.25">
      <c r="H784" s="8">
        <v>781</v>
      </c>
      <c r="I784" s="7" t="s">
        <v>847</v>
      </c>
    </row>
    <row r="785" spans="8:9" x14ac:dyDescent="0.25">
      <c r="H785" s="8">
        <v>782</v>
      </c>
      <c r="I785" s="7" t="s">
        <v>848</v>
      </c>
    </row>
    <row r="786" spans="8:9" x14ac:dyDescent="0.25">
      <c r="H786" s="8">
        <v>783</v>
      </c>
      <c r="I786" s="7" t="s">
        <v>849</v>
      </c>
    </row>
    <row r="787" spans="8:9" x14ac:dyDescent="0.25">
      <c r="H787" s="8">
        <v>784</v>
      </c>
      <c r="I787" s="7" t="s">
        <v>850</v>
      </c>
    </row>
    <row r="788" spans="8:9" x14ac:dyDescent="0.25">
      <c r="H788" s="8">
        <v>785</v>
      </c>
      <c r="I788" s="7" t="s">
        <v>851</v>
      </c>
    </row>
    <row r="789" spans="8:9" x14ac:dyDescent="0.25">
      <c r="H789" s="8">
        <v>786</v>
      </c>
      <c r="I789" s="7" t="s">
        <v>852</v>
      </c>
    </row>
    <row r="790" spans="8:9" x14ac:dyDescent="0.25">
      <c r="H790" s="8">
        <v>787</v>
      </c>
      <c r="I790" s="7" t="s">
        <v>853</v>
      </c>
    </row>
    <row r="791" spans="8:9" x14ac:dyDescent="0.25">
      <c r="H791" s="8">
        <v>788</v>
      </c>
      <c r="I791" s="7" t="s">
        <v>854</v>
      </c>
    </row>
    <row r="792" spans="8:9" x14ac:dyDescent="0.25">
      <c r="H792" s="8">
        <v>789</v>
      </c>
      <c r="I792" s="7" t="s">
        <v>855</v>
      </c>
    </row>
    <row r="793" spans="8:9" x14ac:dyDescent="0.25">
      <c r="H793" s="8">
        <v>790</v>
      </c>
      <c r="I793" s="7" t="s">
        <v>856</v>
      </c>
    </row>
    <row r="794" spans="8:9" x14ac:dyDescent="0.25">
      <c r="H794" s="8">
        <v>791</v>
      </c>
      <c r="I794" s="7" t="s">
        <v>857</v>
      </c>
    </row>
    <row r="795" spans="8:9" x14ac:dyDescent="0.25">
      <c r="H795" s="8">
        <v>792</v>
      </c>
      <c r="I795" s="7" t="s">
        <v>858</v>
      </c>
    </row>
    <row r="796" spans="8:9" x14ac:dyDescent="0.25">
      <c r="H796" s="8">
        <v>793</v>
      </c>
      <c r="I796" s="7" t="s">
        <v>859</v>
      </c>
    </row>
    <row r="797" spans="8:9" x14ac:dyDescent="0.25">
      <c r="H797" s="8">
        <v>794</v>
      </c>
      <c r="I797" s="7" t="s">
        <v>860</v>
      </c>
    </row>
    <row r="798" spans="8:9" x14ac:dyDescent="0.25">
      <c r="H798" s="8">
        <v>795</v>
      </c>
      <c r="I798" s="7" t="s">
        <v>861</v>
      </c>
    </row>
    <row r="799" spans="8:9" x14ac:dyDescent="0.25">
      <c r="H799" s="8">
        <v>796</v>
      </c>
      <c r="I799" s="7" t="s">
        <v>862</v>
      </c>
    </row>
    <row r="800" spans="8:9" x14ac:dyDescent="0.25">
      <c r="H800" s="8">
        <v>797</v>
      </c>
      <c r="I800" s="7" t="s">
        <v>863</v>
      </c>
    </row>
    <row r="801" spans="8:9" x14ac:dyDescent="0.25">
      <c r="H801" s="8">
        <v>798</v>
      </c>
      <c r="I801" s="7" t="s">
        <v>864</v>
      </c>
    </row>
    <row r="802" spans="8:9" x14ac:dyDescent="0.25">
      <c r="H802" s="8">
        <v>799</v>
      </c>
      <c r="I802" s="7" t="s">
        <v>865</v>
      </c>
    </row>
    <row r="803" spans="8:9" x14ac:dyDescent="0.25">
      <c r="H803" s="8">
        <v>800</v>
      </c>
      <c r="I803" s="7" t="s">
        <v>866</v>
      </c>
    </row>
    <row r="804" spans="8:9" x14ac:dyDescent="0.25">
      <c r="H804" s="8">
        <v>801</v>
      </c>
      <c r="I804" s="7" t="s">
        <v>867</v>
      </c>
    </row>
    <row r="805" spans="8:9" x14ac:dyDescent="0.25">
      <c r="H805" s="8">
        <v>802</v>
      </c>
      <c r="I805" s="7" t="s">
        <v>868</v>
      </c>
    </row>
    <row r="806" spans="8:9" x14ac:dyDescent="0.25">
      <c r="H806" s="8">
        <v>803</v>
      </c>
      <c r="I806" s="7" t="s">
        <v>869</v>
      </c>
    </row>
    <row r="807" spans="8:9" x14ac:dyDescent="0.25">
      <c r="H807" s="8">
        <v>804</v>
      </c>
      <c r="I807" s="7" t="s">
        <v>870</v>
      </c>
    </row>
    <row r="808" spans="8:9" x14ac:dyDescent="0.25">
      <c r="H808" s="8">
        <v>805</v>
      </c>
      <c r="I808" s="7" t="s">
        <v>871</v>
      </c>
    </row>
    <row r="809" spans="8:9" x14ac:dyDescent="0.25">
      <c r="H809" s="8">
        <v>806</v>
      </c>
      <c r="I809" s="7" t="s">
        <v>872</v>
      </c>
    </row>
    <row r="810" spans="8:9" x14ac:dyDescent="0.25">
      <c r="H810" s="8">
        <v>807</v>
      </c>
      <c r="I810" s="7" t="s">
        <v>873</v>
      </c>
    </row>
    <row r="811" spans="8:9" x14ac:dyDescent="0.25">
      <c r="H811" s="8">
        <v>808</v>
      </c>
      <c r="I811" s="7" t="s">
        <v>874</v>
      </c>
    </row>
    <row r="812" spans="8:9" x14ac:dyDescent="0.25">
      <c r="H812" s="8">
        <v>809</v>
      </c>
      <c r="I812" s="7" t="s">
        <v>875</v>
      </c>
    </row>
    <row r="813" spans="8:9" x14ac:dyDescent="0.25">
      <c r="H813" s="8">
        <v>810</v>
      </c>
      <c r="I813" s="7" t="s">
        <v>876</v>
      </c>
    </row>
    <row r="814" spans="8:9" x14ac:dyDescent="0.25">
      <c r="H814" s="8">
        <v>811</v>
      </c>
      <c r="I814" s="7" t="s">
        <v>877</v>
      </c>
    </row>
    <row r="815" spans="8:9" x14ac:dyDescent="0.25">
      <c r="H815" s="8">
        <v>812</v>
      </c>
      <c r="I815" s="7" t="s">
        <v>878</v>
      </c>
    </row>
    <row r="816" spans="8:9" x14ac:dyDescent="0.25">
      <c r="H816" s="8">
        <v>813</v>
      </c>
      <c r="I816" s="7" t="s">
        <v>879</v>
      </c>
    </row>
    <row r="817" spans="8:9" x14ac:dyDescent="0.25">
      <c r="H817" s="8">
        <v>814</v>
      </c>
      <c r="I817" s="7" t="s">
        <v>880</v>
      </c>
    </row>
    <row r="818" spans="8:9" x14ac:dyDescent="0.25">
      <c r="H818" s="8">
        <v>815</v>
      </c>
      <c r="I818" s="7" t="s">
        <v>881</v>
      </c>
    </row>
    <row r="819" spans="8:9" x14ac:dyDescent="0.25">
      <c r="H819" s="8">
        <v>816</v>
      </c>
      <c r="I819" s="7" t="s">
        <v>882</v>
      </c>
    </row>
    <row r="820" spans="8:9" x14ac:dyDescent="0.25">
      <c r="H820" s="8">
        <v>817</v>
      </c>
      <c r="I820" s="7" t="s">
        <v>883</v>
      </c>
    </row>
    <row r="821" spans="8:9" x14ac:dyDescent="0.25">
      <c r="H821" s="8">
        <v>818</v>
      </c>
      <c r="I821" s="7" t="s">
        <v>884</v>
      </c>
    </row>
    <row r="822" spans="8:9" x14ac:dyDescent="0.25">
      <c r="H822" s="8">
        <v>819</v>
      </c>
      <c r="I822" s="7" t="s">
        <v>885</v>
      </c>
    </row>
    <row r="823" spans="8:9" x14ac:dyDescent="0.25">
      <c r="H823" s="8">
        <v>820</v>
      </c>
      <c r="I823" s="7" t="s">
        <v>886</v>
      </c>
    </row>
    <row r="824" spans="8:9" x14ac:dyDescent="0.25">
      <c r="H824" s="8">
        <v>821</v>
      </c>
      <c r="I824" s="7" t="s">
        <v>887</v>
      </c>
    </row>
    <row r="825" spans="8:9" x14ac:dyDescent="0.25">
      <c r="H825" s="8">
        <v>822</v>
      </c>
      <c r="I825" s="7" t="s">
        <v>888</v>
      </c>
    </row>
    <row r="826" spans="8:9" x14ac:dyDescent="0.25">
      <c r="H826" s="8">
        <v>823</v>
      </c>
      <c r="I826" s="7" t="s">
        <v>889</v>
      </c>
    </row>
    <row r="827" spans="8:9" x14ac:dyDescent="0.25">
      <c r="H827" s="8">
        <v>824</v>
      </c>
      <c r="I827" s="7" t="s">
        <v>890</v>
      </c>
    </row>
    <row r="828" spans="8:9" x14ac:dyDescent="0.25">
      <c r="H828" s="8">
        <v>825</v>
      </c>
      <c r="I828" s="7" t="s">
        <v>891</v>
      </c>
    </row>
    <row r="829" spans="8:9" x14ac:dyDescent="0.25">
      <c r="H829" s="8">
        <v>826</v>
      </c>
      <c r="I829" s="7" t="s">
        <v>892</v>
      </c>
    </row>
    <row r="830" spans="8:9" x14ac:dyDescent="0.25">
      <c r="H830" s="8">
        <v>827</v>
      </c>
      <c r="I830" s="7" t="s">
        <v>893</v>
      </c>
    </row>
    <row r="831" spans="8:9" x14ac:dyDescent="0.25">
      <c r="H831" s="8">
        <v>828</v>
      </c>
      <c r="I831" s="7" t="s">
        <v>894</v>
      </c>
    </row>
    <row r="832" spans="8:9" x14ac:dyDescent="0.25">
      <c r="H832" s="8">
        <v>829</v>
      </c>
      <c r="I832" s="7" t="s">
        <v>895</v>
      </c>
    </row>
    <row r="833" spans="8:9" x14ac:dyDescent="0.25">
      <c r="H833" s="8">
        <v>830</v>
      </c>
      <c r="I833" s="7" t="s">
        <v>896</v>
      </c>
    </row>
    <row r="834" spans="8:9" x14ac:dyDescent="0.25">
      <c r="H834" s="8">
        <v>831</v>
      </c>
      <c r="I834" s="7" t="s">
        <v>897</v>
      </c>
    </row>
    <row r="835" spans="8:9" x14ac:dyDescent="0.25">
      <c r="H835" s="8">
        <v>832</v>
      </c>
      <c r="I835" s="7" t="s">
        <v>898</v>
      </c>
    </row>
    <row r="836" spans="8:9" x14ac:dyDescent="0.25">
      <c r="H836" s="8">
        <v>833</v>
      </c>
      <c r="I836" s="7" t="s">
        <v>899</v>
      </c>
    </row>
    <row r="837" spans="8:9" x14ac:dyDescent="0.25">
      <c r="H837" s="8">
        <v>834</v>
      </c>
      <c r="I837" s="7" t="s">
        <v>900</v>
      </c>
    </row>
    <row r="838" spans="8:9" x14ac:dyDescent="0.25">
      <c r="H838" s="8">
        <v>835</v>
      </c>
      <c r="I838" s="7" t="s">
        <v>901</v>
      </c>
    </row>
    <row r="839" spans="8:9" x14ac:dyDescent="0.25">
      <c r="H839" s="8">
        <v>836</v>
      </c>
      <c r="I839" s="7" t="s">
        <v>902</v>
      </c>
    </row>
    <row r="840" spans="8:9" x14ac:dyDescent="0.25">
      <c r="H840" s="8">
        <v>837</v>
      </c>
      <c r="I840" s="7" t="s">
        <v>903</v>
      </c>
    </row>
    <row r="841" spans="8:9" x14ac:dyDescent="0.25">
      <c r="H841" s="8">
        <v>838</v>
      </c>
      <c r="I841" s="7" t="s">
        <v>904</v>
      </c>
    </row>
    <row r="842" spans="8:9" x14ac:dyDescent="0.25">
      <c r="H842" s="8">
        <v>839</v>
      </c>
      <c r="I842" s="7" t="s">
        <v>905</v>
      </c>
    </row>
    <row r="843" spans="8:9" x14ac:dyDescent="0.25">
      <c r="H843" s="8">
        <v>840</v>
      </c>
      <c r="I843" s="7" t="s">
        <v>906</v>
      </c>
    </row>
    <row r="844" spans="8:9" x14ac:dyDescent="0.25">
      <c r="H844" s="8">
        <v>841</v>
      </c>
      <c r="I844" s="7" t="s">
        <v>907</v>
      </c>
    </row>
    <row r="845" spans="8:9" x14ac:dyDescent="0.25">
      <c r="H845" s="8">
        <v>842</v>
      </c>
      <c r="I845" s="7" t="s">
        <v>908</v>
      </c>
    </row>
    <row r="846" spans="8:9" x14ac:dyDescent="0.25">
      <c r="H846" s="8">
        <v>843</v>
      </c>
      <c r="I846" s="7" t="s">
        <v>909</v>
      </c>
    </row>
    <row r="847" spans="8:9" x14ac:dyDescent="0.25">
      <c r="H847" s="8">
        <v>844</v>
      </c>
      <c r="I847" s="7" t="s">
        <v>910</v>
      </c>
    </row>
    <row r="848" spans="8:9" x14ac:dyDescent="0.25">
      <c r="H848" s="8">
        <v>845</v>
      </c>
      <c r="I848" s="7" t="s">
        <v>911</v>
      </c>
    </row>
    <row r="849" spans="8:9" x14ac:dyDescent="0.25">
      <c r="H849" s="8">
        <v>846</v>
      </c>
      <c r="I849" s="7" t="s">
        <v>912</v>
      </c>
    </row>
    <row r="850" spans="8:9" x14ac:dyDescent="0.25">
      <c r="H850" s="8">
        <v>847</v>
      </c>
      <c r="I850" s="7" t="s">
        <v>913</v>
      </c>
    </row>
    <row r="851" spans="8:9" x14ac:dyDescent="0.25">
      <c r="H851" s="8">
        <v>848</v>
      </c>
      <c r="I851" s="7" t="s">
        <v>914</v>
      </c>
    </row>
    <row r="852" spans="8:9" x14ac:dyDescent="0.25">
      <c r="H852" s="8">
        <v>849</v>
      </c>
      <c r="I852" s="7" t="s">
        <v>915</v>
      </c>
    </row>
    <row r="853" spans="8:9" x14ac:dyDescent="0.25">
      <c r="H853" s="8">
        <v>850</v>
      </c>
      <c r="I853" s="7" t="s">
        <v>916</v>
      </c>
    </row>
    <row r="854" spans="8:9" x14ac:dyDescent="0.25">
      <c r="H854" s="8">
        <v>851</v>
      </c>
      <c r="I854" s="7" t="s">
        <v>917</v>
      </c>
    </row>
    <row r="855" spans="8:9" x14ac:dyDescent="0.25">
      <c r="H855" s="8">
        <v>852</v>
      </c>
      <c r="I855" s="7" t="s">
        <v>918</v>
      </c>
    </row>
    <row r="856" spans="8:9" x14ac:dyDescent="0.25">
      <c r="H856" s="8">
        <v>853</v>
      </c>
      <c r="I856" s="7" t="s">
        <v>919</v>
      </c>
    </row>
    <row r="857" spans="8:9" x14ac:dyDescent="0.25">
      <c r="H857" s="8">
        <v>854</v>
      </c>
      <c r="I857" s="7" t="s">
        <v>920</v>
      </c>
    </row>
    <row r="858" spans="8:9" x14ac:dyDescent="0.25">
      <c r="H858" s="8">
        <v>855</v>
      </c>
      <c r="I858" s="7" t="s">
        <v>921</v>
      </c>
    </row>
    <row r="859" spans="8:9" x14ac:dyDescent="0.25">
      <c r="H859" s="8">
        <v>856</v>
      </c>
      <c r="I859" s="7" t="s">
        <v>922</v>
      </c>
    </row>
    <row r="860" spans="8:9" x14ac:dyDescent="0.25">
      <c r="H860" s="8">
        <v>857</v>
      </c>
      <c r="I860" s="7" t="s">
        <v>923</v>
      </c>
    </row>
    <row r="861" spans="8:9" x14ac:dyDescent="0.25">
      <c r="H861" s="8">
        <v>858</v>
      </c>
      <c r="I861" s="7" t="s">
        <v>924</v>
      </c>
    </row>
    <row r="862" spans="8:9" x14ac:dyDescent="0.25">
      <c r="H862" s="8">
        <v>859</v>
      </c>
      <c r="I862" s="7" t="s">
        <v>925</v>
      </c>
    </row>
    <row r="863" spans="8:9" x14ac:dyDescent="0.25">
      <c r="H863" s="8">
        <v>860</v>
      </c>
      <c r="I863" s="7" t="s">
        <v>926</v>
      </c>
    </row>
    <row r="864" spans="8:9" x14ac:dyDescent="0.25">
      <c r="H864" s="8">
        <v>861</v>
      </c>
      <c r="I864" s="7" t="s">
        <v>927</v>
      </c>
    </row>
    <row r="865" spans="8:9" x14ac:dyDescent="0.25">
      <c r="H865" s="8">
        <v>862</v>
      </c>
      <c r="I865" s="7" t="s">
        <v>928</v>
      </c>
    </row>
    <row r="866" spans="8:9" x14ac:dyDescent="0.25">
      <c r="H866" s="8">
        <v>863</v>
      </c>
      <c r="I866" s="7" t="s">
        <v>929</v>
      </c>
    </row>
    <row r="867" spans="8:9" x14ac:dyDescent="0.25">
      <c r="H867" s="8">
        <v>864</v>
      </c>
      <c r="I867" s="7" t="s">
        <v>930</v>
      </c>
    </row>
    <row r="868" spans="8:9" x14ac:dyDescent="0.25">
      <c r="H868" s="8">
        <v>865</v>
      </c>
      <c r="I868" s="7" t="s">
        <v>931</v>
      </c>
    </row>
    <row r="869" spans="8:9" x14ac:dyDescent="0.25">
      <c r="H869" s="8">
        <v>866</v>
      </c>
      <c r="I869" s="7" t="s">
        <v>932</v>
      </c>
    </row>
    <row r="870" spans="8:9" x14ac:dyDescent="0.25">
      <c r="H870" s="8">
        <v>867</v>
      </c>
      <c r="I870" s="7" t="s">
        <v>933</v>
      </c>
    </row>
    <row r="871" spans="8:9" x14ac:dyDescent="0.25">
      <c r="H871" s="8">
        <v>868</v>
      </c>
      <c r="I871" s="7" t="s">
        <v>934</v>
      </c>
    </row>
    <row r="872" spans="8:9" x14ac:dyDescent="0.25">
      <c r="H872" s="8">
        <v>869</v>
      </c>
      <c r="I872" s="7" t="s">
        <v>935</v>
      </c>
    </row>
    <row r="873" spans="8:9" x14ac:dyDescent="0.25">
      <c r="H873" s="8">
        <v>870</v>
      </c>
      <c r="I873" s="7" t="s">
        <v>936</v>
      </c>
    </row>
    <row r="874" spans="8:9" x14ac:dyDescent="0.25">
      <c r="H874" s="8">
        <v>871</v>
      </c>
      <c r="I874" s="7" t="s">
        <v>937</v>
      </c>
    </row>
    <row r="875" spans="8:9" x14ac:dyDescent="0.25">
      <c r="H875" s="8">
        <v>872</v>
      </c>
      <c r="I875" s="7" t="s">
        <v>938</v>
      </c>
    </row>
    <row r="876" spans="8:9" x14ac:dyDescent="0.25">
      <c r="H876" s="8">
        <v>873</v>
      </c>
      <c r="I876" s="7" t="s">
        <v>939</v>
      </c>
    </row>
    <row r="877" spans="8:9" x14ac:dyDescent="0.25">
      <c r="H877" s="8">
        <v>874</v>
      </c>
      <c r="I877" s="7" t="s">
        <v>940</v>
      </c>
    </row>
    <row r="878" spans="8:9" x14ac:dyDescent="0.25">
      <c r="H878" s="8">
        <v>875</v>
      </c>
      <c r="I878" s="7" t="s">
        <v>941</v>
      </c>
    </row>
    <row r="879" spans="8:9" x14ac:dyDescent="0.25">
      <c r="H879" s="8">
        <v>876</v>
      </c>
      <c r="I879" s="7" t="s">
        <v>942</v>
      </c>
    </row>
    <row r="880" spans="8:9" x14ac:dyDescent="0.25">
      <c r="H880" s="8">
        <v>877</v>
      </c>
      <c r="I880" s="7" t="s">
        <v>943</v>
      </c>
    </row>
    <row r="881" spans="8:9" x14ac:dyDescent="0.25">
      <c r="H881" s="8">
        <v>878</v>
      </c>
      <c r="I881" s="7" t="s">
        <v>944</v>
      </c>
    </row>
    <row r="882" spans="8:9" x14ac:dyDescent="0.25">
      <c r="H882" s="8">
        <v>879</v>
      </c>
      <c r="I882" s="7" t="s">
        <v>945</v>
      </c>
    </row>
    <row r="883" spans="8:9" x14ac:dyDescent="0.25">
      <c r="H883" s="8">
        <v>880</v>
      </c>
      <c r="I883" s="7" t="s">
        <v>946</v>
      </c>
    </row>
    <row r="884" spans="8:9" x14ac:dyDescent="0.25">
      <c r="H884" s="8">
        <v>881</v>
      </c>
      <c r="I884" s="7" t="s">
        <v>947</v>
      </c>
    </row>
    <row r="885" spans="8:9" x14ac:dyDescent="0.25">
      <c r="H885" s="8">
        <v>882</v>
      </c>
      <c r="I885" s="7" t="s">
        <v>948</v>
      </c>
    </row>
    <row r="886" spans="8:9" x14ac:dyDescent="0.25">
      <c r="H886" s="8">
        <v>883</v>
      </c>
      <c r="I886" s="7" t="s">
        <v>949</v>
      </c>
    </row>
    <row r="887" spans="8:9" x14ac:dyDescent="0.25">
      <c r="H887" s="8">
        <v>884</v>
      </c>
      <c r="I887" s="7" t="s">
        <v>950</v>
      </c>
    </row>
    <row r="888" spans="8:9" x14ac:dyDescent="0.25">
      <c r="H888" s="8">
        <v>885</v>
      </c>
      <c r="I888" s="7" t="s">
        <v>951</v>
      </c>
    </row>
    <row r="889" spans="8:9" x14ac:dyDescent="0.25">
      <c r="H889" s="8">
        <v>886</v>
      </c>
      <c r="I889" s="7" t="s">
        <v>952</v>
      </c>
    </row>
    <row r="890" spans="8:9" x14ac:dyDescent="0.25">
      <c r="H890" s="8">
        <v>887</v>
      </c>
      <c r="I890" s="7" t="s">
        <v>953</v>
      </c>
    </row>
    <row r="891" spans="8:9" x14ac:dyDescent="0.25">
      <c r="H891" s="8">
        <v>888</v>
      </c>
      <c r="I891" s="7" t="s">
        <v>954</v>
      </c>
    </row>
    <row r="892" spans="8:9" x14ac:dyDescent="0.25">
      <c r="H892" s="8">
        <v>889</v>
      </c>
      <c r="I892" s="7" t="s">
        <v>955</v>
      </c>
    </row>
    <row r="893" spans="8:9" x14ac:dyDescent="0.25">
      <c r="H893" s="8">
        <v>890</v>
      </c>
      <c r="I893" s="7" t="s">
        <v>956</v>
      </c>
    </row>
    <row r="894" spans="8:9" x14ac:dyDescent="0.25">
      <c r="H894" s="8">
        <v>891</v>
      </c>
      <c r="I894" s="7" t="s">
        <v>957</v>
      </c>
    </row>
    <row r="895" spans="8:9" x14ac:dyDescent="0.25">
      <c r="H895" s="8">
        <v>892</v>
      </c>
      <c r="I895" s="7" t="s">
        <v>958</v>
      </c>
    </row>
    <row r="896" spans="8:9" x14ac:dyDescent="0.25">
      <c r="H896" s="8">
        <v>893</v>
      </c>
      <c r="I896" s="7" t="s">
        <v>959</v>
      </c>
    </row>
    <row r="897" spans="8:9" x14ac:dyDescent="0.25">
      <c r="H897" s="8">
        <v>894</v>
      </c>
      <c r="I897" s="7" t="s">
        <v>960</v>
      </c>
    </row>
    <row r="898" spans="8:9" x14ac:dyDescent="0.25">
      <c r="H898" s="8">
        <v>895</v>
      </c>
      <c r="I898" s="7" t="s">
        <v>961</v>
      </c>
    </row>
    <row r="899" spans="8:9" x14ac:dyDescent="0.25">
      <c r="H899" s="8">
        <v>896</v>
      </c>
      <c r="I899" s="7" t="s">
        <v>962</v>
      </c>
    </row>
    <row r="900" spans="8:9" x14ac:dyDescent="0.25">
      <c r="H900" s="8">
        <v>897</v>
      </c>
      <c r="I900" s="7" t="s">
        <v>963</v>
      </c>
    </row>
    <row r="901" spans="8:9" x14ac:dyDescent="0.25">
      <c r="H901" s="8">
        <v>898</v>
      </c>
      <c r="I901" s="7" t="s">
        <v>964</v>
      </c>
    </row>
    <row r="902" spans="8:9" x14ac:dyDescent="0.25">
      <c r="H902" s="8">
        <v>899</v>
      </c>
      <c r="I902" s="7" t="s">
        <v>965</v>
      </c>
    </row>
    <row r="903" spans="8:9" x14ac:dyDescent="0.25">
      <c r="H903" s="8">
        <v>900</v>
      </c>
      <c r="I903" s="7" t="s">
        <v>966</v>
      </c>
    </row>
    <row r="904" spans="8:9" x14ac:dyDescent="0.25">
      <c r="H904" s="8">
        <v>901</v>
      </c>
      <c r="I904" s="7" t="s">
        <v>967</v>
      </c>
    </row>
    <row r="905" spans="8:9" x14ac:dyDescent="0.25">
      <c r="H905" s="8">
        <v>902</v>
      </c>
      <c r="I905" s="7" t="s">
        <v>968</v>
      </c>
    </row>
    <row r="906" spans="8:9" x14ac:dyDescent="0.25">
      <c r="H906" s="8">
        <v>903</v>
      </c>
      <c r="I906" s="7" t="s">
        <v>969</v>
      </c>
    </row>
    <row r="907" spans="8:9" x14ac:dyDescent="0.25">
      <c r="H907" s="8">
        <v>904</v>
      </c>
      <c r="I907" s="7" t="s">
        <v>970</v>
      </c>
    </row>
    <row r="908" spans="8:9" x14ac:dyDescent="0.25">
      <c r="H908" s="8">
        <v>905</v>
      </c>
      <c r="I908" s="7" t="s">
        <v>971</v>
      </c>
    </row>
    <row r="909" spans="8:9" x14ac:dyDescent="0.25">
      <c r="H909" s="8">
        <v>906</v>
      </c>
      <c r="I909" s="7" t="s">
        <v>972</v>
      </c>
    </row>
    <row r="910" spans="8:9" x14ac:dyDescent="0.25">
      <c r="H910" s="8">
        <v>907</v>
      </c>
      <c r="I910" s="7" t="s">
        <v>973</v>
      </c>
    </row>
    <row r="911" spans="8:9" x14ac:dyDescent="0.25">
      <c r="H911" s="8">
        <v>908</v>
      </c>
      <c r="I911" s="7" t="s">
        <v>974</v>
      </c>
    </row>
    <row r="912" spans="8:9" x14ac:dyDescent="0.25">
      <c r="H912" s="8">
        <v>909</v>
      </c>
      <c r="I912" s="7" t="s">
        <v>975</v>
      </c>
    </row>
    <row r="913" spans="8:9" x14ac:dyDescent="0.25">
      <c r="H913" s="8">
        <v>910</v>
      </c>
      <c r="I913" s="7" t="s">
        <v>976</v>
      </c>
    </row>
    <row r="914" spans="8:9" x14ac:dyDescent="0.25">
      <c r="H914" s="8">
        <v>911</v>
      </c>
      <c r="I914" s="7" t="s">
        <v>977</v>
      </c>
    </row>
    <row r="915" spans="8:9" x14ac:dyDescent="0.25">
      <c r="H915" s="8">
        <v>912</v>
      </c>
      <c r="I915" s="7" t="s">
        <v>978</v>
      </c>
    </row>
    <row r="916" spans="8:9" x14ac:dyDescent="0.25">
      <c r="H916" s="8">
        <v>913</v>
      </c>
      <c r="I916" s="7" t="s">
        <v>979</v>
      </c>
    </row>
    <row r="917" spans="8:9" x14ac:dyDescent="0.25">
      <c r="H917" s="8">
        <v>914</v>
      </c>
      <c r="I917" s="7" t="s">
        <v>980</v>
      </c>
    </row>
    <row r="918" spans="8:9" x14ac:dyDescent="0.25">
      <c r="H918" s="8">
        <v>915</v>
      </c>
      <c r="I918" s="7" t="s">
        <v>981</v>
      </c>
    </row>
    <row r="919" spans="8:9" x14ac:dyDescent="0.25">
      <c r="H919" s="8">
        <v>916</v>
      </c>
      <c r="I919" s="7" t="s">
        <v>982</v>
      </c>
    </row>
    <row r="920" spans="8:9" x14ac:dyDescent="0.25">
      <c r="H920" s="8">
        <v>917</v>
      </c>
      <c r="I920" s="7" t="s">
        <v>983</v>
      </c>
    </row>
    <row r="921" spans="8:9" x14ac:dyDescent="0.25">
      <c r="H921" s="8">
        <v>918</v>
      </c>
      <c r="I921" s="7" t="s">
        <v>984</v>
      </c>
    </row>
    <row r="922" spans="8:9" x14ac:dyDescent="0.25">
      <c r="H922" s="8">
        <v>919</v>
      </c>
      <c r="I922" s="7" t="s">
        <v>985</v>
      </c>
    </row>
    <row r="923" spans="8:9" x14ac:dyDescent="0.25">
      <c r="H923" s="8">
        <v>920</v>
      </c>
      <c r="I923" s="7" t="s">
        <v>986</v>
      </c>
    </row>
    <row r="924" spans="8:9" x14ac:dyDescent="0.25">
      <c r="H924" s="8">
        <v>921</v>
      </c>
      <c r="I924" s="7" t="s">
        <v>987</v>
      </c>
    </row>
    <row r="925" spans="8:9" x14ac:dyDescent="0.25">
      <c r="H925" s="8">
        <v>922</v>
      </c>
      <c r="I925" s="7" t="s">
        <v>988</v>
      </c>
    </row>
    <row r="926" spans="8:9" x14ac:dyDescent="0.25">
      <c r="H926" s="8">
        <v>923</v>
      </c>
      <c r="I926" s="7" t="s">
        <v>989</v>
      </c>
    </row>
    <row r="927" spans="8:9" x14ac:dyDescent="0.25">
      <c r="H927" s="8">
        <v>924</v>
      </c>
      <c r="I927" s="7" t="s">
        <v>990</v>
      </c>
    </row>
    <row r="928" spans="8:9" x14ac:dyDescent="0.25">
      <c r="H928" s="8">
        <v>925</v>
      </c>
      <c r="I928" s="7" t="s">
        <v>991</v>
      </c>
    </row>
    <row r="929" spans="8:9" x14ac:dyDescent="0.25">
      <c r="H929" s="8">
        <v>926</v>
      </c>
      <c r="I929" s="7" t="s">
        <v>992</v>
      </c>
    </row>
    <row r="930" spans="8:9" x14ac:dyDescent="0.25">
      <c r="H930" s="8">
        <v>927</v>
      </c>
      <c r="I930" s="7" t="s">
        <v>993</v>
      </c>
    </row>
    <row r="931" spans="8:9" x14ac:dyDescent="0.25">
      <c r="H931" s="8">
        <v>928</v>
      </c>
      <c r="I931" s="7" t="s">
        <v>994</v>
      </c>
    </row>
    <row r="932" spans="8:9" x14ac:dyDescent="0.25">
      <c r="H932" s="8">
        <v>929</v>
      </c>
      <c r="I932" s="7" t="s">
        <v>995</v>
      </c>
    </row>
    <row r="933" spans="8:9" x14ac:dyDescent="0.25">
      <c r="H933" s="8">
        <v>930</v>
      </c>
      <c r="I933" s="7" t="s">
        <v>996</v>
      </c>
    </row>
    <row r="934" spans="8:9" x14ac:dyDescent="0.25">
      <c r="H934" s="8">
        <v>931</v>
      </c>
      <c r="I934" s="7" t="s">
        <v>997</v>
      </c>
    </row>
    <row r="935" spans="8:9" x14ac:dyDescent="0.25">
      <c r="H935" s="8">
        <v>932</v>
      </c>
      <c r="I935" s="7" t="s">
        <v>998</v>
      </c>
    </row>
    <row r="936" spans="8:9" x14ac:dyDescent="0.25">
      <c r="H936" s="8">
        <v>933</v>
      </c>
      <c r="I936" s="7" t="s">
        <v>999</v>
      </c>
    </row>
    <row r="937" spans="8:9" x14ac:dyDescent="0.25">
      <c r="H937" s="8">
        <v>934</v>
      </c>
      <c r="I937" s="7" t="s">
        <v>1000</v>
      </c>
    </row>
    <row r="938" spans="8:9" x14ac:dyDescent="0.25">
      <c r="H938" s="8">
        <v>935</v>
      </c>
      <c r="I938" s="7" t="s">
        <v>1001</v>
      </c>
    </row>
    <row r="939" spans="8:9" x14ac:dyDescent="0.25">
      <c r="H939" s="8">
        <v>936</v>
      </c>
      <c r="I939" s="7" t="s">
        <v>1002</v>
      </c>
    </row>
    <row r="940" spans="8:9" x14ac:dyDescent="0.25">
      <c r="H940" s="8">
        <v>937</v>
      </c>
      <c r="I940" s="7" t="s">
        <v>1003</v>
      </c>
    </row>
    <row r="941" spans="8:9" x14ac:dyDescent="0.25">
      <c r="H941" s="8">
        <v>938</v>
      </c>
      <c r="I941" s="7" t="s">
        <v>1004</v>
      </c>
    </row>
    <row r="942" spans="8:9" x14ac:dyDescent="0.25">
      <c r="H942" s="8">
        <v>939</v>
      </c>
      <c r="I942" s="7" t="s">
        <v>1005</v>
      </c>
    </row>
    <row r="943" spans="8:9" x14ac:dyDescent="0.25">
      <c r="H943" s="8">
        <v>940</v>
      </c>
      <c r="I943" s="7" t="s">
        <v>1006</v>
      </c>
    </row>
    <row r="944" spans="8:9" x14ac:dyDescent="0.25">
      <c r="H944" s="8">
        <v>941</v>
      </c>
      <c r="I944" s="7" t="s">
        <v>1007</v>
      </c>
    </row>
    <row r="945" spans="8:9" x14ac:dyDescent="0.25">
      <c r="H945" s="8">
        <v>942</v>
      </c>
      <c r="I945" s="7" t="s">
        <v>1008</v>
      </c>
    </row>
    <row r="946" spans="8:9" x14ac:dyDescent="0.25">
      <c r="H946" s="8">
        <v>943</v>
      </c>
      <c r="I946" s="7" t="s">
        <v>1009</v>
      </c>
    </row>
    <row r="947" spans="8:9" x14ac:dyDescent="0.25">
      <c r="H947" s="8">
        <v>944</v>
      </c>
      <c r="I947" s="7" t="s">
        <v>1010</v>
      </c>
    </row>
    <row r="948" spans="8:9" x14ac:dyDescent="0.25">
      <c r="H948" s="8">
        <v>945</v>
      </c>
      <c r="I948" s="7" t="s">
        <v>1011</v>
      </c>
    </row>
    <row r="949" spans="8:9" x14ac:dyDescent="0.25">
      <c r="H949" s="8">
        <v>946</v>
      </c>
      <c r="I949" s="7" t="s">
        <v>1012</v>
      </c>
    </row>
    <row r="950" spans="8:9" x14ac:dyDescent="0.25">
      <c r="H950" s="8">
        <v>947</v>
      </c>
      <c r="I950" s="7" t="s">
        <v>1013</v>
      </c>
    </row>
    <row r="951" spans="8:9" x14ac:dyDescent="0.25">
      <c r="H951" s="8">
        <v>948</v>
      </c>
      <c r="I951" s="7" t="s">
        <v>1014</v>
      </c>
    </row>
    <row r="952" spans="8:9" x14ac:dyDescent="0.25">
      <c r="H952" s="8">
        <v>949</v>
      </c>
      <c r="I952" s="7" t="s">
        <v>1015</v>
      </c>
    </row>
    <row r="953" spans="8:9" x14ac:dyDescent="0.25">
      <c r="H953" s="8">
        <v>950</v>
      </c>
      <c r="I953" s="7" t="s">
        <v>1016</v>
      </c>
    </row>
    <row r="954" spans="8:9" x14ac:dyDescent="0.25">
      <c r="H954" s="8">
        <v>951</v>
      </c>
      <c r="I954" s="7" t="s">
        <v>1017</v>
      </c>
    </row>
    <row r="955" spans="8:9" x14ac:dyDescent="0.25">
      <c r="H955" s="8">
        <v>952</v>
      </c>
      <c r="I955" s="7" t="s">
        <v>1018</v>
      </c>
    </row>
    <row r="956" spans="8:9" x14ac:dyDescent="0.25">
      <c r="H956" s="8">
        <v>953</v>
      </c>
      <c r="I956" s="7" t="s">
        <v>1019</v>
      </c>
    </row>
    <row r="957" spans="8:9" x14ac:dyDescent="0.25">
      <c r="H957" s="8">
        <v>954</v>
      </c>
      <c r="I957" s="7" t="s">
        <v>1020</v>
      </c>
    </row>
    <row r="958" spans="8:9" x14ac:dyDescent="0.25">
      <c r="H958" s="8">
        <v>955</v>
      </c>
      <c r="I958" s="7" t="s">
        <v>1021</v>
      </c>
    </row>
    <row r="959" spans="8:9" x14ac:dyDescent="0.25">
      <c r="H959" s="8">
        <v>956</v>
      </c>
      <c r="I959" s="7" t="s">
        <v>1022</v>
      </c>
    </row>
    <row r="960" spans="8:9" x14ac:dyDescent="0.25">
      <c r="H960" s="8">
        <v>957</v>
      </c>
      <c r="I960" s="7" t="s">
        <v>1023</v>
      </c>
    </row>
    <row r="961" spans="8:9" x14ac:dyDescent="0.25">
      <c r="H961" s="8">
        <v>958</v>
      </c>
      <c r="I961" s="7" t="s">
        <v>1024</v>
      </c>
    </row>
    <row r="962" spans="8:9" x14ac:dyDescent="0.25">
      <c r="H962" s="8">
        <v>959</v>
      </c>
      <c r="I962" s="7" t="s">
        <v>1025</v>
      </c>
    </row>
    <row r="963" spans="8:9" x14ac:dyDescent="0.25">
      <c r="H963" s="8">
        <v>960</v>
      </c>
      <c r="I963" s="7" t="s">
        <v>1026</v>
      </c>
    </row>
    <row r="964" spans="8:9" x14ac:dyDescent="0.25">
      <c r="H964" s="8">
        <v>961</v>
      </c>
      <c r="I964" s="7" t="s">
        <v>1027</v>
      </c>
    </row>
    <row r="965" spans="8:9" x14ac:dyDescent="0.25">
      <c r="H965" s="8">
        <v>962</v>
      </c>
      <c r="I965" s="7" t="s">
        <v>1028</v>
      </c>
    </row>
    <row r="966" spans="8:9" x14ac:dyDescent="0.25">
      <c r="H966" s="8">
        <v>963</v>
      </c>
      <c r="I966" s="7" t="s">
        <v>1029</v>
      </c>
    </row>
    <row r="967" spans="8:9" x14ac:dyDescent="0.25">
      <c r="H967" s="8">
        <v>964</v>
      </c>
      <c r="I967" s="7" t="s">
        <v>1030</v>
      </c>
    </row>
    <row r="968" spans="8:9" x14ac:dyDescent="0.25">
      <c r="H968" s="8">
        <v>965</v>
      </c>
      <c r="I968" s="7" t="s">
        <v>1031</v>
      </c>
    </row>
    <row r="969" spans="8:9" x14ac:dyDescent="0.25">
      <c r="H969" s="8">
        <v>966</v>
      </c>
      <c r="I969" s="7" t="s">
        <v>1032</v>
      </c>
    </row>
    <row r="970" spans="8:9" x14ac:dyDescent="0.25">
      <c r="H970" s="8">
        <v>967</v>
      </c>
      <c r="I970" s="7" t="s">
        <v>1033</v>
      </c>
    </row>
    <row r="971" spans="8:9" x14ac:dyDescent="0.25">
      <c r="H971" s="8">
        <v>968</v>
      </c>
      <c r="I971" s="7" t="s">
        <v>1034</v>
      </c>
    </row>
    <row r="972" spans="8:9" x14ac:dyDescent="0.25">
      <c r="H972" s="8">
        <v>969</v>
      </c>
      <c r="I972" s="7" t="s">
        <v>1035</v>
      </c>
    </row>
    <row r="973" spans="8:9" x14ac:dyDescent="0.25">
      <c r="H973" s="8">
        <v>970</v>
      </c>
      <c r="I973" s="7" t="s">
        <v>1036</v>
      </c>
    </row>
    <row r="974" spans="8:9" x14ac:dyDescent="0.25">
      <c r="H974" s="8">
        <v>971</v>
      </c>
      <c r="I974" s="7" t="s">
        <v>1037</v>
      </c>
    </row>
    <row r="975" spans="8:9" x14ac:dyDescent="0.25">
      <c r="H975" s="8">
        <v>972</v>
      </c>
      <c r="I975" s="7" t="s">
        <v>1038</v>
      </c>
    </row>
    <row r="976" spans="8:9" x14ac:dyDescent="0.25">
      <c r="H976" s="8">
        <v>973</v>
      </c>
      <c r="I976" s="7" t="s">
        <v>1039</v>
      </c>
    </row>
    <row r="977" spans="8:9" x14ac:dyDescent="0.25">
      <c r="H977" s="8">
        <v>974</v>
      </c>
      <c r="I977" s="7" t="s">
        <v>1040</v>
      </c>
    </row>
    <row r="978" spans="8:9" x14ac:dyDescent="0.25">
      <c r="H978" s="8">
        <v>975</v>
      </c>
      <c r="I978" s="7" t="s">
        <v>1041</v>
      </c>
    </row>
    <row r="979" spans="8:9" x14ac:dyDescent="0.25">
      <c r="H979" s="8">
        <v>976</v>
      </c>
      <c r="I979" s="7" t="s">
        <v>1042</v>
      </c>
    </row>
    <row r="980" spans="8:9" x14ac:dyDescent="0.25">
      <c r="H980" s="8">
        <v>977</v>
      </c>
      <c r="I980" s="7" t="s">
        <v>1043</v>
      </c>
    </row>
    <row r="981" spans="8:9" x14ac:dyDescent="0.25">
      <c r="H981" s="8">
        <v>978</v>
      </c>
      <c r="I981" s="7" t="s">
        <v>1044</v>
      </c>
    </row>
    <row r="982" spans="8:9" x14ac:dyDescent="0.25">
      <c r="H982" s="8">
        <v>979</v>
      </c>
      <c r="I982" s="7" t="s">
        <v>1045</v>
      </c>
    </row>
    <row r="983" spans="8:9" x14ac:dyDescent="0.25">
      <c r="H983" s="8">
        <v>980</v>
      </c>
      <c r="I983" s="7" t="s">
        <v>1046</v>
      </c>
    </row>
    <row r="984" spans="8:9" x14ac:dyDescent="0.25">
      <c r="H984" s="8">
        <v>981</v>
      </c>
      <c r="I984" s="7" t="s">
        <v>1047</v>
      </c>
    </row>
    <row r="985" spans="8:9" x14ac:dyDescent="0.25">
      <c r="H985" s="8">
        <v>982</v>
      </c>
      <c r="I985" s="7" t="s">
        <v>1048</v>
      </c>
    </row>
    <row r="986" spans="8:9" x14ac:dyDescent="0.25">
      <c r="H986" s="8">
        <v>983</v>
      </c>
      <c r="I986" s="7" t="s">
        <v>1049</v>
      </c>
    </row>
    <row r="987" spans="8:9" x14ac:dyDescent="0.25">
      <c r="H987" s="8">
        <v>984</v>
      </c>
      <c r="I987" s="7" t="s">
        <v>1050</v>
      </c>
    </row>
    <row r="988" spans="8:9" x14ac:dyDescent="0.25">
      <c r="H988" s="8">
        <v>985</v>
      </c>
      <c r="I988" s="7" t="s">
        <v>1051</v>
      </c>
    </row>
    <row r="989" spans="8:9" x14ac:dyDescent="0.25">
      <c r="H989" s="8">
        <v>986</v>
      </c>
      <c r="I989" s="7" t="s">
        <v>1052</v>
      </c>
    </row>
    <row r="990" spans="8:9" x14ac:dyDescent="0.25">
      <c r="H990" s="8">
        <v>987</v>
      </c>
      <c r="I990" s="7" t="s">
        <v>1053</v>
      </c>
    </row>
    <row r="991" spans="8:9" x14ac:dyDescent="0.25">
      <c r="H991" s="8">
        <v>988</v>
      </c>
      <c r="I991" s="7" t="s">
        <v>1054</v>
      </c>
    </row>
    <row r="992" spans="8:9" x14ac:dyDescent="0.25">
      <c r="H992" s="8">
        <v>989</v>
      </c>
      <c r="I992" s="7" t="s">
        <v>1055</v>
      </c>
    </row>
    <row r="993" spans="8:9" x14ac:dyDescent="0.25">
      <c r="H993" s="8">
        <v>990</v>
      </c>
      <c r="I993" s="7" t="s">
        <v>1056</v>
      </c>
    </row>
    <row r="994" spans="8:9" x14ac:dyDescent="0.25">
      <c r="H994" s="8">
        <v>991</v>
      </c>
      <c r="I994" s="7" t="s">
        <v>1057</v>
      </c>
    </row>
    <row r="995" spans="8:9" x14ac:dyDescent="0.25">
      <c r="H995" s="8">
        <v>992</v>
      </c>
      <c r="I995" s="7" t="s">
        <v>1058</v>
      </c>
    </row>
    <row r="996" spans="8:9" x14ac:dyDescent="0.25">
      <c r="H996" s="8">
        <v>993</v>
      </c>
      <c r="I996" s="7" t="s">
        <v>1059</v>
      </c>
    </row>
    <row r="997" spans="8:9" x14ac:dyDescent="0.25">
      <c r="H997" s="8">
        <v>994</v>
      </c>
      <c r="I997" s="7" t="s">
        <v>1060</v>
      </c>
    </row>
    <row r="998" spans="8:9" x14ac:dyDescent="0.25">
      <c r="H998" s="8">
        <v>995</v>
      </c>
      <c r="I998" s="7" t="s">
        <v>1061</v>
      </c>
    </row>
    <row r="999" spans="8:9" x14ac:dyDescent="0.25">
      <c r="H999" s="8">
        <v>996</v>
      </c>
      <c r="I999" s="7" t="s">
        <v>1062</v>
      </c>
    </row>
    <row r="1000" spans="8:9" x14ac:dyDescent="0.25">
      <c r="H1000" s="8">
        <v>997</v>
      </c>
      <c r="I1000" s="7" t="s">
        <v>1063</v>
      </c>
    </row>
    <row r="1001" spans="8:9" x14ac:dyDescent="0.25">
      <c r="H1001" s="8">
        <v>998</v>
      </c>
      <c r="I1001" s="7" t="s">
        <v>1064</v>
      </c>
    </row>
    <row r="1002" spans="8:9" x14ac:dyDescent="0.25">
      <c r="H1002" s="8">
        <v>999</v>
      </c>
      <c r="I1002" s="7" t="s">
        <v>1065</v>
      </c>
    </row>
    <row r="1003" spans="8:9" x14ac:dyDescent="0.25">
      <c r="H1003" s="8">
        <v>1000</v>
      </c>
      <c r="I1003" s="7" t="s">
        <v>1066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B1:AH129"/>
  <sheetViews>
    <sheetView topLeftCell="D1" workbookViewId="0">
      <selection activeCell="T12" sqref="T12"/>
    </sheetView>
  </sheetViews>
  <sheetFormatPr baseColWidth="10" defaultRowHeight="15" x14ac:dyDescent="0.25"/>
  <cols>
    <col min="1" max="1" width="2" customWidth="1"/>
    <col min="2" max="2" width="19.140625" customWidth="1"/>
  </cols>
  <sheetData>
    <row r="1" spans="2:34" ht="3" customHeight="1" x14ac:dyDescent="0.25"/>
    <row r="2" spans="2:34" x14ac:dyDescent="0.25">
      <c r="B2" t="s">
        <v>2108</v>
      </c>
      <c r="C2" t="s">
        <v>2109</v>
      </c>
      <c r="D2" t="s">
        <v>1205</v>
      </c>
      <c r="E2" t="s">
        <v>2107</v>
      </c>
      <c r="F2" t="s">
        <v>2110</v>
      </c>
      <c r="G2" t="s">
        <v>1068</v>
      </c>
      <c r="H2" t="s">
        <v>2111</v>
      </c>
      <c r="I2" t="s">
        <v>1106</v>
      </c>
      <c r="J2" t="s">
        <v>2112</v>
      </c>
      <c r="K2" t="s">
        <v>2113</v>
      </c>
      <c r="L2" t="s">
        <v>2114</v>
      </c>
      <c r="M2" t="s">
        <v>2102</v>
      </c>
      <c r="N2" t="s">
        <v>2115</v>
      </c>
      <c r="O2" t="s">
        <v>2116</v>
      </c>
      <c r="P2" t="s">
        <v>2117</v>
      </c>
      <c r="Q2" t="s">
        <v>2118</v>
      </c>
      <c r="R2" t="s">
        <v>2119</v>
      </c>
      <c r="S2" t="s">
        <v>2120</v>
      </c>
      <c r="T2" t="s">
        <v>2121</v>
      </c>
      <c r="U2" t="s">
        <v>2122</v>
      </c>
      <c r="V2" t="s">
        <v>2123</v>
      </c>
      <c r="W2" t="s">
        <v>1152</v>
      </c>
      <c r="X2" t="s">
        <v>2124</v>
      </c>
      <c r="Y2" t="s">
        <v>2125</v>
      </c>
      <c r="Z2" t="s">
        <v>2126</v>
      </c>
      <c r="AA2" t="s">
        <v>1419</v>
      </c>
      <c r="AB2" t="s">
        <v>2127</v>
      </c>
      <c r="AC2" t="s">
        <v>2128</v>
      </c>
      <c r="AD2" t="s">
        <v>1490</v>
      </c>
      <c r="AE2" t="s">
        <v>2129</v>
      </c>
      <c r="AF2" t="s">
        <v>2130</v>
      </c>
      <c r="AG2" t="s">
        <v>2131</v>
      </c>
      <c r="AH2" t="s">
        <v>2132</v>
      </c>
    </row>
    <row r="3" spans="2:34" x14ac:dyDescent="0.25">
      <c r="B3" t="s">
        <v>1069</v>
      </c>
      <c r="C3" t="s">
        <v>1080</v>
      </c>
      <c r="D3" t="s">
        <v>1205</v>
      </c>
      <c r="E3" t="s">
        <v>1212</v>
      </c>
      <c r="F3" t="s">
        <v>1235</v>
      </c>
      <c r="G3" t="s">
        <v>1234</v>
      </c>
      <c r="H3" t="s">
        <v>1281</v>
      </c>
      <c r="I3" t="s">
        <v>1400</v>
      </c>
      <c r="J3" t="s">
        <v>1427</v>
      </c>
      <c r="K3" t="s">
        <v>1442</v>
      </c>
      <c r="L3" t="s">
        <v>1459</v>
      </c>
      <c r="M3" t="s">
        <v>1496</v>
      </c>
      <c r="N3" t="s">
        <v>1521</v>
      </c>
      <c r="O3" t="s">
        <v>1550</v>
      </c>
      <c r="P3" t="s">
        <v>1576</v>
      </c>
      <c r="Q3" t="s">
        <v>1686</v>
      </c>
      <c r="R3" t="s">
        <v>1694</v>
      </c>
      <c r="S3" t="s">
        <v>1696</v>
      </c>
      <c r="T3" t="s">
        <v>1730</v>
      </c>
      <c r="U3" t="s">
        <v>1742</v>
      </c>
      <c r="V3" t="s">
        <v>1770</v>
      </c>
      <c r="W3" t="s">
        <v>1795</v>
      </c>
      <c r="X3" t="s">
        <v>1848</v>
      </c>
      <c r="Y3" t="s">
        <v>1885</v>
      </c>
      <c r="Z3" t="s">
        <v>1095</v>
      </c>
      <c r="AA3" t="s">
        <v>1904</v>
      </c>
      <c r="AB3" t="s">
        <v>1917</v>
      </c>
      <c r="AC3" t="s">
        <v>1918</v>
      </c>
      <c r="AD3" t="s">
        <v>1989</v>
      </c>
      <c r="AE3" t="s">
        <v>2011</v>
      </c>
      <c r="AF3" t="s">
        <v>2056</v>
      </c>
      <c r="AG3" t="s">
        <v>2091</v>
      </c>
      <c r="AH3" t="s">
        <v>2097</v>
      </c>
    </row>
    <row r="4" spans="2:34" x14ac:dyDescent="0.25">
      <c r="B4" t="s">
        <v>1070</v>
      </c>
      <c r="C4" t="s">
        <v>1081</v>
      </c>
      <c r="D4" t="s">
        <v>1206</v>
      </c>
      <c r="E4" t="s">
        <v>1213</v>
      </c>
      <c r="F4" t="s">
        <v>1236</v>
      </c>
      <c r="H4" t="s">
        <v>1282</v>
      </c>
      <c r="I4" t="s">
        <v>1401</v>
      </c>
      <c r="J4" t="s">
        <v>1428</v>
      </c>
      <c r="K4" t="s">
        <v>1443</v>
      </c>
      <c r="L4" t="s">
        <v>1460</v>
      </c>
      <c r="M4" t="s">
        <v>1497</v>
      </c>
      <c r="N4" t="s">
        <v>1522</v>
      </c>
      <c r="O4" t="s">
        <v>1551</v>
      </c>
      <c r="P4" t="s">
        <v>1577</v>
      </c>
      <c r="Q4" t="s">
        <v>1687</v>
      </c>
      <c r="R4" t="s">
        <v>1242</v>
      </c>
      <c r="S4" t="s">
        <v>1697</v>
      </c>
      <c r="T4" t="s">
        <v>1428</v>
      </c>
      <c r="U4" t="s">
        <v>1743</v>
      </c>
      <c r="V4" t="s">
        <v>1771</v>
      </c>
      <c r="W4" t="s">
        <v>1577</v>
      </c>
      <c r="X4" t="s">
        <v>1849</v>
      </c>
      <c r="Y4" t="s">
        <v>1801</v>
      </c>
      <c r="Z4" t="s">
        <v>1290</v>
      </c>
      <c r="AA4" t="s">
        <v>1905</v>
      </c>
      <c r="AB4" t="s">
        <v>1833</v>
      </c>
      <c r="AC4" t="s">
        <v>1919</v>
      </c>
      <c r="AD4" t="s">
        <v>1290</v>
      </c>
      <c r="AE4" t="s">
        <v>2012</v>
      </c>
      <c r="AF4" t="s">
        <v>2057</v>
      </c>
      <c r="AG4" t="s">
        <v>2092</v>
      </c>
      <c r="AH4" t="s">
        <v>2098</v>
      </c>
    </row>
    <row r="5" spans="2:34" x14ac:dyDescent="0.25">
      <c r="B5" t="s">
        <v>1071</v>
      </c>
      <c r="C5" t="s">
        <v>1082</v>
      </c>
      <c r="D5" t="s">
        <v>1207</v>
      </c>
      <c r="E5" t="s">
        <v>1214</v>
      </c>
      <c r="F5" t="s">
        <v>1237</v>
      </c>
      <c r="H5" t="s">
        <v>1283</v>
      </c>
      <c r="I5" t="s">
        <v>1402</v>
      </c>
      <c r="J5" t="s">
        <v>1429</v>
      </c>
      <c r="K5" t="s">
        <v>1444</v>
      </c>
      <c r="L5" t="s">
        <v>1094</v>
      </c>
      <c r="M5" t="s">
        <v>1498</v>
      </c>
      <c r="N5" t="s">
        <v>1523</v>
      </c>
      <c r="O5" t="s">
        <v>1290</v>
      </c>
      <c r="P5" t="s">
        <v>1578</v>
      </c>
      <c r="Q5" t="s">
        <v>1688</v>
      </c>
      <c r="R5" t="s">
        <v>1695</v>
      </c>
      <c r="S5" t="s">
        <v>1698</v>
      </c>
      <c r="T5" t="s">
        <v>1731</v>
      </c>
      <c r="U5" t="s">
        <v>1744</v>
      </c>
      <c r="V5" t="s">
        <v>1772</v>
      </c>
      <c r="W5" t="s">
        <v>1796</v>
      </c>
      <c r="X5" t="s">
        <v>1850</v>
      </c>
      <c r="Y5" t="s">
        <v>1886</v>
      </c>
      <c r="Z5" t="s">
        <v>1895</v>
      </c>
      <c r="AA5" t="s">
        <v>1461</v>
      </c>
      <c r="AC5" t="s">
        <v>1428</v>
      </c>
      <c r="AD5" t="s">
        <v>1990</v>
      </c>
      <c r="AE5" t="s">
        <v>2013</v>
      </c>
      <c r="AF5" t="s">
        <v>2058</v>
      </c>
      <c r="AG5" t="s">
        <v>2093</v>
      </c>
      <c r="AH5" t="s">
        <v>2099</v>
      </c>
    </row>
    <row r="6" spans="2:34" x14ac:dyDescent="0.25">
      <c r="B6" t="s">
        <v>1072</v>
      </c>
      <c r="C6" t="s">
        <v>1083</v>
      </c>
      <c r="D6" t="s">
        <v>1208</v>
      </c>
      <c r="E6" t="s">
        <v>1215</v>
      </c>
      <c r="F6" t="s">
        <v>1238</v>
      </c>
      <c r="H6" t="s">
        <v>1284</v>
      </c>
      <c r="I6" t="s">
        <v>1403</v>
      </c>
      <c r="J6" t="s">
        <v>1430</v>
      </c>
      <c r="K6" t="s">
        <v>1445</v>
      </c>
      <c r="L6" t="s">
        <v>1461</v>
      </c>
      <c r="M6" t="s">
        <v>1499</v>
      </c>
      <c r="N6" t="s">
        <v>1524</v>
      </c>
      <c r="O6" t="s">
        <v>1552</v>
      </c>
      <c r="P6" t="s">
        <v>1579</v>
      </c>
      <c r="Q6" t="s">
        <v>1689</v>
      </c>
      <c r="R6" t="s">
        <v>1330</v>
      </c>
      <c r="S6" t="s">
        <v>1699</v>
      </c>
      <c r="T6" t="s">
        <v>1732</v>
      </c>
      <c r="U6" t="s">
        <v>1745</v>
      </c>
      <c r="V6" t="s">
        <v>1773</v>
      </c>
      <c r="W6" t="s">
        <v>1797</v>
      </c>
      <c r="X6" t="s">
        <v>1851</v>
      </c>
      <c r="Y6" t="s">
        <v>1887</v>
      </c>
      <c r="Z6" t="s">
        <v>1896</v>
      </c>
      <c r="AA6" t="s">
        <v>1906</v>
      </c>
      <c r="AC6" t="s">
        <v>1920</v>
      </c>
      <c r="AD6" t="s">
        <v>1991</v>
      </c>
      <c r="AE6" t="s">
        <v>2014</v>
      </c>
      <c r="AF6" t="s">
        <v>2059</v>
      </c>
      <c r="AG6" t="s">
        <v>2094</v>
      </c>
      <c r="AH6" t="s">
        <v>2100</v>
      </c>
    </row>
    <row r="7" spans="2:34" x14ac:dyDescent="0.25">
      <c r="B7" t="s">
        <v>1073</v>
      </c>
      <c r="C7" t="s">
        <v>1084</v>
      </c>
      <c r="D7" t="s">
        <v>1209</v>
      </c>
      <c r="E7" t="s">
        <v>1216</v>
      </c>
      <c r="F7" t="s">
        <v>1239</v>
      </c>
      <c r="H7" t="s">
        <v>1285</v>
      </c>
      <c r="I7" t="s">
        <v>1404</v>
      </c>
      <c r="J7" t="s">
        <v>1431</v>
      </c>
      <c r="K7" t="s">
        <v>1446</v>
      </c>
      <c r="L7" t="s">
        <v>1462</v>
      </c>
      <c r="M7" t="s">
        <v>1500</v>
      </c>
      <c r="N7" t="s">
        <v>1525</v>
      </c>
      <c r="O7" t="s">
        <v>1553</v>
      </c>
      <c r="P7" t="s">
        <v>1580</v>
      </c>
      <c r="Q7" t="s">
        <v>1225</v>
      </c>
      <c r="S7" t="s">
        <v>1700</v>
      </c>
      <c r="T7" t="s">
        <v>1733</v>
      </c>
      <c r="U7" t="s">
        <v>1746</v>
      </c>
      <c r="V7" t="s">
        <v>1774</v>
      </c>
      <c r="W7" t="s">
        <v>1798</v>
      </c>
      <c r="X7" t="s">
        <v>1852</v>
      </c>
      <c r="Y7" t="s">
        <v>1888</v>
      </c>
      <c r="Z7" t="s">
        <v>1245</v>
      </c>
      <c r="AA7" t="s">
        <v>1907</v>
      </c>
      <c r="AC7" t="s">
        <v>1096</v>
      </c>
      <c r="AD7" t="s">
        <v>1992</v>
      </c>
      <c r="AE7" t="s">
        <v>2015</v>
      </c>
      <c r="AF7" t="s">
        <v>1094</v>
      </c>
      <c r="AG7" t="s">
        <v>2095</v>
      </c>
    </row>
    <row r="8" spans="2:34" x14ac:dyDescent="0.25">
      <c r="B8" t="s">
        <v>1074</v>
      </c>
      <c r="C8" t="s">
        <v>1085</v>
      </c>
      <c r="D8" t="s">
        <v>1210</v>
      </c>
      <c r="E8" t="s">
        <v>1217</v>
      </c>
      <c r="F8" t="s">
        <v>1240</v>
      </c>
      <c r="H8" t="s">
        <v>1286</v>
      </c>
      <c r="I8" t="s">
        <v>1405</v>
      </c>
      <c r="J8" t="s">
        <v>1432</v>
      </c>
      <c r="K8" t="s">
        <v>1447</v>
      </c>
      <c r="L8" t="s">
        <v>1463</v>
      </c>
      <c r="M8" t="s">
        <v>1501</v>
      </c>
      <c r="N8" t="s">
        <v>1526</v>
      </c>
      <c r="O8" t="s">
        <v>1554</v>
      </c>
      <c r="P8" t="s">
        <v>1581</v>
      </c>
      <c r="Q8" t="s">
        <v>1690</v>
      </c>
      <c r="S8" t="s">
        <v>1701</v>
      </c>
      <c r="T8" t="s">
        <v>1734</v>
      </c>
      <c r="U8" t="s">
        <v>1747</v>
      </c>
      <c r="V8" t="s">
        <v>1775</v>
      </c>
      <c r="W8" t="s">
        <v>1799</v>
      </c>
      <c r="X8" t="s">
        <v>1853</v>
      </c>
      <c r="Y8" t="s">
        <v>1889</v>
      </c>
      <c r="Z8" t="s">
        <v>1897</v>
      </c>
      <c r="AA8" t="s">
        <v>1908</v>
      </c>
      <c r="AC8" t="s">
        <v>1921</v>
      </c>
      <c r="AD8" t="s">
        <v>1993</v>
      </c>
      <c r="AE8" t="s">
        <v>2016</v>
      </c>
      <c r="AF8" t="s">
        <v>1462</v>
      </c>
      <c r="AG8" t="s">
        <v>2096</v>
      </c>
    </row>
    <row r="9" spans="2:34" x14ac:dyDescent="0.25">
      <c r="B9" t="s">
        <v>1075</v>
      </c>
      <c r="C9" t="s">
        <v>1086</v>
      </c>
      <c r="D9" t="s">
        <v>1211</v>
      </c>
      <c r="E9" t="s">
        <v>1218</v>
      </c>
      <c r="F9" t="s">
        <v>1241</v>
      </c>
      <c r="H9" t="s">
        <v>1287</v>
      </c>
      <c r="I9" t="s">
        <v>1406</v>
      </c>
      <c r="J9" t="s">
        <v>1433</v>
      </c>
      <c r="K9" t="s">
        <v>1448</v>
      </c>
      <c r="L9" t="s">
        <v>1464</v>
      </c>
      <c r="M9" t="s">
        <v>1502</v>
      </c>
      <c r="N9" t="s">
        <v>1527</v>
      </c>
      <c r="O9" t="s">
        <v>1555</v>
      </c>
      <c r="P9" t="s">
        <v>1582</v>
      </c>
      <c r="Q9" t="s">
        <v>1691</v>
      </c>
      <c r="S9" t="s">
        <v>1702</v>
      </c>
      <c r="T9" t="s">
        <v>1735</v>
      </c>
      <c r="U9" t="s">
        <v>1748</v>
      </c>
      <c r="V9" t="s">
        <v>1776</v>
      </c>
      <c r="W9" t="s">
        <v>1285</v>
      </c>
      <c r="X9" t="s">
        <v>1854</v>
      </c>
      <c r="Y9" t="s">
        <v>1890</v>
      </c>
      <c r="Z9" t="s">
        <v>1898</v>
      </c>
      <c r="AA9" t="s">
        <v>1909</v>
      </c>
      <c r="AC9" t="s">
        <v>1922</v>
      </c>
      <c r="AD9" t="s">
        <v>1994</v>
      </c>
      <c r="AE9" t="s">
        <v>2017</v>
      </c>
      <c r="AF9" t="s">
        <v>2060</v>
      </c>
    </row>
    <row r="10" spans="2:34" x14ac:dyDescent="0.25">
      <c r="B10" t="s">
        <v>1076</v>
      </c>
      <c r="C10" t="s">
        <v>1087</v>
      </c>
      <c r="E10" t="s">
        <v>1219</v>
      </c>
      <c r="F10" t="s">
        <v>1242</v>
      </c>
      <c r="H10" t="s">
        <v>1288</v>
      </c>
      <c r="I10" t="s">
        <v>1407</v>
      </c>
      <c r="J10" t="s">
        <v>1434</v>
      </c>
      <c r="K10" t="s">
        <v>1449</v>
      </c>
      <c r="L10" t="s">
        <v>1465</v>
      </c>
      <c r="M10" t="s">
        <v>1503</v>
      </c>
      <c r="N10" t="s">
        <v>1528</v>
      </c>
      <c r="O10" t="s">
        <v>1556</v>
      </c>
      <c r="P10" t="s">
        <v>1583</v>
      </c>
      <c r="Q10" t="s">
        <v>1692</v>
      </c>
      <c r="S10" t="s">
        <v>1703</v>
      </c>
      <c r="T10" t="s">
        <v>1736</v>
      </c>
      <c r="U10" t="s">
        <v>1119</v>
      </c>
      <c r="V10" t="s">
        <v>1777</v>
      </c>
      <c r="W10" t="s">
        <v>1800</v>
      </c>
      <c r="X10" t="s">
        <v>1855</v>
      </c>
      <c r="Y10" t="s">
        <v>1891</v>
      </c>
      <c r="Z10" t="s">
        <v>1899</v>
      </c>
      <c r="AA10" t="s">
        <v>1910</v>
      </c>
      <c r="AC10" t="s">
        <v>1100</v>
      </c>
      <c r="AD10" t="s">
        <v>1995</v>
      </c>
      <c r="AE10" t="s">
        <v>2018</v>
      </c>
      <c r="AF10" t="s">
        <v>2061</v>
      </c>
    </row>
    <row r="11" spans="2:34" x14ac:dyDescent="0.25">
      <c r="B11" t="s">
        <v>1077</v>
      </c>
      <c r="C11" t="s">
        <v>1088</v>
      </c>
      <c r="E11" t="s">
        <v>1220</v>
      </c>
      <c r="F11" t="s">
        <v>1243</v>
      </c>
      <c r="H11" t="s">
        <v>1289</v>
      </c>
      <c r="I11" t="s">
        <v>1408</v>
      </c>
      <c r="J11" t="s">
        <v>1435</v>
      </c>
      <c r="K11" t="s">
        <v>1450</v>
      </c>
      <c r="L11" t="s">
        <v>1466</v>
      </c>
      <c r="M11" t="s">
        <v>1504</v>
      </c>
      <c r="N11" t="s">
        <v>1529</v>
      </c>
      <c r="O11" t="s">
        <v>1557</v>
      </c>
      <c r="P11" t="s">
        <v>1584</v>
      </c>
      <c r="Q11" t="s">
        <v>1693</v>
      </c>
      <c r="S11" t="s">
        <v>1704</v>
      </c>
      <c r="T11" t="s">
        <v>1737</v>
      </c>
      <c r="U11" t="s">
        <v>1749</v>
      </c>
      <c r="V11" t="s">
        <v>1778</v>
      </c>
      <c r="W11" t="s">
        <v>1801</v>
      </c>
      <c r="X11" t="s">
        <v>1856</v>
      </c>
      <c r="Y11" t="s">
        <v>1170</v>
      </c>
      <c r="Z11" t="s">
        <v>1900</v>
      </c>
      <c r="AA11" t="s">
        <v>1911</v>
      </c>
      <c r="AC11" t="s">
        <v>1462</v>
      </c>
      <c r="AD11" t="s">
        <v>1996</v>
      </c>
      <c r="AE11" t="s">
        <v>2019</v>
      </c>
      <c r="AF11" t="s">
        <v>2062</v>
      </c>
    </row>
    <row r="12" spans="2:34" x14ac:dyDescent="0.25">
      <c r="B12" t="s">
        <v>1078</v>
      </c>
      <c r="C12" t="s">
        <v>1089</v>
      </c>
      <c r="E12" t="s">
        <v>1221</v>
      </c>
      <c r="F12" t="s">
        <v>1244</v>
      </c>
      <c r="H12" t="s">
        <v>1102</v>
      </c>
      <c r="I12" t="s">
        <v>1409</v>
      </c>
      <c r="J12" t="s">
        <v>1436</v>
      </c>
      <c r="K12" t="s">
        <v>1451</v>
      </c>
      <c r="L12" t="s">
        <v>1467</v>
      </c>
      <c r="M12" t="s">
        <v>1505</v>
      </c>
      <c r="N12" t="s">
        <v>1530</v>
      </c>
      <c r="O12" t="s">
        <v>1558</v>
      </c>
      <c r="P12" t="s">
        <v>1585</v>
      </c>
      <c r="S12" t="s">
        <v>1705</v>
      </c>
      <c r="T12" t="s">
        <v>1738</v>
      </c>
      <c r="U12" t="s">
        <v>1750</v>
      </c>
      <c r="V12" t="s">
        <v>1779</v>
      </c>
      <c r="W12" t="s">
        <v>1802</v>
      </c>
      <c r="X12" t="s">
        <v>1857</v>
      </c>
      <c r="Y12" t="s">
        <v>1892</v>
      </c>
      <c r="Z12" t="s">
        <v>1901</v>
      </c>
      <c r="AA12" t="s">
        <v>1912</v>
      </c>
      <c r="AC12" t="s">
        <v>1584</v>
      </c>
      <c r="AD12" t="s">
        <v>1997</v>
      </c>
      <c r="AE12" t="s">
        <v>2020</v>
      </c>
      <c r="AF12" t="s">
        <v>2063</v>
      </c>
    </row>
    <row r="13" spans="2:34" x14ac:dyDescent="0.25">
      <c r="B13" t="s">
        <v>1079</v>
      </c>
      <c r="C13" t="s">
        <v>1090</v>
      </c>
      <c r="E13" t="s">
        <v>1222</v>
      </c>
      <c r="F13" t="s">
        <v>1245</v>
      </c>
      <c r="H13" t="s">
        <v>1290</v>
      </c>
      <c r="I13" t="s">
        <v>1410</v>
      </c>
      <c r="J13" t="s">
        <v>1437</v>
      </c>
      <c r="K13" t="s">
        <v>1452</v>
      </c>
      <c r="L13" t="s">
        <v>1468</v>
      </c>
      <c r="M13" t="s">
        <v>1506</v>
      </c>
      <c r="N13" t="s">
        <v>1531</v>
      </c>
      <c r="O13" t="s">
        <v>1559</v>
      </c>
      <c r="P13" t="s">
        <v>1586</v>
      </c>
      <c r="S13" t="s">
        <v>1706</v>
      </c>
      <c r="T13" t="s">
        <v>1511</v>
      </c>
      <c r="U13" t="s">
        <v>1751</v>
      </c>
      <c r="V13" t="s">
        <v>1780</v>
      </c>
      <c r="W13" t="s">
        <v>1803</v>
      </c>
      <c r="X13" t="s">
        <v>1858</v>
      </c>
      <c r="Y13" t="s">
        <v>1878</v>
      </c>
      <c r="Z13" t="s">
        <v>1902</v>
      </c>
      <c r="AA13" t="s">
        <v>1913</v>
      </c>
      <c r="AC13" t="s">
        <v>1923</v>
      </c>
      <c r="AD13" t="s">
        <v>1145</v>
      </c>
      <c r="AE13" t="s">
        <v>2021</v>
      </c>
      <c r="AF13" t="s">
        <v>2064</v>
      </c>
    </row>
    <row r="14" spans="2:34" x14ac:dyDescent="0.25">
      <c r="C14" t="s">
        <v>1091</v>
      </c>
      <c r="E14" t="s">
        <v>1223</v>
      </c>
      <c r="F14" t="s">
        <v>1246</v>
      </c>
      <c r="H14" t="s">
        <v>1291</v>
      </c>
      <c r="I14" t="s">
        <v>1411</v>
      </c>
      <c r="J14" t="s">
        <v>1438</v>
      </c>
      <c r="K14" t="s">
        <v>1453</v>
      </c>
      <c r="L14" t="s">
        <v>1427</v>
      </c>
      <c r="M14" t="s">
        <v>1507</v>
      </c>
      <c r="N14" t="s">
        <v>1532</v>
      </c>
      <c r="O14" t="s">
        <v>1560</v>
      </c>
      <c r="P14" t="s">
        <v>1587</v>
      </c>
      <c r="S14" t="s">
        <v>1707</v>
      </c>
      <c r="T14" t="s">
        <v>1739</v>
      </c>
      <c r="U14" t="s">
        <v>1752</v>
      </c>
      <c r="V14" t="s">
        <v>1132</v>
      </c>
      <c r="W14" t="s">
        <v>1245</v>
      </c>
      <c r="X14" t="s">
        <v>1859</v>
      </c>
      <c r="Y14" t="s">
        <v>1893</v>
      </c>
      <c r="Z14" t="s">
        <v>1903</v>
      </c>
      <c r="AA14" t="s">
        <v>1914</v>
      </c>
      <c r="AC14" t="s">
        <v>1924</v>
      </c>
      <c r="AD14" t="s">
        <v>1998</v>
      </c>
      <c r="AE14" t="s">
        <v>2022</v>
      </c>
      <c r="AF14" t="s">
        <v>1215</v>
      </c>
    </row>
    <row r="15" spans="2:34" x14ac:dyDescent="0.25">
      <c r="C15" t="s">
        <v>1092</v>
      </c>
      <c r="E15" t="s">
        <v>1224</v>
      </c>
      <c r="F15" t="s">
        <v>1247</v>
      </c>
      <c r="H15" t="s">
        <v>1106</v>
      </c>
      <c r="I15" t="s">
        <v>1412</v>
      </c>
      <c r="J15" t="s">
        <v>1439</v>
      </c>
      <c r="K15" t="s">
        <v>1165</v>
      </c>
      <c r="L15" t="s">
        <v>1469</v>
      </c>
      <c r="M15" t="s">
        <v>1508</v>
      </c>
      <c r="N15" t="s">
        <v>1533</v>
      </c>
      <c r="O15" t="s">
        <v>1561</v>
      </c>
      <c r="P15" t="s">
        <v>1588</v>
      </c>
      <c r="S15" t="s">
        <v>1133</v>
      </c>
      <c r="T15" t="s">
        <v>1740</v>
      </c>
      <c r="U15" t="s">
        <v>1753</v>
      </c>
      <c r="V15" t="s">
        <v>1753</v>
      </c>
      <c r="W15" t="s">
        <v>1804</v>
      </c>
      <c r="X15" t="s">
        <v>1860</v>
      </c>
      <c r="Y15" t="s">
        <v>1894</v>
      </c>
      <c r="AA15" t="s">
        <v>1915</v>
      </c>
      <c r="AC15" t="s">
        <v>1925</v>
      </c>
      <c r="AD15" t="s">
        <v>1999</v>
      </c>
      <c r="AE15" t="s">
        <v>2023</v>
      </c>
      <c r="AF15" t="s">
        <v>2065</v>
      </c>
    </row>
    <row r="16" spans="2:34" x14ac:dyDescent="0.25">
      <c r="C16" t="s">
        <v>1093</v>
      </c>
      <c r="E16" t="s">
        <v>1225</v>
      </c>
      <c r="F16" t="s">
        <v>1248</v>
      </c>
      <c r="H16" t="s">
        <v>1292</v>
      </c>
      <c r="I16" t="s">
        <v>1413</v>
      </c>
      <c r="J16" t="s">
        <v>1440</v>
      </c>
      <c r="K16" t="s">
        <v>1454</v>
      </c>
      <c r="L16" t="s">
        <v>1470</v>
      </c>
      <c r="M16" t="s">
        <v>1509</v>
      </c>
      <c r="N16" t="s">
        <v>1534</v>
      </c>
      <c r="O16" t="s">
        <v>1562</v>
      </c>
      <c r="P16" t="s">
        <v>1589</v>
      </c>
      <c r="S16" t="s">
        <v>1708</v>
      </c>
      <c r="T16" t="s">
        <v>1741</v>
      </c>
      <c r="U16" t="s">
        <v>1754</v>
      </c>
      <c r="V16" t="s">
        <v>1781</v>
      </c>
      <c r="W16" t="s">
        <v>1805</v>
      </c>
      <c r="X16" t="s">
        <v>1861</v>
      </c>
      <c r="AA16" t="s">
        <v>1916</v>
      </c>
      <c r="AC16" t="s">
        <v>1926</v>
      </c>
      <c r="AD16" t="s">
        <v>2000</v>
      </c>
      <c r="AE16" t="s">
        <v>2024</v>
      </c>
      <c r="AF16" t="s">
        <v>2066</v>
      </c>
    </row>
    <row r="17" spans="3:32" x14ac:dyDescent="0.25">
      <c r="C17" t="s">
        <v>1094</v>
      </c>
      <c r="E17" t="s">
        <v>1226</v>
      </c>
      <c r="F17" t="s">
        <v>1249</v>
      </c>
      <c r="H17" t="s">
        <v>1293</v>
      </c>
      <c r="I17" t="s">
        <v>1414</v>
      </c>
      <c r="J17" t="s">
        <v>1441</v>
      </c>
      <c r="K17" t="s">
        <v>1455</v>
      </c>
      <c r="L17" t="s">
        <v>1471</v>
      </c>
      <c r="M17" t="s">
        <v>1510</v>
      </c>
      <c r="N17" t="s">
        <v>1535</v>
      </c>
      <c r="O17" t="s">
        <v>1563</v>
      </c>
      <c r="P17" t="s">
        <v>1590</v>
      </c>
      <c r="S17" t="s">
        <v>1709</v>
      </c>
      <c r="T17" t="s">
        <v>1279</v>
      </c>
      <c r="U17" t="s">
        <v>1755</v>
      </c>
      <c r="V17" t="s">
        <v>1782</v>
      </c>
      <c r="W17" t="s">
        <v>1806</v>
      </c>
      <c r="X17" t="s">
        <v>1862</v>
      </c>
      <c r="AC17" t="s">
        <v>1927</v>
      </c>
      <c r="AD17" t="s">
        <v>2001</v>
      </c>
      <c r="AE17" t="s">
        <v>2025</v>
      </c>
      <c r="AF17" t="s">
        <v>2067</v>
      </c>
    </row>
    <row r="18" spans="3:32" x14ac:dyDescent="0.25">
      <c r="C18" t="s">
        <v>1095</v>
      </c>
      <c r="E18" t="s">
        <v>1227</v>
      </c>
      <c r="F18" t="s">
        <v>1250</v>
      </c>
      <c r="H18" t="s">
        <v>1294</v>
      </c>
      <c r="I18" t="s">
        <v>1415</v>
      </c>
      <c r="J18" t="s">
        <v>1196</v>
      </c>
      <c r="K18" t="s">
        <v>1456</v>
      </c>
      <c r="L18" t="s">
        <v>1472</v>
      </c>
      <c r="M18" t="s">
        <v>1511</v>
      </c>
      <c r="N18" t="s">
        <v>1536</v>
      </c>
      <c r="O18" t="s">
        <v>1564</v>
      </c>
      <c r="P18" t="s">
        <v>1591</v>
      </c>
      <c r="S18" t="s">
        <v>1710</v>
      </c>
      <c r="U18" t="s">
        <v>1756</v>
      </c>
      <c r="V18" t="s">
        <v>1783</v>
      </c>
      <c r="W18" t="s">
        <v>1807</v>
      </c>
      <c r="X18" t="s">
        <v>1863</v>
      </c>
      <c r="AC18" t="s">
        <v>1928</v>
      </c>
      <c r="AD18" t="s">
        <v>2002</v>
      </c>
      <c r="AE18" t="s">
        <v>2026</v>
      </c>
      <c r="AF18" t="s">
        <v>2068</v>
      </c>
    </row>
    <row r="19" spans="3:32" x14ac:dyDescent="0.25">
      <c r="C19" t="s">
        <v>1096</v>
      </c>
      <c r="E19" t="s">
        <v>1165</v>
      </c>
      <c r="F19" t="s">
        <v>1251</v>
      </c>
      <c r="H19" t="s">
        <v>1295</v>
      </c>
      <c r="I19" t="s">
        <v>1416</v>
      </c>
      <c r="K19" t="s">
        <v>1457</v>
      </c>
      <c r="L19" t="s">
        <v>1473</v>
      </c>
      <c r="M19" t="s">
        <v>1512</v>
      </c>
      <c r="N19" t="s">
        <v>1537</v>
      </c>
      <c r="O19" t="s">
        <v>1565</v>
      </c>
      <c r="P19" t="s">
        <v>1592</v>
      </c>
      <c r="S19" t="s">
        <v>1711</v>
      </c>
      <c r="U19" t="s">
        <v>1757</v>
      </c>
      <c r="V19" t="s">
        <v>1784</v>
      </c>
      <c r="W19" t="s">
        <v>1808</v>
      </c>
      <c r="X19" t="s">
        <v>1864</v>
      </c>
      <c r="AC19" t="s">
        <v>1929</v>
      </c>
      <c r="AD19" t="s">
        <v>2003</v>
      </c>
      <c r="AE19" t="s">
        <v>2027</v>
      </c>
      <c r="AF19" t="s">
        <v>2069</v>
      </c>
    </row>
    <row r="20" spans="3:32" x14ac:dyDescent="0.25">
      <c r="C20" t="s">
        <v>1097</v>
      </c>
      <c r="E20" t="s">
        <v>1228</v>
      </c>
      <c r="F20" t="s">
        <v>1252</v>
      </c>
      <c r="H20" t="s">
        <v>1296</v>
      </c>
      <c r="I20" t="s">
        <v>1417</v>
      </c>
      <c r="K20" t="s">
        <v>1458</v>
      </c>
      <c r="L20" t="s">
        <v>1474</v>
      </c>
      <c r="M20" t="s">
        <v>1513</v>
      </c>
      <c r="N20" t="s">
        <v>1538</v>
      </c>
      <c r="O20" t="s">
        <v>1566</v>
      </c>
      <c r="P20" t="s">
        <v>1593</v>
      </c>
      <c r="S20" t="s">
        <v>1712</v>
      </c>
      <c r="U20" t="s">
        <v>1758</v>
      </c>
      <c r="V20" t="s">
        <v>1785</v>
      </c>
      <c r="W20" t="s">
        <v>1809</v>
      </c>
      <c r="X20" t="s">
        <v>1865</v>
      </c>
      <c r="AC20" t="s">
        <v>1554</v>
      </c>
      <c r="AD20" t="s">
        <v>2004</v>
      </c>
      <c r="AE20" t="s">
        <v>2028</v>
      </c>
      <c r="AF20" t="s">
        <v>2070</v>
      </c>
    </row>
    <row r="21" spans="3:32" x14ac:dyDescent="0.25">
      <c r="C21" t="s">
        <v>1098</v>
      </c>
      <c r="E21" t="s">
        <v>1229</v>
      </c>
      <c r="F21" t="s">
        <v>1253</v>
      </c>
      <c r="H21" t="s">
        <v>1297</v>
      </c>
      <c r="I21" t="s">
        <v>1418</v>
      </c>
      <c r="K21" t="s">
        <v>1279</v>
      </c>
      <c r="L21" t="s">
        <v>1475</v>
      </c>
      <c r="M21" t="s">
        <v>1514</v>
      </c>
      <c r="N21" t="s">
        <v>1539</v>
      </c>
      <c r="O21" t="s">
        <v>1567</v>
      </c>
      <c r="P21" t="s">
        <v>1594</v>
      </c>
      <c r="S21" t="s">
        <v>1713</v>
      </c>
      <c r="U21" t="s">
        <v>1759</v>
      </c>
      <c r="V21" t="s">
        <v>1786</v>
      </c>
      <c r="W21" t="s">
        <v>1810</v>
      </c>
      <c r="X21" t="s">
        <v>1866</v>
      </c>
      <c r="AC21" t="s">
        <v>1930</v>
      </c>
      <c r="AD21" t="s">
        <v>2005</v>
      </c>
      <c r="AE21" t="s">
        <v>2029</v>
      </c>
      <c r="AF21" t="s">
        <v>2071</v>
      </c>
    </row>
    <row r="22" spans="3:32" x14ac:dyDescent="0.25">
      <c r="C22" t="s">
        <v>1099</v>
      </c>
      <c r="E22" t="s">
        <v>1230</v>
      </c>
      <c r="F22" t="s">
        <v>1254</v>
      </c>
      <c r="H22" t="s">
        <v>1298</v>
      </c>
      <c r="I22" t="s">
        <v>1419</v>
      </c>
      <c r="L22" t="s">
        <v>1476</v>
      </c>
      <c r="M22" t="s">
        <v>1515</v>
      </c>
      <c r="N22" t="s">
        <v>1540</v>
      </c>
      <c r="O22" t="s">
        <v>1568</v>
      </c>
      <c r="P22" t="s">
        <v>1595</v>
      </c>
      <c r="S22" t="s">
        <v>1714</v>
      </c>
      <c r="U22" t="s">
        <v>1760</v>
      </c>
      <c r="V22" t="s">
        <v>1787</v>
      </c>
      <c r="W22" t="s">
        <v>1811</v>
      </c>
      <c r="X22" t="s">
        <v>1867</v>
      </c>
      <c r="AC22" t="s">
        <v>1931</v>
      </c>
      <c r="AD22" t="s">
        <v>2006</v>
      </c>
      <c r="AE22" t="s">
        <v>2030</v>
      </c>
      <c r="AF22" t="s">
        <v>2072</v>
      </c>
    </row>
    <row r="23" spans="3:32" x14ac:dyDescent="0.25">
      <c r="C23" t="s">
        <v>1100</v>
      </c>
      <c r="E23" t="s">
        <v>1231</v>
      </c>
      <c r="F23" t="s">
        <v>1255</v>
      </c>
      <c r="H23" t="s">
        <v>1299</v>
      </c>
      <c r="I23" t="s">
        <v>1420</v>
      </c>
      <c r="L23" t="s">
        <v>1477</v>
      </c>
      <c r="M23" t="s">
        <v>1516</v>
      </c>
      <c r="N23" t="s">
        <v>1541</v>
      </c>
      <c r="O23" t="s">
        <v>1569</v>
      </c>
      <c r="P23" t="s">
        <v>1596</v>
      </c>
      <c r="S23" t="s">
        <v>1715</v>
      </c>
      <c r="U23" t="s">
        <v>1761</v>
      </c>
      <c r="V23" t="s">
        <v>1788</v>
      </c>
      <c r="W23" t="s">
        <v>1468</v>
      </c>
      <c r="X23" t="s">
        <v>1868</v>
      </c>
      <c r="AC23" t="s">
        <v>1118</v>
      </c>
      <c r="AD23" t="s">
        <v>2007</v>
      </c>
      <c r="AE23" t="s">
        <v>2031</v>
      </c>
      <c r="AF23" t="s">
        <v>2073</v>
      </c>
    </row>
    <row r="24" spans="3:32" x14ac:dyDescent="0.25">
      <c r="C24" t="s">
        <v>1101</v>
      </c>
      <c r="E24" t="s">
        <v>1232</v>
      </c>
      <c r="F24" t="s">
        <v>1256</v>
      </c>
      <c r="H24" t="s">
        <v>1300</v>
      </c>
      <c r="I24" t="s">
        <v>1421</v>
      </c>
      <c r="L24" t="s">
        <v>1258</v>
      </c>
      <c r="M24" t="s">
        <v>1517</v>
      </c>
      <c r="N24" t="s">
        <v>1542</v>
      </c>
      <c r="O24" t="s">
        <v>1570</v>
      </c>
      <c r="P24" t="s">
        <v>1597</v>
      </c>
      <c r="S24" t="s">
        <v>1716</v>
      </c>
      <c r="U24" t="s">
        <v>1420</v>
      </c>
      <c r="V24" t="s">
        <v>1789</v>
      </c>
      <c r="W24" t="s">
        <v>1812</v>
      </c>
      <c r="X24" t="s">
        <v>1869</v>
      </c>
      <c r="AC24" t="s">
        <v>1932</v>
      </c>
      <c r="AD24" t="s">
        <v>1175</v>
      </c>
      <c r="AE24" t="s">
        <v>2032</v>
      </c>
      <c r="AF24" t="s">
        <v>2074</v>
      </c>
    </row>
    <row r="25" spans="3:32" x14ac:dyDescent="0.25">
      <c r="C25" t="s">
        <v>1102</v>
      </c>
      <c r="E25" t="s">
        <v>1233</v>
      </c>
      <c r="F25" t="s">
        <v>1257</v>
      </c>
      <c r="H25" t="s">
        <v>1301</v>
      </c>
      <c r="I25" t="s">
        <v>1422</v>
      </c>
      <c r="L25" t="s">
        <v>1478</v>
      </c>
      <c r="M25" t="s">
        <v>1518</v>
      </c>
      <c r="N25" t="s">
        <v>1543</v>
      </c>
      <c r="O25" t="s">
        <v>1571</v>
      </c>
      <c r="P25" t="s">
        <v>1598</v>
      </c>
      <c r="S25" t="s">
        <v>1416</v>
      </c>
      <c r="U25" t="s">
        <v>1762</v>
      </c>
      <c r="V25" t="s">
        <v>1437</v>
      </c>
      <c r="W25" t="s">
        <v>1813</v>
      </c>
      <c r="X25" t="s">
        <v>1870</v>
      </c>
      <c r="AC25" t="s">
        <v>1933</v>
      </c>
      <c r="AD25" t="s">
        <v>2008</v>
      </c>
      <c r="AE25" t="s">
        <v>2033</v>
      </c>
      <c r="AF25" t="s">
        <v>2075</v>
      </c>
    </row>
    <row r="26" spans="3:32" x14ac:dyDescent="0.25">
      <c r="C26" t="s">
        <v>1103</v>
      </c>
      <c r="F26" t="s">
        <v>1258</v>
      </c>
      <c r="H26" t="s">
        <v>1302</v>
      </c>
      <c r="I26" t="s">
        <v>1423</v>
      </c>
      <c r="L26" t="s">
        <v>1341</v>
      </c>
      <c r="M26" t="s">
        <v>1519</v>
      </c>
      <c r="N26" t="s">
        <v>1544</v>
      </c>
      <c r="O26" t="s">
        <v>1572</v>
      </c>
      <c r="P26" t="s">
        <v>1249</v>
      </c>
      <c r="S26" t="s">
        <v>1717</v>
      </c>
      <c r="U26" t="s">
        <v>1763</v>
      </c>
      <c r="V26" t="s">
        <v>1790</v>
      </c>
      <c r="W26" t="s">
        <v>1814</v>
      </c>
      <c r="X26" t="s">
        <v>1871</v>
      </c>
      <c r="AC26" t="s">
        <v>1934</v>
      </c>
      <c r="AD26" t="s">
        <v>1490</v>
      </c>
      <c r="AE26" t="s">
        <v>2034</v>
      </c>
      <c r="AF26" t="s">
        <v>1145</v>
      </c>
    </row>
    <row r="27" spans="3:32" x14ac:dyDescent="0.25">
      <c r="C27" t="s">
        <v>1104</v>
      </c>
      <c r="F27" t="s">
        <v>1259</v>
      </c>
      <c r="H27" t="s">
        <v>1303</v>
      </c>
      <c r="I27" t="s">
        <v>1424</v>
      </c>
      <c r="L27" t="s">
        <v>1479</v>
      </c>
      <c r="M27" t="s">
        <v>1520</v>
      </c>
      <c r="N27" t="s">
        <v>1418</v>
      </c>
      <c r="O27" t="s">
        <v>1169</v>
      </c>
      <c r="P27" t="s">
        <v>1599</v>
      </c>
      <c r="S27" t="s">
        <v>1718</v>
      </c>
      <c r="U27" t="s">
        <v>1764</v>
      </c>
      <c r="V27" t="s">
        <v>1791</v>
      </c>
      <c r="W27" t="s">
        <v>1815</v>
      </c>
      <c r="X27" t="s">
        <v>1872</v>
      </c>
      <c r="AC27" t="s">
        <v>1935</v>
      </c>
      <c r="AD27" t="s">
        <v>2009</v>
      </c>
      <c r="AE27" t="s">
        <v>2035</v>
      </c>
      <c r="AF27" t="s">
        <v>1073</v>
      </c>
    </row>
    <row r="28" spans="3:32" x14ac:dyDescent="0.25">
      <c r="C28" t="s">
        <v>1105</v>
      </c>
      <c r="F28" t="s">
        <v>1260</v>
      </c>
      <c r="H28" t="s">
        <v>1304</v>
      </c>
      <c r="I28" t="s">
        <v>1425</v>
      </c>
      <c r="L28" t="s">
        <v>1480</v>
      </c>
      <c r="N28" t="s">
        <v>1545</v>
      </c>
      <c r="O28" t="s">
        <v>1573</v>
      </c>
      <c r="P28" t="s">
        <v>1600</v>
      </c>
      <c r="S28" t="s">
        <v>1719</v>
      </c>
      <c r="U28" t="s">
        <v>1765</v>
      </c>
      <c r="V28" t="s">
        <v>1792</v>
      </c>
      <c r="W28" t="s">
        <v>1816</v>
      </c>
      <c r="X28" t="s">
        <v>1873</v>
      </c>
      <c r="AC28" t="s">
        <v>1936</v>
      </c>
      <c r="AD28" t="s">
        <v>2010</v>
      </c>
      <c r="AE28" t="s">
        <v>2036</v>
      </c>
      <c r="AF28" t="s">
        <v>2076</v>
      </c>
    </row>
    <row r="29" spans="3:32" x14ac:dyDescent="0.25">
      <c r="C29" t="s">
        <v>1106</v>
      </c>
      <c r="F29" t="s">
        <v>1261</v>
      </c>
      <c r="H29" t="s">
        <v>1305</v>
      </c>
      <c r="I29" t="s">
        <v>1426</v>
      </c>
      <c r="L29" t="s">
        <v>1481</v>
      </c>
      <c r="N29" t="s">
        <v>1546</v>
      </c>
      <c r="O29" t="s">
        <v>1574</v>
      </c>
      <c r="P29" t="s">
        <v>1601</v>
      </c>
      <c r="S29" t="s">
        <v>1720</v>
      </c>
      <c r="U29" t="s">
        <v>1766</v>
      </c>
      <c r="V29" t="s">
        <v>1793</v>
      </c>
      <c r="W29" t="s">
        <v>1817</v>
      </c>
      <c r="X29" t="s">
        <v>1874</v>
      </c>
      <c r="AC29" t="s">
        <v>1937</v>
      </c>
      <c r="AE29" t="s">
        <v>2037</v>
      </c>
      <c r="AF29" t="s">
        <v>2077</v>
      </c>
    </row>
    <row r="30" spans="3:32" x14ac:dyDescent="0.25">
      <c r="C30" t="s">
        <v>1107</v>
      </c>
      <c r="F30" t="s">
        <v>1262</v>
      </c>
      <c r="H30" t="s">
        <v>1306</v>
      </c>
      <c r="L30" t="s">
        <v>1482</v>
      </c>
      <c r="N30" t="s">
        <v>1547</v>
      </c>
      <c r="O30" t="s">
        <v>1575</v>
      </c>
      <c r="P30" t="s">
        <v>1602</v>
      </c>
      <c r="S30" t="s">
        <v>1721</v>
      </c>
      <c r="U30" t="s">
        <v>1767</v>
      </c>
      <c r="V30" t="s">
        <v>1519</v>
      </c>
      <c r="W30" t="s">
        <v>1818</v>
      </c>
      <c r="X30" t="s">
        <v>1078</v>
      </c>
      <c r="AC30" t="s">
        <v>1249</v>
      </c>
      <c r="AE30" t="s">
        <v>2038</v>
      </c>
      <c r="AF30" t="s">
        <v>2078</v>
      </c>
    </row>
    <row r="31" spans="3:32" x14ac:dyDescent="0.25">
      <c r="C31" t="s">
        <v>1108</v>
      </c>
      <c r="F31" t="s">
        <v>1263</v>
      </c>
      <c r="H31" t="s">
        <v>1307</v>
      </c>
      <c r="L31" t="s">
        <v>1483</v>
      </c>
      <c r="N31" t="s">
        <v>1548</v>
      </c>
      <c r="P31" t="s">
        <v>1603</v>
      </c>
      <c r="S31" t="s">
        <v>1365</v>
      </c>
      <c r="U31" t="s">
        <v>1768</v>
      </c>
      <c r="V31" t="s">
        <v>1794</v>
      </c>
      <c r="W31" t="s">
        <v>1819</v>
      </c>
      <c r="X31" t="s">
        <v>1875</v>
      </c>
      <c r="AC31" t="s">
        <v>1938</v>
      </c>
      <c r="AE31" t="s">
        <v>2039</v>
      </c>
      <c r="AF31" t="s">
        <v>1790</v>
      </c>
    </row>
    <row r="32" spans="3:32" x14ac:dyDescent="0.25">
      <c r="C32" t="s">
        <v>1109</v>
      </c>
      <c r="F32" t="s">
        <v>1264</v>
      </c>
      <c r="H32" t="s">
        <v>1308</v>
      </c>
      <c r="L32" t="s">
        <v>1484</v>
      </c>
      <c r="N32" t="s">
        <v>1549</v>
      </c>
      <c r="P32" t="s">
        <v>1604</v>
      </c>
      <c r="S32" t="s">
        <v>1722</v>
      </c>
      <c r="U32" t="s">
        <v>1769</v>
      </c>
      <c r="W32" t="s">
        <v>1820</v>
      </c>
      <c r="X32" t="s">
        <v>1876</v>
      </c>
      <c r="AC32" t="s">
        <v>1939</v>
      </c>
      <c r="AE32" t="s">
        <v>2040</v>
      </c>
      <c r="AF32" t="s">
        <v>2079</v>
      </c>
    </row>
    <row r="33" spans="3:32" x14ac:dyDescent="0.25">
      <c r="C33" t="s">
        <v>1110</v>
      </c>
      <c r="F33" t="s">
        <v>1265</v>
      </c>
      <c r="H33" t="s">
        <v>1309</v>
      </c>
      <c r="L33" t="s">
        <v>1485</v>
      </c>
      <c r="P33" t="s">
        <v>1605</v>
      </c>
      <c r="S33" t="s">
        <v>1723</v>
      </c>
      <c r="W33" t="s">
        <v>1821</v>
      </c>
      <c r="X33" t="s">
        <v>1877</v>
      </c>
      <c r="AC33" t="s">
        <v>1940</v>
      </c>
      <c r="AE33" t="s">
        <v>2041</v>
      </c>
      <c r="AF33" t="s">
        <v>2080</v>
      </c>
    </row>
    <row r="34" spans="3:32" x14ac:dyDescent="0.25">
      <c r="C34" t="s">
        <v>1111</v>
      </c>
      <c r="F34" t="s">
        <v>1266</v>
      </c>
      <c r="H34" t="s">
        <v>1310</v>
      </c>
      <c r="L34" t="s">
        <v>1486</v>
      </c>
      <c r="P34" t="s">
        <v>1606</v>
      </c>
      <c r="S34" t="s">
        <v>1724</v>
      </c>
      <c r="W34" t="s">
        <v>1822</v>
      </c>
      <c r="X34" t="s">
        <v>1649</v>
      </c>
      <c r="AC34" t="s">
        <v>1941</v>
      </c>
      <c r="AE34" t="s">
        <v>2042</v>
      </c>
      <c r="AF34" t="s">
        <v>1175</v>
      </c>
    </row>
    <row r="35" spans="3:32" x14ac:dyDescent="0.25">
      <c r="C35" t="s">
        <v>1112</v>
      </c>
      <c r="F35" t="s">
        <v>1267</v>
      </c>
      <c r="H35" t="s">
        <v>1311</v>
      </c>
      <c r="L35" t="s">
        <v>1271</v>
      </c>
      <c r="P35" t="s">
        <v>1607</v>
      </c>
      <c r="S35" t="s">
        <v>1725</v>
      </c>
      <c r="W35" t="s">
        <v>1145</v>
      </c>
      <c r="X35" t="s">
        <v>1878</v>
      </c>
      <c r="AC35" t="s">
        <v>1942</v>
      </c>
      <c r="AE35" t="s">
        <v>2043</v>
      </c>
      <c r="AF35" t="s">
        <v>2081</v>
      </c>
    </row>
    <row r="36" spans="3:32" x14ac:dyDescent="0.25">
      <c r="C36" t="s">
        <v>1113</v>
      </c>
      <c r="F36" t="s">
        <v>1268</v>
      </c>
      <c r="H36" t="s">
        <v>1312</v>
      </c>
      <c r="L36" t="s">
        <v>1487</v>
      </c>
      <c r="P36" t="s">
        <v>1608</v>
      </c>
      <c r="S36" t="s">
        <v>1726</v>
      </c>
      <c r="W36" t="s">
        <v>1823</v>
      </c>
      <c r="X36" t="s">
        <v>1879</v>
      </c>
      <c r="AC36" t="s">
        <v>1943</v>
      </c>
      <c r="AE36" t="s">
        <v>2044</v>
      </c>
      <c r="AF36" t="s">
        <v>2082</v>
      </c>
    </row>
    <row r="37" spans="3:32" x14ac:dyDescent="0.25">
      <c r="C37" t="s">
        <v>1114</v>
      </c>
      <c r="F37" t="s">
        <v>1269</v>
      </c>
      <c r="H37" t="s">
        <v>1313</v>
      </c>
      <c r="L37" t="s">
        <v>1488</v>
      </c>
      <c r="P37" t="s">
        <v>1609</v>
      </c>
      <c r="S37" t="s">
        <v>1727</v>
      </c>
      <c r="W37" t="s">
        <v>1824</v>
      </c>
      <c r="X37" t="s">
        <v>1880</v>
      </c>
      <c r="AC37" t="s">
        <v>1944</v>
      </c>
      <c r="AE37" t="s">
        <v>2045</v>
      </c>
      <c r="AF37" t="s">
        <v>2083</v>
      </c>
    </row>
    <row r="38" spans="3:32" x14ac:dyDescent="0.25">
      <c r="C38" t="s">
        <v>1115</v>
      </c>
      <c r="F38" t="s">
        <v>1270</v>
      </c>
      <c r="H38" t="s">
        <v>1314</v>
      </c>
      <c r="L38" t="s">
        <v>1489</v>
      </c>
      <c r="P38" t="s">
        <v>1610</v>
      </c>
      <c r="S38" t="s">
        <v>1728</v>
      </c>
      <c r="W38" t="s">
        <v>1825</v>
      </c>
      <c r="X38" t="s">
        <v>1881</v>
      </c>
      <c r="AC38" t="s">
        <v>1945</v>
      </c>
      <c r="AE38" t="s">
        <v>2046</v>
      </c>
      <c r="AF38" t="s">
        <v>2084</v>
      </c>
    </row>
    <row r="39" spans="3:32" x14ac:dyDescent="0.25">
      <c r="C39" t="s">
        <v>1116</v>
      </c>
      <c r="F39" t="s">
        <v>1271</v>
      </c>
      <c r="H39" t="s">
        <v>1315</v>
      </c>
      <c r="L39" t="s">
        <v>1490</v>
      </c>
      <c r="P39" t="s">
        <v>1132</v>
      </c>
      <c r="S39" t="s">
        <v>1729</v>
      </c>
      <c r="W39" t="s">
        <v>1826</v>
      </c>
      <c r="X39" t="s">
        <v>1882</v>
      </c>
      <c r="AC39" t="s">
        <v>1946</v>
      </c>
      <c r="AE39" t="s">
        <v>2047</v>
      </c>
      <c r="AF39" t="s">
        <v>2085</v>
      </c>
    </row>
    <row r="40" spans="3:32" x14ac:dyDescent="0.25">
      <c r="C40" t="s">
        <v>1117</v>
      </c>
      <c r="F40" t="s">
        <v>1272</v>
      </c>
      <c r="H40" t="s">
        <v>1316</v>
      </c>
      <c r="L40" t="s">
        <v>1491</v>
      </c>
      <c r="P40" t="s">
        <v>1611</v>
      </c>
      <c r="W40" t="s">
        <v>1827</v>
      </c>
      <c r="X40" t="s">
        <v>1191</v>
      </c>
      <c r="AC40" t="s">
        <v>1133</v>
      </c>
      <c r="AE40" t="s">
        <v>2048</v>
      </c>
      <c r="AF40" t="s">
        <v>2086</v>
      </c>
    </row>
    <row r="41" spans="3:32" x14ac:dyDescent="0.25">
      <c r="C41" t="s">
        <v>1118</v>
      </c>
      <c r="F41" t="s">
        <v>1273</v>
      </c>
      <c r="H41" t="s">
        <v>1317</v>
      </c>
      <c r="L41" t="s">
        <v>1492</v>
      </c>
      <c r="P41" t="s">
        <v>1612</v>
      </c>
      <c r="W41" t="s">
        <v>1630</v>
      </c>
      <c r="X41" t="s">
        <v>1883</v>
      </c>
      <c r="AC41" t="s">
        <v>1947</v>
      </c>
      <c r="AE41" t="s">
        <v>2049</v>
      </c>
      <c r="AF41" t="s">
        <v>2087</v>
      </c>
    </row>
    <row r="42" spans="3:32" x14ac:dyDescent="0.25">
      <c r="C42" t="s">
        <v>1119</v>
      </c>
      <c r="F42" t="s">
        <v>1274</v>
      </c>
      <c r="H42" t="s">
        <v>1318</v>
      </c>
      <c r="L42" t="s">
        <v>1493</v>
      </c>
      <c r="P42" t="s">
        <v>1613</v>
      </c>
      <c r="W42" t="s">
        <v>1152</v>
      </c>
      <c r="X42" t="s">
        <v>1884</v>
      </c>
      <c r="AC42" t="s">
        <v>1948</v>
      </c>
      <c r="AE42" t="s">
        <v>2050</v>
      </c>
      <c r="AF42" t="s">
        <v>2088</v>
      </c>
    </row>
    <row r="43" spans="3:32" x14ac:dyDescent="0.25">
      <c r="C43" t="s">
        <v>1120</v>
      </c>
      <c r="F43" t="s">
        <v>1275</v>
      </c>
      <c r="H43" t="s">
        <v>1319</v>
      </c>
      <c r="L43" t="s">
        <v>1494</v>
      </c>
      <c r="P43" t="s">
        <v>1614</v>
      </c>
      <c r="W43" t="s">
        <v>1828</v>
      </c>
      <c r="AC43" t="s">
        <v>1949</v>
      </c>
      <c r="AE43" t="s">
        <v>1174</v>
      </c>
      <c r="AF43" t="s">
        <v>2089</v>
      </c>
    </row>
    <row r="44" spans="3:32" x14ac:dyDescent="0.25">
      <c r="C44" t="s">
        <v>1121</v>
      </c>
      <c r="F44" t="s">
        <v>1276</v>
      </c>
      <c r="H44" t="s">
        <v>1320</v>
      </c>
      <c r="L44" t="s">
        <v>1495</v>
      </c>
      <c r="P44" t="s">
        <v>1615</v>
      </c>
      <c r="W44" t="s">
        <v>1829</v>
      </c>
      <c r="AC44" t="s">
        <v>1950</v>
      </c>
      <c r="AE44" t="s">
        <v>2051</v>
      </c>
      <c r="AF44" t="s">
        <v>2090</v>
      </c>
    </row>
    <row r="45" spans="3:32" x14ac:dyDescent="0.25">
      <c r="C45" t="s">
        <v>1122</v>
      </c>
      <c r="F45" t="s">
        <v>1277</v>
      </c>
      <c r="H45" t="s">
        <v>1321</v>
      </c>
      <c r="P45" t="s">
        <v>1616</v>
      </c>
      <c r="W45" t="s">
        <v>1830</v>
      </c>
      <c r="AC45" t="s">
        <v>1951</v>
      </c>
      <c r="AE45" t="s">
        <v>1489</v>
      </c>
    </row>
    <row r="46" spans="3:32" x14ac:dyDescent="0.25">
      <c r="C46" t="s">
        <v>1123</v>
      </c>
      <c r="F46" t="s">
        <v>1278</v>
      </c>
      <c r="H46" t="s">
        <v>1322</v>
      </c>
      <c r="P46" t="s">
        <v>1617</v>
      </c>
      <c r="W46" t="s">
        <v>1831</v>
      </c>
      <c r="AC46" t="s">
        <v>1952</v>
      </c>
      <c r="AE46" t="s">
        <v>2052</v>
      </c>
    </row>
    <row r="47" spans="3:32" x14ac:dyDescent="0.25">
      <c r="C47" t="s">
        <v>1124</v>
      </c>
      <c r="F47" t="s">
        <v>1279</v>
      </c>
      <c r="H47" t="s">
        <v>1323</v>
      </c>
      <c r="P47" t="s">
        <v>1618</v>
      </c>
      <c r="W47" t="s">
        <v>1832</v>
      </c>
      <c r="AC47" t="s">
        <v>1953</v>
      </c>
      <c r="AE47" t="s">
        <v>2053</v>
      </c>
    </row>
    <row r="48" spans="3:32" x14ac:dyDescent="0.25">
      <c r="C48" t="s">
        <v>1125</v>
      </c>
      <c r="F48" t="s">
        <v>1280</v>
      </c>
      <c r="H48" t="s">
        <v>1141</v>
      </c>
      <c r="P48" t="s">
        <v>1619</v>
      </c>
      <c r="W48" t="s">
        <v>1833</v>
      </c>
      <c r="AC48" t="s">
        <v>1954</v>
      </c>
      <c r="AE48" t="s">
        <v>2054</v>
      </c>
    </row>
    <row r="49" spans="3:31" x14ac:dyDescent="0.25">
      <c r="C49" t="s">
        <v>1126</v>
      </c>
      <c r="H49" t="s">
        <v>1324</v>
      </c>
      <c r="P49" t="s">
        <v>1620</v>
      </c>
      <c r="W49" t="s">
        <v>1834</v>
      </c>
      <c r="AC49" t="s">
        <v>1516</v>
      </c>
      <c r="AE49" t="s">
        <v>2055</v>
      </c>
    </row>
    <row r="50" spans="3:31" x14ac:dyDescent="0.25">
      <c r="C50" t="s">
        <v>1127</v>
      </c>
      <c r="H50" t="s">
        <v>1325</v>
      </c>
      <c r="P50" t="s">
        <v>1621</v>
      </c>
      <c r="W50" t="s">
        <v>1835</v>
      </c>
      <c r="AC50" t="s">
        <v>1955</v>
      </c>
    </row>
    <row r="51" spans="3:31" x14ac:dyDescent="0.25">
      <c r="C51" t="s">
        <v>1128</v>
      </c>
      <c r="H51" t="s">
        <v>1073</v>
      </c>
      <c r="P51" t="s">
        <v>1622</v>
      </c>
      <c r="W51" t="s">
        <v>1646</v>
      </c>
      <c r="AC51" t="s">
        <v>1956</v>
      </c>
    </row>
    <row r="52" spans="3:31" x14ac:dyDescent="0.25">
      <c r="C52" t="s">
        <v>1129</v>
      </c>
      <c r="H52" t="s">
        <v>1326</v>
      </c>
      <c r="P52" t="s">
        <v>1623</v>
      </c>
      <c r="W52" t="s">
        <v>1836</v>
      </c>
      <c r="AC52" t="s">
        <v>1957</v>
      </c>
    </row>
    <row r="53" spans="3:31" x14ac:dyDescent="0.25">
      <c r="C53" t="s">
        <v>1130</v>
      </c>
      <c r="H53" t="s">
        <v>1327</v>
      </c>
      <c r="P53" t="s">
        <v>1624</v>
      </c>
      <c r="W53" t="s">
        <v>1837</v>
      </c>
      <c r="AC53" t="s">
        <v>1958</v>
      </c>
    </row>
    <row r="54" spans="3:31" x14ac:dyDescent="0.25">
      <c r="C54" t="s">
        <v>1131</v>
      </c>
      <c r="H54" t="s">
        <v>1328</v>
      </c>
      <c r="P54" t="s">
        <v>1474</v>
      </c>
      <c r="W54" t="s">
        <v>1838</v>
      </c>
      <c r="AC54" t="s">
        <v>1959</v>
      </c>
    </row>
    <row r="55" spans="3:31" x14ac:dyDescent="0.25">
      <c r="C55" t="s">
        <v>1132</v>
      </c>
      <c r="H55" t="s">
        <v>1329</v>
      </c>
      <c r="P55" t="s">
        <v>1625</v>
      </c>
      <c r="W55" t="s">
        <v>1648</v>
      </c>
      <c r="AC55" t="s">
        <v>1960</v>
      </c>
    </row>
    <row r="56" spans="3:31" x14ac:dyDescent="0.25">
      <c r="C56" t="s">
        <v>1133</v>
      </c>
      <c r="H56" t="s">
        <v>1330</v>
      </c>
      <c r="P56" t="s">
        <v>1626</v>
      </c>
      <c r="W56" t="s">
        <v>1839</v>
      </c>
      <c r="AC56" t="s">
        <v>1961</v>
      </c>
    </row>
    <row r="57" spans="3:31" x14ac:dyDescent="0.25">
      <c r="C57" t="s">
        <v>1134</v>
      </c>
      <c r="H57" t="s">
        <v>1331</v>
      </c>
      <c r="P57" t="s">
        <v>1627</v>
      </c>
      <c r="W57" t="s">
        <v>1269</v>
      </c>
      <c r="AC57" t="s">
        <v>1962</v>
      </c>
    </row>
    <row r="58" spans="3:31" x14ac:dyDescent="0.25">
      <c r="C58" t="s">
        <v>1135</v>
      </c>
      <c r="H58" t="s">
        <v>1332</v>
      </c>
      <c r="P58" t="s">
        <v>1628</v>
      </c>
      <c r="W58" t="s">
        <v>1840</v>
      </c>
      <c r="AC58" t="s">
        <v>1963</v>
      </c>
    </row>
    <row r="59" spans="3:31" x14ac:dyDescent="0.25">
      <c r="C59" t="s">
        <v>1136</v>
      </c>
      <c r="H59" t="s">
        <v>1333</v>
      </c>
      <c r="P59" t="s">
        <v>1629</v>
      </c>
      <c r="W59" t="s">
        <v>1180</v>
      </c>
      <c r="AC59" t="s">
        <v>1964</v>
      </c>
    </row>
    <row r="60" spans="3:31" x14ac:dyDescent="0.25">
      <c r="C60" t="s">
        <v>1137</v>
      </c>
      <c r="H60" t="s">
        <v>1334</v>
      </c>
      <c r="P60" t="s">
        <v>1630</v>
      </c>
      <c r="W60" t="s">
        <v>1841</v>
      </c>
      <c r="AC60" t="s">
        <v>1965</v>
      </c>
    </row>
    <row r="61" spans="3:31" x14ac:dyDescent="0.25">
      <c r="C61" t="s">
        <v>1138</v>
      </c>
      <c r="H61" t="s">
        <v>1335</v>
      </c>
      <c r="P61" t="s">
        <v>1152</v>
      </c>
      <c r="W61" t="s">
        <v>1842</v>
      </c>
      <c r="AC61" t="s">
        <v>1966</v>
      </c>
    </row>
    <row r="62" spans="3:31" x14ac:dyDescent="0.25">
      <c r="C62" t="s">
        <v>1139</v>
      </c>
      <c r="H62" t="s">
        <v>1336</v>
      </c>
      <c r="P62" t="s">
        <v>1631</v>
      </c>
      <c r="W62" t="s">
        <v>1843</v>
      </c>
      <c r="AC62" t="s">
        <v>1967</v>
      </c>
    </row>
    <row r="63" spans="3:31" x14ac:dyDescent="0.25">
      <c r="C63" t="s">
        <v>1140</v>
      </c>
      <c r="H63" t="s">
        <v>1337</v>
      </c>
      <c r="P63" t="s">
        <v>1632</v>
      </c>
      <c r="W63" t="s">
        <v>1844</v>
      </c>
      <c r="AC63" t="s">
        <v>1968</v>
      </c>
    </row>
    <row r="64" spans="3:31" x14ac:dyDescent="0.25">
      <c r="C64" t="s">
        <v>1141</v>
      </c>
      <c r="H64" t="s">
        <v>1338</v>
      </c>
      <c r="P64" t="s">
        <v>1633</v>
      </c>
      <c r="W64" t="s">
        <v>1845</v>
      </c>
      <c r="AC64" t="s">
        <v>1969</v>
      </c>
    </row>
    <row r="65" spans="3:29" x14ac:dyDescent="0.25">
      <c r="C65" t="s">
        <v>1142</v>
      </c>
      <c r="H65" t="s">
        <v>1339</v>
      </c>
      <c r="P65" t="s">
        <v>1634</v>
      </c>
      <c r="W65" t="s">
        <v>1846</v>
      </c>
      <c r="AC65" t="s">
        <v>1970</v>
      </c>
    </row>
    <row r="66" spans="3:29" x14ac:dyDescent="0.25">
      <c r="C66" t="s">
        <v>1143</v>
      </c>
      <c r="H66" t="s">
        <v>1340</v>
      </c>
      <c r="P66" t="s">
        <v>1198</v>
      </c>
      <c r="W66" t="s">
        <v>1847</v>
      </c>
      <c r="AC66" t="s">
        <v>1971</v>
      </c>
    </row>
    <row r="67" spans="3:29" x14ac:dyDescent="0.25">
      <c r="C67" t="s">
        <v>1144</v>
      </c>
      <c r="H67" t="s">
        <v>1341</v>
      </c>
      <c r="P67" t="s">
        <v>1635</v>
      </c>
      <c r="AC67" t="s">
        <v>1972</v>
      </c>
    </row>
    <row r="68" spans="3:29" x14ac:dyDescent="0.25">
      <c r="C68" t="s">
        <v>1145</v>
      </c>
      <c r="H68" t="s">
        <v>1342</v>
      </c>
      <c r="P68" t="s">
        <v>1636</v>
      </c>
      <c r="AC68" t="s">
        <v>1164</v>
      </c>
    </row>
    <row r="69" spans="3:29" x14ac:dyDescent="0.25">
      <c r="C69" t="s">
        <v>1146</v>
      </c>
      <c r="H69" t="s">
        <v>1343</v>
      </c>
      <c r="P69" t="s">
        <v>1637</v>
      </c>
      <c r="AC69" t="s">
        <v>1973</v>
      </c>
    </row>
    <row r="70" spans="3:29" x14ac:dyDescent="0.25">
      <c r="C70" t="s">
        <v>1147</v>
      </c>
      <c r="H70" t="s">
        <v>1344</v>
      </c>
      <c r="P70" t="s">
        <v>1638</v>
      </c>
      <c r="AC70" t="s">
        <v>1917</v>
      </c>
    </row>
    <row r="71" spans="3:29" x14ac:dyDescent="0.25">
      <c r="C71" t="s">
        <v>1148</v>
      </c>
      <c r="H71" t="s">
        <v>1345</v>
      </c>
      <c r="P71" t="s">
        <v>1639</v>
      </c>
      <c r="AC71" t="s">
        <v>1974</v>
      </c>
    </row>
    <row r="72" spans="3:29" x14ac:dyDescent="0.25">
      <c r="C72" t="s">
        <v>1149</v>
      </c>
      <c r="H72" t="s">
        <v>1346</v>
      </c>
      <c r="P72" t="s">
        <v>1640</v>
      </c>
      <c r="AC72" t="s">
        <v>1975</v>
      </c>
    </row>
    <row r="73" spans="3:29" x14ac:dyDescent="0.25">
      <c r="C73" t="s">
        <v>1150</v>
      </c>
      <c r="H73" t="s">
        <v>1347</v>
      </c>
      <c r="P73" t="s">
        <v>1641</v>
      </c>
      <c r="AC73" t="s">
        <v>1976</v>
      </c>
    </row>
    <row r="74" spans="3:29" x14ac:dyDescent="0.25">
      <c r="C74" t="s">
        <v>1151</v>
      </c>
      <c r="H74" t="s">
        <v>1348</v>
      </c>
      <c r="P74" t="s">
        <v>1642</v>
      </c>
      <c r="AC74" t="s">
        <v>1977</v>
      </c>
    </row>
    <row r="75" spans="3:29" x14ac:dyDescent="0.25">
      <c r="C75" t="s">
        <v>1152</v>
      </c>
      <c r="H75" t="s">
        <v>1349</v>
      </c>
      <c r="P75" t="s">
        <v>1643</v>
      </c>
      <c r="AC75" t="s">
        <v>1892</v>
      </c>
    </row>
    <row r="76" spans="3:29" x14ac:dyDescent="0.25">
      <c r="C76" t="s">
        <v>1153</v>
      </c>
      <c r="H76" t="s">
        <v>1350</v>
      </c>
      <c r="P76" t="s">
        <v>1644</v>
      </c>
      <c r="AC76" t="s">
        <v>1978</v>
      </c>
    </row>
    <row r="77" spans="3:29" x14ac:dyDescent="0.25">
      <c r="C77" t="s">
        <v>1154</v>
      </c>
      <c r="H77" t="s">
        <v>1351</v>
      </c>
      <c r="P77" t="s">
        <v>1645</v>
      </c>
      <c r="AC77" t="s">
        <v>1180</v>
      </c>
    </row>
    <row r="78" spans="3:29" x14ac:dyDescent="0.25">
      <c r="C78" t="s">
        <v>1155</v>
      </c>
      <c r="H78" t="s">
        <v>1352</v>
      </c>
      <c r="P78" t="s">
        <v>1646</v>
      </c>
      <c r="AC78" t="s">
        <v>1979</v>
      </c>
    </row>
    <row r="79" spans="3:29" x14ac:dyDescent="0.25">
      <c r="C79" t="s">
        <v>1156</v>
      </c>
      <c r="H79" t="s">
        <v>1353</v>
      </c>
      <c r="P79" t="s">
        <v>1647</v>
      </c>
      <c r="AC79" t="s">
        <v>1980</v>
      </c>
    </row>
    <row r="80" spans="3:29" x14ac:dyDescent="0.25">
      <c r="C80" t="s">
        <v>1157</v>
      </c>
      <c r="H80" t="s">
        <v>1354</v>
      </c>
      <c r="P80" t="s">
        <v>1648</v>
      </c>
      <c r="AC80" t="s">
        <v>1981</v>
      </c>
    </row>
    <row r="81" spans="3:29" x14ac:dyDescent="0.25">
      <c r="C81" t="s">
        <v>1158</v>
      </c>
      <c r="H81" t="s">
        <v>1355</v>
      </c>
      <c r="P81" t="s">
        <v>1649</v>
      </c>
      <c r="AC81" t="s">
        <v>1982</v>
      </c>
    </row>
    <row r="82" spans="3:29" x14ac:dyDescent="0.25">
      <c r="C82" t="s">
        <v>1159</v>
      </c>
      <c r="H82" t="s">
        <v>1356</v>
      </c>
      <c r="P82" t="s">
        <v>1170</v>
      </c>
      <c r="AC82" t="s">
        <v>1490</v>
      </c>
    </row>
    <row r="83" spans="3:29" x14ac:dyDescent="0.25">
      <c r="C83" t="s">
        <v>1160</v>
      </c>
      <c r="H83" t="s">
        <v>1357</v>
      </c>
      <c r="P83" t="s">
        <v>1650</v>
      </c>
      <c r="AC83" t="s">
        <v>1983</v>
      </c>
    </row>
    <row r="84" spans="3:29" x14ac:dyDescent="0.25">
      <c r="C84" t="s">
        <v>1161</v>
      </c>
      <c r="H84" t="s">
        <v>1358</v>
      </c>
      <c r="P84" t="s">
        <v>1651</v>
      </c>
      <c r="AC84" t="s">
        <v>1984</v>
      </c>
    </row>
    <row r="85" spans="3:29" x14ac:dyDescent="0.25">
      <c r="C85" t="s">
        <v>1162</v>
      </c>
      <c r="H85" t="s">
        <v>1359</v>
      </c>
      <c r="P85" t="s">
        <v>1652</v>
      </c>
      <c r="AC85" t="s">
        <v>1985</v>
      </c>
    </row>
    <row r="86" spans="3:29" x14ac:dyDescent="0.25">
      <c r="C86" t="s">
        <v>1163</v>
      </c>
      <c r="H86" t="s">
        <v>1360</v>
      </c>
      <c r="P86" t="s">
        <v>1653</v>
      </c>
      <c r="AC86" t="s">
        <v>1986</v>
      </c>
    </row>
    <row r="87" spans="3:29" x14ac:dyDescent="0.25">
      <c r="C87" t="s">
        <v>1164</v>
      </c>
      <c r="H87" t="s">
        <v>1361</v>
      </c>
      <c r="P87" t="s">
        <v>1654</v>
      </c>
      <c r="AC87" t="s">
        <v>1987</v>
      </c>
    </row>
    <row r="88" spans="3:29" x14ac:dyDescent="0.25">
      <c r="C88" t="s">
        <v>1165</v>
      </c>
      <c r="H88" t="s">
        <v>1362</v>
      </c>
      <c r="P88" t="s">
        <v>1655</v>
      </c>
      <c r="AC88" t="s">
        <v>1279</v>
      </c>
    </row>
    <row r="89" spans="3:29" x14ac:dyDescent="0.25">
      <c r="C89" t="s">
        <v>1166</v>
      </c>
      <c r="H89" t="s">
        <v>1363</v>
      </c>
      <c r="P89" t="s">
        <v>1656</v>
      </c>
      <c r="AC89" t="s">
        <v>1988</v>
      </c>
    </row>
    <row r="90" spans="3:29" x14ac:dyDescent="0.25">
      <c r="C90" t="s">
        <v>1167</v>
      </c>
      <c r="H90" t="s">
        <v>1364</v>
      </c>
      <c r="P90" t="s">
        <v>1657</v>
      </c>
    </row>
    <row r="91" spans="3:29" x14ac:dyDescent="0.25">
      <c r="C91" t="s">
        <v>1168</v>
      </c>
      <c r="H91" t="s">
        <v>1365</v>
      </c>
      <c r="P91" t="s">
        <v>1658</v>
      </c>
    </row>
    <row r="92" spans="3:29" x14ac:dyDescent="0.25">
      <c r="C92" t="s">
        <v>1169</v>
      </c>
      <c r="H92" t="s">
        <v>1366</v>
      </c>
      <c r="P92" t="s">
        <v>1659</v>
      </c>
    </row>
    <row r="93" spans="3:29" x14ac:dyDescent="0.25">
      <c r="C93" t="s">
        <v>1170</v>
      </c>
      <c r="H93" t="s">
        <v>1367</v>
      </c>
      <c r="P93" t="s">
        <v>1660</v>
      </c>
    </row>
    <row r="94" spans="3:29" x14ac:dyDescent="0.25">
      <c r="C94" t="s">
        <v>1171</v>
      </c>
      <c r="H94" t="s">
        <v>1368</v>
      </c>
      <c r="P94" t="s">
        <v>1661</v>
      </c>
    </row>
    <row r="95" spans="3:29" x14ac:dyDescent="0.25">
      <c r="C95" t="s">
        <v>1172</v>
      </c>
      <c r="H95" t="s">
        <v>1369</v>
      </c>
      <c r="P95" t="s">
        <v>1662</v>
      </c>
    </row>
    <row r="96" spans="3:29" x14ac:dyDescent="0.25">
      <c r="C96" t="s">
        <v>1173</v>
      </c>
      <c r="H96" t="s">
        <v>1370</v>
      </c>
      <c r="P96" t="s">
        <v>1663</v>
      </c>
    </row>
    <row r="97" spans="3:16" x14ac:dyDescent="0.25">
      <c r="C97" t="s">
        <v>1174</v>
      </c>
      <c r="H97" t="s">
        <v>1371</v>
      </c>
      <c r="P97" t="s">
        <v>1664</v>
      </c>
    </row>
    <row r="98" spans="3:16" x14ac:dyDescent="0.25">
      <c r="C98" t="s">
        <v>1175</v>
      </c>
      <c r="H98" t="s">
        <v>1372</v>
      </c>
      <c r="P98" t="s">
        <v>1665</v>
      </c>
    </row>
    <row r="99" spans="3:16" x14ac:dyDescent="0.25">
      <c r="C99" t="s">
        <v>1176</v>
      </c>
      <c r="H99" t="s">
        <v>1373</v>
      </c>
      <c r="P99" t="s">
        <v>1666</v>
      </c>
    </row>
    <row r="100" spans="3:16" x14ac:dyDescent="0.25">
      <c r="C100" t="s">
        <v>1177</v>
      </c>
      <c r="H100" t="s">
        <v>1374</v>
      </c>
      <c r="P100" t="s">
        <v>1667</v>
      </c>
    </row>
    <row r="101" spans="3:16" x14ac:dyDescent="0.25">
      <c r="C101" t="s">
        <v>1178</v>
      </c>
      <c r="H101" t="s">
        <v>1375</v>
      </c>
      <c r="P101" t="s">
        <v>1668</v>
      </c>
    </row>
    <row r="102" spans="3:16" x14ac:dyDescent="0.25">
      <c r="C102" t="s">
        <v>1179</v>
      </c>
      <c r="H102" t="s">
        <v>1376</v>
      </c>
      <c r="P102" t="s">
        <v>1669</v>
      </c>
    </row>
    <row r="103" spans="3:16" x14ac:dyDescent="0.25">
      <c r="C103" t="s">
        <v>1180</v>
      </c>
      <c r="H103" t="s">
        <v>1377</v>
      </c>
      <c r="P103" t="s">
        <v>1670</v>
      </c>
    </row>
    <row r="104" spans="3:16" x14ac:dyDescent="0.25">
      <c r="C104" t="s">
        <v>1181</v>
      </c>
      <c r="H104" t="s">
        <v>1378</v>
      </c>
      <c r="P104" t="s">
        <v>1671</v>
      </c>
    </row>
    <row r="105" spans="3:16" x14ac:dyDescent="0.25">
      <c r="C105" t="s">
        <v>1182</v>
      </c>
      <c r="H105" t="s">
        <v>1379</v>
      </c>
      <c r="P105" t="s">
        <v>1672</v>
      </c>
    </row>
    <row r="106" spans="3:16" x14ac:dyDescent="0.25">
      <c r="C106" t="s">
        <v>1183</v>
      </c>
      <c r="H106" t="s">
        <v>1380</v>
      </c>
      <c r="P106" t="s">
        <v>1673</v>
      </c>
    </row>
    <row r="107" spans="3:16" x14ac:dyDescent="0.25">
      <c r="C107" t="s">
        <v>1184</v>
      </c>
      <c r="H107" t="s">
        <v>1381</v>
      </c>
      <c r="P107" t="s">
        <v>1674</v>
      </c>
    </row>
    <row r="108" spans="3:16" x14ac:dyDescent="0.25">
      <c r="C108" t="s">
        <v>1185</v>
      </c>
      <c r="H108" t="s">
        <v>1382</v>
      </c>
      <c r="P108" t="s">
        <v>1675</v>
      </c>
    </row>
    <row r="109" spans="3:16" x14ac:dyDescent="0.25">
      <c r="C109" t="s">
        <v>1186</v>
      </c>
      <c r="H109" t="s">
        <v>1383</v>
      </c>
      <c r="P109" t="s">
        <v>1676</v>
      </c>
    </row>
    <row r="110" spans="3:16" x14ac:dyDescent="0.25">
      <c r="C110" t="s">
        <v>1187</v>
      </c>
      <c r="H110" t="s">
        <v>1384</v>
      </c>
      <c r="P110" t="s">
        <v>1677</v>
      </c>
    </row>
    <row r="111" spans="3:16" x14ac:dyDescent="0.25">
      <c r="C111" t="s">
        <v>1188</v>
      </c>
      <c r="H111" t="s">
        <v>1385</v>
      </c>
      <c r="P111" t="s">
        <v>1678</v>
      </c>
    </row>
    <row r="112" spans="3:16" x14ac:dyDescent="0.25">
      <c r="C112" t="s">
        <v>1189</v>
      </c>
      <c r="H112" t="s">
        <v>1386</v>
      </c>
      <c r="P112" t="s">
        <v>1679</v>
      </c>
    </row>
    <row r="113" spans="3:16" x14ac:dyDescent="0.25">
      <c r="C113" t="s">
        <v>1190</v>
      </c>
      <c r="H113" t="s">
        <v>1387</v>
      </c>
      <c r="P113" t="s">
        <v>1680</v>
      </c>
    </row>
    <row r="114" spans="3:16" x14ac:dyDescent="0.25">
      <c r="C114" t="s">
        <v>1191</v>
      </c>
      <c r="H114" t="s">
        <v>1388</v>
      </c>
      <c r="P114" t="s">
        <v>1681</v>
      </c>
    </row>
    <row r="115" spans="3:16" x14ac:dyDescent="0.25">
      <c r="C115" t="s">
        <v>1192</v>
      </c>
      <c r="H115" t="s">
        <v>1389</v>
      </c>
      <c r="P115" t="s">
        <v>1682</v>
      </c>
    </row>
    <row r="116" spans="3:16" x14ac:dyDescent="0.25">
      <c r="C116" t="s">
        <v>1193</v>
      </c>
      <c r="H116" t="s">
        <v>1390</v>
      </c>
      <c r="P116" t="s">
        <v>1683</v>
      </c>
    </row>
    <row r="117" spans="3:16" x14ac:dyDescent="0.25">
      <c r="C117" t="s">
        <v>1194</v>
      </c>
      <c r="H117" t="s">
        <v>1391</v>
      </c>
      <c r="P117" t="s">
        <v>1684</v>
      </c>
    </row>
    <row r="118" spans="3:16" x14ac:dyDescent="0.25">
      <c r="C118" t="s">
        <v>1195</v>
      </c>
      <c r="H118" t="s">
        <v>1392</v>
      </c>
      <c r="P118" t="s">
        <v>1685</v>
      </c>
    </row>
    <row r="119" spans="3:16" x14ac:dyDescent="0.25">
      <c r="C119" t="s">
        <v>1196</v>
      </c>
      <c r="H119" t="s">
        <v>1393</v>
      </c>
    </row>
    <row r="120" spans="3:16" x14ac:dyDescent="0.25">
      <c r="C120" t="s">
        <v>1197</v>
      </c>
      <c r="H120" t="s">
        <v>1394</v>
      </c>
    </row>
    <row r="121" spans="3:16" x14ac:dyDescent="0.25">
      <c r="C121" t="s">
        <v>1198</v>
      </c>
      <c r="H121" t="s">
        <v>1395</v>
      </c>
    </row>
    <row r="122" spans="3:16" x14ac:dyDescent="0.25">
      <c r="C122" t="s">
        <v>1199</v>
      </c>
      <c r="H122" t="s">
        <v>1396</v>
      </c>
    </row>
    <row r="123" spans="3:16" x14ac:dyDescent="0.25">
      <c r="C123" t="s">
        <v>1200</v>
      </c>
      <c r="H123" t="s">
        <v>1397</v>
      </c>
    </row>
    <row r="124" spans="3:16" x14ac:dyDescent="0.25">
      <c r="C124" t="s">
        <v>1201</v>
      </c>
      <c r="H124" t="s">
        <v>1398</v>
      </c>
    </row>
    <row r="125" spans="3:16" x14ac:dyDescent="0.25">
      <c r="C125" t="s">
        <v>1202</v>
      </c>
      <c r="H125" t="s">
        <v>1399</v>
      </c>
    </row>
    <row r="126" spans="3:16" x14ac:dyDescent="0.25">
      <c r="C126" t="s">
        <v>1203</v>
      </c>
    </row>
    <row r="127" spans="3:16" x14ac:dyDescent="0.25">
      <c r="C127" t="s">
        <v>1204</v>
      </c>
    </row>
    <row r="129" spans="2:34" x14ac:dyDescent="0.25">
      <c r="B129" t="str">
        <f>TRIM(B2)</f>
        <v>AMAZONAS</v>
      </c>
      <c r="C129" t="str">
        <f t="shared" ref="C129:AG129" si="0">TRIM(C2)</f>
        <v>ANTIOQUIA</v>
      </c>
      <c r="D129" t="str">
        <f t="shared" si="0"/>
        <v>ARAUCA</v>
      </c>
      <c r="E129" t="str">
        <f t="shared" si="0"/>
        <v>ATLÁNTICO</v>
      </c>
      <c r="F129" t="str">
        <f t="shared" si="0"/>
        <v>BOLÍVAR</v>
      </c>
      <c r="G129" t="str">
        <f t="shared" si="0"/>
        <v>BOGOTA</v>
      </c>
      <c r="H129" t="str">
        <f t="shared" si="0"/>
        <v>BOYACÁ</v>
      </c>
      <c r="I129" t="str">
        <f t="shared" si="0"/>
        <v>CALDAS</v>
      </c>
      <c r="J129" t="str">
        <f t="shared" si="0"/>
        <v>CAQUETÁ</v>
      </c>
      <c r="K129" t="str">
        <f t="shared" si="0"/>
        <v>CASANARE</v>
      </c>
      <c r="L129" t="str">
        <f t="shared" si="0"/>
        <v>CAUCA</v>
      </c>
      <c r="M129" t="str">
        <f t="shared" si="0"/>
        <v>CESAR</v>
      </c>
      <c r="N129" t="str">
        <f t="shared" si="0"/>
        <v>CHOCÓ</v>
      </c>
      <c r="O129" t="str">
        <f t="shared" si="0"/>
        <v>CÓRDOBA</v>
      </c>
      <c r="P129" t="str">
        <f t="shared" si="0"/>
        <v>CUNDINAMARCA</v>
      </c>
      <c r="Q129" t="str">
        <f t="shared" si="0"/>
        <v>GUAINÍA</v>
      </c>
      <c r="R129" t="str">
        <f t="shared" si="0"/>
        <v>GUAVIARE</v>
      </c>
      <c r="S129" t="str">
        <f t="shared" si="0"/>
        <v>HUILA</v>
      </c>
      <c r="T129" t="str">
        <f t="shared" si="0"/>
        <v>LA GUAJIRA</v>
      </c>
      <c r="U129" t="str">
        <f t="shared" si="0"/>
        <v>MAGDALENA</v>
      </c>
      <c r="V129" t="str">
        <f t="shared" si="0"/>
        <v>META</v>
      </c>
      <c r="W129" t="str">
        <f t="shared" si="0"/>
        <v>NARIÑO</v>
      </c>
      <c r="X129" t="str">
        <f t="shared" si="0"/>
        <v>NORTE DE SANTANDER</v>
      </c>
      <c r="Y129" t="str">
        <f t="shared" si="0"/>
        <v>PUTUMAYO</v>
      </c>
      <c r="Z129" t="str">
        <f t="shared" si="0"/>
        <v>QUINDIO</v>
      </c>
      <c r="AA129" t="str">
        <f t="shared" si="0"/>
        <v>RISARALDA</v>
      </c>
      <c r="AB129" t="str">
        <f t="shared" si="0"/>
        <v>SAN ANDRES ISLAS</v>
      </c>
      <c r="AC129" t="str">
        <f t="shared" si="0"/>
        <v>SANTANDER</v>
      </c>
      <c r="AD129" t="str">
        <f t="shared" si="0"/>
        <v>SUCRE</v>
      </c>
      <c r="AE129" t="str">
        <f t="shared" si="0"/>
        <v>TOLIMA</v>
      </c>
      <c r="AF129" t="str">
        <f t="shared" si="0"/>
        <v>VALLE DEL CAUCA</v>
      </c>
      <c r="AG129" t="str">
        <f t="shared" si="0"/>
        <v>VAUPÉS</v>
      </c>
      <c r="AH129" t="str">
        <f>TRIM(AH2)</f>
        <v>VICHADA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33</vt:i4>
      </vt:variant>
    </vt:vector>
  </HeadingPairs>
  <TitlesOfParts>
    <vt:vector size="41" baseType="lpstr">
      <vt:lpstr>TD_1</vt:lpstr>
      <vt:lpstr>TD2</vt:lpstr>
      <vt:lpstr>Hoja3</vt:lpstr>
      <vt:lpstr>BD DE DATOS</vt:lpstr>
      <vt:lpstr>RESUMEN</vt:lpstr>
      <vt:lpstr>WORD</vt:lpstr>
      <vt:lpstr>TAB_REF</vt:lpstr>
      <vt:lpstr>DEPARTAMENTO</vt:lpstr>
      <vt:lpstr>AMAZONAS</vt:lpstr>
      <vt:lpstr>ANTIOQUIA</vt:lpstr>
      <vt:lpstr>ARAUCA</vt:lpstr>
      <vt:lpstr>ATLÁNTICO</vt:lpstr>
      <vt:lpstr>BOGOTA</vt:lpstr>
      <vt:lpstr>BOLÍVAR</vt:lpstr>
      <vt:lpstr>BOYACÁ</vt:lpstr>
      <vt:lpstr>CALDAS</vt:lpstr>
      <vt:lpstr>CAQUETÁ</vt:lpstr>
      <vt:lpstr>CASANARE</vt:lpstr>
      <vt:lpstr>CAUCA</vt:lpstr>
      <vt:lpstr>CESAR</vt:lpstr>
      <vt:lpstr>CHOCÓ</vt:lpstr>
      <vt:lpstr>CÓRDOBA</vt:lpstr>
      <vt:lpstr>CUNDINAMARCA</vt:lpstr>
      <vt:lpstr>GUAINÍA</vt:lpstr>
      <vt:lpstr>GUAVIARE</vt:lpstr>
      <vt:lpstr>HUILA</vt:lpstr>
      <vt:lpstr>LA_GUAJIRA</vt:lpstr>
      <vt:lpstr>MAGDALENA</vt:lpstr>
      <vt:lpstr>META</vt:lpstr>
      <vt:lpstr>NARIÑO</vt:lpstr>
      <vt:lpstr>NORTE_DE_SANTANDER</vt:lpstr>
      <vt:lpstr>PUTUMAYO</vt:lpstr>
      <vt:lpstr>QUINDIO</vt:lpstr>
      <vt:lpstr>RISARALDA</vt:lpstr>
      <vt:lpstr>SAN_ANDRES_ISLAS</vt:lpstr>
      <vt:lpstr>SANTANDER</vt:lpstr>
      <vt:lpstr>SUCRE</vt:lpstr>
      <vt:lpstr>TOLIMA</vt:lpstr>
      <vt:lpstr>VALLE_DEL_CAUCA</vt:lpstr>
      <vt:lpstr>VAUPÉS</vt:lpstr>
      <vt:lpstr>VICHADA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Daniel S. Parra G.</cp:lastModifiedBy>
  <cp:lastPrinted>2021-09-23T15:01:09Z</cp:lastPrinted>
  <dcterms:created xsi:type="dcterms:W3CDTF">2021-01-04T21:05:47Z</dcterms:created>
  <dcterms:modified xsi:type="dcterms:W3CDTF">2021-10-22T21:32:12Z</dcterms:modified>
</cp:coreProperties>
</file>